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drawings/drawing4.xml" ContentType="application/vnd.openxmlformats-officedocument.drawingml.chartshapes+xml"/>
  <Override PartName="/xl/charts/chart2.xml" ContentType="application/vnd.openxmlformats-officedocument.drawingml.chart+xml"/>
  <Override PartName="/xl/drawings/drawing5.xml" ContentType="application/vnd.openxmlformats-officedocument.drawing+xml"/>
  <Override PartName="/xl/ctrlProps/ctrlProp1.xml" ContentType="application/vnd.ms-excel.controlproperties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5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6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8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9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10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7.xml" ContentType="application/vnd.openxmlformats-officedocument.drawing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ata\11-CHANTIERS\BURE\10-ACTIVITES\2025\11\2025-11-06-b-etude referentiel carrefour GCR\identification cibles GMP104\"/>
    </mc:Choice>
  </mc:AlternateContent>
  <xr:revisionPtr revIDLastSave="0" documentId="8_{17F68675-A743-4CE6-8E4E-B164A47B26B3}" xr6:coauthVersionLast="47" xr6:coauthVersionMax="47" xr10:uidLastSave="{00000000-0000-0000-0000-000000000000}"/>
  <bookViews>
    <workbookView xWindow="57480" yWindow="-120" windowWidth="25440" windowHeight="15390" xr2:uid="{00000000-000D-0000-FFFF-FFFF00000000}"/>
  </bookViews>
  <sheets>
    <sheet name="Résultats observations" sheetId="1" r:id="rId1"/>
    <sheet name="Convergences" sheetId="2" r:id="rId2"/>
    <sheet name="Déplacements" sheetId="3" r:id="rId3"/>
    <sheet name="Graphiques (100j)" sheetId="8" r:id="rId4"/>
    <sheet name="Graphiques" sheetId="4" r:id="rId5"/>
    <sheet name="Graph avancement" sheetId="5" r:id="rId6"/>
  </sheets>
  <externalReferences>
    <externalReference r:id="rId7"/>
  </externalReferences>
  <definedNames>
    <definedName name="cintre" localSheetId="3">'Résultats observations'!#REF!</definedName>
    <definedName name="cintre">'Résultats observations'!#REF!</definedName>
    <definedName name="date">'Résultats observations'!$A:$A</definedName>
    <definedName name="DH_BD" localSheetId="3">'Résultats observations'!#REF!</definedName>
    <definedName name="DH_BD">'Résultats observations'!#REF!</definedName>
    <definedName name="DH_BG" localSheetId="3">'Résultats observations'!#REF!</definedName>
    <definedName name="DH_BG">'Résultats observations'!#REF!</definedName>
    <definedName name="DH_HD">'Résultats observations'!$BW:$BW</definedName>
    <definedName name="DH_HG">'Résultats observations'!$BQ:$BQ</definedName>
    <definedName name="DH_ID">'Résultats observations'!$BZ:$BZ</definedName>
    <definedName name="DH_IG">'Résultats observations'!$BN:$BN</definedName>
    <definedName name="DHhaut">'Résultats observations'!$BT:$BT</definedName>
    <definedName name="dist">'Résultats observations'!$D:$D</definedName>
    <definedName name="DPM_BD" localSheetId="3">'Résultats observations'!#REF!</definedName>
    <definedName name="DPM_BD">'Résultats observations'!#REF!</definedName>
    <definedName name="DPM_BG" localSheetId="3">'Résultats observations'!#REF!</definedName>
    <definedName name="DPM_BG">'Résultats observations'!#REF!</definedName>
    <definedName name="DPM_HD">'Résultats observations'!$BV:$BV</definedName>
    <definedName name="DPM_HG">'Résultats observations'!$BP:$BP</definedName>
    <definedName name="DPM_ID">'Résultats observations'!$BY:$BY</definedName>
    <definedName name="DPM_IG">'Résultats observations'!$BM:$BM</definedName>
    <definedName name="DPMhaut">'Résultats observations'!$BS:$BS</definedName>
    <definedName name="DZ_BD" localSheetId="3">'Résultats observations'!#REF!</definedName>
    <definedName name="DZ_BD">'Résultats observations'!#REF!</definedName>
    <definedName name="DZ_BG" localSheetId="3">'Résultats observations'!#REF!</definedName>
    <definedName name="DZ_BG">'Résultats observations'!#REF!</definedName>
    <definedName name="DZ_HD">'Résultats observations'!$AR:$AR</definedName>
    <definedName name="DZ_HG">'Résultats observations'!$AL:$AL</definedName>
    <definedName name="DZ_ID">'Résultats observations'!$AU:$AU</definedName>
    <definedName name="DZ_IG">'Résultats observations'!$AI:$AI</definedName>
    <definedName name="DZhaut">'Résultats observations'!$AO:$AO</definedName>
    <definedName name="Ecart_BD" localSheetId="3">'Résultats observations'!#REF!</definedName>
    <definedName name="Ecart_BD">'Résultats observations'!#REF!</definedName>
    <definedName name="Ecart_BG" localSheetId="3">'Résultats observations'!#REF!</definedName>
    <definedName name="Ecart_BG">'Résultats observations'!#REF!</definedName>
    <definedName name="Ecart_HD">'Résultats observations'!$AB:$AB</definedName>
    <definedName name="Ecart_HG">'Résultats observations'!$AA:$AA</definedName>
    <definedName name="Ecart_ID">'Résultats observations'!$AC:$AC</definedName>
    <definedName name="Ecart_IG">'Résultats observations'!$Z:$Z</definedName>
    <definedName name="Ecart_LB" localSheetId="3">'Résultats observations'!#REF!</definedName>
    <definedName name="Ecart_LB">'Résultats observations'!#REF!</definedName>
    <definedName name="Ecart_LH">'Résultats observations'!$AD:$AD</definedName>
    <definedName name="Ecart_LI">'Résultats observations'!$AE:$AE</definedName>
    <definedName name="excav">'Résultats observations'!$A$7</definedName>
    <definedName name="front">'Résultats observations'!$C:$C</definedName>
    <definedName name="galerie" localSheetId="3">'Résultats observations'!#REF!</definedName>
    <definedName name="galerie">'Résultats observations'!#REF!</definedName>
    <definedName name="_xlnm.Print_Titles" localSheetId="0">'Résultats observations'!$1:$9</definedName>
    <definedName name="jours">'Résultats observations'!$B:$B</definedName>
    <definedName name="PM">'Résultats observations'!$P$6</definedName>
    <definedName name="Xbasdroit" localSheetId="3">'Résultats observations'!#REF!</definedName>
    <definedName name="Xbasdroit">'Résultats observations'!#REF!</definedName>
    <definedName name="Xbasgauche" localSheetId="3">'Résultats observations'!#REF!</definedName>
    <definedName name="Xbasgauche">'Résultats observations'!#REF!</definedName>
    <definedName name="Xhaut">'Résultats observations'!$K:$K</definedName>
    <definedName name="Xhautdroit">'Résultats observations'!$N:$N</definedName>
    <definedName name="Xhautgauche">'Résultats observations'!$H:$H</definedName>
    <definedName name="Xinterdroit">'Résultats observations'!$Q:$Q</definedName>
    <definedName name="Xintergauche">'Résultats observations'!$E:$E</definedName>
    <definedName name="Ybasdroit" localSheetId="3">'Résultats observations'!#REF!</definedName>
    <definedName name="Ybasdroit">'Résultats observations'!#REF!</definedName>
    <definedName name="Ybasgauche" localSheetId="3">'Résultats observations'!#REF!</definedName>
    <definedName name="Ybasgauche">'Résultats observations'!#REF!</definedName>
    <definedName name="Yhaut">'Résultats observations'!$L:$L</definedName>
    <definedName name="Yhautdroit">'Résultats observations'!$O:$O</definedName>
    <definedName name="Yhautgauche">'Résultats observations'!$I:$I</definedName>
    <definedName name="Yinterdroit">'Résultats observations'!$R:$R</definedName>
    <definedName name="Yintergauche">'Résultats observations'!$F:$F</definedName>
    <definedName name="Zbasdroit" localSheetId="3">'Résultats observations'!#REF!</definedName>
    <definedName name="Zbasdroit">'Résultats observations'!#REF!</definedName>
    <definedName name="Zbasgauche" localSheetId="3">'Résultats observations'!#REF!</definedName>
    <definedName name="Zbasgauche">'Résultats observations'!#REF!</definedName>
    <definedName name="Zhaut">'Résultats observations'!$M:$M</definedName>
    <definedName name="Zhautdroit">'Résultats observations'!$P:$P</definedName>
    <definedName name="Zhautgauche">'Résultats observations'!$J:$J</definedName>
    <definedName name="Zinterdroit">'Résultats observations'!$S:$S</definedName>
    <definedName name="Zintergauche">'Résultats observations'!$G:$G</definedName>
    <definedName name="_xlnm.Print_Area" localSheetId="2">Déplacements!$A$1:$U$32</definedName>
    <definedName name="_xlnm.Print_Area" localSheetId="0">'Résultats observations'!$A$1:$Y$10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7" i="3" l="1"/>
  <c r="B107" i="2"/>
  <c r="C107" i="2"/>
  <c r="P107" i="2"/>
  <c r="S107" i="2"/>
  <c r="AA107" i="1"/>
  <c r="Y107" i="1"/>
  <c r="W107" i="1"/>
  <c r="V107" i="1"/>
  <c r="T107" i="1"/>
  <c r="B106" i="3"/>
  <c r="B106" i="2"/>
  <c r="C106" i="2"/>
  <c r="P106" i="2"/>
  <c r="S106" i="2"/>
  <c r="T106" i="1"/>
  <c r="V106" i="1"/>
  <c r="W106" i="1"/>
  <c r="Y106" i="1"/>
  <c r="AA106" i="1"/>
  <c r="B105" i="3"/>
  <c r="B105" i="2"/>
  <c r="C105" i="2"/>
  <c r="P105" i="2"/>
  <c r="S105" i="2"/>
  <c r="AA105" i="1"/>
  <c r="Y105" i="1"/>
  <c r="W105" i="1"/>
  <c r="V105" i="1"/>
  <c r="T105" i="1"/>
  <c r="B102" i="3"/>
  <c r="B103" i="3"/>
  <c r="B104" i="3"/>
  <c r="B103" i="2"/>
  <c r="C103" i="2"/>
  <c r="P103" i="2"/>
  <c r="S103" i="2"/>
  <c r="B104" i="2"/>
  <c r="C104" i="2"/>
  <c r="P104" i="2"/>
  <c r="S104" i="2"/>
  <c r="Y103" i="1"/>
  <c r="Y104" i="1"/>
  <c r="AE102" i="1"/>
  <c r="T104" i="1"/>
  <c r="V104" i="1"/>
  <c r="W104" i="1"/>
  <c r="AA104" i="1"/>
  <c r="AA103" i="1"/>
  <c r="W103" i="1"/>
  <c r="V103" i="1"/>
  <c r="T103" i="1"/>
  <c r="B102" i="2"/>
  <c r="C102" i="2"/>
  <c r="P102" i="2"/>
  <c r="S102" i="2"/>
  <c r="T102" i="1"/>
  <c r="V102" i="1"/>
  <c r="W102" i="1"/>
  <c r="AA102" i="1"/>
  <c r="B101" i="3" l="1"/>
  <c r="B101" i="2"/>
  <c r="C101" i="2"/>
  <c r="P101" i="2"/>
  <c r="S101" i="2"/>
  <c r="V101" i="1"/>
  <c r="W101" i="1"/>
  <c r="Y101" i="1"/>
  <c r="AA101" i="1"/>
  <c r="T101" i="1"/>
  <c r="B100" i="3" l="1"/>
  <c r="B100" i="2"/>
  <c r="C100" i="2"/>
  <c r="P100" i="2"/>
  <c r="S100" i="2"/>
  <c r="T100" i="1"/>
  <c r="V100" i="1"/>
  <c r="W100" i="1"/>
  <c r="Y100" i="1"/>
  <c r="AA100" i="1"/>
  <c r="N39" i="8" l="1"/>
  <c r="B39" i="8"/>
  <c r="AD20" i="8"/>
  <c r="AD21" i="8" s="1"/>
  <c r="AE19" i="8"/>
  <c r="AE21" i="8" s="1"/>
  <c r="AE18" i="8"/>
  <c r="AE20" i="8" s="1"/>
  <c r="AD18" i="8"/>
  <c r="AD19" i="8" s="1"/>
  <c r="AE17" i="8"/>
  <c r="AE16" i="8"/>
  <c r="N6" i="8"/>
  <c r="B6" i="8"/>
  <c r="B99" i="3"/>
  <c r="B99" i="2"/>
  <c r="C99" i="2"/>
  <c r="P99" i="2"/>
  <c r="S99" i="2"/>
  <c r="AA99" i="1"/>
  <c r="Y99" i="1"/>
  <c r="W99" i="1"/>
  <c r="V99" i="1"/>
  <c r="T99" i="1"/>
  <c r="B98" i="3" l="1"/>
  <c r="B98" i="2"/>
  <c r="C98" i="2"/>
  <c r="P98" i="2"/>
  <c r="S98" i="2"/>
  <c r="T98" i="1"/>
  <c r="V98" i="1"/>
  <c r="W98" i="1"/>
  <c r="Y98" i="1"/>
  <c r="AA98" i="1"/>
  <c r="B97" i="3" l="1"/>
  <c r="B97" i="2"/>
  <c r="C97" i="2"/>
  <c r="P97" i="2"/>
  <c r="S97" i="2"/>
  <c r="T97" i="1"/>
  <c r="V97" i="1"/>
  <c r="W97" i="1"/>
  <c r="Y97" i="1"/>
  <c r="AA97" i="1"/>
  <c r="AD97" i="1"/>
  <c r="T89" i="1" l="1"/>
  <c r="V89" i="1"/>
  <c r="W89" i="1"/>
  <c r="Y89" i="1"/>
  <c r="AA89" i="1"/>
  <c r="AD89" i="1"/>
  <c r="BR89" i="1"/>
  <c r="T90" i="1"/>
  <c r="V90" i="1"/>
  <c r="W90" i="1"/>
  <c r="Y90" i="1"/>
  <c r="BP92" i="1"/>
  <c r="BQ92" i="1"/>
  <c r="BR92" i="1"/>
  <c r="T92" i="1"/>
  <c r="V92" i="1"/>
  <c r="W92" i="1"/>
  <c r="Y92" i="1"/>
  <c r="AA92" i="1"/>
  <c r="AD92" i="1"/>
  <c r="BP93" i="1"/>
  <c r="BQ93" i="1"/>
  <c r="BR93" i="1"/>
  <c r="T93" i="1"/>
  <c r="W93" i="1"/>
  <c r="Y93" i="1"/>
  <c r="V93" i="1"/>
  <c r="B96" i="3" l="1"/>
  <c r="B96" i="2"/>
  <c r="C96" i="2"/>
  <c r="P96" i="2"/>
  <c r="S96" i="2"/>
  <c r="AA96" i="1"/>
  <c r="AD96" i="1"/>
  <c r="T96" i="1"/>
  <c r="V96" i="1"/>
  <c r="W96" i="1"/>
  <c r="Y96" i="1"/>
  <c r="B95" i="3" l="1"/>
  <c r="B95" i="2"/>
  <c r="C95" i="2"/>
  <c r="P95" i="2"/>
  <c r="S95" i="2"/>
  <c r="T95" i="1"/>
  <c r="V95" i="1"/>
  <c r="W95" i="1"/>
  <c r="Y95" i="1"/>
  <c r="AA95" i="1"/>
  <c r="AD95" i="1"/>
  <c r="B94" i="3" l="1"/>
  <c r="B94" i="2"/>
  <c r="C94" i="2"/>
  <c r="P94" i="2"/>
  <c r="S94" i="2"/>
  <c r="AA94" i="1"/>
  <c r="AD94" i="1"/>
  <c r="Y94" i="1"/>
  <c r="V94" i="1"/>
  <c r="W94" i="1"/>
  <c r="T94" i="1"/>
  <c r="B93" i="3" l="1"/>
  <c r="B93" i="2"/>
  <c r="C93" i="2"/>
  <c r="P93" i="2"/>
  <c r="S93" i="2"/>
  <c r="AD93" i="1"/>
  <c r="AA93" i="1"/>
  <c r="B92" i="3" l="1"/>
  <c r="B92" i="2"/>
  <c r="C92" i="2"/>
  <c r="P92" i="2"/>
  <c r="S92" i="2"/>
  <c r="AJ92" i="1"/>
  <c r="AK92" i="1"/>
  <c r="AL92" i="1"/>
  <c r="B91" i="3" l="1"/>
  <c r="B91" i="2"/>
  <c r="C91" i="2"/>
  <c r="P91" i="2"/>
  <c r="S91" i="2"/>
  <c r="BP91" i="1"/>
  <c r="BQ91" i="1"/>
  <c r="BR91" i="1"/>
  <c r="AJ91" i="1"/>
  <c r="AK91" i="1"/>
  <c r="AL91" i="1"/>
  <c r="T91" i="1"/>
  <c r="V91" i="1"/>
  <c r="W91" i="1"/>
  <c r="Y91" i="1"/>
  <c r="AA91" i="1"/>
  <c r="AD91" i="1"/>
  <c r="B89" i="3" l="1"/>
  <c r="B90" i="3"/>
  <c r="B89" i="2"/>
  <c r="C89" i="2"/>
  <c r="P89" i="2"/>
  <c r="S89" i="2"/>
  <c r="B90" i="2"/>
  <c r="C90" i="2"/>
  <c r="P90" i="2"/>
  <c r="S90" i="2"/>
  <c r="BP90" i="1"/>
  <c r="BQ90" i="1"/>
  <c r="BR90" i="1"/>
  <c r="AJ89" i="1"/>
  <c r="AK89" i="1"/>
  <c r="AL89" i="1"/>
  <c r="AD90" i="1"/>
  <c r="AA90" i="1"/>
  <c r="B88" i="3" l="1"/>
  <c r="B88" i="2"/>
  <c r="C88" i="2"/>
  <c r="P88" i="2"/>
  <c r="S88" i="2"/>
  <c r="BR88" i="1"/>
  <c r="BQ88" i="1"/>
  <c r="BP88" i="1"/>
  <c r="AL88" i="1"/>
  <c r="AK88" i="1"/>
  <c r="AJ88" i="1"/>
  <c r="AD88" i="1"/>
  <c r="AA88" i="1"/>
  <c r="Y88" i="1"/>
  <c r="W88" i="1"/>
  <c r="V88" i="1"/>
  <c r="T88" i="1"/>
  <c r="B87" i="3" l="1"/>
  <c r="B87" i="2"/>
  <c r="C87" i="2"/>
  <c r="P87" i="2"/>
  <c r="S87" i="2"/>
  <c r="BR87" i="1"/>
  <c r="BQ87" i="1"/>
  <c r="BP87" i="1"/>
  <c r="AL87" i="1"/>
  <c r="AK87" i="1"/>
  <c r="AJ87" i="1"/>
  <c r="AD87" i="1"/>
  <c r="AA87" i="1"/>
  <c r="Y87" i="1"/>
  <c r="W87" i="1"/>
  <c r="V87" i="1"/>
  <c r="T87" i="1"/>
  <c r="B86" i="3" l="1"/>
  <c r="B86" i="2"/>
  <c r="C86" i="2"/>
  <c r="P86" i="2"/>
  <c r="S86" i="2"/>
  <c r="BR86" i="1"/>
  <c r="BQ86" i="1"/>
  <c r="BP86" i="1"/>
  <c r="AL86" i="1"/>
  <c r="AK86" i="1"/>
  <c r="AJ86" i="1"/>
  <c r="AD86" i="1"/>
  <c r="AA86" i="1"/>
  <c r="Y86" i="1"/>
  <c r="W86" i="1"/>
  <c r="V86" i="1"/>
  <c r="T86" i="1"/>
  <c r="B85" i="3" l="1"/>
  <c r="B85" i="2"/>
  <c r="C85" i="2"/>
  <c r="P85" i="2"/>
  <c r="S85" i="2"/>
  <c r="BR85" i="1"/>
  <c r="BQ85" i="1"/>
  <c r="BP85" i="1"/>
  <c r="AL85" i="1"/>
  <c r="AK85" i="1"/>
  <c r="AJ85" i="1"/>
  <c r="AD85" i="1"/>
  <c r="AA85" i="1"/>
  <c r="Y85" i="1"/>
  <c r="W85" i="1"/>
  <c r="V85" i="1"/>
  <c r="T85" i="1"/>
  <c r="B84" i="3"/>
  <c r="B84" i="2"/>
  <c r="C84" i="2"/>
  <c r="P84" i="2"/>
  <c r="S84" i="2"/>
  <c r="T84" i="1"/>
  <c r="V84" i="1"/>
  <c r="W84" i="1"/>
  <c r="Y84" i="1"/>
  <c r="AA84" i="1"/>
  <c r="AD84" i="1"/>
  <c r="B83" i="3" l="1"/>
  <c r="S83" i="2"/>
  <c r="P83" i="2"/>
  <c r="S82" i="2"/>
  <c r="P82" i="2"/>
  <c r="B83" i="2"/>
  <c r="C83" i="2"/>
  <c r="Y83" i="1"/>
  <c r="W83" i="1"/>
  <c r="T83" i="1"/>
  <c r="B82" i="3"/>
  <c r="B80" i="3"/>
  <c r="C82" i="2"/>
  <c r="B82" i="2"/>
  <c r="B80" i="2"/>
  <c r="C80" i="2"/>
  <c r="Q80" i="2"/>
  <c r="T80" i="2"/>
  <c r="O80" i="2"/>
  <c r="P80" i="2"/>
  <c r="R80" i="2"/>
  <c r="S80" i="2"/>
  <c r="P81" i="2"/>
  <c r="S81" i="2"/>
  <c r="AD82" i="1"/>
  <c r="AA82" i="1"/>
  <c r="Y82" i="1"/>
  <c r="W82" i="1"/>
  <c r="V82" i="1"/>
  <c r="T82" i="1"/>
  <c r="AD80" i="1"/>
  <c r="AA80" i="1"/>
  <c r="Y80" i="1"/>
  <c r="W80" i="1"/>
  <c r="V80" i="1"/>
  <c r="T80" i="1"/>
  <c r="CA81" i="1"/>
  <c r="BZ81" i="1"/>
  <c r="BY81" i="1"/>
  <c r="BX81" i="1"/>
  <c r="BW81" i="1"/>
  <c r="BV81" i="1"/>
  <c r="BU81" i="1"/>
  <c r="BT81" i="1"/>
  <c r="BS81" i="1"/>
  <c r="BR81" i="1"/>
  <c r="BQ81" i="1"/>
  <c r="BP81" i="1"/>
  <c r="BO81" i="1"/>
  <c r="BN81" i="1"/>
  <c r="D81" i="3" s="1"/>
  <c r="BM81" i="1"/>
  <c r="C81" i="3" s="1"/>
  <c r="AU81" i="1"/>
  <c r="AT81" i="1"/>
  <c r="AS81" i="1"/>
  <c r="AR81" i="1"/>
  <c r="AQ81" i="1"/>
  <c r="AP81" i="1"/>
  <c r="AO81" i="1"/>
  <c r="AN81" i="1"/>
  <c r="AM81" i="1"/>
  <c r="AL81" i="1"/>
  <c r="AK81" i="1"/>
  <c r="AJ81" i="1"/>
  <c r="AI81" i="1"/>
  <c r="E81" i="3" s="1"/>
  <c r="AH81" i="1"/>
  <c r="AG81" i="1"/>
  <c r="AE81" i="1"/>
  <c r="I81" i="2" s="1"/>
  <c r="T81" i="2" s="1"/>
  <c r="AC81" i="1"/>
  <c r="G81" i="2" s="1"/>
  <c r="R81" i="2" s="1"/>
  <c r="Z81" i="1"/>
  <c r="D81" i="2" s="1"/>
  <c r="O81" i="2" s="1"/>
  <c r="X81" i="1"/>
  <c r="AD81" i="1" s="1"/>
  <c r="V81" i="1"/>
  <c r="AB81" i="1" s="1"/>
  <c r="F81" i="2" s="1"/>
  <c r="Q81" i="2" s="1"/>
  <c r="U81" i="1"/>
  <c r="AA81" i="1" s="1"/>
  <c r="D81" i="1"/>
  <c r="C81" i="2" s="1"/>
  <c r="B81" i="1"/>
  <c r="A81" i="3" l="1"/>
  <c r="A81" i="2"/>
  <c r="B76" i="3"/>
  <c r="B77" i="3"/>
  <c r="B78" i="3"/>
  <c r="O76" i="2"/>
  <c r="P76" i="2"/>
  <c r="Q76" i="2"/>
  <c r="R76" i="2"/>
  <c r="O77" i="2"/>
  <c r="P77" i="2"/>
  <c r="Q77" i="2"/>
  <c r="R77" i="2"/>
  <c r="P78" i="2"/>
  <c r="B75" i="2"/>
  <c r="C75" i="2"/>
  <c r="B76" i="2"/>
  <c r="C76" i="2"/>
  <c r="B77" i="2"/>
  <c r="C77" i="2"/>
  <c r="B78" i="2"/>
  <c r="C78" i="2"/>
  <c r="Y78" i="1"/>
  <c r="AD78" i="1"/>
  <c r="W78" i="1"/>
  <c r="V78" i="1"/>
  <c r="AA78" i="1"/>
  <c r="T78" i="1"/>
  <c r="U75" i="1" l="1"/>
  <c r="AA75" i="1" s="1"/>
  <c r="V75" i="1"/>
  <c r="AB75" i="1" s="1"/>
  <c r="W75" i="1"/>
  <c r="AC75" i="1" s="1"/>
  <c r="X75" i="1"/>
  <c r="U76" i="1"/>
  <c r="AA76" i="1" s="1"/>
  <c r="V76" i="1"/>
  <c r="AB76" i="1" s="1"/>
  <c r="W76" i="1"/>
  <c r="AC76" i="1" s="1"/>
  <c r="X76" i="1"/>
  <c r="U77" i="1"/>
  <c r="AA77" i="1" s="1"/>
  <c r="V77" i="1"/>
  <c r="AB77" i="1" s="1"/>
  <c r="W77" i="1"/>
  <c r="AC77" i="1" s="1"/>
  <c r="X77" i="1"/>
  <c r="T75" i="1"/>
  <c r="Z75" i="1" s="1"/>
  <c r="Y75" i="1"/>
  <c r="T76" i="1"/>
  <c r="Z76" i="1" s="1"/>
  <c r="Y76" i="1"/>
  <c r="T77" i="1"/>
  <c r="Z77" i="1" s="1"/>
  <c r="AE77" i="1"/>
  <c r="B75" i="3" l="1"/>
  <c r="Z33" i="3" l="1"/>
  <c r="AA34" i="3"/>
  <c r="AB33" i="3"/>
  <c r="AB32" i="3" s="1"/>
  <c r="AL25" i="3"/>
  <c r="AL26" i="3"/>
  <c r="AL27" i="3"/>
  <c r="AL28" i="3"/>
  <c r="AL29" i="3"/>
  <c r="AL30" i="3"/>
  <c r="AL31" i="3"/>
  <c r="AL32" i="3"/>
  <c r="AL33" i="3"/>
  <c r="AL34" i="3"/>
  <c r="AL35" i="3"/>
  <c r="AL36" i="3"/>
  <c r="AL37" i="3"/>
  <c r="AL38" i="3"/>
  <c r="AL39" i="3"/>
  <c r="AL40" i="3"/>
  <c r="AL41" i="3"/>
  <c r="AL42" i="3"/>
  <c r="AL43" i="3"/>
  <c r="AL44" i="3"/>
  <c r="AL45" i="3"/>
  <c r="AL46" i="3"/>
  <c r="AL47" i="3"/>
  <c r="AL48" i="3"/>
  <c r="AL49" i="3"/>
  <c r="AL50" i="3"/>
  <c r="AL51" i="3"/>
  <c r="AL52" i="3"/>
  <c r="AL53" i="3"/>
  <c r="AL54" i="3"/>
  <c r="AL55" i="3"/>
  <c r="AL56" i="3"/>
  <c r="AL57" i="3"/>
  <c r="AL58" i="3"/>
  <c r="AL59" i="3"/>
  <c r="AL60" i="3"/>
  <c r="AL61" i="3"/>
  <c r="AL62" i="3"/>
  <c r="AL63" i="3"/>
  <c r="AL64" i="3"/>
  <c r="AL65" i="3"/>
  <c r="AL66" i="3"/>
  <c r="AL67" i="3"/>
  <c r="AL68" i="3"/>
  <c r="AL69" i="3"/>
  <c r="AL70" i="3"/>
  <c r="AL71" i="3"/>
  <c r="AL72" i="3"/>
  <c r="AL73" i="3"/>
  <c r="AL74" i="3"/>
  <c r="AL75" i="3"/>
  <c r="AL76" i="3"/>
  <c r="AL77" i="3"/>
  <c r="AL78" i="3"/>
  <c r="AL79" i="3"/>
  <c r="AL80" i="3"/>
  <c r="AL81" i="3"/>
  <c r="AL82" i="3"/>
  <c r="AL83" i="3"/>
  <c r="AL84" i="3"/>
  <c r="AL85" i="3"/>
  <c r="AL86" i="3"/>
  <c r="AL87" i="3"/>
  <c r="AL88" i="3"/>
  <c r="AL89" i="3"/>
  <c r="AL90" i="3"/>
  <c r="AL91" i="3"/>
  <c r="AL93" i="3"/>
  <c r="AL94" i="3"/>
  <c r="AL95" i="3"/>
  <c r="AL96" i="3"/>
  <c r="AL97" i="3"/>
  <c r="AL98" i="3"/>
  <c r="AL99" i="3"/>
  <c r="AL100" i="3"/>
  <c r="AL101" i="3"/>
  <c r="AL102" i="3"/>
  <c r="AL103" i="3"/>
  <c r="AL104" i="3"/>
  <c r="AL105" i="3"/>
  <c r="AL106" i="3"/>
  <c r="AL107" i="3"/>
  <c r="AL108" i="3"/>
  <c r="AL109" i="3"/>
  <c r="AL110" i="3"/>
  <c r="AL111" i="3"/>
  <c r="AL112" i="3"/>
  <c r="AL113" i="3"/>
  <c r="AL114" i="3"/>
  <c r="AL115" i="3"/>
  <c r="AL116" i="3"/>
  <c r="AL117" i="3"/>
  <c r="AL118" i="3"/>
  <c r="AL119" i="3"/>
  <c r="AL120" i="3"/>
  <c r="AL121" i="3"/>
  <c r="AL122" i="3"/>
  <c r="AL123" i="3"/>
  <c r="AL124" i="3"/>
  <c r="AL125" i="3"/>
  <c r="AL126" i="3"/>
  <c r="AL127" i="3"/>
  <c r="AL128" i="3"/>
  <c r="AL129" i="3"/>
  <c r="AL130" i="3"/>
  <c r="AL131" i="3"/>
  <c r="AL132" i="3"/>
  <c r="AL133" i="3"/>
  <c r="AL134" i="3"/>
  <c r="AL135" i="3"/>
  <c r="AL136" i="3"/>
  <c r="AL137" i="3"/>
  <c r="AL138" i="3"/>
  <c r="AL139" i="3"/>
  <c r="AL140" i="3"/>
  <c r="AL141" i="3"/>
  <c r="AL142" i="3"/>
  <c r="AL143" i="3"/>
  <c r="AL144" i="3"/>
  <c r="AL145" i="3"/>
  <c r="AL146" i="3"/>
  <c r="AL147" i="3"/>
  <c r="AL148" i="3"/>
  <c r="AL149" i="3"/>
  <c r="AL150" i="3"/>
  <c r="AL151" i="3"/>
  <c r="AL152" i="3"/>
  <c r="AL153" i="3"/>
  <c r="AL154" i="3"/>
  <c r="AL155" i="3"/>
  <c r="AL156" i="3"/>
  <c r="AL157" i="3"/>
  <c r="AL158" i="3"/>
  <c r="AL159" i="3"/>
  <c r="AL160" i="3"/>
  <c r="AL161" i="3"/>
  <c r="AL162" i="3"/>
  <c r="AL163" i="3"/>
  <c r="AL164" i="3"/>
  <c r="AL165" i="3"/>
  <c r="AL166" i="3"/>
  <c r="AL167" i="3"/>
  <c r="AL168" i="3"/>
  <c r="AL169" i="3"/>
  <c r="AL170" i="3"/>
  <c r="AL171" i="3"/>
  <c r="AL172" i="3"/>
  <c r="AL173" i="3"/>
  <c r="AL174" i="3"/>
  <c r="AL175" i="3"/>
  <c r="AL176" i="3"/>
  <c r="AL177" i="3"/>
  <c r="AL178" i="3"/>
  <c r="AL179" i="3"/>
  <c r="AL180" i="3"/>
  <c r="AL181" i="3"/>
  <c r="AL182" i="3"/>
  <c r="AL183" i="3"/>
  <c r="AL184" i="3"/>
  <c r="AL185" i="3"/>
  <c r="AL186" i="3"/>
  <c r="AL187" i="3"/>
  <c r="AL188" i="3"/>
  <c r="AL189" i="3"/>
  <c r="AL190" i="3"/>
  <c r="AL191" i="3"/>
  <c r="AL192" i="3"/>
  <c r="AL193" i="3"/>
  <c r="AL194" i="3"/>
  <c r="AL195" i="3"/>
  <c r="AL196" i="3"/>
  <c r="AL197" i="3"/>
  <c r="AL198" i="3"/>
  <c r="AL199" i="3"/>
  <c r="AL200" i="3"/>
  <c r="AL201" i="3"/>
  <c r="AL202" i="3"/>
  <c r="AL10" i="3"/>
  <c r="AL11" i="3"/>
  <c r="AL12" i="3"/>
  <c r="AL13" i="3"/>
  <c r="AL14" i="3"/>
  <c r="AL15" i="3"/>
  <c r="AL16" i="3"/>
  <c r="AL17" i="3"/>
  <c r="AL18" i="3"/>
  <c r="AL19" i="3"/>
  <c r="AL20" i="3"/>
  <c r="AL21" i="3"/>
  <c r="AL22" i="3"/>
  <c r="AL23" i="3"/>
  <c r="AL24" i="3"/>
  <c r="Z32" i="3" l="1"/>
  <c r="B74" i="3" l="1"/>
  <c r="B74" i="2"/>
  <c r="CA74" i="1"/>
  <c r="BZ74" i="1"/>
  <c r="T74" i="3" s="1"/>
  <c r="BY74" i="1"/>
  <c r="S74" i="3" s="1"/>
  <c r="BX74" i="1"/>
  <c r="BW74" i="1"/>
  <c r="P74" i="3" s="1"/>
  <c r="BV74" i="1"/>
  <c r="O74" i="3" s="1"/>
  <c r="Y74" i="1"/>
  <c r="X74" i="1"/>
  <c r="W74" i="1"/>
  <c r="V74" i="1"/>
  <c r="U74" i="1"/>
  <c r="T74" i="1"/>
  <c r="D74" i="1"/>
  <c r="C74" i="2" s="1"/>
  <c r="B73" i="3" l="1"/>
  <c r="B73" i="2"/>
  <c r="T73" i="1"/>
  <c r="U73" i="1"/>
  <c r="V73" i="1"/>
  <c r="W73" i="1"/>
  <c r="X73" i="1"/>
  <c r="Y73" i="1"/>
  <c r="D73" i="1"/>
  <c r="C73" i="2" s="1"/>
  <c r="B72" i="3" l="1"/>
  <c r="B72" i="2"/>
  <c r="Y72" i="1"/>
  <c r="W72" i="1"/>
  <c r="T72" i="1"/>
  <c r="D72" i="1"/>
  <c r="C72" i="2" s="1"/>
  <c r="B71" i="3" l="1"/>
  <c r="B71" i="2"/>
  <c r="Y71" i="1"/>
  <c r="X71" i="1"/>
  <c r="W71" i="1"/>
  <c r="T71" i="1"/>
  <c r="D71" i="1"/>
  <c r="C71" i="2" s="1"/>
  <c r="B70" i="3" l="1"/>
  <c r="B70" i="2"/>
  <c r="Y70" i="1"/>
  <c r="X70" i="1"/>
  <c r="W70" i="1"/>
  <c r="V70" i="1"/>
  <c r="U70" i="1"/>
  <c r="T70" i="1"/>
  <c r="D70" i="1"/>
  <c r="C70" i="2" s="1"/>
  <c r="B69" i="3" l="1"/>
  <c r="B69" i="2"/>
  <c r="Y69" i="1"/>
  <c r="W69" i="1"/>
  <c r="T69" i="1"/>
  <c r="D69" i="1"/>
  <c r="C69" i="2" s="1"/>
  <c r="B68" i="3" l="1"/>
  <c r="B68" i="2"/>
  <c r="D68" i="1"/>
  <c r="C68" i="2" s="1"/>
  <c r="B67" i="3" l="1"/>
  <c r="B67" i="2"/>
  <c r="Y68" i="1"/>
  <c r="X68" i="1"/>
  <c r="W68" i="1"/>
  <c r="V68" i="1"/>
  <c r="U68" i="1"/>
  <c r="T68" i="1"/>
  <c r="Y67" i="1"/>
  <c r="X67" i="1"/>
  <c r="W67" i="1"/>
  <c r="V67" i="1"/>
  <c r="U67" i="1"/>
  <c r="T67" i="1"/>
  <c r="D67" i="1"/>
  <c r="C67" i="2" s="1"/>
  <c r="N6" i="4"/>
  <c r="L5" i="5" s="1"/>
  <c r="B66" i="3"/>
  <c r="B66" i="2"/>
  <c r="Y66" i="1"/>
  <c r="W66" i="1"/>
  <c r="T66" i="1"/>
  <c r="D66" i="1"/>
  <c r="C66" i="2" s="1"/>
  <c r="B65" i="3"/>
  <c r="B65" i="2"/>
  <c r="BM65" i="1"/>
  <c r="C65" i="3" s="1"/>
  <c r="BN65" i="1"/>
  <c r="D65" i="3" s="1"/>
  <c r="BO65" i="1"/>
  <c r="BP65" i="1"/>
  <c r="G65" i="3" s="1"/>
  <c r="BQ65" i="1"/>
  <c r="H65" i="3" s="1"/>
  <c r="BR65" i="1"/>
  <c r="BS65" i="1"/>
  <c r="K65" i="3" s="1"/>
  <c r="BT65" i="1"/>
  <c r="L65" i="3" s="1"/>
  <c r="BU65" i="1"/>
  <c r="BV65" i="1"/>
  <c r="O65" i="3" s="1"/>
  <c r="BW65" i="1"/>
  <c r="P65" i="3" s="1"/>
  <c r="BX65" i="1"/>
  <c r="BY65" i="1"/>
  <c r="S65" i="3" s="1"/>
  <c r="BZ65" i="1"/>
  <c r="T65" i="3" s="1"/>
  <c r="CA65" i="1"/>
  <c r="T65" i="1"/>
  <c r="U65" i="1"/>
  <c r="V65" i="1"/>
  <c r="W65" i="1"/>
  <c r="X65" i="1"/>
  <c r="Y65" i="1"/>
  <c r="D65" i="1"/>
  <c r="C65" i="2" s="1"/>
  <c r="B64" i="3"/>
  <c r="B64" i="2"/>
  <c r="X64" i="1"/>
  <c r="Y64" i="1"/>
  <c r="W64" i="1"/>
  <c r="T64" i="1"/>
  <c r="D64" i="1"/>
  <c r="C64" i="2" s="1"/>
  <c r="B63" i="3"/>
  <c r="B63" i="2"/>
  <c r="Y63" i="1"/>
  <c r="W63" i="1"/>
  <c r="T63" i="1"/>
  <c r="D63" i="1"/>
  <c r="C63" i="2" s="1"/>
  <c r="B61" i="3" l="1"/>
  <c r="B62" i="3"/>
  <c r="G62" i="3"/>
  <c r="B61" i="2"/>
  <c r="B62" i="2"/>
  <c r="CA62" i="1"/>
  <c r="BZ62" i="1"/>
  <c r="T62" i="3" s="1"/>
  <c r="BY62" i="1"/>
  <c r="S62" i="3" s="1"/>
  <c r="BX62" i="1"/>
  <c r="BW62" i="1"/>
  <c r="P62" i="3" s="1"/>
  <c r="BV62" i="1"/>
  <c r="O62" i="3" s="1"/>
  <c r="BU62" i="1"/>
  <c r="BT62" i="1"/>
  <c r="L62" i="3" s="1"/>
  <c r="BS62" i="1"/>
  <c r="K62" i="3" s="1"/>
  <c r="BR62" i="1"/>
  <c r="BQ62" i="1"/>
  <c r="H62" i="3" s="1"/>
  <c r="BP62" i="1"/>
  <c r="BO62" i="1"/>
  <c r="BN62" i="1"/>
  <c r="D62" i="3" s="1"/>
  <c r="BM62" i="1"/>
  <c r="C62" i="3" s="1"/>
  <c r="AU62" i="1"/>
  <c r="U62" i="3" s="1"/>
  <c r="AT62" i="1"/>
  <c r="AS62" i="1"/>
  <c r="AR62" i="1"/>
  <c r="Q62" i="3" s="1"/>
  <c r="AQ62" i="1"/>
  <c r="AP62" i="1"/>
  <c r="AO62" i="1"/>
  <c r="M62" i="3" s="1"/>
  <c r="AN62" i="1"/>
  <c r="AM62" i="1"/>
  <c r="AL62" i="1"/>
  <c r="I62" i="3" s="1"/>
  <c r="AK62" i="1"/>
  <c r="AJ62" i="1"/>
  <c r="AI62" i="1"/>
  <c r="E62" i="3" s="1"/>
  <c r="AH62" i="1"/>
  <c r="AG62" i="1"/>
  <c r="Y62" i="1"/>
  <c r="X62" i="1"/>
  <c r="W62" i="1"/>
  <c r="V62" i="1"/>
  <c r="U62" i="1"/>
  <c r="T62" i="1"/>
  <c r="D62" i="1"/>
  <c r="C62" i="2" s="1"/>
  <c r="CA61" i="1"/>
  <c r="BZ61" i="1"/>
  <c r="T61" i="3" s="1"/>
  <c r="BY61" i="1"/>
  <c r="S61" i="3" s="1"/>
  <c r="BX61" i="1"/>
  <c r="BW61" i="1"/>
  <c r="P61" i="3" s="1"/>
  <c r="BV61" i="1"/>
  <c r="O61" i="3" s="1"/>
  <c r="BU61" i="1"/>
  <c r="BT61" i="1"/>
  <c r="L61" i="3" s="1"/>
  <c r="BS61" i="1"/>
  <c r="K61" i="3" s="1"/>
  <c r="BR61" i="1"/>
  <c r="BQ61" i="1"/>
  <c r="H61" i="3" s="1"/>
  <c r="BP61" i="1"/>
  <c r="G61" i="3" s="1"/>
  <c r="BO61" i="1"/>
  <c r="BN61" i="1"/>
  <c r="D61" i="3" s="1"/>
  <c r="BM61" i="1"/>
  <c r="C61" i="3" s="1"/>
  <c r="AU61" i="1"/>
  <c r="U61" i="3" s="1"/>
  <c r="AT61" i="1"/>
  <c r="AS61" i="1"/>
  <c r="AR61" i="1"/>
  <c r="Q61" i="3" s="1"/>
  <c r="AQ61" i="1"/>
  <c r="AP61" i="1"/>
  <c r="AO61" i="1"/>
  <c r="M61" i="3" s="1"/>
  <c r="AN61" i="1"/>
  <c r="AM61" i="1"/>
  <c r="AL61" i="1"/>
  <c r="I61" i="3" s="1"/>
  <c r="AK61" i="1"/>
  <c r="AJ61" i="1"/>
  <c r="AI61" i="1"/>
  <c r="E61" i="3" s="1"/>
  <c r="AH61" i="1"/>
  <c r="AG61" i="1"/>
  <c r="Y61" i="1"/>
  <c r="X61" i="1"/>
  <c r="W61" i="1"/>
  <c r="V61" i="1"/>
  <c r="U61" i="1"/>
  <c r="T61" i="1"/>
  <c r="D61" i="1"/>
  <c r="C61" i="2" s="1"/>
  <c r="N62" i="3" l="1"/>
  <c r="J62" i="3"/>
  <c r="J61" i="3"/>
  <c r="F62" i="3"/>
  <c r="R62" i="3"/>
  <c r="V61" i="3"/>
  <c r="F61" i="3"/>
  <c r="V62" i="3"/>
  <c r="N61" i="3"/>
  <c r="R61" i="3"/>
  <c r="T10" i="3"/>
  <c r="S10" i="3"/>
  <c r="B60" i="3" l="1"/>
  <c r="B60" i="2"/>
  <c r="T60" i="1"/>
  <c r="U60" i="1"/>
  <c r="V60" i="1"/>
  <c r="W60" i="1"/>
  <c r="X60" i="1"/>
  <c r="Y60" i="1"/>
  <c r="D60" i="1"/>
  <c r="C60" i="2" s="1"/>
  <c r="B59" i="3"/>
  <c r="B59" i="2"/>
  <c r="T59" i="1"/>
  <c r="U59" i="1"/>
  <c r="V59" i="1"/>
  <c r="W59" i="1"/>
  <c r="X59" i="1"/>
  <c r="Y59" i="1"/>
  <c r="D59" i="1"/>
  <c r="C59" i="2" s="1"/>
  <c r="B58" i="3"/>
  <c r="B58" i="2"/>
  <c r="T58" i="1"/>
  <c r="U58" i="1"/>
  <c r="V58" i="1"/>
  <c r="W58" i="1"/>
  <c r="X58" i="1"/>
  <c r="Y58" i="1"/>
  <c r="D58" i="1"/>
  <c r="C58" i="2" s="1"/>
  <c r="B57" i="3"/>
  <c r="B57" i="2"/>
  <c r="BM57" i="1"/>
  <c r="C57" i="3" s="1"/>
  <c r="BN57" i="1"/>
  <c r="D57" i="3" s="1"/>
  <c r="BO57" i="1"/>
  <c r="BP57" i="1"/>
  <c r="G57" i="3" s="1"/>
  <c r="BQ57" i="1"/>
  <c r="H57" i="3" s="1"/>
  <c r="BR57" i="1"/>
  <c r="BS57" i="1"/>
  <c r="K57" i="3" s="1"/>
  <c r="BT57" i="1"/>
  <c r="L57" i="3" s="1"/>
  <c r="BU57" i="1"/>
  <c r="BV57" i="1"/>
  <c r="O57" i="3" s="1"/>
  <c r="BW57" i="1"/>
  <c r="P57" i="3" s="1"/>
  <c r="BX57" i="1"/>
  <c r="BY57" i="1"/>
  <c r="S57" i="3" s="1"/>
  <c r="BZ57" i="1"/>
  <c r="T57" i="3" s="1"/>
  <c r="CA57" i="1"/>
  <c r="AG57" i="1"/>
  <c r="AH57" i="1"/>
  <c r="AI57" i="1"/>
  <c r="E57" i="3" s="1"/>
  <c r="AJ57" i="1"/>
  <c r="AK57" i="1"/>
  <c r="AL57" i="1"/>
  <c r="I57" i="3" s="1"/>
  <c r="AM57" i="1"/>
  <c r="AN57" i="1"/>
  <c r="AO57" i="1"/>
  <c r="M57" i="3" s="1"/>
  <c r="AP57" i="1"/>
  <c r="AQ57" i="1"/>
  <c r="AR57" i="1"/>
  <c r="Q57" i="3" s="1"/>
  <c r="AS57" i="1"/>
  <c r="AT57" i="1"/>
  <c r="AU57" i="1"/>
  <c r="T57" i="1"/>
  <c r="U57" i="1"/>
  <c r="V57" i="1"/>
  <c r="W57" i="1"/>
  <c r="X57" i="1"/>
  <c r="Y57" i="1"/>
  <c r="D57" i="1"/>
  <c r="C57" i="2" s="1"/>
  <c r="B57" i="1"/>
  <c r="B56" i="3"/>
  <c r="B56" i="2"/>
  <c r="BM56" i="1"/>
  <c r="C56" i="3" s="1"/>
  <c r="BN56" i="1"/>
  <c r="D56" i="3" s="1"/>
  <c r="BO56" i="1"/>
  <c r="BP56" i="1"/>
  <c r="G56" i="3" s="1"/>
  <c r="BQ56" i="1"/>
  <c r="H56" i="3" s="1"/>
  <c r="BR56" i="1"/>
  <c r="BS56" i="1"/>
  <c r="K56" i="3" s="1"/>
  <c r="BT56" i="1"/>
  <c r="L56" i="3" s="1"/>
  <c r="BU56" i="1"/>
  <c r="BV56" i="1"/>
  <c r="BW56" i="1"/>
  <c r="P56" i="3" s="1"/>
  <c r="BX56" i="1"/>
  <c r="BY56" i="1"/>
  <c r="S56" i="3" s="1"/>
  <c r="BZ56" i="1"/>
  <c r="T56" i="3" s="1"/>
  <c r="CA56" i="1"/>
  <c r="AG56" i="1"/>
  <c r="AH56" i="1"/>
  <c r="AI56" i="1"/>
  <c r="E56" i="3" s="1"/>
  <c r="AJ56" i="1"/>
  <c r="AK56" i="1"/>
  <c r="AL56" i="1"/>
  <c r="I56" i="3" s="1"/>
  <c r="AM56" i="1"/>
  <c r="AN56" i="1"/>
  <c r="AO56" i="1"/>
  <c r="M56" i="3" s="1"/>
  <c r="AP56" i="1"/>
  <c r="AQ56" i="1"/>
  <c r="AR56" i="1"/>
  <c r="Q56" i="3" s="1"/>
  <c r="AS56" i="1"/>
  <c r="AT56" i="1"/>
  <c r="AU56" i="1"/>
  <c r="U56" i="3" s="1"/>
  <c r="T56" i="1"/>
  <c r="U56" i="1"/>
  <c r="V56" i="1"/>
  <c r="W56" i="1"/>
  <c r="X56" i="1"/>
  <c r="Y56" i="1"/>
  <c r="D56" i="1"/>
  <c r="C56" i="2" s="1"/>
  <c r="B56" i="1"/>
  <c r="B55" i="3"/>
  <c r="B55" i="2"/>
  <c r="CA55" i="1"/>
  <c r="BZ55" i="1"/>
  <c r="T55" i="3" s="1"/>
  <c r="BY55" i="1"/>
  <c r="S55" i="3" s="1"/>
  <c r="BX55" i="1"/>
  <c r="BW55" i="1"/>
  <c r="P55" i="3" s="1"/>
  <c r="BV55" i="1"/>
  <c r="BU55" i="1"/>
  <c r="BT55" i="1"/>
  <c r="L55" i="3" s="1"/>
  <c r="BS55" i="1"/>
  <c r="K55" i="3" s="1"/>
  <c r="BR55" i="1"/>
  <c r="BQ55" i="1"/>
  <c r="H55" i="3" s="1"/>
  <c r="BP55" i="1"/>
  <c r="G55" i="3" s="1"/>
  <c r="BO55" i="1"/>
  <c r="BN55" i="1"/>
  <c r="D55" i="3" s="1"/>
  <c r="BM55" i="1"/>
  <c r="C55" i="3" s="1"/>
  <c r="AU55" i="1"/>
  <c r="U55" i="3" s="1"/>
  <c r="AT55" i="1"/>
  <c r="AS55" i="1"/>
  <c r="AR55" i="1"/>
  <c r="Q55" i="3" s="1"/>
  <c r="AQ55" i="1"/>
  <c r="AP55" i="1"/>
  <c r="AO55" i="1"/>
  <c r="M55" i="3" s="1"/>
  <c r="AN55" i="1"/>
  <c r="AM55" i="1"/>
  <c r="AL55" i="1"/>
  <c r="I55" i="3" s="1"/>
  <c r="AK55" i="1"/>
  <c r="AJ55" i="1"/>
  <c r="AI55" i="1"/>
  <c r="E55" i="3" s="1"/>
  <c r="AH55" i="1"/>
  <c r="AG55" i="1"/>
  <c r="Y55" i="1"/>
  <c r="X55" i="1"/>
  <c r="W55" i="1"/>
  <c r="V55" i="1"/>
  <c r="U55" i="1"/>
  <c r="T55" i="1"/>
  <c r="D55" i="1"/>
  <c r="C55" i="2" s="1"/>
  <c r="B55" i="1"/>
  <c r="B54" i="3"/>
  <c r="B54" i="2"/>
  <c r="BM54" i="1"/>
  <c r="C54" i="3" s="1"/>
  <c r="BN54" i="1"/>
  <c r="D54" i="3" s="1"/>
  <c r="BO54" i="1"/>
  <c r="BP54" i="1"/>
  <c r="G54" i="3" s="1"/>
  <c r="BQ54" i="1"/>
  <c r="H54" i="3" s="1"/>
  <c r="BR54" i="1"/>
  <c r="BS54" i="1"/>
  <c r="K54" i="3" s="1"/>
  <c r="BT54" i="1"/>
  <c r="L54" i="3" s="1"/>
  <c r="BU54" i="1"/>
  <c r="BV54" i="1"/>
  <c r="O54" i="3" s="1"/>
  <c r="BW54" i="1"/>
  <c r="P54" i="3" s="1"/>
  <c r="BX54" i="1"/>
  <c r="BY54" i="1"/>
  <c r="S54" i="3" s="1"/>
  <c r="BZ54" i="1"/>
  <c r="T54" i="3" s="1"/>
  <c r="CA54" i="1"/>
  <c r="AG54" i="1"/>
  <c r="AH54" i="1"/>
  <c r="AI54" i="1"/>
  <c r="E54" i="3" s="1"/>
  <c r="AJ54" i="1"/>
  <c r="AK54" i="1"/>
  <c r="AL54" i="1"/>
  <c r="I54" i="3" s="1"/>
  <c r="AM54" i="1"/>
  <c r="AN54" i="1"/>
  <c r="AO54" i="1"/>
  <c r="M54" i="3" s="1"/>
  <c r="AP54" i="1"/>
  <c r="AQ54" i="1"/>
  <c r="AR54" i="1"/>
  <c r="Q54" i="3" s="1"/>
  <c r="AS54" i="1"/>
  <c r="AT54" i="1"/>
  <c r="AU54" i="1"/>
  <c r="U54" i="3" s="1"/>
  <c r="T54" i="1"/>
  <c r="U54" i="1"/>
  <c r="V54" i="1"/>
  <c r="W54" i="1"/>
  <c r="X54" i="1"/>
  <c r="Y54" i="1"/>
  <c r="D54" i="1"/>
  <c r="C54" i="2" s="1"/>
  <c r="B54" i="1"/>
  <c r="B53" i="3"/>
  <c r="B53" i="2"/>
  <c r="BM53" i="1"/>
  <c r="C53" i="3" s="1"/>
  <c r="BN53" i="1"/>
  <c r="D53" i="3" s="1"/>
  <c r="BO53" i="1"/>
  <c r="BP53" i="1"/>
  <c r="G53" i="3" s="1"/>
  <c r="BQ53" i="1"/>
  <c r="H53" i="3" s="1"/>
  <c r="BR53" i="1"/>
  <c r="BS53" i="1"/>
  <c r="K53" i="3" s="1"/>
  <c r="BT53" i="1"/>
  <c r="L53" i="3" s="1"/>
  <c r="BU53" i="1"/>
  <c r="BV53" i="1"/>
  <c r="BW53" i="1"/>
  <c r="BX53" i="1"/>
  <c r="BY53" i="1"/>
  <c r="S53" i="3" s="1"/>
  <c r="BZ53" i="1"/>
  <c r="T53" i="3" s="1"/>
  <c r="CA53" i="1"/>
  <c r="AG53" i="1"/>
  <c r="AH53" i="1"/>
  <c r="AI53" i="1"/>
  <c r="E53" i="3" s="1"/>
  <c r="AJ53" i="1"/>
  <c r="AK53" i="1"/>
  <c r="AL53" i="1"/>
  <c r="I53" i="3" s="1"/>
  <c r="AM53" i="1"/>
  <c r="AN53" i="1"/>
  <c r="AO53" i="1"/>
  <c r="M53" i="3" s="1"/>
  <c r="AP53" i="1"/>
  <c r="AQ53" i="1"/>
  <c r="AR53" i="1"/>
  <c r="Q53" i="3" s="1"/>
  <c r="AS53" i="1"/>
  <c r="AT53" i="1"/>
  <c r="AU53" i="1"/>
  <c r="U53" i="3" s="1"/>
  <c r="T53" i="1"/>
  <c r="U53" i="1"/>
  <c r="V53" i="1"/>
  <c r="W53" i="1"/>
  <c r="X53" i="1"/>
  <c r="Y53" i="1"/>
  <c r="D53" i="1"/>
  <c r="C53" i="2" s="1"/>
  <c r="B53" i="1"/>
  <c r="B52" i="3"/>
  <c r="B52" i="2"/>
  <c r="CA52" i="1"/>
  <c r="BZ52" i="1"/>
  <c r="T52" i="3" s="1"/>
  <c r="BY52" i="1"/>
  <c r="S52" i="3" s="1"/>
  <c r="BX52" i="1"/>
  <c r="BW52" i="1"/>
  <c r="BV52" i="1"/>
  <c r="O52" i="3" s="1"/>
  <c r="BU52" i="1"/>
  <c r="BT52" i="1"/>
  <c r="L52" i="3" s="1"/>
  <c r="BS52" i="1"/>
  <c r="K52" i="3" s="1"/>
  <c r="BR52" i="1"/>
  <c r="BQ52" i="1"/>
  <c r="H52" i="3" s="1"/>
  <c r="BP52" i="1"/>
  <c r="G52" i="3" s="1"/>
  <c r="BO52" i="1"/>
  <c r="BN52" i="1"/>
  <c r="D52" i="3" s="1"/>
  <c r="BM52" i="1"/>
  <c r="C52" i="3" s="1"/>
  <c r="AU52" i="1"/>
  <c r="U52" i="3" s="1"/>
  <c r="AT52" i="1"/>
  <c r="AS52" i="1"/>
  <c r="AR52" i="1"/>
  <c r="Q52" i="3" s="1"/>
  <c r="AQ52" i="1"/>
  <c r="AP52" i="1"/>
  <c r="AO52" i="1"/>
  <c r="M52" i="3" s="1"/>
  <c r="AN52" i="1"/>
  <c r="AM52" i="1"/>
  <c r="AL52" i="1"/>
  <c r="I52" i="3" s="1"/>
  <c r="AK52" i="1"/>
  <c r="AJ52" i="1"/>
  <c r="AI52" i="1"/>
  <c r="E52" i="3" s="1"/>
  <c r="AH52" i="1"/>
  <c r="AG52" i="1"/>
  <c r="Y52" i="1"/>
  <c r="X52" i="1"/>
  <c r="W52" i="1"/>
  <c r="V52" i="1"/>
  <c r="U52" i="1"/>
  <c r="T52" i="1"/>
  <c r="D52" i="1"/>
  <c r="C52" i="2" s="1"/>
  <c r="B52" i="1"/>
  <c r="B51" i="3"/>
  <c r="B51" i="2"/>
  <c r="BM51" i="1"/>
  <c r="C51" i="3" s="1"/>
  <c r="BN51" i="1"/>
  <c r="D51" i="3" s="1"/>
  <c r="BO51" i="1"/>
  <c r="BP51" i="1"/>
  <c r="G51" i="3" s="1"/>
  <c r="BQ51" i="1"/>
  <c r="H51" i="3" s="1"/>
  <c r="BR51" i="1"/>
  <c r="BS51" i="1"/>
  <c r="K51" i="3" s="1"/>
  <c r="BT51" i="1"/>
  <c r="L51" i="3" s="1"/>
  <c r="BU51" i="1"/>
  <c r="BV51" i="1"/>
  <c r="O51" i="3" s="1"/>
  <c r="BW51" i="1"/>
  <c r="BX51" i="1"/>
  <c r="BY51" i="1"/>
  <c r="S51" i="3" s="1"/>
  <c r="BZ51" i="1"/>
  <c r="T51" i="3" s="1"/>
  <c r="CA51" i="1"/>
  <c r="AG51" i="1"/>
  <c r="AH51" i="1"/>
  <c r="AI51" i="1"/>
  <c r="E51" i="3" s="1"/>
  <c r="AJ51" i="1"/>
  <c r="AK51" i="1"/>
  <c r="AL51" i="1"/>
  <c r="I51" i="3" s="1"/>
  <c r="AM51" i="1"/>
  <c r="AN51" i="1"/>
  <c r="AO51" i="1"/>
  <c r="M51" i="3" s="1"/>
  <c r="AP51" i="1"/>
  <c r="AQ51" i="1"/>
  <c r="AR51" i="1"/>
  <c r="Q51" i="3" s="1"/>
  <c r="AS51" i="1"/>
  <c r="AT51" i="1"/>
  <c r="AU51" i="1"/>
  <c r="U51" i="3" s="1"/>
  <c r="T51" i="1"/>
  <c r="U51" i="1"/>
  <c r="V51" i="1"/>
  <c r="W51" i="1"/>
  <c r="X51" i="1"/>
  <c r="Y51" i="1"/>
  <c r="D51" i="1"/>
  <c r="C51" i="2" s="1"/>
  <c r="B51" i="1"/>
  <c r="B50" i="3"/>
  <c r="B50" i="2"/>
  <c r="BM50" i="1"/>
  <c r="C50" i="3" s="1"/>
  <c r="BN50" i="1"/>
  <c r="D50" i="3" s="1"/>
  <c r="BO50" i="1"/>
  <c r="BP50" i="1"/>
  <c r="G50" i="3" s="1"/>
  <c r="BQ50" i="1"/>
  <c r="H50" i="3" s="1"/>
  <c r="BR50" i="1"/>
  <c r="BS50" i="1"/>
  <c r="K50" i="3" s="1"/>
  <c r="BT50" i="1"/>
  <c r="L50" i="3" s="1"/>
  <c r="BU50" i="1"/>
  <c r="BV50" i="1"/>
  <c r="O50" i="3" s="1"/>
  <c r="BW50" i="1"/>
  <c r="P50" i="3" s="1"/>
  <c r="BX50" i="1"/>
  <c r="BY50" i="1"/>
  <c r="S50" i="3" s="1"/>
  <c r="BZ50" i="1"/>
  <c r="T50" i="3" s="1"/>
  <c r="CA50" i="1"/>
  <c r="AG50" i="1"/>
  <c r="AH50" i="1"/>
  <c r="AI50" i="1"/>
  <c r="E50" i="3" s="1"/>
  <c r="AJ50" i="1"/>
  <c r="AK50" i="1"/>
  <c r="AL50" i="1"/>
  <c r="I50" i="3" s="1"/>
  <c r="AM50" i="1"/>
  <c r="AN50" i="1"/>
  <c r="AO50" i="1"/>
  <c r="M50" i="3" s="1"/>
  <c r="AP50" i="1"/>
  <c r="AQ50" i="1"/>
  <c r="AR50" i="1"/>
  <c r="Q50" i="3" s="1"/>
  <c r="AS50" i="1"/>
  <c r="AT50" i="1"/>
  <c r="AU50" i="1"/>
  <c r="U50" i="3" s="1"/>
  <c r="T50" i="1"/>
  <c r="U50" i="1"/>
  <c r="V50" i="1"/>
  <c r="W50" i="1"/>
  <c r="X50" i="1"/>
  <c r="Y50" i="1"/>
  <c r="D50" i="1"/>
  <c r="C50" i="2" s="1"/>
  <c r="B50" i="1"/>
  <c r="B49" i="3"/>
  <c r="B49" i="2"/>
  <c r="BM49" i="1"/>
  <c r="C49" i="3" s="1"/>
  <c r="BN49" i="1"/>
  <c r="D49" i="3" s="1"/>
  <c r="BO49" i="1"/>
  <c r="BP49" i="1"/>
  <c r="G49" i="3" s="1"/>
  <c r="BQ49" i="1"/>
  <c r="H49" i="3" s="1"/>
  <c r="BR49" i="1"/>
  <c r="BS49" i="1"/>
  <c r="K49" i="3" s="1"/>
  <c r="BT49" i="1"/>
  <c r="L49" i="3" s="1"/>
  <c r="BU49" i="1"/>
  <c r="BV49" i="1"/>
  <c r="O49" i="3" s="1"/>
  <c r="BW49" i="1"/>
  <c r="BX49" i="1"/>
  <c r="BY49" i="1"/>
  <c r="S49" i="3" s="1"/>
  <c r="BZ49" i="1"/>
  <c r="T49" i="3" s="1"/>
  <c r="CA49" i="1"/>
  <c r="AG49" i="1"/>
  <c r="AH49" i="1"/>
  <c r="AI49" i="1"/>
  <c r="E49" i="3" s="1"/>
  <c r="AJ49" i="1"/>
  <c r="AK49" i="1"/>
  <c r="AL49" i="1"/>
  <c r="I49" i="3" s="1"/>
  <c r="AM49" i="1"/>
  <c r="AN49" i="1"/>
  <c r="AO49" i="1"/>
  <c r="M49" i="3" s="1"/>
  <c r="AP49" i="1"/>
  <c r="AQ49" i="1"/>
  <c r="AR49" i="1"/>
  <c r="Q49" i="3" s="1"/>
  <c r="AS49" i="1"/>
  <c r="AT49" i="1"/>
  <c r="AU49" i="1"/>
  <c r="U49" i="3" s="1"/>
  <c r="T49" i="1"/>
  <c r="U49" i="1"/>
  <c r="V49" i="1"/>
  <c r="W49" i="1"/>
  <c r="X49" i="1"/>
  <c r="Y49" i="1"/>
  <c r="D49" i="1"/>
  <c r="C49" i="2" s="1"/>
  <c r="B49" i="1"/>
  <c r="B48" i="3"/>
  <c r="B48" i="2"/>
  <c r="BM48" i="1"/>
  <c r="C48" i="3" s="1"/>
  <c r="BN48" i="1"/>
  <c r="D48" i="3" s="1"/>
  <c r="BO48" i="1"/>
  <c r="BP48" i="1"/>
  <c r="G48" i="3" s="1"/>
  <c r="BQ48" i="1"/>
  <c r="H48" i="3" s="1"/>
  <c r="BR48" i="1"/>
  <c r="BS48" i="1"/>
  <c r="K48" i="3" s="1"/>
  <c r="BT48" i="1"/>
  <c r="L48" i="3" s="1"/>
  <c r="BU48" i="1"/>
  <c r="BV48" i="1"/>
  <c r="BW48" i="1"/>
  <c r="BX48" i="1"/>
  <c r="BY48" i="1"/>
  <c r="S48" i="3" s="1"/>
  <c r="BZ48" i="1"/>
  <c r="T48" i="3" s="1"/>
  <c r="CA48" i="1"/>
  <c r="AG48" i="1"/>
  <c r="AH48" i="1"/>
  <c r="AI48" i="1"/>
  <c r="E48" i="3" s="1"/>
  <c r="AJ48" i="1"/>
  <c r="AK48" i="1"/>
  <c r="AL48" i="1"/>
  <c r="I48" i="3" s="1"/>
  <c r="AM48" i="1"/>
  <c r="AN48" i="1"/>
  <c r="AO48" i="1"/>
  <c r="M48" i="3" s="1"/>
  <c r="AP48" i="1"/>
  <c r="AQ48" i="1"/>
  <c r="AR48" i="1"/>
  <c r="Q48" i="3" s="1"/>
  <c r="AS48" i="1"/>
  <c r="AT48" i="1"/>
  <c r="AU48" i="1"/>
  <c r="U48" i="3" s="1"/>
  <c r="T48" i="1"/>
  <c r="U48" i="1"/>
  <c r="V48" i="1"/>
  <c r="W48" i="1"/>
  <c r="X48" i="1"/>
  <c r="Y48" i="1"/>
  <c r="D48" i="1"/>
  <c r="C48" i="2" s="1"/>
  <c r="B48" i="1"/>
  <c r="B46" i="3"/>
  <c r="B47" i="3"/>
  <c r="BM46" i="1"/>
  <c r="C46" i="3" s="1"/>
  <c r="BN46" i="1"/>
  <c r="D46" i="3" s="1"/>
  <c r="BO46" i="1"/>
  <c r="BP46" i="1"/>
  <c r="BQ46" i="1"/>
  <c r="BR46" i="1"/>
  <c r="BS46" i="1"/>
  <c r="K46" i="3" s="1"/>
  <c r="BT46" i="1"/>
  <c r="L46" i="3" s="1"/>
  <c r="BU46" i="1"/>
  <c r="BV46" i="1"/>
  <c r="O46" i="3" s="1"/>
  <c r="BW46" i="1"/>
  <c r="BX46" i="1"/>
  <c r="BY46" i="1"/>
  <c r="S46" i="3" s="1"/>
  <c r="BZ46" i="1"/>
  <c r="T46" i="3" s="1"/>
  <c r="CA46" i="1"/>
  <c r="BM47" i="1"/>
  <c r="C47" i="3" s="1"/>
  <c r="BN47" i="1"/>
  <c r="D47" i="3" s="1"/>
  <c r="BO47" i="1"/>
  <c r="BP47" i="1"/>
  <c r="G47" i="3" s="1"/>
  <c r="BQ47" i="1"/>
  <c r="H47" i="3" s="1"/>
  <c r="BR47" i="1"/>
  <c r="BS47" i="1"/>
  <c r="K47" i="3" s="1"/>
  <c r="BT47" i="1"/>
  <c r="L47" i="3" s="1"/>
  <c r="BU47" i="1"/>
  <c r="BV47" i="1"/>
  <c r="BW47" i="1"/>
  <c r="BX47" i="1"/>
  <c r="BY47" i="1"/>
  <c r="S47" i="3" s="1"/>
  <c r="BZ47" i="1"/>
  <c r="T47" i="3" s="1"/>
  <c r="CA47" i="1"/>
  <c r="AG46" i="1"/>
  <c r="AH46" i="1"/>
  <c r="AI46" i="1"/>
  <c r="E46" i="3" s="1"/>
  <c r="AM46" i="1"/>
  <c r="AN46" i="1"/>
  <c r="AO46" i="1"/>
  <c r="M46" i="3" s="1"/>
  <c r="AP46" i="1"/>
  <c r="AQ46" i="1"/>
  <c r="AR46" i="1"/>
  <c r="Q46" i="3" s="1"/>
  <c r="AS46" i="1"/>
  <c r="AT46" i="1"/>
  <c r="AU46" i="1"/>
  <c r="U46" i="3" s="1"/>
  <c r="AG47" i="1"/>
  <c r="AH47" i="1"/>
  <c r="AI47" i="1"/>
  <c r="E47" i="3" s="1"/>
  <c r="AJ47" i="1"/>
  <c r="AK47" i="1"/>
  <c r="AL47" i="1"/>
  <c r="I47" i="3" s="1"/>
  <c r="AM47" i="1"/>
  <c r="AN47" i="1"/>
  <c r="AO47" i="1"/>
  <c r="M47" i="3" s="1"/>
  <c r="AP47" i="1"/>
  <c r="AQ47" i="1"/>
  <c r="AR47" i="1"/>
  <c r="Q47" i="3" s="1"/>
  <c r="AS47" i="1"/>
  <c r="AT47" i="1"/>
  <c r="AU47" i="1"/>
  <c r="U47" i="3" s="1"/>
  <c r="B46" i="2"/>
  <c r="B47" i="2"/>
  <c r="X47" i="1"/>
  <c r="U47" i="1"/>
  <c r="T47" i="1"/>
  <c r="V47" i="1"/>
  <c r="W47" i="1"/>
  <c r="Y47" i="1"/>
  <c r="D47" i="1"/>
  <c r="C47" i="2" s="1"/>
  <c r="B47" i="1"/>
  <c r="T46" i="1"/>
  <c r="AA46" i="1"/>
  <c r="E46" i="2" s="1"/>
  <c r="V46" i="1"/>
  <c r="W46" i="1"/>
  <c r="Y46" i="1"/>
  <c r="AD46" i="1"/>
  <c r="H46" i="2" s="1"/>
  <c r="D46" i="1"/>
  <c r="C46" i="2" s="1"/>
  <c r="B46" i="1"/>
  <c r="B45" i="3"/>
  <c r="B45" i="2"/>
  <c r="BM45" i="1"/>
  <c r="C45" i="3" s="1"/>
  <c r="BN45" i="1"/>
  <c r="D45" i="3" s="1"/>
  <c r="BO45" i="1"/>
  <c r="BP45" i="1"/>
  <c r="G45" i="3" s="1"/>
  <c r="BQ45" i="1"/>
  <c r="H45" i="3" s="1"/>
  <c r="BR45" i="1"/>
  <c r="BS45" i="1"/>
  <c r="K45" i="3" s="1"/>
  <c r="BT45" i="1"/>
  <c r="L45" i="3" s="1"/>
  <c r="BU45" i="1"/>
  <c r="BV45" i="1"/>
  <c r="O45" i="3" s="1"/>
  <c r="BW45" i="1"/>
  <c r="BX45" i="1"/>
  <c r="BY45" i="1"/>
  <c r="S45" i="3" s="1"/>
  <c r="BZ45" i="1"/>
  <c r="T45" i="3" s="1"/>
  <c r="CA45" i="1"/>
  <c r="AG45" i="1"/>
  <c r="AH45" i="1"/>
  <c r="AI45" i="1"/>
  <c r="E45" i="3" s="1"/>
  <c r="AJ45" i="1"/>
  <c r="AK45" i="1"/>
  <c r="AL45" i="1"/>
  <c r="I45" i="3" s="1"/>
  <c r="AM45" i="1"/>
  <c r="AN45" i="1"/>
  <c r="AO45" i="1"/>
  <c r="M45" i="3" s="1"/>
  <c r="AP45" i="1"/>
  <c r="AQ45" i="1"/>
  <c r="AR45" i="1"/>
  <c r="Q45" i="3" s="1"/>
  <c r="AS45" i="1"/>
  <c r="AT45" i="1"/>
  <c r="AU45" i="1"/>
  <c r="U45" i="3" s="1"/>
  <c r="T45" i="1"/>
  <c r="U45" i="1"/>
  <c r="V45" i="1"/>
  <c r="W45" i="1"/>
  <c r="X45" i="1"/>
  <c r="Y45" i="1"/>
  <c r="D45" i="1"/>
  <c r="C45" i="2" s="1"/>
  <c r="B45" i="1"/>
  <c r="B44" i="3"/>
  <c r="B44" i="2"/>
  <c r="BM44" i="1"/>
  <c r="C44" i="3" s="1"/>
  <c r="BN44" i="1"/>
  <c r="D44" i="3" s="1"/>
  <c r="BO44" i="1"/>
  <c r="BP44" i="1"/>
  <c r="G44" i="3" s="1"/>
  <c r="BQ44" i="1"/>
  <c r="H44" i="3" s="1"/>
  <c r="BR44" i="1"/>
  <c r="BS44" i="1"/>
  <c r="K44" i="3" s="1"/>
  <c r="BT44" i="1"/>
  <c r="L44" i="3" s="1"/>
  <c r="BU44" i="1"/>
  <c r="BV44" i="1"/>
  <c r="O44" i="3" s="1"/>
  <c r="BW44" i="1"/>
  <c r="P44" i="3" s="1"/>
  <c r="BX44" i="1"/>
  <c r="BY44" i="1"/>
  <c r="S44" i="3" s="1"/>
  <c r="BZ44" i="1"/>
  <c r="T44" i="3" s="1"/>
  <c r="CA44" i="1"/>
  <c r="AG44" i="1"/>
  <c r="AH44" i="1"/>
  <c r="AI44" i="1"/>
  <c r="E44" i="3" s="1"/>
  <c r="AJ44" i="1"/>
  <c r="AK44" i="1"/>
  <c r="AL44" i="1"/>
  <c r="I44" i="3" s="1"/>
  <c r="AM44" i="1"/>
  <c r="AN44" i="1"/>
  <c r="AO44" i="1"/>
  <c r="M44" i="3" s="1"/>
  <c r="AP44" i="1"/>
  <c r="AQ44" i="1"/>
  <c r="AR44" i="1"/>
  <c r="Q44" i="3" s="1"/>
  <c r="AS44" i="1"/>
  <c r="AT44" i="1"/>
  <c r="AU44" i="1"/>
  <c r="U44" i="3" s="1"/>
  <c r="T44" i="1"/>
  <c r="U44" i="1"/>
  <c r="V44" i="1"/>
  <c r="W44" i="1"/>
  <c r="X44" i="1"/>
  <c r="Y44" i="1"/>
  <c r="D44" i="1"/>
  <c r="C44" i="2" s="1"/>
  <c r="B44" i="1"/>
  <c r="B42" i="2"/>
  <c r="B43" i="2"/>
  <c r="B43" i="3"/>
  <c r="BM43" i="1"/>
  <c r="C43" i="3" s="1"/>
  <c r="BN43" i="1"/>
  <c r="D43" i="3" s="1"/>
  <c r="BO43" i="1"/>
  <c r="BP43" i="1"/>
  <c r="G43" i="3" s="1"/>
  <c r="BQ43" i="1"/>
  <c r="H43" i="3" s="1"/>
  <c r="BR43" i="1"/>
  <c r="BS43" i="1"/>
  <c r="K43" i="3" s="1"/>
  <c r="BT43" i="1"/>
  <c r="L43" i="3" s="1"/>
  <c r="BU43" i="1"/>
  <c r="BV43" i="1"/>
  <c r="BW43" i="1"/>
  <c r="BX43" i="1"/>
  <c r="BY43" i="1"/>
  <c r="S43" i="3" s="1"/>
  <c r="BZ43" i="1"/>
  <c r="T43" i="3" s="1"/>
  <c r="CA43" i="1"/>
  <c r="AG43" i="1"/>
  <c r="AH43" i="1"/>
  <c r="AI43" i="1"/>
  <c r="E43" i="3" s="1"/>
  <c r="AJ43" i="1"/>
  <c r="AK43" i="1"/>
  <c r="AL43" i="1"/>
  <c r="I43" i="3" s="1"/>
  <c r="AM43" i="1"/>
  <c r="AN43" i="1"/>
  <c r="AO43" i="1"/>
  <c r="M43" i="3" s="1"/>
  <c r="AP43" i="1"/>
  <c r="AQ43" i="1"/>
  <c r="AR43" i="1"/>
  <c r="Q43" i="3" s="1"/>
  <c r="AS43" i="1"/>
  <c r="AT43" i="1"/>
  <c r="AU43" i="1"/>
  <c r="U43" i="3" s="1"/>
  <c r="T43" i="1"/>
  <c r="U43" i="1"/>
  <c r="V43" i="1"/>
  <c r="W43" i="1"/>
  <c r="X43" i="1"/>
  <c r="Y43" i="1"/>
  <c r="D43" i="1"/>
  <c r="C43" i="2" s="1"/>
  <c r="T42" i="1"/>
  <c r="U42" i="1"/>
  <c r="V42" i="1"/>
  <c r="W42" i="1"/>
  <c r="X42" i="1"/>
  <c r="Y42" i="1"/>
  <c r="AG42" i="1"/>
  <c r="AH42" i="1"/>
  <c r="AI42" i="1"/>
  <c r="E42" i="3" s="1"/>
  <c r="AJ42" i="1"/>
  <c r="AK42" i="1"/>
  <c r="AL42" i="1"/>
  <c r="I42" i="3" s="1"/>
  <c r="AM42" i="1"/>
  <c r="AN42" i="1"/>
  <c r="AO42" i="1"/>
  <c r="M42" i="3" s="1"/>
  <c r="AP42" i="1"/>
  <c r="AQ42" i="1"/>
  <c r="AR42" i="1"/>
  <c r="Q42" i="3" s="1"/>
  <c r="AS42" i="1"/>
  <c r="AT42" i="1"/>
  <c r="AU42" i="1"/>
  <c r="U42" i="3" s="1"/>
  <c r="BN42" i="1"/>
  <c r="D42" i="3" s="1"/>
  <c r="BT42" i="1"/>
  <c r="L42" i="3" s="1"/>
  <c r="BV42" i="1"/>
  <c r="B43" i="1"/>
  <c r="A43" i="2" s="1"/>
  <c r="B41" i="3"/>
  <c r="B42" i="3"/>
  <c r="BM41" i="1"/>
  <c r="C41" i="3" s="1"/>
  <c r="BN41" i="1"/>
  <c r="D41" i="3" s="1"/>
  <c r="BO41" i="1"/>
  <c r="BP41" i="1"/>
  <c r="BQ41" i="1"/>
  <c r="BR41" i="1"/>
  <c r="BS41" i="1"/>
  <c r="K41" i="3" s="1"/>
  <c r="BT41" i="1"/>
  <c r="L41" i="3" s="1"/>
  <c r="BU41" i="1"/>
  <c r="BV41" i="1"/>
  <c r="O41" i="3" s="1"/>
  <c r="BW41" i="1"/>
  <c r="P41" i="3" s="1"/>
  <c r="BX41" i="1"/>
  <c r="BY41" i="1"/>
  <c r="S41" i="3" s="1"/>
  <c r="BZ41" i="1"/>
  <c r="T41" i="3" s="1"/>
  <c r="CA41" i="1"/>
  <c r="BM42" i="1"/>
  <c r="C42" i="3" s="1"/>
  <c r="BO42" i="1"/>
  <c r="BP42" i="1"/>
  <c r="G42" i="3" s="1"/>
  <c r="BQ42" i="1"/>
  <c r="H42" i="3" s="1"/>
  <c r="BR42" i="1"/>
  <c r="BS42" i="1"/>
  <c r="K42" i="3" s="1"/>
  <c r="BU42" i="1"/>
  <c r="BW42" i="1"/>
  <c r="BX42" i="1"/>
  <c r="BY42" i="1"/>
  <c r="S42" i="3" s="1"/>
  <c r="BZ42" i="1"/>
  <c r="T42" i="3" s="1"/>
  <c r="CA42" i="1"/>
  <c r="AG40" i="1"/>
  <c r="AH40" i="1"/>
  <c r="AI40" i="1"/>
  <c r="E40" i="3" s="1"/>
  <c r="AJ40" i="1"/>
  <c r="AK40" i="1"/>
  <c r="AL40" i="1"/>
  <c r="I40" i="3" s="1"/>
  <c r="AM40" i="1"/>
  <c r="AN40" i="1"/>
  <c r="AO40" i="1"/>
  <c r="M40" i="3" s="1"/>
  <c r="AP40" i="1"/>
  <c r="AQ40" i="1"/>
  <c r="AR40" i="1"/>
  <c r="Q40" i="3" s="1"/>
  <c r="AS40" i="1"/>
  <c r="AT40" i="1"/>
  <c r="AU40" i="1"/>
  <c r="U40" i="3" s="1"/>
  <c r="AG41" i="1"/>
  <c r="AH41" i="1"/>
  <c r="AI41" i="1"/>
  <c r="E41" i="3" s="1"/>
  <c r="AM41" i="1"/>
  <c r="AN41" i="1"/>
  <c r="AO41" i="1"/>
  <c r="M41" i="3" s="1"/>
  <c r="AP41" i="1"/>
  <c r="AQ41" i="1"/>
  <c r="AR41" i="1"/>
  <c r="Q41" i="3" s="1"/>
  <c r="AS41" i="1"/>
  <c r="AT41" i="1"/>
  <c r="AU41" i="1"/>
  <c r="U41" i="3" s="1"/>
  <c r="T41" i="1"/>
  <c r="AA41" i="1"/>
  <c r="E41" i="2" s="1"/>
  <c r="V41" i="1"/>
  <c r="W41" i="1"/>
  <c r="AD41" i="1"/>
  <c r="H41" i="2" s="1"/>
  <c r="Y41" i="1"/>
  <c r="B42" i="1"/>
  <c r="A42" i="2" s="1"/>
  <c r="D42" i="1"/>
  <c r="C42" i="2" s="1"/>
  <c r="B41" i="2"/>
  <c r="D41" i="1"/>
  <c r="C41" i="2" s="1"/>
  <c r="B41" i="1"/>
  <c r="A41" i="3" s="1"/>
  <c r="B40" i="3"/>
  <c r="B40" i="2"/>
  <c r="BM40" i="1"/>
  <c r="C40" i="3" s="1"/>
  <c r="BN40" i="1"/>
  <c r="D40" i="3" s="1"/>
  <c r="BO40" i="1"/>
  <c r="BP40" i="1"/>
  <c r="G40" i="3" s="1"/>
  <c r="BQ40" i="1"/>
  <c r="H40" i="3" s="1"/>
  <c r="BR40" i="1"/>
  <c r="BS40" i="1"/>
  <c r="K40" i="3" s="1"/>
  <c r="BT40" i="1"/>
  <c r="L40" i="3" s="1"/>
  <c r="BU40" i="1"/>
  <c r="BV40" i="1"/>
  <c r="O40" i="3" s="1"/>
  <c r="BW40" i="1"/>
  <c r="P40" i="3" s="1"/>
  <c r="BX40" i="1"/>
  <c r="BY40" i="1"/>
  <c r="S40" i="3" s="1"/>
  <c r="BZ40" i="1"/>
  <c r="T40" i="3" s="1"/>
  <c r="CA40" i="1"/>
  <c r="T40" i="1"/>
  <c r="U40" i="1"/>
  <c r="V40" i="1"/>
  <c r="W40" i="1"/>
  <c r="X40" i="1"/>
  <c r="Y40" i="1"/>
  <c r="D40" i="1"/>
  <c r="C40" i="2" s="1"/>
  <c r="B40" i="1"/>
  <c r="A40" i="2" s="1"/>
  <c r="B39" i="3"/>
  <c r="B39" i="2"/>
  <c r="BM39" i="1"/>
  <c r="C39" i="3" s="1"/>
  <c r="BN39" i="1"/>
  <c r="D39" i="3" s="1"/>
  <c r="BO39" i="1"/>
  <c r="BP39" i="1"/>
  <c r="G39" i="3" s="1"/>
  <c r="BQ39" i="1"/>
  <c r="H39" i="3" s="1"/>
  <c r="BR39" i="1"/>
  <c r="BS39" i="1"/>
  <c r="K39" i="3" s="1"/>
  <c r="BT39" i="1"/>
  <c r="L39" i="3" s="1"/>
  <c r="BU39" i="1"/>
  <c r="BV39" i="1"/>
  <c r="BW39" i="1"/>
  <c r="BX39" i="1"/>
  <c r="BY39" i="1"/>
  <c r="S39" i="3" s="1"/>
  <c r="BZ39" i="1"/>
  <c r="T39" i="3" s="1"/>
  <c r="CA39" i="1"/>
  <c r="AG39" i="1"/>
  <c r="AH39" i="1"/>
  <c r="AI39" i="1"/>
  <c r="E39" i="3" s="1"/>
  <c r="AJ39" i="1"/>
  <c r="AK39" i="1"/>
  <c r="AL39" i="1"/>
  <c r="I39" i="3" s="1"/>
  <c r="AM39" i="1"/>
  <c r="AN39" i="1"/>
  <c r="AO39" i="1"/>
  <c r="M39" i="3" s="1"/>
  <c r="AP39" i="1"/>
  <c r="AQ39" i="1"/>
  <c r="AR39" i="1"/>
  <c r="Q39" i="3" s="1"/>
  <c r="AS39" i="1"/>
  <c r="AT39" i="1"/>
  <c r="AU39" i="1"/>
  <c r="U39" i="3" s="1"/>
  <c r="T39" i="1"/>
  <c r="U39" i="1"/>
  <c r="V39" i="1"/>
  <c r="W39" i="1"/>
  <c r="X39" i="1"/>
  <c r="Y39" i="1"/>
  <c r="D39" i="1"/>
  <c r="C39" i="2" s="1"/>
  <c r="B39" i="1"/>
  <c r="A39" i="3" s="1"/>
  <c r="B38" i="3"/>
  <c r="B38" i="2"/>
  <c r="BM38" i="1"/>
  <c r="C38" i="3" s="1"/>
  <c r="BN38" i="1"/>
  <c r="D38" i="3" s="1"/>
  <c r="BO38" i="1"/>
  <c r="BP38" i="1"/>
  <c r="G38" i="3" s="1"/>
  <c r="BQ38" i="1"/>
  <c r="H38" i="3" s="1"/>
  <c r="BR38" i="1"/>
  <c r="BS38" i="1"/>
  <c r="K38" i="3" s="1"/>
  <c r="BT38" i="1"/>
  <c r="L38" i="3" s="1"/>
  <c r="BU38" i="1"/>
  <c r="BV38" i="1"/>
  <c r="O38" i="3" s="1"/>
  <c r="BW38" i="1"/>
  <c r="P38" i="3" s="1"/>
  <c r="BX38" i="1"/>
  <c r="BY38" i="1"/>
  <c r="S38" i="3" s="1"/>
  <c r="BZ38" i="1"/>
  <c r="T38" i="3" s="1"/>
  <c r="CA38" i="1"/>
  <c r="AG38" i="1"/>
  <c r="AH38" i="1"/>
  <c r="AI38" i="1"/>
  <c r="E38" i="3" s="1"/>
  <c r="AJ38" i="1"/>
  <c r="AK38" i="1"/>
  <c r="AL38" i="1"/>
  <c r="I38" i="3" s="1"/>
  <c r="AM38" i="1"/>
  <c r="AN38" i="1"/>
  <c r="AO38" i="1"/>
  <c r="M38" i="3" s="1"/>
  <c r="AP38" i="1"/>
  <c r="AQ38" i="1"/>
  <c r="AR38" i="1"/>
  <c r="Q38" i="3" s="1"/>
  <c r="AS38" i="1"/>
  <c r="AT38" i="1"/>
  <c r="AU38" i="1"/>
  <c r="U38" i="3" s="1"/>
  <c r="T38" i="1"/>
  <c r="U38" i="1"/>
  <c r="V38" i="1"/>
  <c r="W38" i="1"/>
  <c r="X38" i="1"/>
  <c r="Y38" i="1"/>
  <c r="D38" i="1"/>
  <c r="C38" i="2" s="1"/>
  <c r="B38" i="1"/>
  <c r="A38" i="3" s="1"/>
  <c r="A46" i="3" l="1"/>
  <c r="A46" i="2"/>
  <c r="A47" i="3"/>
  <c r="A47" i="2"/>
  <c r="A48" i="3"/>
  <c r="A48" i="2"/>
  <c r="A49" i="3"/>
  <c r="A49" i="2"/>
  <c r="A45" i="3"/>
  <c r="A45" i="2"/>
  <c r="A50" i="3"/>
  <c r="A50" i="2"/>
  <c r="A51" i="3"/>
  <c r="A51" i="2"/>
  <c r="A52" i="3"/>
  <c r="A52" i="2"/>
  <c r="A53" i="3"/>
  <c r="A53" i="2"/>
  <c r="A54" i="3"/>
  <c r="A54" i="2"/>
  <c r="A55" i="3"/>
  <c r="A55" i="2"/>
  <c r="A56" i="3"/>
  <c r="A56" i="2"/>
  <c r="A57" i="3"/>
  <c r="A57" i="2"/>
  <c r="J57" i="3"/>
  <c r="F50" i="3"/>
  <c r="F56" i="3"/>
  <c r="J48" i="3"/>
  <c r="N38" i="3"/>
  <c r="J51" i="3"/>
  <c r="V39" i="3"/>
  <c r="J44" i="3"/>
  <c r="F47" i="3"/>
  <c r="V50" i="3"/>
  <c r="J55" i="3"/>
  <c r="U57" i="3"/>
  <c r="V57" i="3" s="1"/>
  <c r="A41" i="2"/>
  <c r="F49" i="3"/>
  <c r="F38" i="3"/>
  <c r="J43" i="3"/>
  <c r="F45" i="3"/>
  <c r="F54" i="3"/>
  <c r="R57" i="3"/>
  <c r="F44" i="3"/>
  <c r="N55" i="3"/>
  <c r="F41" i="3"/>
  <c r="N44" i="3"/>
  <c r="J53" i="3"/>
  <c r="F55" i="3"/>
  <c r="F57" i="3"/>
  <c r="P39" i="3"/>
  <c r="J54" i="3"/>
  <c r="R44" i="3"/>
  <c r="R41" i="3"/>
  <c r="F46" i="3"/>
  <c r="J50" i="3"/>
  <c r="R38" i="3"/>
  <c r="J38" i="3"/>
  <c r="F39" i="3"/>
  <c r="J39" i="3"/>
  <c r="A39" i="2"/>
  <c r="V41" i="3"/>
  <c r="N45" i="3"/>
  <c r="A40" i="3"/>
  <c r="A42" i="3"/>
  <c r="N43" i="3"/>
  <c r="P43" i="3"/>
  <c r="A43" i="3"/>
  <c r="N46" i="3"/>
  <c r="V48" i="3"/>
  <c r="F48" i="3"/>
  <c r="P49" i="3"/>
  <c r="R49" i="3" s="1"/>
  <c r="N54" i="3"/>
  <c r="N39" i="3"/>
  <c r="N41" i="3"/>
  <c r="A44" i="2"/>
  <c r="A44" i="3"/>
  <c r="O39" i="3"/>
  <c r="O43" i="3"/>
  <c r="V43" i="3"/>
  <c r="V45" i="3"/>
  <c r="V46" i="3"/>
  <c r="N47" i="3"/>
  <c r="J47" i="3"/>
  <c r="F51" i="3"/>
  <c r="A38" i="2"/>
  <c r="F43" i="3"/>
  <c r="J45" i="3"/>
  <c r="V47" i="3"/>
  <c r="O47" i="3"/>
  <c r="J49" i="3"/>
  <c r="V49" i="3"/>
  <c r="R50" i="3"/>
  <c r="P47" i="3"/>
  <c r="P48" i="3"/>
  <c r="N52" i="3"/>
  <c r="F52" i="3"/>
  <c r="N53" i="3"/>
  <c r="R54" i="3"/>
  <c r="V56" i="3"/>
  <c r="O56" i="3"/>
  <c r="R56" i="3" s="1"/>
  <c r="P45" i="3"/>
  <c r="R45" i="3" s="1"/>
  <c r="P46" i="3"/>
  <c r="R46" i="3" s="1"/>
  <c r="O48" i="3"/>
  <c r="N49" i="3"/>
  <c r="N50" i="3"/>
  <c r="N51" i="3"/>
  <c r="J52" i="3"/>
  <c r="V52" i="3"/>
  <c r="V53" i="3"/>
  <c r="P53" i="3"/>
  <c r="V55" i="3"/>
  <c r="O55" i="3"/>
  <c r="R55" i="3" s="1"/>
  <c r="J56" i="3"/>
  <c r="N48" i="3"/>
  <c r="V51" i="3"/>
  <c r="F53" i="3"/>
  <c r="N56" i="3"/>
  <c r="N57" i="3"/>
  <c r="P51" i="3"/>
  <c r="R51" i="3" s="1"/>
  <c r="P52" i="3"/>
  <c r="R52" i="3" s="1"/>
  <c r="O53" i="3"/>
  <c r="J42" i="3"/>
  <c r="O42" i="3"/>
  <c r="V42" i="3"/>
  <c r="N42" i="3"/>
  <c r="F42" i="3"/>
  <c r="P42" i="3"/>
  <c r="V40" i="3"/>
  <c r="F40" i="3"/>
  <c r="N40" i="3"/>
  <c r="J40" i="3"/>
  <c r="R40" i="3"/>
  <c r="B37" i="3"/>
  <c r="B37" i="2"/>
  <c r="BM37" i="1"/>
  <c r="C37" i="3" s="1"/>
  <c r="BN37" i="1"/>
  <c r="D37" i="3" s="1"/>
  <c r="BO37" i="1"/>
  <c r="BP37" i="1"/>
  <c r="G37" i="3" s="1"/>
  <c r="BQ37" i="1"/>
  <c r="H37" i="3" s="1"/>
  <c r="CA37" i="1"/>
  <c r="BZ37" i="1"/>
  <c r="T37" i="3" s="1"/>
  <c r="BY37" i="1"/>
  <c r="S37" i="3" s="1"/>
  <c r="BX37" i="1"/>
  <c r="BW37" i="1"/>
  <c r="P37" i="3" s="1"/>
  <c r="BV37" i="1"/>
  <c r="O37" i="3" s="1"/>
  <c r="BU37" i="1"/>
  <c r="BT37" i="1"/>
  <c r="L37" i="3" s="1"/>
  <c r="BS37" i="1"/>
  <c r="K37" i="3" s="1"/>
  <c r="BR37" i="1"/>
  <c r="AU37" i="1"/>
  <c r="U37" i="3" s="1"/>
  <c r="AT37" i="1"/>
  <c r="AS37" i="1"/>
  <c r="AR37" i="1"/>
  <c r="Q37" i="3" s="1"/>
  <c r="AQ37" i="1"/>
  <c r="AP37" i="1"/>
  <c r="AO37" i="1"/>
  <c r="M37" i="3" s="1"/>
  <c r="AN37" i="1"/>
  <c r="AM37" i="1"/>
  <c r="AL37" i="1"/>
  <c r="I37" i="3" s="1"/>
  <c r="AK37" i="1"/>
  <c r="AJ37" i="1"/>
  <c r="AI37" i="1"/>
  <c r="E37" i="3" s="1"/>
  <c r="AH37" i="1"/>
  <c r="AG37" i="1"/>
  <c r="Y37" i="1"/>
  <c r="X37" i="1"/>
  <c r="W37" i="1"/>
  <c r="V37" i="1"/>
  <c r="U37" i="1"/>
  <c r="T37" i="1"/>
  <c r="D37" i="1"/>
  <c r="C37" i="2" s="1"/>
  <c r="B37" i="1"/>
  <c r="A37" i="3" s="1"/>
  <c r="A37" i="2" l="1"/>
  <c r="R47" i="3"/>
  <c r="R53" i="3"/>
  <c r="R39" i="3"/>
  <c r="N37" i="3"/>
  <c r="R48" i="3"/>
  <c r="J37" i="3"/>
  <c r="F37" i="3"/>
  <c r="V37" i="3"/>
  <c r="V54" i="3"/>
  <c r="R43" i="3"/>
  <c r="V38" i="3"/>
  <c r="R37" i="3"/>
  <c r="V44" i="3"/>
  <c r="R42" i="3"/>
  <c r="B36" i="3"/>
  <c r="B36" i="2"/>
  <c r="CA36" i="1"/>
  <c r="BZ36" i="1"/>
  <c r="T36" i="3" s="1"/>
  <c r="BY36" i="1"/>
  <c r="S36" i="3" s="1"/>
  <c r="BX36" i="1"/>
  <c r="BW36" i="1"/>
  <c r="P36" i="3" s="1"/>
  <c r="BV36" i="1"/>
  <c r="O36" i="3" s="1"/>
  <c r="BU36" i="1"/>
  <c r="BT36" i="1"/>
  <c r="L36" i="3" s="1"/>
  <c r="BS36" i="1"/>
  <c r="K36" i="3" s="1"/>
  <c r="BR36" i="1"/>
  <c r="BQ36" i="1"/>
  <c r="H36" i="3" s="1"/>
  <c r="BP36" i="1"/>
  <c r="G36" i="3" s="1"/>
  <c r="BO36" i="1"/>
  <c r="BN36" i="1"/>
  <c r="D36" i="3" s="1"/>
  <c r="BM36" i="1"/>
  <c r="C36" i="3" s="1"/>
  <c r="AU36" i="1"/>
  <c r="U36" i="3" s="1"/>
  <c r="AT36" i="1"/>
  <c r="AS36" i="1"/>
  <c r="AR36" i="1"/>
  <c r="Q36" i="3" s="1"/>
  <c r="AQ36" i="1"/>
  <c r="AP36" i="1"/>
  <c r="AO36" i="1"/>
  <c r="M36" i="3" s="1"/>
  <c r="AN36" i="1"/>
  <c r="AM36" i="1"/>
  <c r="AL36" i="1"/>
  <c r="I36" i="3" s="1"/>
  <c r="AK36" i="1"/>
  <c r="AJ36" i="1"/>
  <c r="AI36" i="1"/>
  <c r="E36" i="3" s="1"/>
  <c r="AH36" i="1"/>
  <c r="AG36" i="1"/>
  <c r="Y36" i="1"/>
  <c r="X36" i="1"/>
  <c r="W36" i="1"/>
  <c r="V36" i="1"/>
  <c r="U36" i="1"/>
  <c r="T36" i="1"/>
  <c r="D36" i="1"/>
  <c r="C36" i="2" s="1"/>
  <c r="B36" i="1"/>
  <c r="A36" i="3" s="1"/>
  <c r="B35" i="3"/>
  <c r="B35" i="2"/>
  <c r="BM35" i="1"/>
  <c r="C35" i="3" s="1"/>
  <c r="BN35" i="1"/>
  <c r="D35" i="3" s="1"/>
  <c r="BO35" i="1"/>
  <c r="BP35" i="1"/>
  <c r="G35" i="3" s="1"/>
  <c r="BQ35" i="1"/>
  <c r="H35" i="3" s="1"/>
  <c r="BR35" i="1"/>
  <c r="BS35" i="1"/>
  <c r="K35" i="3" s="1"/>
  <c r="BT35" i="1"/>
  <c r="L35" i="3" s="1"/>
  <c r="BU35" i="1"/>
  <c r="BV35" i="1"/>
  <c r="BW35" i="1"/>
  <c r="P35" i="3" s="1"/>
  <c r="BX35" i="1"/>
  <c r="BY35" i="1"/>
  <c r="S35" i="3" s="1"/>
  <c r="BZ35" i="1"/>
  <c r="T35" i="3" s="1"/>
  <c r="CA35" i="1"/>
  <c r="AG35" i="1"/>
  <c r="AH35" i="1"/>
  <c r="AI35" i="1"/>
  <c r="E35" i="3" s="1"/>
  <c r="AJ35" i="1"/>
  <c r="AK35" i="1"/>
  <c r="AL35" i="1"/>
  <c r="I35" i="3" s="1"/>
  <c r="AM35" i="1"/>
  <c r="AN35" i="1"/>
  <c r="AO35" i="1"/>
  <c r="M35" i="3" s="1"/>
  <c r="AP35" i="1"/>
  <c r="AQ35" i="1"/>
  <c r="AR35" i="1"/>
  <c r="Q35" i="3" s="1"/>
  <c r="AS35" i="1"/>
  <c r="AT35" i="1"/>
  <c r="AU35" i="1"/>
  <c r="U35" i="3" s="1"/>
  <c r="T35" i="1"/>
  <c r="U35" i="1"/>
  <c r="V35" i="1"/>
  <c r="W35" i="1"/>
  <c r="X35" i="1"/>
  <c r="Y35" i="1"/>
  <c r="D35" i="1"/>
  <c r="C35" i="2" s="1"/>
  <c r="B35" i="1"/>
  <c r="A35" i="3" s="1"/>
  <c r="N39" i="4"/>
  <c r="B39" i="4"/>
  <c r="B6" i="4"/>
  <c r="A5" i="5" s="1"/>
  <c r="B34" i="3"/>
  <c r="B34" i="2"/>
  <c r="BM34" i="1"/>
  <c r="C34" i="3" s="1"/>
  <c r="BN34" i="1"/>
  <c r="D34" i="3" s="1"/>
  <c r="BO34" i="1"/>
  <c r="BP34" i="1"/>
  <c r="G34" i="3" s="1"/>
  <c r="BQ34" i="1"/>
  <c r="H34" i="3" s="1"/>
  <c r="BR34" i="1"/>
  <c r="BS34" i="1"/>
  <c r="K34" i="3" s="1"/>
  <c r="BT34" i="1"/>
  <c r="L34" i="3" s="1"/>
  <c r="BU34" i="1"/>
  <c r="BV34" i="1"/>
  <c r="O34" i="3" s="1"/>
  <c r="BW34" i="1"/>
  <c r="P34" i="3" s="1"/>
  <c r="BX34" i="1"/>
  <c r="BY34" i="1"/>
  <c r="S34" i="3" s="1"/>
  <c r="BZ34" i="1"/>
  <c r="T34" i="3" s="1"/>
  <c r="CA34" i="1"/>
  <c r="AG34" i="1"/>
  <c r="AH34" i="1"/>
  <c r="AI34" i="1"/>
  <c r="E34" i="3" s="1"/>
  <c r="AJ34" i="1"/>
  <c r="AK34" i="1"/>
  <c r="AL34" i="1"/>
  <c r="I34" i="3" s="1"/>
  <c r="AM34" i="1"/>
  <c r="AN34" i="1"/>
  <c r="AO34" i="1"/>
  <c r="M34" i="3" s="1"/>
  <c r="AP34" i="1"/>
  <c r="AQ34" i="1"/>
  <c r="AR34" i="1"/>
  <c r="Q34" i="3" s="1"/>
  <c r="AS34" i="1"/>
  <c r="AT34" i="1"/>
  <c r="AU34" i="1"/>
  <c r="U34" i="3" s="1"/>
  <c r="T34" i="1"/>
  <c r="U34" i="1"/>
  <c r="V34" i="1"/>
  <c r="W34" i="1"/>
  <c r="X34" i="1"/>
  <c r="Y34" i="1"/>
  <c r="D34" i="1"/>
  <c r="C34" i="2" s="1"/>
  <c r="B34" i="1"/>
  <c r="A34" i="2" s="1"/>
  <c r="B33" i="3"/>
  <c r="B33" i="2"/>
  <c r="BM33" i="1"/>
  <c r="C33" i="3" s="1"/>
  <c r="BN33" i="1"/>
  <c r="D33" i="3" s="1"/>
  <c r="BO33" i="1"/>
  <c r="BP33" i="1"/>
  <c r="G33" i="3" s="1"/>
  <c r="BQ33" i="1"/>
  <c r="H33" i="3" s="1"/>
  <c r="BR33" i="1"/>
  <c r="BS33" i="1"/>
  <c r="K33" i="3" s="1"/>
  <c r="BT33" i="1"/>
  <c r="L33" i="3" s="1"/>
  <c r="BU33" i="1"/>
  <c r="BV33" i="1"/>
  <c r="BW33" i="1"/>
  <c r="P33" i="3" s="1"/>
  <c r="BX33" i="1"/>
  <c r="BY33" i="1"/>
  <c r="S33" i="3" s="1"/>
  <c r="BZ33" i="1"/>
  <c r="T33" i="3" s="1"/>
  <c r="CA33" i="1"/>
  <c r="AG33" i="1"/>
  <c r="AH33" i="1"/>
  <c r="AI33" i="1"/>
  <c r="E33" i="3" s="1"/>
  <c r="AJ33" i="1"/>
  <c r="AK33" i="1"/>
  <c r="AL33" i="1"/>
  <c r="I33" i="3" s="1"/>
  <c r="AM33" i="1"/>
  <c r="AN33" i="1"/>
  <c r="AO33" i="1"/>
  <c r="M33" i="3" s="1"/>
  <c r="AP33" i="1"/>
  <c r="AQ33" i="1"/>
  <c r="AR33" i="1"/>
  <c r="Q33" i="3" s="1"/>
  <c r="AS33" i="1"/>
  <c r="AT33" i="1"/>
  <c r="AU33" i="1"/>
  <c r="U33" i="3" s="1"/>
  <c r="T33" i="1"/>
  <c r="U33" i="1"/>
  <c r="V33" i="1"/>
  <c r="W33" i="1"/>
  <c r="X33" i="1"/>
  <c r="Y33" i="1"/>
  <c r="D33" i="1"/>
  <c r="C33" i="2" s="1"/>
  <c r="B33" i="1"/>
  <c r="A33" i="2" s="1"/>
  <c r="B32" i="3"/>
  <c r="B32" i="2"/>
  <c r="BM32" i="1"/>
  <c r="C32" i="3" s="1"/>
  <c r="BN32" i="1"/>
  <c r="D32" i="3" s="1"/>
  <c r="BO32" i="1"/>
  <c r="BP32" i="1"/>
  <c r="G32" i="3" s="1"/>
  <c r="BQ32" i="1"/>
  <c r="H32" i="3" s="1"/>
  <c r="BR32" i="1"/>
  <c r="BS32" i="1"/>
  <c r="K32" i="3" s="1"/>
  <c r="BT32" i="1"/>
  <c r="L32" i="3" s="1"/>
  <c r="BU32" i="1"/>
  <c r="BV32" i="1"/>
  <c r="O32" i="3" s="1"/>
  <c r="BW32" i="1"/>
  <c r="P32" i="3" s="1"/>
  <c r="BX32" i="1"/>
  <c r="BY32" i="1"/>
  <c r="S32" i="3" s="1"/>
  <c r="BZ32" i="1"/>
  <c r="T32" i="3" s="1"/>
  <c r="CA32" i="1"/>
  <c r="AG32" i="1"/>
  <c r="AH32" i="1"/>
  <c r="AI32" i="1"/>
  <c r="E32" i="3" s="1"/>
  <c r="AJ32" i="1"/>
  <c r="AK32" i="1"/>
  <c r="AL32" i="1"/>
  <c r="I32" i="3" s="1"/>
  <c r="AM32" i="1"/>
  <c r="AN32" i="1"/>
  <c r="AO32" i="1"/>
  <c r="M32" i="3" s="1"/>
  <c r="AP32" i="1"/>
  <c r="AQ32" i="1"/>
  <c r="AR32" i="1"/>
  <c r="Q32" i="3" s="1"/>
  <c r="AS32" i="1"/>
  <c r="AT32" i="1"/>
  <c r="AU32" i="1"/>
  <c r="U32" i="3" s="1"/>
  <c r="T32" i="1"/>
  <c r="U32" i="1"/>
  <c r="V32" i="1"/>
  <c r="W32" i="1"/>
  <c r="X32" i="1"/>
  <c r="Y32" i="1"/>
  <c r="D32" i="1"/>
  <c r="C32" i="2" s="1"/>
  <c r="B32" i="1"/>
  <c r="A32" i="2" s="1"/>
  <c r="B31" i="3"/>
  <c r="B31" i="2"/>
  <c r="BM31" i="1"/>
  <c r="C31" i="3" s="1"/>
  <c r="BN31" i="1"/>
  <c r="D31" i="3" s="1"/>
  <c r="BO31" i="1"/>
  <c r="BP31" i="1"/>
  <c r="G31" i="3" s="1"/>
  <c r="BQ31" i="1"/>
  <c r="H31" i="3" s="1"/>
  <c r="BR31" i="1"/>
  <c r="BS31" i="1"/>
  <c r="K31" i="3" s="1"/>
  <c r="BT31" i="1"/>
  <c r="L31" i="3" s="1"/>
  <c r="BU31" i="1"/>
  <c r="BV31" i="1"/>
  <c r="O31" i="3" s="1"/>
  <c r="BW31" i="1"/>
  <c r="BX31" i="1"/>
  <c r="BY31" i="1"/>
  <c r="S31" i="3" s="1"/>
  <c r="BZ31" i="1"/>
  <c r="T31" i="3" s="1"/>
  <c r="CA31" i="1"/>
  <c r="AG31" i="1"/>
  <c r="AH31" i="1"/>
  <c r="AI31" i="1"/>
  <c r="E31" i="3" s="1"/>
  <c r="AJ31" i="1"/>
  <c r="AK31" i="1"/>
  <c r="AL31" i="1"/>
  <c r="I31" i="3" s="1"/>
  <c r="AM31" i="1"/>
  <c r="AN31" i="1"/>
  <c r="AO31" i="1"/>
  <c r="M31" i="3" s="1"/>
  <c r="AP31" i="1"/>
  <c r="AQ31" i="1"/>
  <c r="AR31" i="1"/>
  <c r="Q31" i="3" s="1"/>
  <c r="AS31" i="1"/>
  <c r="AT31" i="1"/>
  <c r="AU31" i="1"/>
  <c r="U31" i="3" s="1"/>
  <c r="T31" i="1"/>
  <c r="U31" i="1"/>
  <c r="V31" i="1"/>
  <c r="W31" i="1"/>
  <c r="X31" i="1"/>
  <c r="Y31" i="1"/>
  <c r="D31" i="1"/>
  <c r="C31" i="2" s="1"/>
  <c r="B31" i="1"/>
  <c r="A31" i="3" s="1"/>
  <c r="B30" i="3"/>
  <c r="B30" i="2"/>
  <c r="BM30" i="1"/>
  <c r="C30" i="3" s="1"/>
  <c r="BN30" i="1"/>
  <c r="D30" i="3" s="1"/>
  <c r="BO30" i="1"/>
  <c r="BP30" i="1"/>
  <c r="G30" i="3" s="1"/>
  <c r="BQ30" i="1"/>
  <c r="H30" i="3" s="1"/>
  <c r="BR30" i="1"/>
  <c r="BS30" i="1"/>
  <c r="K30" i="3" s="1"/>
  <c r="BT30" i="1"/>
  <c r="L30" i="3" s="1"/>
  <c r="BU30" i="1"/>
  <c r="BV30" i="1"/>
  <c r="O30" i="3" s="1"/>
  <c r="BW30" i="1"/>
  <c r="P30" i="3" s="1"/>
  <c r="BX30" i="1"/>
  <c r="BY30" i="1"/>
  <c r="S30" i="3" s="1"/>
  <c r="BZ30" i="1"/>
  <c r="T30" i="3" s="1"/>
  <c r="CA30" i="1"/>
  <c r="AG30" i="1"/>
  <c r="AH30" i="1"/>
  <c r="AI30" i="1"/>
  <c r="E30" i="3" s="1"/>
  <c r="AJ30" i="1"/>
  <c r="AK30" i="1"/>
  <c r="AL30" i="1"/>
  <c r="I30" i="3" s="1"/>
  <c r="AM30" i="1"/>
  <c r="AN30" i="1"/>
  <c r="AO30" i="1"/>
  <c r="M30" i="3" s="1"/>
  <c r="AP30" i="1"/>
  <c r="AQ30" i="1"/>
  <c r="AR30" i="1"/>
  <c r="Q30" i="3" s="1"/>
  <c r="AS30" i="1"/>
  <c r="AT30" i="1"/>
  <c r="AU30" i="1"/>
  <c r="U30" i="3" s="1"/>
  <c r="T30" i="1"/>
  <c r="U30" i="1"/>
  <c r="V30" i="1"/>
  <c r="W30" i="1"/>
  <c r="X30" i="1"/>
  <c r="Y30" i="1"/>
  <c r="D30" i="1"/>
  <c r="C30" i="2" s="1"/>
  <c r="B30" i="1"/>
  <c r="A30" i="2" s="1"/>
  <c r="B29" i="3"/>
  <c r="B29" i="2"/>
  <c r="BM29" i="1"/>
  <c r="C29" i="3" s="1"/>
  <c r="BN29" i="1"/>
  <c r="D29" i="3" s="1"/>
  <c r="BO29" i="1"/>
  <c r="BP29" i="1"/>
  <c r="G29" i="3" s="1"/>
  <c r="BQ29" i="1"/>
  <c r="H29" i="3" s="1"/>
  <c r="BR29" i="1"/>
  <c r="BS29" i="1"/>
  <c r="K29" i="3" s="1"/>
  <c r="BT29" i="1"/>
  <c r="L29" i="3" s="1"/>
  <c r="BU29" i="1"/>
  <c r="BV29" i="1"/>
  <c r="BW29" i="1"/>
  <c r="P29" i="3" s="1"/>
  <c r="BX29" i="1"/>
  <c r="BY29" i="1"/>
  <c r="S29" i="3" s="1"/>
  <c r="BZ29" i="1"/>
  <c r="T29" i="3" s="1"/>
  <c r="CA29" i="1"/>
  <c r="AG29" i="1"/>
  <c r="AH29" i="1"/>
  <c r="AI29" i="1"/>
  <c r="E29" i="3" s="1"/>
  <c r="AJ29" i="1"/>
  <c r="AK29" i="1"/>
  <c r="AL29" i="1"/>
  <c r="I29" i="3" s="1"/>
  <c r="AM29" i="1"/>
  <c r="AN29" i="1"/>
  <c r="AO29" i="1"/>
  <c r="M29" i="3" s="1"/>
  <c r="AP29" i="1"/>
  <c r="AQ29" i="1"/>
  <c r="AR29" i="1"/>
  <c r="Q29" i="3" s="1"/>
  <c r="AS29" i="1"/>
  <c r="AT29" i="1"/>
  <c r="AU29" i="1"/>
  <c r="U29" i="3" s="1"/>
  <c r="T29" i="1"/>
  <c r="U29" i="1"/>
  <c r="V29" i="1"/>
  <c r="W29" i="1"/>
  <c r="X29" i="1"/>
  <c r="Y29" i="1"/>
  <c r="D21" i="1"/>
  <c r="D22" i="1"/>
  <c r="D23" i="1"/>
  <c r="D24" i="1"/>
  <c r="D25" i="1"/>
  <c r="D26" i="1"/>
  <c r="D27" i="1"/>
  <c r="D28" i="1"/>
  <c r="C28" i="2" s="1"/>
  <c r="D29" i="1"/>
  <c r="C29" i="2" s="1"/>
  <c r="B21" i="1"/>
  <c r="B22" i="1"/>
  <c r="B23" i="1"/>
  <c r="B24" i="1"/>
  <c r="B25" i="1"/>
  <c r="B26" i="1"/>
  <c r="B27" i="1"/>
  <c r="B28" i="1"/>
  <c r="A28" i="2" s="1"/>
  <c r="B29" i="1"/>
  <c r="A29" i="3" s="1"/>
  <c r="B28" i="3"/>
  <c r="B28" i="2"/>
  <c r="BM28" i="1"/>
  <c r="C28" i="3" s="1"/>
  <c r="BN28" i="1"/>
  <c r="D28" i="3" s="1"/>
  <c r="BO28" i="1"/>
  <c r="BP28" i="1"/>
  <c r="G28" i="3" s="1"/>
  <c r="BQ28" i="1"/>
  <c r="H28" i="3" s="1"/>
  <c r="BR28" i="1"/>
  <c r="BS28" i="1"/>
  <c r="K28" i="3" s="1"/>
  <c r="BT28" i="1"/>
  <c r="L28" i="3" s="1"/>
  <c r="BU28" i="1"/>
  <c r="BV28" i="1"/>
  <c r="O28" i="3" s="1"/>
  <c r="BW28" i="1"/>
  <c r="BX28" i="1"/>
  <c r="BY28" i="1"/>
  <c r="S28" i="3" s="1"/>
  <c r="BZ28" i="1"/>
  <c r="T28" i="3" s="1"/>
  <c r="CA28" i="1"/>
  <c r="AG28" i="1"/>
  <c r="AH28" i="1"/>
  <c r="AI28" i="1"/>
  <c r="E28" i="3" s="1"/>
  <c r="AJ28" i="1"/>
  <c r="AK28" i="1"/>
  <c r="AL28" i="1"/>
  <c r="I28" i="3" s="1"/>
  <c r="AM28" i="1"/>
  <c r="AN28" i="1"/>
  <c r="AO28" i="1"/>
  <c r="M28" i="3" s="1"/>
  <c r="AP28" i="1"/>
  <c r="AQ28" i="1"/>
  <c r="AR28" i="1"/>
  <c r="Q28" i="3" s="1"/>
  <c r="AS28" i="1"/>
  <c r="AT28" i="1"/>
  <c r="AU28" i="1"/>
  <c r="U28" i="3" s="1"/>
  <c r="T28" i="1"/>
  <c r="U28" i="1"/>
  <c r="V28" i="1"/>
  <c r="W28" i="1"/>
  <c r="X28" i="1"/>
  <c r="Y28" i="1"/>
  <c r="J36" i="3" l="1"/>
  <c r="N36" i="3"/>
  <c r="A36" i="2"/>
  <c r="F36" i="3"/>
  <c r="J34" i="3"/>
  <c r="V36" i="3"/>
  <c r="F28" i="3"/>
  <c r="V29" i="3"/>
  <c r="R36" i="3"/>
  <c r="P28" i="3"/>
  <c r="R28" i="3" s="1"/>
  <c r="F29" i="3"/>
  <c r="A30" i="3"/>
  <c r="J33" i="3"/>
  <c r="R34" i="3"/>
  <c r="A34" i="3"/>
  <c r="N31" i="3"/>
  <c r="A33" i="3"/>
  <c r="F30" i="3"/>
  <c r="F31" i="3"/>
  <c r="N35" i="3"/>
  <c r="N30" i="3"/>
  <c r="F35" i="3"/>
  <c r="V28" i="3"/>
  <c r="N29" i="3"/>
  <c r="J32" i="3"/>
  <c r="A32" i="3"/>
  <c r="F33" i="3"/>
  <c r="J35" i="3"/>
  <c r="N28" i="3"/>
  <c r="N33" i="3"/>
  <c r="J30" i="3"/>
  <c r="J31" i="3"/>
  <c r="V35" i="3"/>
  <c r="R30" i="3"/>
  <c r="J29" i="3"/>
  <c r="F34" i="3"/>
  <c r="N34" i="3"/>
  <c r="V31" i="3"/>
  <c r="O33" i="3"/>
  <c r="R33" i="3" s="1"/>
  <c r="V34" i="3"/>
  <c r="A29" i="2"/>
  <c r="O29" i="3"/>
  <c r="R29" i="3" s="1"/>
  <c r="V32" i="3"/>
  <c r="A35" i="2"/>
  <c r="O35" i="3"/>
  <c r="R35" i="3" s="1"/>
  <c r="R32" i="3"/>
  <c r="A31" i="2"/>
  <c r="P31" i="3"/>
  <c r="R31" i="3" s="1"/>
  <c r="F32" i="3"/>
  <c r="V33" i="3"/>
  <c r="N32" i="3"/>
  <c r="J28" i="3"/>
  <c r="V30" i="3"/>
  <c r="A28" i="3"/>
  <c r="A26" i="3"/>
  <c r="B26" i="3"/>
  <c r="A27" i="3"/>
  <c r="B27" i="3"/>
  <c r="A26" i="2"/>
  <c r="B26" i="2"/>
  <c r="C26" i="2"/>
  <c r="A27" i="2"/>
  <c r="B27" i="2"/>
  <c r="C27" i="2"/>
  <c r="BM26" i="1"/>
  <c r="C26" i="3" s="1"/>
  <c r="BN26" i="1"/>
  <c r="D26" i="3" s="1"/>
  <c r="BO26" i="1"/>
  <c r="BP26" i="1"/>
  <c r="G26" i="3" s="1"/>
  <c r="BQ26" i="1"/>
  <c r="H26" i="3" s="1"/>
  <c r="BR26" i="1"/>
  <c r="BS26" i="1"/>
  <c r="K26" i="3" s="1"/>
  <c r="BT26" i="1"/>
  <c r="L26" i="3" s="1"/>
  <c r="BU26" i="1"/>
  <c r="BV26" i="1"/>
  <c r="BW26" i="1"/>
  <c r="BX26" i="1"/>
  <c r="BY26" i="1"/>
  <c r="S26" i="3" s="1"/>
  <c r="BZ26" i="1"/>
  <c r="T26" i="3" s="1"/>
  <c r="CA26" i="1"/>
  <c r="BM27" i="1"/>
  <c r="C27" i="3" s="1"/>
  <c r="BN27" i="1"/>
  <c r="D27" i="3" s="1"/>
  <c r="BO27" i="1"/>
  <c r="BP27" i="1"/>
  <c r="G27" i="3" s="1"/>
  <c r="BQ27" i="1"/>
  <c r="H27" i="3" s="1"/>
  <c r="BR27" i="1"/>
  <c r="BS27" i="1"/>
  <c r="K27" i="3" s="1"/>
  <c r="BT27" i="1"/>
  <c r="L27" i="3" s="1"/>
  <c r="BU27" i="1"/>
  <c r="BV27" i="1"/>
  <c r="O27" i="3" s="1"/>
  <c r="BW27" i="1"/>
  <c r="P27" i="3" s="1"/>
  <c r="BX27" i="1"/>
  <c r="BY27" i="1"/>
  <c r="S27" i="3" s="1"/>
  <c r="BZ27" i="1"/>
  <c r="T27" i="3" s="1"/>
  <c r="CA27" i="1"/>
  <c r="AG26" i="1"/>
  <c r="AH26" i="1"/>
  <c r="AI26" i="1"/>
  <c r="E26" i="3" s="1"/>
  <c r="AJ26" i="1"/>
  <c r="AK26" i="1"/>
  <c r="AL26" i="1"/>
  <c r="I26" i="3" s="1"/>
  <c r="AM26" i="1"/>
  <c r="AN26" i="1"/>
  <c r="AO26" i="1"/>
  <c r="M26" i="3" s="1"/>
  <c r="AP26" i="1"/>
  <c r="AQ26" i="1"/>
  <c r="AR26" i="1"/>
  <c r="Q26" i="3" s="1"/>
  <c r="AS26" i="1"/>
  <c r="AT26" i="1"/>
  <c r="AU26" i="1"/>
  <c r="U26" i="3" s="1"/>
  <c r="AG27" i="1"/>
  <c r="AH27" i="1"/>
  <c r="AI27" i="1"/>
  <c r="E27" i="3" s="1"/>
  <c r="AJ27" i="1"/>
  <c r="AK27" i="1"/>
  <c r="AL27" i="1"/>
  <c r="I27" i="3" s="1"/>
  <c r="AM27" i="1"/>
  <c r="AN27" i="1"/>
  <c r="AO27" i="1"/>
  <c r="M27" i="3" s="1"/>
  <c r="AP27" i="1"/>
  <c r="AQ27" i="1"/>
  <c r="AR27" i="1"/>
  <c r="Q27" i="3" s="1"/>
  <c r="AS27" i="1"/>
  <c r="AT27" i="1"/>
  <c r="AU27" i="1"/>
  <c r="U27" i="3" s="1"/>
  <c r="T26" i="1"/>
  <c r="U26" i="1"/>
  <c r="V26" i="1"/>
  <c r="W26" i="1"/>
  <c r="X26" i="1"/>
  <c r="Y26" i="1"/>
  <c r="T27" i="1"/>
  <c r="U27" i="1"/>
  <c r="V27" i="1"/>
  <c r="W27" i="1"/>
  <c r="X27" i="1"/>
  <c r="Y27" i="1"/>
  <c r="O26" i="3" l="1"/>
  <c r="J27" i="3"/>
  <c r="V26" i="3"/>
  <c r="R27" i="3"/>
  <c r="N27" i="3"/>
  <c r="J26" i="3"/>
  <c r="F27" i="3"/>
  <c r="V27" i="3"/>
  <c r="P26" i="3"/>
  <c r="R26" i="3" s="1"/>
  <c r="F26" i="3"/>
  <c r="N26" i="3"/>
  <c r="BM24" i="1" l="1"/>
  <c r="C24" i="3" s="1"/>
  <c r="BN24" i="1"/>
  <c r="BO24" i="1"/>
  <c r="BP24" i="1"/>
  <c r="G24" i="3" s="1"/>
  <c r="BQ24" i="1"/>
  <c r="H24" i="3" s="1"/>
  <c r="BR24" i="1"/>
  <c r="BS24" i="1"/>
  <c r="K24" i="3" s="1"/>
  <c r="BT24" i="1"/>
  <c r="L24" i="3" s="1"/>
  <c r="BU24" i="1"/>
  <c r="BV24" i="1"/>
  <c r="BW24" i="1"/>
  <c r="BX24" i="1"/>
  <c r="BY24" i="1"/>
  <c r="S24" i="3" s="1"/>
  <c r="BZ24" i="1"/>
  <c r="T24" i="3" s="1"/>
  <c r="CA24" i="1"/>
  <c r="BM25" i="1"/>
  <c r="C25" i="3" s="1"/>
  <c r="BN25" i="1"/>
  <c r="D25" i="3" s="1"/>
  <c r="BO25" i="1"/>
  <c r="BP25" i="1"/>
  <c r="G25" i="3" s="1"/>
  <c r="BQ25" i="1"/>
  <c r="H25" i="3" s="1"/>
  <c r="BR25" i="1"/>
  <c r="BS25" i="1"/>
  <c r="K25" i="3" s="1"/>
  <c r="BT25" i="1"/>
  <c r="L25" i="3" s="1"/>
  <c r="BU25" i="1"/>
  <c r="BV25" i="1"/>
  <c r="O25" i="3" s="1"/>
  <c r="BW25" i="1"/>
  <c r="P25" i="3" s="1"/>
  <c r="BX25" i="1"/>
  <c r="BY25" i="1"/>
  <c r="S25" i="3" s="1"/>
  <c r="BZ25" i="1"/>
  <c r="T25" i="3" s="1"/>
  <c r="CA25" i="1"/>
  <c r="B25" i="3"/>
  <c r="B25" i="2"/>
  <c r="C25" i="2"/>
  <c r="AG25" i="1"/>
  <c r="AH25" i="1"/>
  <c r="AI25" i="1"/>
  <c r="E25" i="3" s="1"/>
  <c r="AJ25" i="1"/>
  <c r="AK25" i="1"/>
  <c r="AL25" i="1"/>
  <c r="I25" i="3" s="1"/>
  <c r="AM25" i="1"/>
  <c r="AN25" i="1"/>
  <c r="AO25" i="1"/>
  <c r="M25" i="3" s="1"/>
  <c r="AP25" i="1"/>
  <c r="AQ25" i="1"/>
  <c r="AR25" i="1"/>
  <c r="Q25" i="3" s="1"/>
  <c r="AS25" i="1"/>
  <c r="AT25" i="1"/>
  <c r="AU25" i="1"/>
  <c r="U25" i="3" s="1"/>
  <c r="T25" i="1"/>
  <c r="U25" i="1"/>
  <c r="V25" i="1"/>
  <c r="W25" i="1"/>
  <c r="X25" i="1"/>
  <c r="Y25" i="1"/>
  <c r="A25" i="2"/>
  <c r="D24" i="3"/>
  <c r="O24" i="3"/>
  <c r="P24" i="3"/>
  <c r="B24" i="3"/>
  <c r="B24" i="2"/>
  <c r="C24" i="2"/>
  <c r="AG24" i="1"/>
  <c r="AH24" i="1"/>
  <c r="AI24" i="1"/>
  <c r="E24" i="3" s="1"/>
  <c r="AJ24" i="1"/>
  <c r="AK24" i="1"/>
  <c r="AL24" i="1"/>
  <c r="I24" i="3" s="1"/>
  <c r="AM24" i="1"/>
  <c r="AN24" i="1"/>
  <c r="AO24" i="1"/>
  <c r="M24" i="3" s="1"/>
  <c r="AP24" i="1"/>
  <c r="AQ24" i="1"/>
  <c r="AR24" i="1"/>
  <c r="Q24" i="3" s="1"/>
  <c r="AS24" i="1"/>
  <c r="AT24" i="1"/>
  <c r="AU24" i="1"/>
  <c r="U24" i="3" s="1"/>
  <c r="T24" i="1"/>
  <c r="U24" i="1"/>
  <c r="V24" i="1"/>
  <c r="W24" i="1"/>
  <c r="X24" i="1"/>
  <c r="Y24" i="1"/>
  <c r="A24" i="3"/>
  <c r="B23" i="3"/>
  <c r="B23" i="2"/>
  <c r="C23" i="2"/>
  <c r="BM23" i="1"/>
  <c r="C23" i="3" s="1"/>
  <c r="BN23" i="1"/>
  <c r="D23" i="3" s="1"/>
  <c r="BO23" i="1"/>
  <c r="BP23" i="1"/>
  <c r="G23" i="3" s="1"/>
  <c r="BQ23" i="1"/>
  <c r="H23" i="3" s="1"/>
  <c r="BR23" i="1"/>
  <c r="BS23" i="1"/>
  <c r="K23" i="3" s="1"/>
  <c r="BT23" i="1"/>
  <c r="L23" i="3" s="1"/>
  <c r="BU23" i="1"/>
  <c r="BV23" i="1"/>
  <c r="BW23" i="1"/>
  <c r="P23" i="3" s="1"/>
  <c r="BX23" i="1"/>
  <c r="BY23" i="1"/>
  <c r="S23" i="3" s="1"/>
  <c r="BZ23" i="1"/>
  <c r="T23" i="3" s="1"/>
  <c r="CA23" i="1"/>
  <c r="AG23" i="1"/>
  <c r="AH23" i="1"/>
  <c r="AI23" i="1"/>
  <c r="E23" i="3" s="1"/>
  <c r="AJ23" i="1"/>
  <c r="AK23" i="1"/>
  <c r="AL23" i="1"/>
  <c r="I23" i="3" s="1"/>
  <c r="AM23" i="1"/>
  <c r="AN23" i="1"/>
  <c r="AO23" i="1"/>
  <c r="M23" i="3" s="1"/>
  <c r="AP23" i="1"/>
  <c r="AQ23" i="1"/>
  <c r="AR23" i="1"/>
  <c r="Q23" i="3" s="1"/>
  <c r="AS23" i="1"/>
  <c r="AT23" i="1"/>
  <c r="AU23" i="1"/>
  <c r="U23" i="3" s="1"/>
  <c r="T23" i="1"/>
  <c r="U23" i="1"/>
  <c r="V23" i="1"/>
  <c r="W23" i="1"/>
  <c r="X23" i="1"/>
  <c r="Y23" i="1"/>
  <c r="A23" i="3"/>
  <c r="B22" i="3"/>
  <c r="B22" i="2"/>
  <c r="C22" i="2"/>
  <c r="BM22" i="1"/>
  <c r="C22" i="3" s="1"/>
  <c r="BN22" i="1"/>
  <c r="D22" i="3" s="1"/>
  <c r="BO22" i="1"/>
  <c r="BP22" i="1"/>
  <c r="G22" i="3" s="1"/>
  <c r="BQ22" i="1"/>
  <c r="H22" i="3" s="1"/>
  <c r="BR22" i="1"/>
  <c r="BS22" i="1"/>
  <c r="K22" i="3" s="1"/>
  <c r="BT22" i="1"/>
  <c r="L22" i="3" s="1"/>
  <c r="BU22" i="1"/>
  <c r="BV22" i="1"/>
  <c r="BW22" i="1"/>
  <c r="BX22" i="1"/>
  <c r="BY22" i="1"/>
  <c r="S22" i="3" s="1"/>
  <c r="BZ22" i="1"/>
  <c r="T22" i="3" s="1"/>
  <c r="CA22" i="1"/>
  <c r="AG22" i="1"/>
  <c r="AH22" i="1"/>
  <c r="AI22" i="1"/>
  <c r="E22" i="3" s="1"/>
  <c r="AJ22" i="1"/>
  <c r="AK22" i="1"/>
  <c r="AL22" i="1"/>
  <c r="I22" i="3" s="1"/>
  <c r="AM22" i="1"/>
  <c r="AN22" i="1"/>
  <c r="AO22" i="1"/>
  <c r="M22" i="3" s="1"/>
  <c r="AP22" i="1"/>
  <c r="AQ22" i="1"/>
  <c r="AR22" i="1"/>
  <c r="Q22" i="3" s="1"/>
  <c r="AS22" i="1"/>
  <c r="AT22" i="1"/>
  <c r="AU22" i="1"/>
  <c r="U22" i="3" s="1"/>
  <c r="T22" i="1"/>
  <c r="U22" i="1"/>
  <c r="V22" i="1"/>
  <c r="W22" i="1"/>
  <c r="X22" i="1"/>
  <c r="Y22" i="1"/>
  <c r="A22" i="3"/>
  <c r="A21" i="3"/>
  <c r="B21" i="3"/>
  <c r="B21" i="2"/>
  <c r="BM21" i="1"/>
  <c r="C21" i="3" s="1"/>
  <c r="BN21" i="1"/>
  <c r="D21" i="3" s="1"/>
  <c r="BO21" i="1"/>
  <c r="BP21" i="1"/>
  <c r="G21" i="3" s="1"/>
  <c r="BQ21" i="1"/>
  <c r="H21" i="3" s="1"/>
  <c r="BR21" i="1"/>
  <c r="BS21" i="1"/>
  <c r="K21" i="3" s="1"/>
  <c r="BT21" i="1"/>
  <c r="L21" i="3" s="1"/>
  <c r="BU21" i="1"/>
  <c r="BV21" i="1"/>
  <c r="BW21" i="1"/>
  <c r="BX21" i="1"/>
  <c r="BY21" i="1"/>
  <c r="S21" i="3" s="1"/>
  <c r="BZ21" i="1"/>
  <c r="T21" i="3" s="1"/>
  <c r="CA21" i="1"/>
  <c r="AG21" i="1"/>
  <c r="AH21" i="1"/>
  <c r="AI21" i="1"/>
  <c r="E21" i="3" s="1"/>
  <c r="AJ21" i="1"/>
  <c r="AK21" i="1"/>
  <c r="AL21" i="1"/>
  <c r="I21" i="3" s="1"/>
  <c r="AM21" i="1"/>
  <c r="AN21" i="1"/>
  <c r="AO21" i="1"/>
  <c r="M21" i="3" s="1"/>
  <c r="AP21" i="1"/>
  <c r="AQ21" i="1"/>
  <c r="AR21" i="1"/>
  <c r="Q21" i="3" s="1"/>
  <c r="AS21" i="1"/>
  <c r="AT21" i="1"/>
  <c r="AU21" i="1"/>
  <c r="U21" i="3" s="1"/>
  <c r="T21" i="1"/>
  <c r="U21" i="1"/>
  <c r="V21" i="1"/>
  <c r="W21" i="1"/>
  <c r="X21" i="1"/>
  <c r="Y21" i="1"/>
  <c r="C21" i="2"/>
  <c r="A21" i="2"/>
  <c r="B20" i="3"/>
  <c r="B20" i="2"/>
  <c r="BM20" i="1"/>
  <c r="C20" i="3" s="1"/>
  <c r="BN20" i="1"/>
  <c r="D20" i="3" s="1"/>
  <c r="BO20" i="1"/>
  <c r="BP20" i="1"/>
  <c r="G20" i="3" s="1"/>
  <c r="BQ20" i="1"/>
  <c r="H20" i="3" s="1"/>
  <c r="BR20" i="1"/>
  <c r="BS20" i="1"/>
  <c r="K20" i="3" s="1"/>
  <c r="BT20" i="1"/>
  <c r="L20" i="3" s="1"/>
  <c r="BU20" i="1"/>
  <c r="BV20" i="1"/>
  <c r="BW20" i="1"/>
  <c r="P20" i="3" s="1"/>
  <c r="BX20" i="1"/>
  <c r="BY20" i="1"/>
  <c r="S20" i="3" s="1"/>
  <c r="BZ20" i="1"/>
  <c r="T20" i="3" s="1"/>
  <c r="CA20" i="1"/>
  <c r="AG20" i="1"/>
  <c r="AH20" i="1"/>
  <c r="AI20" i="1"/>
  <c r="E20" i="3" s="1"/>
  <c r="AJ20" i="1"/>
  <c r="AK20" i="1"/>
  <c r="AL20" i="1"/>
  <c r="I20" i="3" s="1"/>
  <c r="AM20" i="1"/>
  <c r="AN20" i="1"/>
  <c r="AO20" i="1"/>
  <c r="M20" i="3" s="1"/>
  <c r="AP20" i="1"/>
  <c r="AQ20" i="1"/>
  <c r="AR20" i="1"/>
  <c r="Q20" i="3" s="1"/>
  <c r="AS20" i="1"/>
  <c r="AT20" i="1"/>
  <c r="AU20" i="1"/>
  <c r="U20" i="3" s="1"/>
  <c r="T20" i="1"/>
  <c r="U20" i="1"/>
  <c r="V20" i="1"/>
  <c r="W20" i="1"/>
  <c r="X20" i="1"/>
  <c r="Y20" i="1"/>
  <c r="D20" i="1"/>
  <c r="C20" i="2" s="1"/>
  <c r="B20" i="1"/>
  <c r="A20" i="2" s="1"/>
  <c r="J22" i="3" l="1"/>
  <c r="J24" i="3"/>
  <c r="F25" i="3"/>
  <c r="N21" i="3"/>
  <c r="F23" i="3"/>
  <c r="P21" i="3"/>
  <c r="N25" i="3"/>
  <c r="O20" i="3"/>
  <c r="R20" i="3" s="1"/>
  <c r="O21" i="3"/>
  <c r="J25" i="3"/>
  <c r="N24" i="3"/>
  <c r="P22" i="3"/>
  <c r="V23" i="3"/>
  <c r="J21" i="3"/>
  <c r="V25" i="3"/>
  <c r="N20" i="3"/>
  <c r="V21" i="3"/>
  <c r="F22" i="3"/>
  <c r="N23" i="3"/>
  <c r="V20" i="3"/>
  <c r="F21" i="3"/>
  <c r="V24" i="3"/>
  <c r="N22" i="3"/>
  <c r="J20" i="3"/>
  <c r="V22" i="3"/>
  <c r="F20" i="3"/>
  <c r="J23" i="3"/>
  <c r="R24" i="3"/>
  <c r="R25" i="3"/>
  <c r="F24" i="3"/>
  <c r="O23" i="3"/>
  <c r="R23" i="3" s="1"/>
  <c r="A22" i="2"/>
  <c r="O22" i="3"/>
  <c r="A23" i="2"/>
  <c r="A24" i="2"/>
  <c r="A25" i="3"/>
  <c r="A20" i="3"/>
  <c r="B17" i="3"/>
  <c r="B18" i="3"/>
  <c r="B19" i="3"/>
  <c r="B17" i="2"/>
  <c r="G17" i="2"/>
  <c r="B18" i="2"/>
  <c r="B19" i="2"/>
  <c r="BM19" i="1"/>
  <c r="C19" i="3" s="1"/>
  <c r="BN19" i="1"/>
  <c r="D19" i="3" s="1"/>
  <c r="BO19" i="1"/>
  <c r="BP19" i="1"/>
  <c r="G19" i="3" s="1"/>
  <c r="BQ19" i="1"/>
  <c r="H19" i="3" s="1"/>
  <c r="BR19" i="1"/>
  <c r="BS19" i="1"/>
  <c r="K19" i="3" s="1"/>
  <c r="BT19" i="1"/>
  <c r="L19" i="3" s="1"/>
  <c r="BU19" i="1"/>
  <c r="BV19" i="1"/>
  <c r="BW19" i="1"/>
  <c r="P19" i="3" s="1"/>
  <c r="BX19" i="1"/>
  <c r="BY19" i="1"/>
  <c r="S19" i="3" s="1"/>
  <c r="BZ19" i="1"/>
  <c r="T19" i="3" s="1"/>
  <c r="CA19" i="1"/>
  <c r="AG19" i="1"/>
  <c r="AH19" i="1"/>
  <c r="AI19" i="1"/>
  <c r="E19" i="3" s="1"/>
  <c r="AJ19" i="1"/>
  <c r="AK19" i="1"/>
  <c r="AL19" i="1"/>
  <c r="I19" i="3" s="1"/>
  <c r="AM19" i="1"/>
  <c r="AN19" i="1"/>
  <c r="AO19" i="1"/>
  <c r="M19" i="3" s="1"/>
  <c r="AP19" i="1"/>
  <c r="AQ19" i="1"/>
  <c r="AR19" i="1"/>
  <c r="Q19" i="3" s="1"/>
  <c r="AS19" i="1"/>
  <c r="AT19" i="1"/>
  <c r="AU19" i="1"/>
  <c r="U19" i="3" s="1"/>
  <c r="T19" i="1"/>
  <c r="U19" i="1"/>
  <c r="V19" i="1"/>
  <c r="W19" i="1"/>
  <c r="X19" i="1"/>
  <c r="Y19" i="1"/>
  <c r="D19" i="1"/>
  <c r="C19" i="2" s="1"/>
  <c r="B19" i="1"/>
  <c r="A19" i="2" s="1"/>
  <c r="BM18" i="1"/>
  <c r="C18" i="3" s="1"/>
  <c r="BN18" i="1"/>
  <c r="D18" i="3" s="1"/>
  <c r="BO18" i="1"/>
  <c r="BP18" i="1"/>
  <c r="G18" i="3" s="1"/>
  <c r="BQ18" i="1"/>
  <c r="H18" i="3" s="1"/>
  <c r="BR18" i="1"/>
  <c r="BS18" i="1"/>
  <c r="K18" i="3" s="1"/>
  <c r="BT18" i="1"/>
  <c r="L18" i="3" s="1"/>
  <c r="BU18" i="1"/>
  <c r="BV18" i="1"/>
  <c r="O18" i="3" s="1"/>
  <c r="BW18" i="1"/>
  <c r="BX18" i="1"/>
  <c r="BY18" i="1"/>
  <c r="S18" i="3" s="1"/>
  <c r="BZ18" i="1"/>
  <c r="T18" i="3" s="1"/>
  <c r="CA18" i="1"/>
  <c r="AG17" i="1"/>
  <c r="AH17" i="1"/>
  <c r="AI17" i="1"/>
  <c r="E17" i="3" s="1"/>
  <c r="AJ17" i="1"/>
  <c r="AK17" i="1"/>
  <c r="AL17" i="1"/>
  <c r="I17" i="3" s="1"/>
  <c r="AM17" i="1"/>
  <c r="AN17" i="1"/>
  <c r="AO17" i="1"/>
  <c r="M17" i="3" s="1"/>
  <c r="AP17" i="1"/>
  <c r="AQ17" i="1"/>
  <c r="AR17" i="1"/>
  <c r="Q17" i="3" s="1"/>
  <c r="AS17" i="1"/>
  <c r="AT17" i="1"/>
  <c r="AU17" i="1"/>
  <c r="U17" i="3" s="1"/>
  <c r="AG18" i="1"/>
  <c r="AH18" i="1"/>
  <c r="AI18" i="1"/>
  <c r="E18" i="3" s="1"/>
  <c r="AJ18" i="1"/>
  <c r="AK18" i="1"/>
  <c r="AL18" i="1"/>
  <c r="I18" i="3" s="1"/>
  <c r="AM18" i="1"/>
  <c r="AN18" i="1"/>
  <c r="AO18" i="1"/>
  <c r="M18" i="3" s="1"/>
  <c r="AP18" i="1"/>
  <c r="AQ18" i="1"/>
  <c r="AR18" i="1"/>
  <c r="Q18" i="3" s="1"/>
  <c r="AS18" i="1"/>
  <c r="AT18" i="1"/>
  <c r="AU18" i="1"/>
  <c r="U18" i="3" s="1"/>
  <c r="T17" i="1"/>
  <c r="U17" i="1"/>
  <c r="V17" i="1"/>
  <c r="X17" i="1"/>
  <c r="Y17" i="1"/>
  <c r="AE17" i="1" s="1"/>
  <c r="I17" i="2" s="1"/>
  <c r="T18" i="1"/>
  <c r="U18" i="1"/>
  <c r="V18" i="1"/>
  <c r="W18" i="1"/>
  <c r="X18" i="1"/>
  <c r="Y18" i="1"/>
  <c r="B18" i="1"/>
  <c r="A18" i="3" s="1"/>
  <c r="D18" i="1"/>
  <c r="C18" i="2" s="1"/>
  <c r="B16" i="2"/>
  <c r="BM17" i="1"/>
  <c r="C17" i="3" s="1"/>
  <c r="BN17" i="1"/>
  <c r="D17" i="3" s="1"/>
  <c r="BO17" i="1"/>
  <c r="BP17" i="1"/>
  <c r="G17" i="3" s="1"/>
  <c r="BQ17" i="1"/>
  <c r="H17" i="3" s="1"/>
  <c r="BR17" i="1"/>
  <c r="BS17" i="1"/>
  <c r="K17" i="3" s="1"/>
  <c r="BT17" i="1"/>
  <c r="L17" i="3" s="1"/>
  <c r="BU17" i="1"/>
  <c r="BV17" i="1"/>
  <c r="O17" i="3" s="1"/>
  <c r="BW17" i="1"/>
  <c r="P17" i="3" s="1"/>
  <c r="BX17" i="1"/>
  <c r="BY17" i="1"/>
  <c r="S17" i="3" s="1"/>
  <c r="BZ17" i="1"/>
  <c r="T17" i="3" s="1"/>
  <c r="CA17" i="1"/>
  <c r="D17" i="1"/>
  <c r="C17" i="2" s="1"/>
  <c r="B17" i="1"/>
  <c r="A17" i="3" s="1"/>
  <c r="R21" i="3" l="1"/>
  <c r="R22" i="3"/>
  <c r="F19" i="3"/>
  <c r="J19" i="3"/>
  <c r="J17" i="3"/>
  <c r="N18" i="3"/>
  <c r="F17" i="3"/>
  <c r="J18" i="3"/>
  <c r="R17" i="3"/>
  <c r="N17" i="3"/>
  <c r="F18" i="3"/>
  <c r="N19" i="3"/>
  <c r="A19" i="3"/>
  <c r="A18" i="2"/>
  <c r="V18" i="3"/>
  <c r="A17" i="2"/>
  <c r="V19" i="3"/>
  <c r="O19" i="3"/>
  <c r="R19" i="3" s="1"/>
  <c r="P18" i="3"/>
  <c r="R18" i="3" s="1"/>
  <c r="AD20" i="4"/>
  <c r="AD21" i="4" s="1"/>
  <c r="AD18" i="4"/>
  <c r="AD19" i="4" s="1"/>
  <c r="AE19" i="4"/>
  <c r="AE21" i="4" s="1"/>
  <c r="AE18" i="4"/>
  <c r="AE20" i="4" s="1"/>
  <c r="AE17" i="4"/>
  <c r="AE16" i="4"/>
  <c r="B16" i="3" l="1"/>
  <c r="BM16" i="1"/>
  <c r="C16" i="3" s="1"/>
  <c r="BN16" i="1"/>
  <c r="D16" i="3" s="1"/>
  <c r="BO16" i="1"/>
  <c r="BP16" i="1"/>
  <c r="G16" i="3" s="1"/>
  <c r="BQ16" i="1"/>
  <c r="H16" i="3" s="1"/>
  <c r="BR16" i="1"/>
  <c r="BS16" i="1"/>
  <c r="K16" i="3" s="1"/>
  <c r="BT16" i="1"/>
  <c r="L16" i="3" s="1"/>
  <c r="BU16" i="1"/>
  <c r="BV16" i="1"/>
  <c r="BW16" i="1"/>
  <c r="P16" i="3" s="1"/>
  <c r="BX16" i="1"/>
  <c r="BY16" i="1"/>
  <c r="S16" i="3" s="1"/>
  <c r="BZ16" i="1"/>
  <c r="T16" i="3" s="1"/>
  <c r="CA16" i="1"/>
  <c r="AJ16" i="1"/>
  <c r="AK16" i="1"/>
  <c r="AL16" i="1"/>
  <c r="I16" i="3" s="1"/>
  <c r="AM16" i="1"/>
  <c r="AN16" i="1"/>
  <c r="AO16" i="1"/>
  <c r="M16" i="3" s="1"/>
  <c r="AP16" i="1"/>
  <c r="AQ16" i="1"/>
  <c r="AR16" i="1"/>
  <c r="Q16" i="3" s="1"/>
  <c r="AS16" i="1"/>
  <c r="AT16" i="1"/>
  <c r="AU16" i="1"/>
  <c r="U16" i="3" s="1"/>
  <c r="AG15" i="1"/>
  <c r="AH15" i="1"/>
  <c r="AI15" i="1"/>
  <c r="AG16" i="1"/>
  <c r="AH16" i="1"/>
  <c r="AI16" i="1"/>
  <c r="E16" i="3" s="1"/>
  <c r="T16" i="1"/>
  <c r="U16" i="1"/>
  <c r="V16" i="1"/>
  <c r="W16" i="1"/>
  <c r="X16" i="1"/>
  <c r="Y16" i="1"/>
  <c r="D16" i="1"/>
  <c r="C16" i="2" s="1"/>
  <c r="T15" i="1"/>
  <c r="U15" i="1"/>
  <c r="V15" i="1"/>
  <c r="W15" i="1"/>
  <c r="X15" i="1"/>
  <c r="Y15" i="1"/>
  <c r="AJ15" i="1"/>
  <c r="AK15" i="1"/>
  <c r="AL15" i="1"/>
  <c r="AM15" i="1"/>
  <c r="AN15" i="1"/>
  <c r="AO15" i="1"/>
  <c r="AP15" i="1"/>
  <c r="AQ15" i="1"/>
  <c r="AR15" i="1"/>
  <c r="AS15" i="1"/>
  <c r="AT15" i="1"/>
  <c r="AU15" i="1"/>
  <c r="U15" i="3" s="1"/>
  <c r="BM15" i="1"/>
  <c r="BN15" i="1"/>
  <c r="BO15" i="1"/>
  <c r="BP15" i="1"/>
  <c r="BQ15" i="1"/>
  <c r="B16" i="1"/>
  <c r="A16" i="3" s="1"/>
  <c r="BM14" i="1"/>
  <c r="BN14" i="1"/>
  <c r="BO14" i="1"/>
  <c r="BP14" i="1"/>
  <c r="BQ14" i="1"/>
  <c r="BR14" i="1"/>
  <c r="BS14" i="1"/>
  <c r="BT14" i="1"/>
  <c r="BU14" i="1"/>
  <c r="BV14" i="1"/>
  <c r="BW14" i="1"/>
  <c r="BX14" i="1"/>
  <c r="BY14" i="1"/>
  <c r="S14" i="3" s="1"/>
  <c r="BZ14" i="1"/>
  <c r="T14" i="3" s="1"/>
  <c r="CA14" i="1"/>
  <c r="T10" i="1"/>
  <c r="U10" i="1"/>
  <c r="V10" i="1"/>
  <c r="T11" i="1"/>
  <c r="U11" i="1"/>
  <c r="V11" i="1"/>
  <c r="T12" i="1"/>
  <c r="U12" i="1"/>
  <c r="V12" i="1"/>
  <c r="T13" i="1"/>
  <c r="U13" i="1"/>
  <c r="V13" i="1"/>
  <c r="T14" i="1"/>
  <c r="U14" i="1"/>
  <c r="V14" i="1"/>
  <c r="B15" i="3"/>
  <c r="B15" i="2"/>
  <c r="D15" i="1"/>
  <c r="C15" i="2" s="1"/>
  <c r="B15" i="1"/>
  <c r="A15" i="2" s="1"/>
  <c r="AB106" i="1" l="1"/>
  <c r="F106" i="2" s="1"/>
  <c r="AB107" i="1"/>
  <c r="F107" i="2" s="1"/>
  <c r="Q107" i="2" s="1"/>
  <c r="AB105" i="1"/>
  <c r="F105" i="2" s="1"/>
  <c r="Z106" i="1"/>
  <c r="D106" i="2" s="1"/>
  <c r="O106" i="2" s="1"/>
  <c r="Z105" i="1"/>
  <c r="D105" i="2" s="1"/>
  <c r="Z107" i="1"/>
  <c r="D107" i="2" s="1"/>
  <c r="O107" i="2" s="1"/>
  <c r="AB103" i="1"/>
  <c r="F103" i="2" s="1"/>
  <c r="AB104" i="1"/>
  <c r="F104" i="2" s="1"/>
  <c r="Q104" i="2" s="1"/>
  <c r="Z104" i="1"/>
  <c r="D104" i="2" s="1"/>
  <c r="Z103" i="1"/>
  <c r="D103" i="2" s="1"/>
  <c r="O103" i="2" s="1"/>
  <c r="Z101" i="1"/>
  <c r="D101" i="2" s="1"/>
  <c r="Z100" i="1"/>
  <c r="D100" i="2" s="1"/>
  <c r="AB102" i="1"/>
  <c r="F102" i="2" s="1"/>
  <c r="AB101" i="1"/>
  <c r="F101" i="2" s="1"/>
  <c r="Q101" i="2" s="1"/>
  <c r="AB100" i="1"/>
  <c r="F100" i="2" s="1"/>
  <c r="AB99" i="1"/>
  <c r="F99" i="2" s="1"/>
  <c r="AB98" i="1"/>
  <c r="F98" i="2" s="1"/>
  <c r="AB97" i="1"/>
  <c r="F97" i="2" s="1"/>
  <c r="AB92" i="1"/>
  <c r="F92" i="2" s="1"/>
  <c r="AB96" i="1"/>
  <c r="F96" i="2" s="1"/>
  <c r="AB89" i="1"/>
  <c r="F89" i="2" s="1"/>
  <c r="AB95" i="1"/>
  <c r="F95" i="2" s="1"/>
  <c r="AB94" i="1"/>
  <c r="F94" i="2" s="1"/>
  <c r="AB93" i="1"/>
  <c r="F93" i="2" s="1"/>
  <c r="AB90" i="1"/>
  <c r="F90" i="2" s="1"/>
  <c r="AB91" i="1"/>
  <c r="F91" i="2" s="1"/>
  <c r="AB87" i="1"/>
  <c r="F87" i="2" s="1"/>
  <c r="AB88" i="1"/>
  <c r="F88" i="2" s="1"/>
  <c r="Q88" i="2" s="1"/>
  <c r="AB86" i="1"/>
  <c r="F86" i="2" s="1"/>
  <c r="AB85" i="1"/>
  <c r="F85" i="2" s="1"/>
  <c r="Z99" i="1"/>
  <c r="D99" i="2" s="1"/>
  <c r="Z98" i="1"/>
  <c r="D98" i="2" s="1"/>
  <c r="Z97" i="1"/>
  <c r="D97" i="2" s="1"/>
  <c r="Z90" i="1"/>
  <c r="D90" i="2" s="1"/>
  <c r="Z92" i="1"/>
  <c r="D92" i="2" s="1"/>
  <c r="Z93" i="1"/>
  <c r="D93" i="2" s="1"/>
  <c r="Z96" i="1"/>
  <c r="D96" i="2" s="1"/>
  <c r="Z89" i="1"/>
  <c r="D89" i="2" s="1"/>
  <c r="Z95" i="1"/>
  <c r="D95" i="2" s="1"/>
  <c r="Z94" i="1"/>
  <c r="D94" i="2" s="1"/>
  <c r="Z91" i="1"/>
  <c r="D91" i="2" s="1"/>
  <c r="Z88" i="1"/>
  <c r="D88" i="2" s="1"/>
  <c r="O88" i="2" s="1"/>
  <c r="Z87" i="1"/>
  <c r="D87" i="2" s="1"/>
  <c r="Z86" i="1"/>
  <c r="D86" i="2" s="1"/>
  <c r="Z85" i="1"/>
  <c r="D85" i="2" s="1"/>
  <c r="AB82" i="1"/>
  <c r="F82" i="2" s="1"/>
  <c r="Q82" i="2" s="1"/>
  <c r="AB84" i="1"/>
  <c r="F84" i="2" s="1"/>
  <c r="Z82" i="1"/>
  <c r="D82" i="2" s="1"/>
  <c r="O82" i="2" s="1"/>
  <c r="Z84" i="1"/>
  <c r="D84" i="2" s="1"/>
  <c r="AB80" i="1"/>
  <c r="AB78" i="1"/>
  <c r="F78" i="2" s="1"/>
  <c r="Q78" i="2" s="1"/>
  <c r="Z80" i="1"/>
  <c r="Z78" i="1"/>
  <c r="D78" i="2" s="1"/>
  <c r="O78" i="2" s="1"/>
  <c r="AB74" i="1"/>
  <c r="F74" i="2" s="1"/>
  <c r="AB73" i="1"/>
  <c r="F73" i="2" s="1"/>
  <c r="AB70" i="1"/>
  <c r="F70" i="2" s="1"/>
  <c r="AB67" i="1"/>
  <c r="F67" i="2" s="1"/>
  <c r="AB68" i="1"/>
  <c r="F68" i="2" s="1"/>
  <c r="AA74" i="1"/>
  <c r="E74" i="2" s="1"/>
  <c r="AA73" i="1"/>
  <c r="E73" i="2" s="1"/>
  <c r="AA70" i="1"/>
  <c r="E70" i="2" s="1"/>
  <c r="AA68" i="1"/>
  <c r="E68" i="2" s="1"/>
  <c r="AA67" i="1"/>
  <c r="E67" i="2" s="1"/>
  <c r="Z74" i="1"/>
  <c r="D74" i="2" s="1"/>
  <c r="Z73" i="1"/>
  <c r="D73" i="2" s="1"/>
  <c r="Z70" i="1"/>
  <c r="D70" i="2" s="1"/>
  <c r="Z68" i="1"/>
  <c r="D68" i="2" s="1"/>
  <c r="Z67" i="1"/>
  <c r="D67" i="2" s="1"/>
  <c r="AB65" i="1"/>
  <c r="F65" i="2" s="1"/>
  <c r="AB61" i="1"/>
  <c r="F61" i="2" s="1"/>
  <c r="AB62" i="1"/>
  <c r="F62" i="2" s="1"/>
  <c r="AA61" i="1"/>
  <c r="E61" i="2" s="1"/>
  <c r="AA65" i="1"/>
  <c r="E65" i="2" s="1"/>
  <c r="AA62" i="1"/>
  <c r="E62" i="2" s="1"/>
  <c r="Z64" i="1"/>
  <c r="D64" i="2" s="1"/>
  <c r="Z65" i="1"/>
  <c r="D65" i="2" s="1"/>
  <c r="Z62" i="1"/>
  <c r="D62" i="2" s="1"/>
  <c r="Z61" i="1"/>
  <c r="D61" i="2" s="1"/>
  <c r="AB53" i="1"/>
  <c r="F53" i="2" s="1"/>
  <c r="AB59" i="1"/>
  <c r="F59" i="2" s="1"/>
  <c r="AB56" i="1"/>
  <c r="F56" i="2" s="1"/>
  <c r="AB57" i="1"/>
  <c r="F57" i="2" s="1"/>
  <c r="AB45" i="1"/>
  <c r="F45" i="2" s="1"/>
  <c r="AB38" i="1"/>
  <c r="F38" i="2" s="1"/>
  <c r="AB50" i="1"/>
  <c r="F50" i="2" s="1"/>
  <c r="AB41" i="1"/>
  <c r="F41" i="2" s="1"/>
  <c r="AB40" i="1"/>
  <c r="F40" i="2" s="1"/>
  <c r="AB43" i="1"/>
  <c r="F43" i="2" s="1"/>
  <c r="AB47" i="1"/>
  <c r="F47" i="2" s="1"/>
  <c r="AB55" i="1"/>
  <c r="F55" i="2" s="1"/>
  <c r="AB51" i="1"/>
  <c r="F51" i="2" s="1"/>
  <c r="AB54" i="1"/>
  <c r="F54" i="2" s="1"/>
  <c r="AB58" i="1"/>
  <c r="F58" i="2" s="1"/>
  <c r="AB39" i="1"/>
  <c r="F39" i="2" s="1"/>
  <c r="AB42" i="1"/>
  <c r="F42" i="2" s="1"/>
  <c r="AB44" i="1"/>
  <c r="F44" i="2" s="1"/>
  <c r="Q44" i="2" s="1"/>
  <c r="AB52" i="1"/>
  <c r="F52" i="2" s="1"/>
  <c r="AB49" i="1"/>
  <c r="F49" i="2" s="1"/>
  <c r="AB46" i="1"/>
  <c r="F46" i="2" s="1"/>
  <c r="AB60" i="1"/>
  <c r="F60" i="2" s="1"/>
  <c r="AB48" i="1"/>
  <c r="F48" i="2" s="1"/>
  <c r="AB37" i="1"/>
  <c r="F37" i="2" s="1"/>
  <c r="AB36" i="1"/>
  <c r="F36" i="2" s="1"/>
  <c r="AA40" i="1"/>
  <c r="E40" i="2" s="1"/>
  <c r="AA39" i="1"/>
  <c r="E39" i="2" s="1"/>
  <c r="AA45" i="1"/>
  <c r="E45" i="2" s="1"/>
  <c r="AA54" i="1"/>
  <c r="E54" i="2" s="1"/>
  <c r="AA56" i="1"/>
  <c r="E56" i="2" s="1"/>
  <c r="AA60" i="1"/>
  <c r="E60" i="2" s="1"/>
  <c r="AA42" i="1"/>
  <c r="E42" i="2" s="1"/>
  <c r="P42" i="2" s="1"/>
  <c r="AA43" i="1"/>
  <c r="E43" i="2" s="1"/>
  <c r="AA38" i="1"/>
  <c r="E38" i="2" s="1"/>
  <c r="AA47" i="1"/>
  <c r="E47" i="2" s="1"/>
  <c r="P47" i="2" s="1"/>
  <c r="AA44" i="1"/>
  <c r="E44" i="2" s="1"/>
  <c r="AA55" i="1"/>
  <c r="E55" i="2" s="1"/>
  <c r="AA51" i="1"/>
  <c r="E51" i="2" s="1"/>
  <c r="AA52" i="1"/>
  <c r="E52" i="2" s="1"/>
  <c r="AA59" i="1"/>
  <c r="E59" i="2" s="1"/>
  <c r="AA58" i="1"/>
  <c r="E58" i="2" s="1"/>
  <c r="AA50" i="1"/>
  <c r="E50" i="2" s="1"/>
  <c r="AA49" i="1"/>
  <c r="E49" i="2" s="1"/>
  <c r="AA57" i="1"/>
  <c r="E57" i="2" s="1"/>
  <c r="AA48" i="1"/>
  <c r="E48" i="2" s="1"/>
  <c r="AA53" i="1"/>
  <c r="E53" i="2" s="1"/>
  <c r="AA37" i="1"/>
  <c r="E37" i="2" s="1"/>
  <c r="AA36" i="1"/>
  <c r="E36" i="2" s="1"/>
  <c r="Z58" i="1"/>
  <c r="D58" i="2" s="1"/>
  <c r="Z54" i="1"/>
  <c r="D54" i="2" s="1"/>
  <c r="Z51" i="1"/>
  <c r="D51" i="2" s="1"/>
  <c r="Z39" i="1"/>
  <c r="D39" i="2" s="1"/>
  <c r="Z48" i="1"/>
  <c r="D48" i="2" s="1"/>
  <c r="Z44" i="1"/>
  <c r="D44" i="2" s="1"/>
  <c r="Z42" i="1"/>
  <c r="D42" i="2" s="1"/>
  <c r="Z43" i="1"/>
  <c r="D43" i="2" s="1"/>
  <c r="Z40" i="1"/>
  <c r="D40" i="2" s="1"/>
  <c r="Z46" i="1"/>
  <c r="D46" i="2" s="1"/>
  <c r="Z60" i="1"/>
  <c r="D60" i="2" s="1"/>
  <c r="Z49" i="1"/>
  <c r="D49" i="2" s="1"/>
  <c r="Z55" i="1"/>
  <c r="D55" i="2" s="1"/>
  <c r="Z47" i="1"/>
  <c r="D47" i="2" s="1"/>
  <c r="Z41" i="1"/>
  <c r="D41" i="2" s="1"/>
  <c r="Z52" i="1"/>
  <c r="D52" i="2" s="1"/>
  <c r="Z38" i="1"/>
  <c r="D38" i="2" s="1"/>
  <c r="Z50" i="1"/>
  <c r="D50" i="2" s="1"/>
  <c r="Z53" i="1"/>
  <c r="D53" i="2" s="1"/>
  <c r="Z45" i="1"/>
  <c r="D45" i="2" s="1"/>
  <c r="Z57" i="1"/>
  <c r="D57" i="2" s="1"/>
  <c r="Z56" i="1"/>
  <c r="D56" i="2" s="1"/>
  <c r="Z59" i="1"/>
  <c r="D59" i="2" s="1"/>
  <c r="Z37" i="1"/>
  <c r="D37" i="2" s="1"/>
  <c r="Z36" i="1"/>
  <c r="D36" i="2" s="1"/>
  <c r="AB32" i="1"/>
  <c r="F32" i="2" s="1"/>
  <c r="AB28" i="1"/>
  <c r="F28" i="2" s="1"/>
  <c r="AB30" i="1"/>
  <c r="F30" i="2" s="1"/>
  <c r="AB31" i="1"/>
  <c r="F31" i="2" s="1"/>
  <c r="AB33" i="1"/>
  <c r="F33" i="2" s="1"/>
  <c r="AB34" i="1"/>
  <c r="F34" i="2" s="1"/>
  <c r="AB29" i="1"/>
  <c r="F29" i="2" s="1"/>
  <c r="AB35" i="1"/>
  <c r="F35" i="2" s="1"/>
  <c r="AB26" i="1"/>
  <c r="F26" i="2" s="1"/>
  <c r="AB27" i="1"/>
  <c r="F27" i="2" s="1"/>
  <c r="V16" i="3"/>
  <c r="Z32" i="1"/>
  <c r="D32" i="2" s="1"/>
  <c r="Z30" i="1"/>
  <c r="D30" i="2" s="1"/>
  <c r="Z29" i="1"/>
  <c r="D29" i="2" s="1"/>
  <c r="Z35" i="1"/>
  <c r="D35" i="2" s="1"/>
  <c r="Z26" i="1"/>
  <c r="D26" i="2" s="1"/>
  <c r="Z28" i="1"/>
  <c r="D28" i="2" s="1"/>
  <c r="Z33" i="1"/>
  <c r="D33" i="2" s="1"/>
  <c r="Z34" i="1"/>
  <c r="D34" i="2" s="1"/>
  <c r="Z31" i="1"/>
  <c r="D31" i="2" s="1"/>
  <c r="Z27" i="1"/>
  <c r="D27" i="2" s="1"/>
  <c r="N16" i="3"/>
  <c r="AA30" i="1"/>
  <c r="E30" i="2" s="1"/>
  <c r="AA28" i="1"/>
  <c r="E28" i="2" s="1"/>
  <c r="AA31" i="1"/>
  <c r="E31" i="2" s="1"/>
  <c r="AA32" i="1"/>
  <c r="E32" i="2" s="1"/>
  <c r="AA35" i="1"/>
  <c r="E35" i="2" s="1"/>
  <c r="AA33" i="1"/>
  <c r="E33" i="2" s="1"/>
  <c r="AA26" i="1"/>
  <c r="E26" i="2" s="1"/>
  <c r="AA29" i="1"/>
  <c r="E29" i="2" s="1"/>
  <c r="AA34" i="1"/>
  <c r="E34" i="2" s="1"/>
  <c r="AA27" i="1"/>
  <c r="E27" i="2" s="1"/>
  <c r="F16" i="3"/>
  <c r="J16" i="3"/>
  <c r="Z19" i="1"/>
  <c r="D19" i="2" s="1"/>
  <c r="Z24" i="1"/>
  <c r="D24" i="2" s="1"/>
  <c r="Z20" i="1"/>
  <c r="D20" i="2" s="1"/>
  <c r="Z22" i="1"/>
  <c r="D22" i="2" s="1"/>
  <c r="Z23" i="1"/>
  <c r="D23" i="2" s="1"/>
  <c r="Z21" i="1"/>
  <c r="D21" i="2" s="1"/>
  <c r="Z25" i="1"/>
  <c r="D25" i="2" s="1"/>
  <c r="AB19" i="1"/>
  <c r="F19" i="2" s="1"/>
  <c r="AB22" i="1"/>
  <c r="F22" i="2" s="1"/>
  <c r="AB23" i="1"/>
  <c r="F23" i="2" s="1"/>
  <c r="AB21" i="1"/>
  <c r="F21" i="2" s="1"/>
  <c r="AB25" i="1"/>
  <c r="F25" i="2" s="1"/>
  <c r="AB20" i="1"/>
  <c r="F20" i="2" s="1"/>
  <c r="AB24" i="1"/>
  <c r="F24" i="2" s="1"/>
  <c r="AA19" i="1"/>
  <c r="E19" i="2" s="1"/>
  <c r="AA22" i="1"/>
  <c r="E22" i="2" s="1"/>
  <c r="AA25" i="1"/>
  <c r="E25" i="2" s="1"/>
  <c r="AA20" i="1"/>
  <c r="E20" i="2" s="1"/>
  <c r="AA21" i="1"/>
  <c r="E21" i="2" s="1"/>
  <c r="AA24" i="1"/>
  <c r="E24" i="2" s="1"/>
  <c r="AA23" i="1"/>
  <c r="E23" i="2" s="1"/>
  <c r="O16" i="3"/>
  <c r="R16" i="3" s="1"/>
  <c r="AA18" i="1"/>
  <c r="E18" i="2" s="1"/>
  <c r="AA17" i="1"/>
  <c r="E17" i="2" s="1"/>
  <c r="AB17" i="1"/>
  <c r="F17" i="2" s="1"/>
  <c r="AB18" i="1"/>
  <c r="F18" i="2" s="1"/>
  <c r="Z17" i="1"/>
  <c r="D17" i="2" s="1"/>
  <c r="Z18" i="1"/>
  <c r="D18" i="2" s="1"/>
  <c r="AB16" i="1"/>
  <c r="F16" i="2" s="1"/>
  <c r="AA16" i="1"/>
  <c r="E16" i="2" s="1"/>
  <c r="AB15" i="1"/>
  <c r="F15" i="2" s="1"/>
  <c r="Z16" i="1"/>
  <c r="D16" i="2" s="1"/>
  <c r="AA15" i="1"/>
  <c r="E15" i="2" s="1"/>
  <c r="Z15" i="1"/>
  <c r="D15" i="2" s="1"/>
  <c r="A16" i="2"/>
  <c r="A15" i="3"/>
  <c r="W14" i="3"/>
  <c r="B14" i="3"/>
  <c r="B14" i="2"/>
  <c r="O105" i="2" l="1"/>
  <c r="Q105" i="2"/>
  <c r="Q46" i="2"/>
  <c r="Q97" i="2"/>
  <c r="Q106" i="2"/>
  <c r="O104" i="2"/>
  <c r="O98" i="2"/>
  <c r="Q103" i="2"/>
  <c r="O89" i="2"/>
  <c r="O85" i="2"/>
  <c r="Q89" i="2"/>
  <c r="Q102" i="2"/>
  <c r="O100" i="2"/>
  <c r="O95" i="2"/>
  <c r="O99" i="2"/>
  <c r="Q100" i="2"/>
  <c r="O101" i="2"/>
  <c r="O102" i="2"/>
  <c r="Q86" i="2"/>
  <c r="O86" i="2"/>
  <c r="Q96" i="2"/>
  <c r="O87" i="2"/>
  <c r="O93" i="2"/>
  <c r="O92" i="2"/>
  <c r="Q87" i="2"/>
  <c r="Q92" i="2"/>
  <c r="Q85" i="2"/>
  <c r="O96" i="2"/>
  <c r="O97" i="2"/>
  <c r="Q91" i="2"/>
  <c r="Q90" i="2"/>
  <c r="Q98" i="2"/>
  <c r="Q95" i="2"/>
  <c r="O91" i="2"/>
  <c r="O90" i="2"/>
  <c r="O94" i="2"/>
  <c r="Q94" i="2"/>
  <c r="Q93" i="2"/>
  <c r="Q99" i="2"/>
  <c r="O47" i="2"/>
  <c r="Q75" i="2"/>
  <c r="Q74" i="2"/>
  <c r="P75" i="2"/>
  <c r="P74" i="2"/>
  <c r="O75" i="2"/>
  <c r="O74" i="2"/>
  <c r="O65" i="2"/>
  <c r="O61" i="2"/>
  <c r="O62" i="2"/>
  <c r="P53" i="2"/>
  <c r="O55" i="2"/>
  <c r="P48" i="2"/>
  <c r="Q51" i="2"/>
  <c r="O68" i="2"/>
  <c r="O19" i="2"/>
  <c r="O43" i="2"/>
  <c r="Q49" i="2"/>
  <c r="Q57" i="2"/>
  <c r="P68" i="2"/>
  <c r="Q68" i="2"/>
  <c r="O57" i="2"/>
  <c r="O48" i="2"/>
  <c r="P55" i="2"/>
  <c r="O45" i="2"/>
  <c r="Q62" i="2"/>
  <c r="Q39" i="2"/>
  <c r="P62" i="2"/>
  <c r="P61" i="2"/>
  <c r="Q48" i="2"/>
  <c r="O37" i="2"/>
  <c r="O39" i="2"/>
  <c r="P44" i="2"/>
  <c r="Q37" i="2"/>
  <c r="Q41" i="2"/>
  <c r="Q54" i="2"/>
  <c r="O59" i="2"/>
  <c r="P52" i="2"/>
  <c r="Q52" i="2"/>
  <c r="Q60" i="2"/>
  <c r="Q61" i="2"/>
  <c r="O52" i="2"/>
  <c r="O49" i="2"/>
  <c r="P57" i="2"/>
  <c r="P59" i="2"/>
  <c r="Q55" i="2"/>
  <c r="P45" i="2"/>
  <c r="P46" i="2"/>
  <c r="Q25" i="2"/>
  <c r="O22" i="2"/>
  <c r="O53" i="2"/>
  <c r="O41" i="2"/>
  <c r="O60" i="2"/>
  <c r="O42" i="2"/>
  <c r="O51" i="2"/>
  <c r="P37" i="2"/>
  <c r="P49" i="2"/>
  <c r="P60" i="2"/>
  <c r="P39" i="2"/>
  <c r="Q58" i="2"/>
  <c r="Q47" i="2"/>
  <c r="Q50" i="2"/>
  <c r="Q56" i="2"/>
  <c r="P36" i="2"/>
  <c r="P21" i="2"/>
  <c r="Q21" i="2"/>
  <c r="O20" i="2"/>
  <c r="O56" i="2"/>
  <c r="O50" i="2"/>
  <c r="O46" i="2"/>
  <c r="O44" i="2"/>
  <c r="O54" i="2"/>
  <c r="P50" i="2"/>
  <c r="P51" i="2"/>
  <c r="P38" i="2"/>
  <c r="P56" i="2"/>
  <c r="P40" i="2"/>
  <c r="P41" i="2"/>
  <c r="Q43" i="2"/>
  <c r="Q38" i="2"/>
  <c r="Q59" i="2"/>
  <c r="O36" i="2"/>
  <c r="O38" i="2"/>
  <c r="O40" i="2"/>
  <c r="O58" i="2"/>
  <c r="P58" i="2"/>
  <c r="P43" i="2"/>
  <c r="P54" i="2"/>
  <c r="Q36" i="2"/>
  <c r="Q42" i="2"/>
  <c r="Q40" i="2"/>
  <c r="Q45" i="2"/>
  <c r="Q53" i="2"/>
  <c r="P22" i="2"/>
  <c r="Q18" i="2"/>
  <c r="P19" i="2"/>
  <c r="O25" i="2"/>
  <c r="O18" i="2"/>
  <c r="P20" i="2"/>
  <c r="O21" i="2"/>
  <c r="P25" i="2"/>
  <c r="Q20" i="2"/>
  <c r="Q22" i="2"/>
  <c r="P16" i="2"/>
  <c r="Q17" i="2"/>
  <c r="P17" i="2"/>
  <c r="O17" i="2"/>
  <c r="P18" i="2"/>
  <c r="Q19" i="2"/>
  <c r="Q16" i="2"/>
  <c r="O16" i="2"/>
  <c r="E15" i="3"/>
  <c r="W14" i="1"/>
  <c r="X14" i="1"/>
  <c r="Y14" i="1"/>
  <c r="I15" i="3" l="1"/>
  <c r="L14" i="3"/>
  <c r="K14" i="3"/>
  <c r="H14" i="3"/>
  <c r="D14" i="3"/>
  <c r="C14" i="3"/>
  <c r="AU14" i="1"/>
  <c r="U14" i="3" s="1"/>
  <c r="AT14" i="1"/>
  <c r="AS14" i="1"/>
  <c r="AR14" i="1"/>
  <c r="Q14" i="3" s="1"/>
  <c r="AQ14" i="1"/>
  <c r="AP14" i="1"/>
  <c r="AO14" i="1"/>
  <c r="M14" i="3" s="1"/>
  <c r="AN14" i="1"/>
  <c r="AM14" i="1"/>
  <c r="AL14" i="1"/>
  <c r="I14" i="3" s="1"/>
  <c r="AK14" i="1"/>
  <c r="AJ14" i="1"/>
  <c r="AI14" i="1"/>
  <c r="E14" i="3" s="1"/>
  <c r="AH14" i="1"/>
  <c r="AG14" i="1"/>
  <c r="AA14" i="1"/>
  <c r="AB14" i="1"/>
  <c r="F14" i="2" s="1"/>
  <c r="Z14" i="1"/>
  <c r="D14" i="2" s="1"/>
  <c r="D14" i="1"/>
  <c r="C14" i="2" s="1"/>
  <c r="B14" i="1"/>
  <c r="N14" i="3" l="1"/>
  <c r="F14" i="3"/>
  <c r="Q15" i="2"/>
  <c r="O15" i="2"/>
  <c r="M15" i="3"/>
  <c r="A14" i="2"/>
  <c r="A14" i="3"/>
  <c r="P14" i="3"/>
  <c r="O14" i="3"/>
  <c r="W13" i="3"/>
  <c r="B13" i="3"/>
  <c r="W12" i="3"/>
  <c r="B12" i="3"/>
  <c r="B13" i="2"/>
  <c r="B12" i="2"/>
  <c r="R14" i="3" l="1"/>
  <c r="V14" i="3"/>
  <c r="Q15" i="3"/>
  <c r="CA13" i="1"/>
  <c r="BZ13" i="1"/>
  <c r="T13" i="3" s="1"/>
  <c r="BY13" i="1"/>
  <c r="S13" i="3" s="1"/>
  <c r="BX13" i="1"/>
  <c r="BW13" i="1"/>
  <c r="BV13" i="1"/>
  <c r="BU13" i="1"/>
  <c r="BT13" i="1"/>
  <c r="L13" i="3" s="1"/>
  <c r="BS13" i="1"/>
  <c r="K13" i="3" s="1"/>
  <c r="BR13" i="1"/>
  <c r="BQ13" i="1"/>
  <c r="H13" i="3" s="1"/>
  <c r="BP13" i="1"/>
  <c r="G13" i="3" s="1"/>
  <c r="BO13" i="1"/>
  <c r="BN13" i="1"/>
  <c r="D13" i="3" s="1"/>
  <c r="BM13" i="1"/>
  <c r="C13" i="3" s="1"/>
  <c r="AU13" i="1"/>
  <c r="U13" i="3" s="1"/>
  <c r="AT13" i="1"/>
  <c r="AS13" i="1"/>
  <c r="AR13" i="1"/>
  <c r="Q13" i="3" s="1"/>
  <c r="AQ13" i="1"/>
  <c r="AP13" i="1"/>
  <c r="AO13" i="1"/>
  <c r="M13" i="3" s="1"/>
  <c r="AN13" i="1"/>
  <c r="AM13" i="1"/>
  <c r="AL13" i="1"/>
  <c r="I13" i="3" s="1"/>
  <c r="AK13" i="1"/>
  <c r="AJ13" i="1"/>
  <c r="AI13" i="1"/>
  <c r="E13" i="3" s="1"/>
  <c r="AH13" i="1"/>
  <c r="AG13" i="1"/>
  <c r="Y13" i="1"/>
  <c r="X13" i="1"/>
  <c r="W13" i="1"/>
  <c r="AB13" i="1"/>
  <c r="F13" i="2" s="1"/>
  <c r="AA13" i="1"/>
  <c r="E13" i="2" s="1"/>
  <c r="Z13" i="1"/>
  <c r="D13" i="2" s="1"/>
  <c r="D13" i="1"/>
  <c r="C13" i="2" s="1"/>
  <c r="B13" i="1"/>
  <c r="CA12" i="1"/>
  <c r="BZ12" i="1"/>
  <c r="T12" i="3" s="1"/>
  <c r="BY12" i="1"/>
  <c r="S12" i="3" s="1"/>
  <c r="BX12" i="1"/>
  <c r="BW12" i="1"/>
  <c r="BV12" i="1"/>
  <c r="BU12" i="1"/>
  <c r="BT12" i="1"/>
  <c r="L12" i="3" s="1"/>
  <c r="BS12" i="1"/>
  <c r="K12" i="3" s="1"/>
  <c r="BR12" i="1"/>
  <c r="BQ12" i="1"/>
  <c r="H12" i="3" s="1"/>
  <c r="BP12" i="1"/>
  <c r="G12" i="3" s="1"/>
  <c r="BO12" i="1"/>
  <c r="BN12" i="1"/>
  <c r="D12" i="3" s="1"/>
  <c r="BM12" i="1"/>
  <c r="C12" i="3" s="1"/>
  <c r="AU12" i="1"/>
  <c r="U12" i="3" s="1"/>
  <c r="AT12" i="1"/>
  <c r="AS12" i="1"/>
  <c r="AR12" i="1"/>
  <c r="Q12" i="3" s="1"/>
  <c r="AQ12" i="1"/>
  <c r="AP12" i="1"/>
  <c r="AO12" i="1"/>
  <c r="M12" i="3" s="1"/>
  <c r="AN12" i="1"/>
  <c r="AM12" i="1"/>
  <c r="AL12" i="1"/>
  <c r="I12" i="3" s="1"/>
  <c r="AK12" i="1"/>
  <c r="AJ12" i="1"/>
  <c r="AI12" i="1"/>
  <c r="E12" i="3" s="1"/>
  <c r="AH12" i="1"/>
  <c r="AG12" i="1"/>
  <c r="Y12" i="1"/>
  <c r="X12" i="1"/>
  <c r="W12" i="1"/>
  <c r="AB12" i="1"/>
  <c r="F12" i="2" s="1"/>
  <c r="AA12" i="1"/>
  <c r="E12" i="2" s="1"/>
  <c r="Z12" i="1"/>
  <c r="D12" i="2" s="1"/>
  <c r="D12" i="1"/>
  <c r="C12" i="2" s="1"/>
  <c r="B12" i="1"/>
  <c r="J12" i="3" l="1"/>
  <c r="N13" i="3"/>
  <c r="N12" i="3"/>
  <c r="F13" i="3"/>
  <c r="F12" i="3"/>
  <c r="J13" i="3"/>
  <c r="P13" i="2"/>
  <c r="Q13" i="2"/>
  <c r="Q14" i="2"/>
  <c r="O13" i="2"/>
  <c r="O14" i="2"/>
  <c r="A12" i="3"/>
  <c r="A12" i="2"/>
  <c r="A13" i="2"/>
  <c r="A13" i="3"/>
  <c r="P13" i="3"/>
  <c r="O13" i="3"/>
  <c r="P12" i="3"/>
  <c r="O12" i="3"/>
  <c r="B11" i="2"/>
  <c r="BN11" i="1"/>
  <c r="BO11" i="1"/>
  <c r="BP11" i="1"/>
  <c r="BQ11" i="1"/>
  <c r="BR11" i="1"/>
  <c r="BS11" i="1"/>
  <c r="BT11" i="1"/>
  <c r="BU11" i="1"/>
  <c r="BV11" i="1"/>
  <c r="BW11" i="1"/>
  <c r="BX11" i="1"/>
  <c r="BY11" i="1"/>
  <c r="S11" i="3" s="1"/>
  <c r="BZ11" i="1"/>
  <c r="T11" i="3" s="1"/>
  <c r="CA11" i="1"/>
  <c r="BM11" i="1"/>
  <c r="AH11" i="1"/>
  <c r="AI11" i="1"/>
  <c r="AJ11" i="1"/>
  <c r="AK11" i="1"/>
  <c r="AL11" i="1"/>
  <c r="AM11" i="1"/>
  <c r="AN11" i="1"/>
  <c r="AO11" i="1"/>
  <c r="AP11" i="1"/>
  <c r="AQ11" i="1"/>
  <c r="AR11" i="1"/>
  <c r="AS11" i="1"/>
  <c r="AT11" i="1"/>
  <c r="AU11" i="1"/>
  <c r="U11" i="3" s="1"/>
  <c r="AG11" i="1"/>
  <c r="W11" i="1"/>
  <c r="X11" i="1"/>
  <c r="Y11" i="1"/>
  <c r="A7" i="1"/>
  <c r="D11" i="1"/>
  <c r="C11" i="2" s="1"/>
  <c r="B11" i="1"/>
  <c r="A11" i="2" s="1"/>
  <c r="L37" i="5"/>
  <c r="A37" i="5"/>
  <c r="B106" i="1" l="1"/>
  <c r="B105" i="1"/>
  <c r="B107" i="1"/>
  <c r="B104" i="1"/>
  <c r="B103" i="1"/>
  <c r="B80" i="1"/>
  <c r="A80" i="3" s="1"/>
  <c r="B102" i="1"/>
  <c r="A102" i="3" s="1"/>
  <c r="B101" i="1"/>
  <c r="B100" i="1"/>
  <c r="B99" i="1"/>
  <c r="B98" i="1"/>
  <c r="B97" i="1"/>
  <c r="B96" i="1"/>
  <c r="B95" i="1"/>
  <c r="B94" i="1"/>
  <c r="B93" i="1"/>
  <c r="B92" i="1"/>
  <c r="B91" i="1"/>
  <c r="B89" i="1"/>
  <c r="B90" i="1"/>
  <c r="B88" i="1"/>
  <c r="B87" i="1"/>
  <c r="B86" i="1"/>
  <c r="B85" i="1"/>
  <c r="A80" i="2"/>
  <c r="B62" i="1"/>
  <c r="B61" i="1"/>
  <c r="V13" i="3"/>
  <c r="R13" i="3"/>
  <c r="V12" i="3"/>
  <c r="R12" i="3"/>
  <c r="BR15" i="1"/>
  <c r="W15" i="3"/>
  <c r="A107" i="2" l="1"/>
  <c r="A107" i="3"/>
  <c r="A105" i="2"/>
  <c r="A105" i="3"/>
  <c r="A106" i="2"/>
  <c r="A106" i="3"/>
  <c r="A103" i="2"/>
  <c r="A103" i="3"/>
  <c r="A104" i="3"/>
  <c r="A104" i="2"/>
  <c r="A92" i="3"/>
  <c r="A92" i="2"/>
  <c r="A100" i="2"/>
  <c r="A100" i="3"/>
  <c r="A85" i="2"/>
  <c r="A85" i="3"/>
  <c r="A90" i="3"/>
  <c r="A90" i="2"/>
  <c r="A93" i="2"/>
  <c r="A93" i="3"/>
  <c r="A97" i="2"/>
  <c r="A97" i="3"/>
  <c r="A101" i="3"/>
  <c r="A101" i="2"/>
  <c r="A88" i="3"/>
  <c r="A88" i="2"/>
  <c r="A86" i="2"/>
  <c r="A86" i="3"/>
  <c r="A89" i="2"/>
  <c r="A89" i="3"/>
  <c r="A94" i="2"/>
  <c r="A94" i="3"/>
  <c r="A98" i="3"/>
  <c r="A98" i="2"/>
  <c r="A102" i="2"/>
  <c r="A96" i="2"/>
  <c r="A96" i="3"/>
  <c r="A87" i="2"/>
  <c r="A87" i="3"/>
  <c r="A91" i="2"/>
  <c r="A91" i="3"/>
  <c r="A95" i="3"/>
  <c r="A95" i="2"/>
  <c r="A99" i="2"/>
  <c r="A99" i="3"/>
  <c r="A61" i="3"/>
  <c r="A61" i="2"/>
  <c r="A62" i="3"/>
  <c r="A62" i="2"/>
  <c r="BS15" i="1"/>
  <c r="K15" i="3" s="1"/>
  <c r="O34" i="2"/>
  <c r="P34" i="2"/>
  <c r="Q34" i="2"/>
  <c r="O35" i="2"/>
  <c r="P35" i="2"/>
  <c r="Q35" i="2"/>
  <c r="BT15" i="1" l="1"/>
  <c r="L15" i="3" s="1"/>
  <c r="N15" i="3" s="1"/>
  <c r="U10" i="3"/>
  <c r="E10" i="3"/>
  <c r="D10" i="3"/>
  <c r="C10" i="3"/>
  <c r="I10" i="2"/>
  <c r="G10" i="2"/>
  <c r="D10" i="2"/>
  <c r="E11" i="3"/>
  <c r="BO79" i="1"/>
  <c r="BN79" i="1"/>
  <c r="BM79" i="1"/>
  <c r="BO78" i="1"/>
  <c r="BO80" i="1" s="1"/>
  <c r="BO82" i="1" s="1"/>
  <c r="BN78" i="1"/>
  <c r="BM78" i="1"/>
  <c r="BO76" i="1"/>
  <c r="BN76" i="1"/>
  <c r="D76" i="3" s="1"/>
  <c r="BM76" i="1"/>
  <c r="C76" i="3" s="1"/>
  <c r="BO75" i="1"/>
  <c r="BN75" i="1"/>
  <c r="D75" i="3" s="1"/>
  <c r="BM75" i="1"/>
  <c r="C75" i="3" s="1"/>
  <c r="BO74" i="1"/>
  <c r="BN74" i="1"/>
  <c r="D74" i="3" s="1"/>
  <c r="BM74" i="1"/>
  <c r="C74" i="3" s="1"/>
  <c r="BO73" i="1"/>
  <c r="BN73" i="1"/>
  <c r="D73" i="3" s="1"/>
  <c r="BM73" i="1"/>
  <c r="C73" i="3" s="1"/>
  <c r="BO72" i="1"/>
  <c r="BN72" i="1"/>
  <c r="D72" i="3" s="1"/>
  <c r="BM72" i="1"/>
  <c r="C72" i="3" s="1"/>
  <c r="BO71" i="1"/>
  <c r="BN71" i="1"/>
  <c r="D71" i="3" s="1"/>
  <c r="BM71" i="1"/>
  <c r="C71" i="3" s="1"/>
  <c r="BO70" i="1"/>
  <c r="BN70" i="1"/>
  <c r="D70" i="3" s="1"/>
  <c r="BM70" i="1"/>
  <c r="C70" i="3" s="1"/>
  <c r="BO69" i="1"/>
  <c r="BN69" i="1"/>
  <c r="D69" i="3" s="1"/>
  <c r="BM69" i="1"/>
  <c r="C69" i="3" s="1"/>
  <c r="BO68" i="1"/>
  <c r="BN68" i="1"/>
  <c r="D68" i="3" s="1"/>
  <c r="BM68" i="1"/>
  <c r="C68" i="3" s="1"/>
  <c r="BO67" i="1"/>
  <c r="BN67" i="1"/>
  <c r="D67" i="3" s="1"/>
  <c r="BM67" i="1"/>
  <c r="C67" i="3" s="1"/>
  <c r="BO66" i="1"/>
  <c r="BN66" i="1"/>
  <c r="D66" i="3" s="1"/>
  <c r="BM66" i="1"/>
  <c r="C66" i="3" s="1"/>
  <c r="BO64" i="1"/>
  <c r="BN64" i="1"/>
  <c r="D64" i="3" s="1"/>
  <c r="BM64" i="1"/>
  <c r="C64" i="3" s="1"/>
  <c r="BO63" i="1"/>
  <c r="BN63" i="1"/>
  <c r="D63" i="3" s="1"/>
  <c r="BM63" i="1"/>
  <c r="C63" i="3" s="1"/>
  <c r="BO60" i="1"/>
  <c r="BN60" i="1"/>
  <c r="D60" i="3" s="1"/>
  <c r="BM60" i="1"/>
  <c r="C60" i="3" s="1"/>
  <c r="BO59" i="1"/>
  <c r="BN59" i="1"/>
  <c r="D59" i="3" s="1"/>
  <c r="BM59" i="1"/>
  <c r="C59" i="3" s="1"/>
  <c r="BO58" i="1"/>
  <c r="BN58" i="1"/>
  <c r="D58" i="3" s="1"/>
  <c r="BM58" i="1"/>
  <c r="C58" i="3" s="1"/>
  <c r="D11" i="3"/>
  <c r="C11" i="3"/>
  <c r="CA79" i="1"/>
  <c r="BZ79" i="1"/>
  <c r="BY79" i="1"/>
  <c r="CA78" i="1"/>
  <c r="CA80" i="1" s="1"/>
  <c r="CA82" i="1" s="1"/>
  <c r="BZ78" i="1"/>
  <c r="BY78" i="1"/>
  <c r="CA77" i="1"/>
  <c r="BZ77" i="1"/>
  <c r="T77" i="3" s="1"/>
  <c r="BY77" i="1"/>
  <c r="S77" i="3" s="1"/>
  <c r="CA76" i="1"/>
  <c r="BZ76" i="1"/>
  <c r="T76" i="3" s="1"/>
  <c r="BY76" i="1"/>
  <c r="S76" i="3" s="1"/>
  <c r="CA75" i="1"/>
  <c r="BZ75" i="1"/>
  <c r="T75" i="3" s="1"/>
  <c r="BY75" i="1"/>
  <c r="S75" i="3" s="1"/>
  <c r="CA73" i="1"/>
  <c r="BZ73" i="1"/>
  <c r="T73" i="3" s="1"/>
  <c r="BY73" i="1"/>
  <c r="S73" i="3" s="1"/>
  <c r="CA72" i="1"/>
  <c r="BZ72" i="1"/>
  <c r="T72" i="3" s="1"/>
  <c r="BY72" i="1"/>
  <c r="S72" i="3" s="1"/>
  <c r="CA71" i="1"/>
  <c r="BZ71" i="1"/>
  <c r="T71" i="3" s="1"/>
  <c r="BY71" i="1"/>
  <c r="S71" i="3" s="1"/>
  <c r="CA70" i="1"/>
  <c r="BZ70" i="1"/>
  <c r="T70" i="3" s="1"/>
  <c r="BY70" i="1"/>
  <c r="S70" i="3" s="1"/>
  <c r="CA69" i="1"/>
  <c r="BZ69" i="1"/>
  <c r="T69" i="3" s="1"/>
  <c r="BY69" i="1"/>
  <c r="S69" i="3" s="1"/>
  <c r="CA68" i="1"/>
  <c r="BZ68" i="1"/>
  <c r="T68" i="3" s="1"/>
  <c r="BY68" i="1"/>
  <c r="S68" i="3" s="1"/>
  <c r="CA67" i="1"/>
  <c r="BZ67" i="1"/>
  <c r="T67" i="3" s="1"/>
  <c r="BY67" i="1"/>
  <c r="S67" i="3" s="1"/>
  <c r="CA66" i="1"/>
  <c r="BZ66" i="1"/>
  <c r="T66" i="3" s="1"/>
  <c r="BY66" i="1"/>
  <c r="S66" i="3" s="1"/>
  <c r="CA64" i="1"/>
  <c r="BZ64" i="1"/>
  <c r="T64" i="3" s="1"/>
  <c r="BY64" i="1"/>
  <c r="S64" i="3" s="1"/>
  <c r="CA63" i="1"/>
  <c r="BZ63" i="1"/>
  <c r="T63" i="3" s="1"/>
  <c r="BY63" i="1"/>
  <c r="S63" i="3" s="1"/>
  <c r="CA60" i="1"/>
  <c r="BZ60" i="1"/>
  <c r="T60" i="3" s="1"/>
  <c r="BY60" i="1"/>
  <c r="S60" i="3" s="1"/>
  <c r="CA59" i="1"/>
  <c r="BZ59" i="1"/>
  <c r="T59" i="3" s="1"/>
  <c r="BY59" i="1"/>
  <c r="S59" i="3" s="1"/>
  <c r="CA58" i="1"/>
  <c r="BZ58" i="1"/>
  <c r="T58" i="3" s="1"/>
  <c r="BY58" i="1"/>
  <c r="S58" i="3" s="1"/>
  <c r="AU79" i="1"/>
  <c r="AT79" i="1"/>
  <c r="AS79" i="1"/>
  <c r="AU78" i="1"/>
  <c r="AT78" i="1"/>
  <c r="AT80" i="1" s="1"/>
  <c r="AT82" i="1" s="1"/>
  <c r="AS78" i="1"/>
  <c r="AS80" i="1" s="1"/>
  <c r="AS82" i="1" s="1"/>
  <c r="AU77" i="1"/>
  <c r="U77" i="3" s="1"/>
  <c r="AT77" i="1"/>
  <c r="AS77" i="1"/>
  <c r="AU76" i="1"/>
  <c r="U76" i="3" s="1"/>
  <c r="AT76" i="1"/>
  <c r="AS76" i="1"/>
  <c r="AU75" i="1"/>
  <c r="U75" i="3" s="1"/>
  <c r="AT75" i="1"/>
  <c r="AS75" i="1"/>
  <c r="AU74" i="1"/>
  <c r="U74" i="3" s="1"/>
  <c r="V74" i="3" s="1"/>
  <c r="AT74" i="1"/>
  <c r="AS74" i="1"/>
  <c r="AU73" i="1"/>
  <c r="U73" i="3" s="1"/>
  <c r="AT73" i="1"/>
  <c r="AS73" i="1"/>
  <c r="AU72" i="1"/>
  <c r="U72" i="3" s="1"/>
  <c r="AT72" i="1"/>
  <c r="AS72" i="1"/>
  <c r="AU71" i="1"/>
  <c r="U71" i="3" s="1"/>
  <c r="AT71" i="1"/>
  <c r="AS71" i="1"/>
  <c r="AU70" i="1"/>
  <c r="U70" i="3" s="1"/>
  <c r="AT70" i="1"/>
  <c r="AS70" i="1"/>
  <c r="AU69" i="1"/>
  <c r="U69" i="3" s="1"/>
  <c r="AT69" i="1"/>
  <c r="AS69" i="1"/>
  <c r="AU68" i="1"/>
  <c r="U68" i="3" s="1"/>
  <c r="AT68" i="1"/>
  <c r="AS68" i="1"/>
  <c r="AU67" i="1"/>
  <c r="U67" i="3" s="1"/>
  <c r="AT67" i="1"/>
  <c r="AS67" i="1"/>
  <c r="AU66" i="1"/>
  <c r="U66" i="3" s="1"/>
  <c r="AT66" i="1"/>
  <c r="AS66" i="1"/>
  <c r="AU65" i="1"/>
  <c r="U65" i="3" s="1"/>
  <c r="V65" i="3" s="1"/>
  <c r="AT65" i="1"/>
  <c r="AS65" i="1"/>
  <c r="AU64" i="1"/>
  <c r="U64" i="3" s="1"/>
  <c r="AT64" i="1"/>
  <c r="AS64" i="1"/>
  <c r="AU63" i="1"/>
  <c r="U63" i="3" s="1"/>
  <c r="AT63" i="1"/>
  <c r="AS63" i="1"/>
  <c r="AU60" i="1"/>
  <c r="U60" i="3" s="1"/>
  <c r="AT60" i="1"/>
  <c r="AS60" i="1"/>
  <c r="AU59" i="1"/>
  <c r="U59" i="3" s="1"/>
  <c r="AT59" i="1"/>
  <c r="AS59" i="1"/>
  <c r="AU58" i="1"/>
  <c r="U58" i="3" s="1"/>
  <c r="AT58" i="1"/>
  <c r="AS58" i="1"/>
  <c r="AI79" i="1"/>
  <c r="AH79" i="1"/>
  <c r="AG79" i="1"/>
  <c r="AI78" i="1"/>
  <c r="AH78" i="1"/>
  <c r="AH80" i="1" s="1"/>
  <c r="AH82" i="1" s="1"/>
  <c r="AG78" i="1"/>
  <c r="AG80" i="1" s="1"/>
  <c r="AG82" i="1" s="1"/>
  <c r="AI77" i="1"/>
  <c r="AH77" i="1"/>
  <c r="AG77" i="1"/>
  <c r="AI76" i="1"/>
  <c r="E76" i="3" s="1"/>
  <c r="AH76" i="1"/>
  <c r="AG76" i="1"/>
  <c r="AI75" i="1"/>
  <c r="E75" i="3" s="1"/>
  <c r="AH75" i="1"/>
  <c r="AG75" i="1"/>
  <c r="AI74" i="1"/>
  <c r="E74" i="3" s="1"/>
  <c r="AH74" i="1"/>
  <c r="AG74" i="1"/>
  <c r="AI73" i="1"/>
  <c r="E73" i="3" s="1"/>
  <c r="AH73" i="1"/>
  <c r="AG73" i="1"/>
  <c r="AI72" i="1"/>
  <c r="E72" i="3" s="1"/>
  <c r="AH72" i="1"/>
  <c r="AG72" i="1"/>
  <c r="AI71" i="1"/>
  <c r="E71" i="3" s="1"/>
  <c r="AH71" i="1"/>
  <c r="AG71" i="1"/>
  <c r="AI70" i="1"/>
  <c r="E70" i="3" s="1"/>
  <c r="AH70" i="1"/>
  <c r="AG70" i="1"/>
  <c r="AI69" i="1"/>
  <c r="E69" i="3" s="1"/>
  <c r="AH69" i="1"/>
  <c r="AG69" i="1"/>
  <c r="AI68" i="1"/>
  <c r="E68" i="3" s="1"/>
  <c r="AH68" i="1"/>
  <c r="AG68" i="1"/>
  <c r="AI67" i="1"/>
  <c r="E67" i="3" s="1"/>
  <c r="AH67" i="1"/>
  <c r="AG67" i="1"/>
  <c r="AI66" i="1"/>
  <c r="E66" i="3" s="1"/>
  <c r="AH66" i="1"/>
  <c r="AG66" i="1"/>
  <c r="AI65" i="1"/>
  <c r="E65" i="3" s="1"/>
  <c r="F65" i="3" s="1"/>
  <c r="AH65" i="1"/>
  <c r="AG65" i="1"/>
  <c r="AI64" i="1"/>
  <c r="E64" i="3" s="1"/>
  <c r="AH64" i="1"/>
  <c r="AG64" i="1"/>
  <c r="AI63" i="1"/>
  <c r="E63" i="3" s="1"/>
  <c r="AH63" i="1"/>
  <c r="AG63" i="1"/>
  <c r="AI60" i="1"/>
  <c r="E60" i="3" s="1"/>
  <c r="AH60" i="1"/>
  <c r="AG60" i="1"/>
  <c r="AI59" i="1"/>
  <c r="E59" i="3" s="1"/>
  <c r="AH59" i="1"/>
  <c r="AG59" i="1"/>
  <c r="AI58" i="1"/>
  <c r="E58" i="3" s="1"/>
  <c r="AH58" i="1"/>
  <c r="AG58" i="1"/>
  <c r="AE79" i="1"/>
  <c r="AC79" i="1"/>
  <c r="Z83" i="1"/>
  <c r="D83" i="2" s="1"/>
  <c r="Z79" i="1"/>
  <c r="Z72" i="1"/>
  <c r="D72" i="2" s="1"/>
  <c r="Z71" i="1"/>
  <c r="D71" i="2" s="1"/>
  <c r="O71" i="2" s="1"/>
  <c r="Z69" i="1"/>
  <c r="D69" i="2" s="1"/>
  <c r="Z66" i="1"/>
  <c r="D66" i="2" s="1"/>
  <c r="Z63" i="1"/>
  <c r="D63" i="2" s="1"/>
  <c r="Y10" i="1"/>
  <c r="W10" i="1"/>
  <c r="Z11" i="1"/>
  <c r="D11" i="2" s="1"/>
  <c r="O12" i="2" s="1"/>
  <c r="BO105" i="1" l="1"/>
  <c r="BO107" i="1"/>
  <c r="BO106" i="1"/>
  <c r="AS105" i="1"/>
  <c r="AS106" i="1"/>
  <c r="AS107" i="1"/>
  <c r="AT105" i="1"/>
  <c r="AT107" i="1"/>
  <c r="AT106" i="1"/>
  <c r="AH106" i="1"/>
  <c r="AH107" i="1"/>
  <c r="AH105" i="1"/>
  <c r="AC106" i="1"/>
  <c r="G106" i="2" s="1"/>
  <c r="AC105" i="1"/>
  <c r="G105" i="2" s="1"/>
  <c r="AC107" i="1"/>
  <c r="G107" i="2" s="1"/>
  <c r="AE106" i="1"/>
  <c r="I106" i="2" s="1"/>
  <c r="T106" i="2" s="1"/>
  <c r="AE105" i="1"/>
  <c r="I105" i="2" s="1"/>
  <c r="AE107" i="1"/>
  <c r="I107" i="2" s="1"/>
  <c r="AG106" i="1"/>
  <c r="AG107" i="1"/>
  <c r="AG105" i="1"/>
  <c r="CA107" i="1"/>
  <c r="CA106" i="1"/>
  <c r="CA105" i="1"/>
  <c r="AH104" i="1"/>
  <c r="AH103" i="1"/>
  <c r="AT104" i="1"/>
  <c r="AT103" i="1"/>
  <c r="AC103" i="1"/>
  <c r="G103" i="2" s="1"/>
  <c r="AC104" i="1"/>
  <c r="G104" i="2" s="1"/>
  <c r="R104" i="2" s="1"/>
  <c r="AE103" i="1"/>
  <c r="I103" i="2" s="1"/>
  <c r="T103" i="2" s="1"/>
  <c r="AE104" i="1"/>
  <c r="I104" i="2" s="1"/>
  <c r="T104" i="2" s="1"/>
  <c r="AG104" i="1"/>
  <c r="AG103" i="1"/>
  <c r="AS104" i="1"/>
  <c r="AS103" i="1"/>
  <c r="CA104" i="1"/>
  <c r="CA103" i="1"/>
  <c r="CA102" i="1"/>
  <c r="BO103" i="1"/>
  <c r="BO104" i="1"/>
  <c r="AH101" i="1"/>
  <c r="AH100" i="1"/>
  <c r="AH99" i="1"/>
  <c r="AH98" i="1"/>
  <c r="AH97" i="1"/>
  <c r="AH96" i="1"/>
  <c r="AH95" i="1"/>
  <c r="AH94" i="1"/>
  <c r="AH93" i="1"/>
  <c r="AH92" i="1"/>
  <c r="AH91" i="1"/>
  <c r="AH90" i="1"/>
  <c r="AH89" i="1"/>
  <c r="AH88" i="1"/>
  <c r="AH87" i="1"/>
  <c r="AH86" i="1"/>
  <c r="AH85" i="1"/>
  <c r="AT102" i="1"/>
  <c r="AT101" i="1"/>
  <c r="AT100" i="1"/>
  <c r="AT99" i="1"/>
  <c r="AT98" i="1"/>
  <c r="AT97" i="1"/>
  <c r="AT96" i="1"/>
  <c r="AT95" i="1"/>
  <c r="AT94" i="1"/>
  <c r="AT93" i="1"/>
  <c r="AT92" i="1"/>
  <c r="AT91" i="1"/>
  <c r="AT89" i="1"/>
  <c r="AT90" i="1"/>
  <c r="AT88" i="1"/>
  <c r="AT87" i="1"/>
  <c r="AT86" i="1"/>
  <c r="AT85" i="1"/>
  <c r="AC102" i="1"/>
  <c r="G102" i="2" s="1"/>
  <c r="AC101" i="1"/>
  <c r="G101" i="2" s="1"/>
  <c r="AC100" i="1"/>
  <c r="G100" i="2" s="1"/>
  <c r="AE101" i="1"/>
  <c r="I101" i="2" s="1"/>
  <c r="AE100" i="1"/>
  <c r="I100" i="2" s="1"/>
  <c r="AG101" i="1"/>
  <c r="AG100" i="1"/>
  <c r="AG99" i="1"/>
  <c r="AG98" i="1"/>
  <c r="AG97" i="1"/>
  <c r="AG96" i="1"/>
  <c r="AG95" i="1"/>
  <c r="AG94" i="1"/>
  <c r="AG93" i="1"/>
  <c r="AG92" i="1"/>
  <c r="AG91" i="1"/>
  <c r="AG90" i="1"/>
  <c r="AG89" i="1"/>
  <c r="AG88" i="1"/>
  <c r="AG87" i="1"/>
  <c r="AG86" i="1"/>
  <c r="AG85" i="1"/>
  <c r="AS102" i="1"/>
  <c r="AS101" i="1"/>
  <c r="AS100" i="1"/>
  <c r="AS99" i="1"/>
  <c r="AS98" i="1"/>
  <c r="AS97" i="1"/>
  <c r="AS96" i="1"/>
  <c r="AS95" i="1"/>
  <c r="AS94" i="1"/>
  <c r="AS93" i="1"/>
  <c r="AS92" i="1"/>
  <c r="AS91" i="1"/>
  <c r="AS89" i="1"/>
  <c r="AS90" i="1"/>
  <c r="AS88" i="1"/>
  <c r="AS87" i="1"/>
  <c r="AS86" i="1"/>
  <c r="AS85" i="1"/>
  <c r="CA101" i="1"/>
  <c r="CA100" i="1"/>
  <c r="CA99" i="1"/>
  <c r="CA98" i="1"/>
  <c r="CA97" i="1"/>
  <c r="CA92" i="1"/>
  <c r="CA89" i="1"/>
  <c r="CA93" i="1"/>
  <c r="CA96" i="1"/>
  <c r="CA95" i="1"/>
  <c r="CA94" i="1"/>
  <c r="CA91" i="1"/>
  <c r="CA90" i="1"/>
  <c r="CA88" i="1"/>
  <c r="CA87" i="1"/>
  <c r="CA86" i="1"/>
  <c r="CA85" i="1"/>
  <c r="BO101" i="1"/>
  <c r="BO100" i="1"/>
  <c r="BO99" i="1"/>
  <c r="BO98" i="1"/>
  <c r="BO97" i="1"/>
  <c r="BO92" i="1"/>
  <c r="BO93" i="1"/>
  <c r="BO89" i="1"/>
  <c r="BO96" i="1"/>
  <c r="BO95" i="1"/>
  <c r="BO94" i="1"/>
  <c r="BO91" i="1"/>
  <c r="BO90" i="1"/>
  <c r="BO88" i="1"/>
  <c r="BO87" i="1"/>
  <c r="BO86" i="1"/>
  <c r="BO85" i="1"/>
  <c r="AC99" i="1"/>
  <c r="G99" i="2" s="1"/>
  <c r="AC98" i="1"/>
  <c r="G98" i="2" s="1"/>
  <c r="AC97" i="1"/>
  <c r="G97" i="2" s="1"/>
  <c r="AC92" i="1"/>
  <c r="G92" i="2" s="1"/>
  <c r="AC89" i="1"/>
  <c r="G89" i="2" s="1"/>
  <c r="R89" i="2" s="1"/>
  <c r="AC96" i="1"/>
  <c r="G96" i="2" s="1"/>
  <c r="AC95" i="1"/>
  <c r="G95" i="2" s="1"/>
  <c r="AC94" i="1"/>
  <c r="G94" i="2" s="1"/>
  <c r="AC93" i="1"/>
  <c r="G93" i="2" s="1"/>
  <c r="AC91" i="1"/>
  <c r="G91" i="2" s="1"/>
  <c r="AC90" i="1"/>
  <c r="G90" i="2" s="1"/>
  <c r="AC88" i="1"/>
  <c r="G88" i="2" s="1"/>
  <c r="AC87" i="1"/>
  <c r="G87" i="2" s="1"/>
  <c r="AC86" i="1"/>
  <c r="G86" i="2" s="1"/>
  <c r="R86" i="2" s="1"/>
  <c r="AC85" i="1"/>
  <c r="G85" i="2" s="1"/>
  <c r="AE99" i="1"/>
  <c r="I99" i="2" s="1"/>
  <c r="AE98" i="1"/>
  <c r="I98" i="2" s="1"/>
  <c r="AE97" i="1"/>
  <c r="I97" i="2" s="1"/>
  <c r="AE92" i="1"/>
  <c r="I92" i="2" s="1"/>
  <c r="AE89" i="1"/>
  <c r="I89" i="2" s="1"/>
  <c r="T89" i="2" s="1"/>
  <c r="AE96" i="1"/>
  <c r="I96" i="2" s="1"/>
  <c r="AE95" i="1"/>
  <c r="I95" i="2" s="1"/>
  <c r="AE94" i="1"/>
  <c r="I94" i="2" s="1"/>
  <c r="AE93" i="1"/>
  <c r="I93" i="2" s="1"/>
  <c r="T93" i="2" s="1"/>
  <c r="AE91" i="1"/>
  <c r="I91" i="2" s="1"/>
  <c r="AE90" i="1"/>
  <c r="I90" i="2" s="1"/>
  <c r="AE88" i="1"/>
  <c r="I88" i="2" s="1"/>
  <c r="AE87" i="1"/>
  <c r="I87" i="2" s="1"/>
  <c r="AE86" i="1"/>
  <c r="I86" i="2" s="1"/>
  <c r="AE85" i="1"/>
  <c r="I85" i="2" s="1"/>
  <c r="AE82" i="1"/>
  <c r="I82" i="2" s="1"/>
  <c r="T82" i="2" s="1"/>
  <c r="AE84" i="1"/>
  <c r="I84" i="2" s="1"/>
  <c r="BO84" i="1"/>
  <c r="BO83" i="1"/>
  <c r="AS84" i="1"/>
  <c r="AS83" i="1"/>
  <c r="AG84" i="1"/>
  <c r="AG83" i="1"/>
  <c r="V75" i="3"/>
  <c r="AT84" i="1"/>
  <c r="AT83" i="1"/>
  <c r="AH84" i="1"/>
  <c r="AH83" i="1"/>
  <c r="CA84" i="1"/>
  <c r="CA83" i="1"/>
  <c r="AC82" i="1"/>
  <c r="G82" i="2" s="1"/>
  <c r="R82" i="2" s="1"/>
  <c r="AC84" i="1"/>
  <c r="G84" i="2" s="1"/>
  <c r="O83" i="2"/>
  <c r="O84" i="2"/>
  <c r="AC83" i="1"/>
  <c r="G83" i="2" s="1"/>
  <c r="AE83" i="1"/>
  <c r="I83" i="2" s="1"/>
  <c r="T83" i="2" s="1"/>
  <c r="F75" i="3"/>
  <c r="F76" i="3"/>
  <c r="BM80" i="1"/>
  <c r="BM82" i="1" s="1"/>
  <c r="C78" i="3"/>
  <c r="BN80" i="1"/>
  <c r="BN82" i="1" s="1"/>
  <c r="D78" i="3"/>
  <c r="BZ80" i="1"/>
  <c r="BZ82" i="1" s="1"/>
  <c r="T78" i="3"/>
  <c r="V76" i="3"/>
  <c r="AI80" i="1"/>
  <c r="AI82" i="1" s="1"/>
  <c r="E78" i="3"/>
  <c r="V77" i="3"/>
  <c r="BY80" i="1"/>
  <c r="BY82" i="1" s="1"/>
  <c r="S78" i="3"/>
  <c r="AE80" i="1"/>
  <c r="AE78" i="1"/>
  <c r="I78" i="2" s="1"/>
  <c r="T78" i="2" s="1"/>
  <c r="AE76" i="1"/>
  <c r="I76" i="2" s="1"/>
  <c r="AE75" i="1"/>
  <c r="I75" i="2" s="1"/>
  <c r="AE69" i="1"/>
  <c r="I69" i="2" s="1"/>
  <c r="V67" i="3"/>
  <c r="V71" i="3"/>
  <c r="AC69" i="1"/>
  <c r="G69" i="2" s="1"/>
  <c r="AC80" i="1"/>
  <c r="AC78" i="1"/>
  <c r="G78" i="2" s="1"/>
  <c r="R78" i="2" s="1"/>
  <c r="AU80" i="1"/>
  <c r="AU82" i="1" s="1"/>
  <c r="U78" i="3"/>
  <c r="F69" i="3"/>
  <c r="F73" i="3"/>
  <c r="AC72" i="1"/>
  <c r="G72" i="2" s="1"/>
  <c r="AE73" i="1"/>
  <c r="I73" i="2" s="1"/>
  <c r="AE74" i="1"/>
  <c r="I74" i="2" s="1"/>
  <c r="AE70" i="1"/>
  <c r="I70" i="2" s="1"/>
  <c r="AE68" i="1"/>
  <c r="I68" i="2" s="1"/>
  <c r="AE67" i="1"/>
  <c r="I67" i="2" s="1"/>
  <c r="AE71" i="1"/>
  <c r="I71" i="2" s="1"/>
  <c r="V70" i="3"/>
  <c r="F68" i="3"/>
  <c r="F72" i="3"/>
  <c r="O69" i="2"/>
  <c r="O70" i="2"/>
  <c r="O72" i="2"/>
  <c r="O73" i="2"/>
  <c r="AE72" i="1"/>
  <c r="I72" i="2" s="1"/>
  <c r="V64" i="3"/>
  <c r="V69" i="3"/>
  <c r="V73" i="3"/>
  <c r="F67" i="3"/>
  <c r="F71" i="3"/>
  <c r="AC63" i="1"/>
  <c r="G63" i="2" s="1"/>
  <c r="AC74" i="1"/>
  <c r="G74" i="2" s="1"/>
  <c r="AC73" i="1"/>
  <c r="G73" i="2" s="1"/>
  <c r="AC70" i="1"/>
  <c r="G70" i="2" s="1"/>
  <c r="AC67" i="1"/>
  <c r="G67" i="2" s="1"/>
  <c r="AC68" i="1"/>
  <c r="G68" i="2" s="1"/>
  <c r="F64" i="3"/>
  <c r="O66" i="2"/>
  <c r="O67" i="2"/>
  <c r="AC71" i="1"/>
  <c r="G71" i="2" s="1"/>
  <c r="V63" i="3"/>
  <c r="V68" i="3"/>
  <c r="V72" i="3"/>
  <c r="F66" i="3"/>
  <c r="F70" i="3"/>
  <c r="F74" i="3"/>
  <c r="F10" i="3"/>
  <c r="AE65" i="1"/>
  <c r="I65" i="2" s="1"/>
  <c r="AE64" i="1"/>
  <c r="I64" i="2" s="1"/>
  <c r="AE61" i="1"/>
  <c r="I61" i="2" s="1"/>
  <c r="AE62" i="1"/>
  <c r="I62" i="2" s="1"/>
  <c r="AE63" i="1"/>
  <c r="I63" i="2" s="1"/>
  <c r="F63" i="3"/>
  <c r="V66" i="3"/>
  <c r="AC64" i="1"/>
  <c r="G64" i="2" s="1"/>
  <c r="AC65" i="1"/>
  <c r="G65" i="2" s="1"/>
  <c r="AC62" i="1"/>
  <c r="G62" i="2" s="1"/>
  <c r="AC61" i="1"/>
  <c r="G61" i="2" s="1"/>
  <c r="AC66" i="1"/>
  <c r="G66" i="2" s="1"/>
  <c r="O63" i="2"/>
  <c r="O64" i="2"/>
  <c r="AE66" i="1"/>
  <c r="I66" i="2" s="1"/>
  <c r="F58" i="3"/>
  <c r="AC57" i="1"/>
  <c r="G57" i="2" s="1"/>
  <c r="AC58" i="1"/>
  <c r="G58" i="2" s="1"/>
  <c r="AC51" i="1"/>
  <c r="G51" i="2" s="1"/>
  <c r="AC60" i="1"/>
  <c r="G60" i="2" s="1"/>
  <c r="AC53" i="1"/>
  <c r="G53" i="2" s="1"/>
  <c r="AC50" i="1"/>
  <c r="G50" i="2" s="1"/>
  <c r="AC48" i="1"/>
  <c r="G48" i="2" s="1"/>
  <c r="AC44" i="1"/>
  <c r="G44" i="2" s="1"/>
  <c r="AC46" i="1"/>
  <c r="G46" i="2" s="1"/>
  <c r="AC49" i="1"/>
  <c r="G49" i="2" s="1"/>
  <c r="AC39" i="1"/>
  <c r="G39" i="2" s="1"/>
  <c r="AC43" i="1"/>
  <c r="G43" i="2" s="1"/>
  <c r="AC59" i="1"/>
  <c r="G59" i="2" s="1"/>
  <c r="AC45" i="1"/>
  <c r="G45" i="2" s="1"/>
  <c r="AC56" i="1"/>
  <c r="G56" i="2" s="1"/>
  <c r="AC52" i="1"/>
  <c r="G52" i="2" s="1"/>
  <c r="AC38" i="1"/>
  <c r="G38" i="2" s="1"/>
  <c r="AC47" i="1"/>
  <c r="G47" i="2" s="1"/>
  <c r="AC55" i="1"/>
  <c r="G55" i="2" s="1"/>
  <c r="AC54" i="1"/>
  <c r="G54" i="2" s="1"/>
  <c r="AC42" i="1"/>
  <c r="G42" i="2" s="1"/>
  <c r="AC41" i="1"/>
  <c r="G41" i="2" s="1"/>
  <c r="AC40" i="1"/>
  <c r="G40" i="2" s="1"/>
  <c r="R40" i="2" s="1"/>
  <c r="AC37" i="1"/>
  <c r="G37" i="2" s="1"/>
  <c r="AC36" i="1"/>
  <c r="G36" i="2" s="1"/>
  <c r="AE47" i="1"/>
  <c r="I47" i="2" s="1"/>
  <c r="AE40" i="1"/>
  <c r="I40" i="2" s="1"/>
  <c r="AE42" i="1"/>
  <c r="I42" i="2" s="1"/>
  <c r="AE38" i="1"/>
  <c r="I38" i="2" s="1"/>
  <c r="AE44" i="1"/>
  <c r="I44" i="2" s="1"/>
  <c r="AE51" i="1"/>
  <c r="I51" i="2" s="1"/>
  <c r="AE59" i="1"/>
  <c r="I59" i="2" s="1"/>
  <c r="AE39" i="1"/>
  <c r="I39" i="2" s="1"/>
  <c r="AE54" i="1"/>
  <c r="I54" i="2" s="1"/>
  <c r="AE46" i="1"/>
  <c r="I46" i="2" s="1"/>
  <c r="AE56" i="1"/>
  <c r="I56" i="2" s="1"/>
  <c r="AE60" i="1"/>
  <c r="I60" i="2" s="1"/>
  <c r="AE58" i="1"/>
  <c r="I58" i="2" s="1"/>
  <c r="AE50" i="1"/>
  <c r="I50" i="2" s="1"/>
  <c r="AE49" i="1"/>
  <c r="I49" i="2" s="1"/>
  <c r="AE57" i="1"/>
  <c r="I57" i="2" s="1"/>
  <c r="AE45" i="1"/>
  <c r="I45" i="2" s="1"/>
  <c r="AE43" i="1"/>
  <c r="I43" i="2" s="1"/>
  <c r="AE48" i="1"/>
  <c r="I48" i="2" s="1"/>
  <c r="AE55" i="1"/>
  <c r="I55" i="2" s="1"/>
  <c r="AE52" i="1"/>
  <c r="I52" i="2" s="1"/>
  <c r="AE53" i="1"/>
  <c r="I53" i="2" s="1"/>
  <c r="AE41" i="1"/>
  <c r="I41" i="2" s="1"/>
  <c r="AE37" i="1"/>
  <c r="I37" i="2" s="1"/>
  <c r="AE36" i="1"/>
  <c r="I36" i="2" s="1"/>
  <c r="F60" i="3"/>
  <c r="F59" i="3"/>
  <c r="F11" i="3"/>
  <c r="AE31" i="1"/>
  <c r="I31" i="2" s="1"/>
  <c r="AE35" i="1"/>
  <c r="I35" i="2" s="1"/>
  <c r="AE27" i="1"/>
  <c r="I27" i="2" s="1"/>
  <c r="AE30" i="1"/>
  <c r="I30" i="2" s="1"/>
  <c r="AE32" i="1"/>
  <c r="I32" i="2" s="1"/>
  <c r="AE33" i="1"/>
  <c r="I33" i="2" s="1"/>
  <c r="AE34" i="1"/>
  <c r="I34" i="2" s="1"/>
  <c r="AE29" i="1"/>
  <c r="I29" i="2" s="1"/>
  <c r="AE28" i="1"/>
  <c r="I28" i="2" s="1"/>
  <c r="AE26" i="1"/>
  <c r="I26" i="2" s="1"/>
  <c r="V10" i="3"/>
  <c r="AC35" i="1"/>
  <c r="G35" i="2" s="1"/>
  <c r="AC29" i="1"/>
  <c r="G29" i="2" s="1"/>
  <c r="AC30" i="1"/>
  <c r="G30" i="2" s="1"/>
  <c r="AC33" i="1"/>
  <c r="G33" i="2" s="1"/>
  <c r="AC32" i="1"/>
  <c r="G32" i="2" s="1"/>
  <c r="AC34" i="1"/>
  <c r="G34" i="2" s="1"/>
  <c r="AC31" i="1"/>
  <c r="G31" i="2" s="1"/>
  <c r="AC28" i="1"/>
  <c r="G28" i="2" s="1"/>
  <c r="AC27" i="1"/>
  <c r="G27" i="2" s="1"/>
  <c r="AC26" i="1"/>
  <c r="G26" i="2" s="1"/>
  <c r="AC25" i="1"/>
  <c r="G25" i="2" s="1"/>
  <c r="AC24" i="1"/>
  <c r="G24" i="2" s="1"/>
  <c r="AC21" i="1"/>
  <c r="G21" i="2" s="1"/>
  <c r="AC20" i="1"/>
  <c r="G20" i="2" s="1"/>
  <c r="AC23" i="1"/>
  <c r="G23" i="2" s="1"/>
  <c r="AC22" i="1"/>
  <c r="G22" i="2" s="1"/>
  <c r="AE20" i="1"/>
  <c r="I20" i="2" s="1"/>
  <c r="AE21" i="1"/>
  <c r="I21" i="2" s="1"/>
  <c r="AE23" i="1"/>
  <c r="I23" i="2" s="1"/>
  <c r="AE24" i="1"/>
  <c r="I24" i="2" s="1"/>
  <c r="AE22" i="1"/>
  <c r="I22" i="2" s="1"/>
  <c r="AE25" i="1"/>
  <c r="I25" i="2" s="1"/>
  <c r="AC18" i="1"/>
  <c r="G18" i="2" s="1"/>
  <c r="R18" i="2" s="1"/>
  <c r="AC19" i="1"/>
  <c r="G19" i="2" s="1"/>
  <c r="AE18" i="1"/>
  <c r="I18" i="2" s="1"/>
  <c r="T18" i="2" s="1"/>
  <c r="AE19" i="1"/>
  <c r="I19" i="2" s="1"/>
  <c r="AC14" i="1"/>
  <c r="G14" i="2" s="1"/>
  <c r="AC15" i="1"/>
  <c r="G15" i="2" s="1"/>
  <c r="AC16" i="1"/>
  <c r="G16" i="2" s="1"/>
  <c r="R17" i="2" s="1"/>
  <c r="AE16" i="1"/>
  <c r="I16" i="2" s="1"/>
  <c r="T17" i="2" s="1"/>
  <c r="AE15" i="1"/>
  <c r="I15" i="2" s="1"/>
  <c r="BU15" i="1"/>
  <c r="AC11" i="1"/>
  <c r="G11" i="2" s="1"/>
  <c r="AC13" i="1"/>
  <c r="G13" i="2" s="1"/>
  <c r="AC12" i="1"/>
  <c r="G12" i="2" s="1"/>
  <c r="AE11" i="1"/>
  <c r="I11" i="2" s="1"/>
  <c r="AE14" i="1"/>
  <c r="I14" i="2" s="1"/>
  <c r="AE13" i="1"/>
  <c r="I13" i="2" s="1"/>
  <c r="AE12" i="1"/>
  <c r="I12" i="2" s="1"/>
  <c r="O30" i="2"/>
  <c r="O29" i="2"/>
  <c r="O23" i="2"/>
  <c r="O31" i="2"/>
  <c r="O33" i="2"/>
  <c r="D10" i="1"/>
  <c r="C10" i="2" s="1"/>
  <c r="R107" i="2" l="1"/>
  <c r="R106" i="2"/>
  <c r="BN105" i="1"/>
  <c r="D105" i="3" s="1"/>
  <c r="BN106" i="1"/>
  <c r="D106" i="3" s="1"/>
  <c r="BN107" i="1"/>
  <c r="D107" i="3" s="1"/>
  <c r="BM105" i="1"/>
  <c r="C105" i="3" s="1"/>
  <c r="BM106" i="1"/>
  <c r="C106" i="3" s="1"/>
  <c r="BM107" i="1"/>
  <c r="C107" i="3" s="1"/>
  <c r="F107" i="3" s="1"/>
  <c r="T95" i="2"/>
  <c r="R96" i="2"/>
  <c r="R105" i="2"/>
  <c r="BY107" i="1"/>
  <c r="S107" i="3" s="1"/>
  <c r="V107" i="3" s="1"/>
  <c r="BY105" i="1"/>
  <c r="S105" i="3" s="1"/>
  <c r="BY106" i="1"/>
  <c r="S106" i="3" s="1"/>
  <c r="V106" i="3" s="1"/>
  <c r="BZ107" i="1"/>
  <c r="T107" i="3" s="1"/>
  <c r="BZ106" i="1"/>
  <c r="T106" i="3" s="1"/>
  <c r="BZ105" i="1"/>
  <c r="T105" i="3" s="1"/>
  <c r="T72" i="2"/>
  <c r="T85" i="2"/>
  <c r="AI107" i="1"/>
  <c r="E107" i="3" s="1"/>
  <c r="AI106" i="1"/>
  <c r="E106" i="3" s="1"/>
  <c r="AI105" i="1"/>
  <c r="E105" i="3" s="1"/>
  <c r="R64" i="2"/>
  <c r="AU105" i="1"/>
  <c r="U105" i="3" s="1"/>
  <c r="AU107" i="1"/>
  <c r="U107" i="3" s="1"/>
  <c r="AU106" i="1"/>
  <c r="U106" i="3" s="1"/>
  <c r="T107" i="2"/>
  <c r="T105" i="2"/>
  <c r="BZ103" i="1"/>
  <c r="T103" i="3" s="1"/>
  <c r="BZ102" i="1"/>
  <c r="T102" i="3" s="1"/>
  <c r="BZ104" i="1"/>
  <c r="T104" i="3" s="1"/>
  <c r="BM103" i="1"/>
  <c r="C103" i="3" s="1"/>
  <c r="F103" i="3" s="1"/>
  <c r="BM104" i="1"/>
  <c r="C104" i="3" s="1"/>
  <c r="AI103" i="1"/>
  <c r="E103" i="3" s="1"/>
  <c r="AI104" i="1"/>
  <c r="E104" i="3" s="1"/>
  <c r="AU104" i="1"/>
  <c r="U104" i="3" s="1"/>
  <c r="AU103" i="1"/>
  <c r="U103" i="3" s="1"/>
  <c r="BY102" i="1"/>
  <c r="S102" i="3" s="1"/>
  <c r="BY104" i="1"/>
  <c r="S104" i="3" s="1"/>
  <c r="BY103" i="1"/>
  <c r="S103" i="3" s="1"/>
  <c r="BN104" i="1"/>
  <c r="D104" i="3" s="1"/>
  <c r="BN103" i="1"/>
  <c r="D103" i="3" s="1"/>
  <c r="T100" i="2"/>
  <c r="R103" i="2"/>
  <c r="BZ101" i="1"/>
  <c r="T101" i="3" s="1"/>
  <c r="BZ100" i="1"/>
  <c r="T100" i="3" s="1"/>
  <c r="BZ99" i="1"/>
  <c r="T99" i="3" s="1"/>
  <c r="BZ98" i="1"/>
  <c r="T98" i="3" s="1"/>
  <c r="BZ97" i="1"/>
  <c r="T97" i="3" s="1"/>
  <c r="BZ89" i="1"/>
  <c r="T89" i="3" s="1"/>
  <c r="BZ93" i="1"/>
  <c r="T93" i="3" s="1"/>
  <c r="BZ92" i="1"/>
  <c r="T92" i="3" s="1"/>
  <c r="BZ96" i="1"/>
  <c r="T96" i="3" s="1"/>
  <c r="BZ95" i="1"/>
  <c r="T95" i="3" s="1"/>
  <c r="BZ94" i="1"/>
  <c r="T94" i="3" s="1"/>
  <c r="BZ91" i="1"/>
  <c r="T91" i="3" s="1"/>
  <c r="BZ90" i="1"/>
  <c r="T90" i="3" s="1"/>
  <c r="BZ88" i="1"/>
  <c r="T88" i="3" s="1"/>
  <c r="BZ87" i="1"/>
  <c r="T87" i="3" s="1"/>
  <c r="BZ86" i="1"/>
  <c r="T86" i="3" s="1"/>
  <c r="BZ85" i="1"/>
  <c r="T85" i="3" s="1"/>
  <c r="R102" i="2"/>
  <c r="AI101" i="1"/>
  <c r="E101" i="3" s="1"/>
  <c r="AI100" i="1"/>
  <c r="E100" i="3" s="1"/>
  <c r="AI99" i="1"/>
  <c r="E99" i="3" s="1"/>
  <c r="AI98" i="1"/>
  <c r="E98" i="3" s="1"/>
  <c r="AI97" i="1"/>
  <c r="E97" i="3" s="1"/>
  <c r="AI96" i="1"/>
  <c r="E96" i="3" s="1"/>
  <c r="AI95" i="1"/>
  <c r="E95" i="3" s="1"/>
  <c r="AI94" i="1"/>
  <c r="E94" i="3" s="1"/>
  <c r="AI93" i="1"/>
  <c r="E93" i="3" s="1"/>
  <c r="AI92" i="1"/>
  <c r="E92" i="3" s="1"/>
  <c r="AI91" i="1"/>
  <c r="E91" i="3" s="1"/>
  <c r="AI89" i="1"/>
  <c r="E89" i="3" s="1"/>
  <c r="AI90" i="1"/>
  <c r="E90" i="3" s="1"/>
  <c r="AI88" i="1"/>
  <c r="E88" i="3" s="1"/>
  <c r="AI87" i="1"/>
  <c r="E87" i="3" s="1"/>
  <c r="AI86" i="1"/>
  <c r="E86" i="3" s="1"/>
  <c r="AI85" i="1"/>
  <c r="E85" i="3" s="1"/>
  <c r="T98" i="2"/>
  <c r="T101" i="2"/>
  <c r="T102" i="2"/>
  <c r="BM101" i="1"/>
  <c r="C101" i="3" s="1"/>
  <c r="BM100" i="1"/>
  <c r="C100" i="3" s="1"/>
  <c r="BM99" i="1"/>
  <c r="C99" i="3" s="1"/>
  <c r="BM98" i="1"/>
  <c r="C98" i="3" s="1"/>
  <c r="BM97" i="1"/>
  <c r="C97" i="3" s="1"/>
  <c r="BM89" i="1"/>
  <c r="C89" i="3" s="1"/>
  <c r="BM92" i="1"/>
  <c r="C92" i="3" s="1"/>
  <c r="BM93" i="1"/>
  <c r="C93" i="3" s="1"/>
  <c r="BM96" i="1"/>
  <c r="C96" i="3" s="1"/>
  <c r="BM95" i="1"/>
  <c r="C95" i="3" s="1"/>
  <c r="BM94" i="1"/>
  <c r="C94" i="3" s="1"/>
  <c r="BM91" i="1"/>
  <c r="C91" i="3" s="1"/>
  <c r="BM90" i="1"/>
  <c r="C90" i="3" s="1"/>
  <c r="BM88" i="1"/>
  <c r="C88" i="3" s="1"/>
  <c r="BM87" i="1"/>
  <c r="C87" i="3" s="1"/>
  <c r="BM86" i="1"/>
  <c r="C86" i="3" s="1"/>
  <c r="BM85" i="1"/>
  <c r="C85" i="3" s="1"/>
  <c r="AU102" i="1"/>
  <c r="U102" i="3" s="1"/>
  <c r="AU101" i="1"/>
  <c r="U101" i="3" s="1"/>
  <c r="AU100" i="1"/>
  <c r="U100" i="3" s="1"/>
  <c r="AU99" i="1"/>
  <c r="U99" i="3" s="1"/>
  <c r="AU98" i="1"/>
  <c r="U98" i="3" s="1"/>
  <c r="AU97" i="1"/>
  <c r="U97" i="3" s="1"/>
  <c r="AU96" i="1"/>
  <c r="U96" i="3" s="1"/>
  <c r="AU95" i="1"/>
  <c r="U95" i="3" s="1"/>
  <c r="AU94" i="1"/>
  <c r="U94" i="3" s="1"/>
  <c r="AU93" i="1"/>
  <c r="U93" i="3" s="1"/>
  <c r="AU92" i="1"/>
  <c r="U92" i="3" s="1"/>
  <c r="AU91" i="1"/>
  <c r="U91" i="3" s="1"/>
  <c r="AU89" i="1"/>
  <c r="U89" i="3" s="1"/>
  <c r="AU90" i="1"/>
  <c r="U90" i="3" s="1"/>
  <c r="AU88" i="1"/>
  <c r="U88" i="3" s="1"/>
  <c r="AU87" i="1"/>
  <c r="U87" i="3" s="1"/>
  <c r="AU86" i="1"/>
  <c r="U86" i="3" s="1"/>
  <c r="AU85" i="1"/>
  <c r="U85" i="3" s="1"/>
  <c r="BY101" i="1"/>
  <c r="S101" i="3" s="1"/>
  <c r="BY100" i="1"/>
  <c r="S100" i="3" s="1"/>
  <c r="BY99" i="1"/>
  <c r="S99" i="3" s="1"/>
  <c r="BY98" i="1"/>
  <c r="S98" i="3" s="1"/>
  <c r="BY97" i="1"/>
  <c r="S97" i="3" s="1"/>
  <c r="BY92" i="1"/>
  <c r="S92" i="3" s="1"/>
  <c r="BY89" i="1"/>
  <c r="S89" i="3" s="1"/>
  <c r="BY93" i="1"/>
  <c r="S93" i="3" s="1"/>
  <c r="BY96" i="1"/>
  <c r="S96" i="3" s="1"/>
  <c r="V96" i="3" s="1"/>
  <c r="BY95" i="1"/>
  <c r="S95" i="3" s="1"/>
  <c r="BY94" i="1"/>
  <c r="S94" i="3" s="1"/>
  <c r="BY91" i="1"/>
  <c r="S91" i="3" s="1"/>
  <c r="BY90" i="1"/>
  <c r="S90" i="3" s="1"/>
  <c r="V90" i="3" s="1"/>
  <c r="BY88" i="1"/>
  <c r="S88" i="3" s="1"/>
  <c r="BY87" i="1"/>
  <c r="S87" i="3" s="1"/>
  <c r="BY86" i="1"/>
  <c r="S86" i="3" s="1"/>
  <c r="BY85" i="1"/>
  <c r="S85" i="3" s="1"/>
  <c r="BN101" i="1"/>
  <c r="D101" i="3" s="1"/>
  <c r="BN100" i="1"/>
  <c r="D100" i="3" s="1"/>
  <c r="BN99" i="1"/>
  <c r="D99" i="3" s="1"/>
  <c r="BN98" i="1"/>
  <c r="D98" i="3" s="1"/>
  <c r="BN97" i="1"/>
  <c r="D97" i="3" s="1"/>
  <c r="BN93" i="1"/>
  <c r="D93" i="3" s="1"/>
  <c r="BN89" i="1"/>
  <c r="D89" i="3" s="1"/>
  <c r="BN92" i="1"/>
  <c r="D92" i="3" s="1"/>
  <c r="BN96" i="1"/>
  <c r="D96" i="3" s="1"/>
  <c r="BN95" i="1"/>
  <c r="D95" i="3" s="1"/>
  <c r="BN94" i="1"/>
  <c r="D94" i="3" s="1"/>
  <c r="BN91" i="1"/>
  <c r="D91" i="3" s="1"/>
  <c r="BN90" i="1"/>
  <c r="D90" i="3" s="1"/>
  <c r="BN88" i="1"/>
  <c r="D88" i="3" s="1"/>
  <c r="BN87" i="1"/>
  <c r="D87" i="3" s="1"/>
  <c r="BN86" i="1"/>
  <c r="D86" i="3" s="1"/>
  <c r="BN85" i="1"/>
  <c r="D85" i="3" s="1"/>
  <c r="T99" i="2"/>
  <c r="R92" i="2"/>
  <c r="R100" i="2"/>
  <c r="T92" i="2"/>
  <c r="R101" i="2"/>
  <c r="T86" i="2"/>
  <c r="R87" i="2"/>
  <c r="T94" i="2"/>
  <c r="R85" i="2"/>
  <c r="R95" i="2"/>
  <c r="T96" i="2"/>
  <c r="R88" i="2"/>
  <c r="T88" i="2"/>
  <c r="R97" i="2"/>
  <c r="T91" i="2"/>
  <c r="T90" i="2"/>
  <c r="T97" i="2"/>
  <c r="R98" i="2"/>
  <c r="T87" i="2"/>
  <c r="R91" i="2"/>
  <c r="R90" i="2"/>
  <c r="R94" i="2"/>
  <c r="R93" i="2"/>
  <c r="R99" i="2"/>
  <c r="C82" i="3"/>
  <c r="BM84" i="1"/>
  <c r="C84" i="3" s="1"/>
  <c r="BM83" i="1"/>
  <c r="C83" i="3" s="1"/>
  <c r="V78" i="3"/>
  <c r="E82" i="3"/>
  <c r="AI84" i="1"/>
  <c r="E84" i="3" s="1"/>
  <c r="AI83" i="1"/>
  <c r="E83" i="3" s="1"/>
  <c r="U82" i="3"/>
  <c r="AU84" i="1"/>
  <c r="U84" i="3" s="1"/>
  <c r="AU83" i="1"/>
  <c r="U83" i="3" s="1"/>
  <c r="T82" i="3"/>
  <c r="BZ84" i="1"/>
  <c r="T84" i="3" s="1"/>
  <c r="BZ83" i="1"/>
  <c r="T83" i="3" s="1"/>
  <c r="R83" i="2"/>
  <c r="S82" i="3"/>
  <c r="BY84" i="1"/>
  <c r="S84" i="3" s="1"/>
  <c r="BY83" i="1"/>
  <c r="S83" i="3" s="1"/>
  <c r="D82" i="3"/>
  <c r="BN84" i="1"/>
  <c r="D84" i="3" s="1"/>
  <c r="BN83" i="1"/>
  <c r="D83" i="3" s="1"/>
  <c r="T84" i="2"/>
  <c r="R84" i="2"/>
  <c r="T26" i="2"/>
  <c r="T70" i="2"/>
  <c r="T65" i="2"/>
  <c r="T73" i="2"/>
  <c r="T75" i="2"/>
  <c r="F78" i="3"/>
  <c r="R70" i="2"/>
  <c r="R45" i="2"/>
  <c r="R73" i="2"/>
  <c r="T74" i="2"/>
  <c r="T77" i="2"/>
  <c r="T76" i="2"/>
  <c r="R74" i="2"/>
  <c r="R75" i="2"/>
  <c r="R65" i="2"/>
  <c r="T63" i="2"/>
  <c r="R71" i="2"/>
  <c r="R68" i="2"/>
  <c r="T67" i="2"/>
  <c r="R61" i="2"/>
  <c r="R66" i="2"/>
  <c r="T62" i="2"/>
  <c r="R67" i="2"/>
  <c r="T68" i="2"/>
  <c r="T69" i="2"/>
  <c r="T66" i="2"/>
  <c r="R72" i="2"/>
  <c r="T44" i="2"/>
  <c r="T71" i="2"/>
  <c r="R69" i="2"/>
  <c r="T43" i="2"/>
  <c r="R29" i="2"/>
  <c r="T36" i="2"/>
  <c r="T45" i="2"/>
  <c r="T54" i="2"/>
  <c r="T47" i="2"/>
  <c r="R49" i="2"/>
  <c r="R62" i="2"/>
  <c r="T64" i="2"/>
  <c r="T52" i="2"/>
  <c r="R41" i="2"/>
  <c r="R32" i="2"/>
  <c r="T39" i="2"/>
  <c r="R63" i="2"/>
  <c r="R47" i="2"/>
  <c r="T41" i="2"/>
  <c r="R37" i="2"/>
  <c r="R54" i="2"/>
  <c r="R52" i="2"/>
  <c r="T57" i="2"/>
  <c r="T58" i="2"/>
  <c r="R50" i="2"/>
  <c r="R58" i="2"/>
  <c r="T60" i="2"/>
  <c r="T61" i="2"/>
  <c r="R22" i="2"/>
  <c r="R24" i="2"/>
  <c r="R33" i="2"/>
  <c r="T34" i="2"/>
  <c r="T37" i="2"/>
  <c r="T55" i="2"/>
  <c r="T38" i="2"/>
  <c r="R36" i="2"/>
  <c r="R42" i="2"/>
  <c r="R38" i="2"/>
  <c r="R59" i="2"/>
  <c r="R46" i="2"/>
  <c r="R53" i="2"/>
  <c r="R57" i="2"/>
  <c r="T48" i="2"/>
  <c r="T49" i="2"/>
  <c r="T56" i="2"/>
  <c r="T59" i="2"/>
  <c r="T42" i="2"/>
  <c r="R43" i="2"/>
  <c r="R44" i="2"/>
  <c r="R60" i="2"/>
  <c r="R19" i="2"/>
  <c r="T21" i="2"/>
  <c r="T53" i="2"/>
  <c r="T50" i="2"/>
  <c r="T46" i="2"/>
  <c r="T51" i="2"/>
  <c r="T40" i="2"/>
  <c r="R55" i="2"/>
  <c r="R56" i="2"/>
  <c r="R39" i="2"/>
  <c r="R48" i="2"/>
  <c r="R51" i="2"/>
  <c r="R25" i="2"/>
  <c r="T35" i="2"/>
  <c r="R35" i="2"/>
  <c r="T25" i="2"/>
  <c r="R34" i="2"/>
  <c r="T22" i="2"/>
  <c r="R21" i="2"/>
  <c r="R20" i="2"/>
  <c r="T20" i="2"/>
  <c r="T19" i="2"/>
  <c r="T12" i="2"/>
  <c r="T15" i="2"/>
  <c r="R13" i="2"/>
  <c r="T14" i="2"/>
  <c r="R15" i="2"/>
  <c r="T16" i="2"/>
  <c r="R16" i="2"/>
  <c r="T13" i="2"/>
  <c r="R14" i="2"/>
  <c r="BV15" i="1"/>
  <c r="R12" i="2"/>
  <c r="O26" i="2"/>
  <c r="O32" i="2"/>
  <c r="T27" i="2"/>
  <c r="T33" i="2"/>
  <c r="T29" i="2"/>
  <c r="R26" i="2"/>
  <c r="R30" i="2"/>
  <c r="R27" i="2"/>
  <c r="O27" i="2"/>
  <c r="T23" i="2"/>
  <c r="O24" i="2"/>
  <c r="R31" i="2"/>
  <c r="T28" i="2"/>
  <c r="T31" i="2"/>
  <c r="T30" i="2"/>
  <c r="T24" i="2"/>
  <c r="R23" i="2"/>
  <c r="R28" i="2"/>
  <c r="T32" i="2"/>
  <c r="O28" i="2"/>
  <c r="K11" i="3"/>
  <c r="L11" i="3"/>
  <c r="AA11" i="1"/>
  <c r="E11" i="2" s="1"/>
  <c r="AB11" i="1"/>
  <c r="F11" i="2" s="1"/>
  <c r="Q12" i="2" s="1"/>
  <c r="X10" i="1"/>
  <c r="AD71" i="1" s="1"/>
  <c r="H71" i="2" s="1"/>
  <c r="A11" i="3"/>
  <c r="B11" i="3"/>
  <c r="Q11" i="3"/>
  <c r="M11" i="3"/>
  <c r="I11" i="3"/>
  <c r="H11" i="3"/>
  <c r="G11" i="3"/>
  <c r="B10" i="2"/>
  <c r="W11" i="3"/>
  <c r="W10" i="3"/>
  <c r="B10" i="3"/>
  <c r="A10" i="3"/>
  <c r="I10" i="3"/>
  <c r="H10" i="3"/>
  <c r="G10" i="3"/>
  <c r="Q10" i="3"/>
  <c r="P10" i="3"/>
  <c r="O10" i="3"/>
  <c r="E10" i="2"/>
  <c r="F10" i="2"/>
  <c r="H10" i="2"/>
  <c r="BR84" i="1"/>
  <c r="BQ84" i="1"/>
  <c r="BP84" i="1"/>
  <c r="BR83" i="1"/>
  <c r="BQ83" i="1"/>
  <c r="BP83" i="1"/>
  <c r="BR82" i="1"/>
  <c r="BQ82" i="1"/>
  <c r="BP82" i="1"/>
  <c r="BR80" i="1"/>
  <c r="BQ80" i="1"/>
  <c r="BP80" i="1"/>
  <c r="BX79" i="1"/>
  <c r="BW79" i="1"/>
  <c r="BV79" i="1"/>
  <c r="BU79" i="1"/>
  <c r="BT79" i="1"/>
  <c r="BS79" i="1"/>
  <c r="BR79" i="1"/>
  <c r="BQ79" i="1"/>
  <c r="BP79" i="1"/>
  <c r="BX78" i="1"/>
  <c r="BX80" i="1" s="1"/>
  <c r="BX82" i="1" s="1"/>
  <c r="BW78" i="1"/>
  <c r="BV78" i="1"/>
  <c r="BU78" i="1"/>
  <c r="BU80" i="1" s="1"/>
  <c r="BU82" i="1" s="1"/>
  <c r="BT78" i="1"/>
  <c r="BS78" i="1"/>
  <c r="BR78" i="1"/>
  <c r="BQ78" i="1"/>
  <c r="BP78" i="1"/>
  <c r="BX77" i="1"/>
  <c r="BW77" i="1"/>
  <c r="P77" i="3" s="1"/>
  <c r="BV77" i="1"/>
  <c r="O77" i="3" s="1"/>
  <c r="BR77" i="1"/>
  <c r="BQ77" i="1"/>
  <c r="H77" i="3" s="1"/>
  <c r="BP77" i="1"/>
  <c r="G77" i="3" s="1"/>
  <c r="BX76" i="1"/>
  <c r="BW76" i="1"/>
  <c r="P76" i="3" s="1"/>
  <c r="BV76" i="1"/>
  <c r="O76" i="3" s="1"/>
  <c r="BR76" i="1"/>
  <c r="BQ76" i="1"/>
  <c r="H76" i="3" s="1"/>
  <c r="BP76" i="1"/>
  <c r="G76" i="3" s="1"/>
  <c r="BX75" i="1"/>
  <c r="BW75" i="1"/>
  <c r="P75" i="3" s="1"/>
  <c r="BV75" i="1"/>
  <c r="O75" i="3" s="1"/>
  <c r="BR75" i="1"/>
  <c r="BQ75" i="1"/>
  <c r="H75" i="3" s="1"/>
  <c r="BP75" i="1"/>
  <c r="G75" i="3" s="1"/>
  <c r="BU74" i="1"/>
  <c r="BT74" i="1"/>
  <c r="L74" i="3" s="1"/>
  <c r="BS74" i="1"/>
  <c r="K74" i="3" s="1"/>
  <c r="BR74" i="1"/>
  <c r="BQ74" i="1"/>
  <c r="H74" i="3" s="1"/>
  <c r="BP74" i="1"/>
  <c r="G74" i="3" s="1"/>
  <c r="BX73" i="1"/>
  <c r="BW73" i="1"/>
  <c r="P73" i="3" s="1"/>
  <c r="BV73" i="1"/>
  <c r="O73" i="3" s="1"/>
  <c r="BU73" i="1"/>
  <c r="BT73" i="1"/>
  <c r="L73" i="3" s="1"/>
  <c r="BS73" i="1"/>
  <c r="K73" i="3" s="1"/>
  <c r="BR73" i="1"/>
  <c r="BQ73" i="1"/>
  <c r="H73" i="3" s="1"/>
  <c r="BP73" i="1"/>
  <c r="G73" i="3" s="1"/>
  <c r="BX72" i="1"/>
  <c r="BW72" i="1"/>
  <c r="P72" i="3" s="1"/>
  <c r="BV72" i="1"/>
  <c r="O72" i="3" s="1"/>
  <c r="BU72" i="1"/>
  <c r="BT72" i="1"/>
  <c r="L72" i="3" s="1"/>
  <c r="BS72" i="1"/>
  <c r="K72" i="3" s="1"/>
  <c r="BR72" i="1"/>
  <c r="BQ72" i="1"/>
  <c r="H72" i="3" s="1"/>
  <c r="BP72" i="1"/>
  <c r="G72" i="3" s="1"/>
  <c r="BX71" i="1"/>
  <c r="BW71" i="1"/>
  <c r="P71" i="3" s="1"/>
  <c r="BV71" i="1"/>
  <c r="O71" i="3" s="1"/>
  <c r="BU71" i="1"/>
  <c r="BT71" i="1"/>
  <c r="L71" i="3" s="1"/>
  <c r="BS71" i="1"/>
  <c r="K71" i="3" s="1"/>
  <c r="BR71" i="1"/>
  <c r="BQ71" i="1"/>
  <c r="H71" i="3" s="1"/>
  <c r="BP71" i="1"/>
  <c r="G71" i="3" s="1"/>
  <c r="BX70" i="1"/>
  <c r="BW70" i="1"/>
  <c r="P70" i="3" s="1"/>
  <c r="BV70" i="1"/>
  <c r="O70" i="3" s="1"/>
  <c r="BU70" i="1"/>
  <c r="BT70" i="1"/>
  <c r="L70" i="3" s="1"/>
  <c r="BS70" i="1"/>
  <c r="K70" i="3" s="1"/>
  <c r="BR70" i="1"/>
  <c r="BQ70" i="1"/>
  <c r="H70" i="3" s="1"/>
  <c r="BP70" i="1"/>
  <c r="G70" i="3" s="1"/>
  <c r="BX69" i="1"/>
  <c r="BW69" i="1"/>
  <c r="P69" i="3" s="1"/>
  <c r="BV69" i="1"/>
  <c r="O69" i="3" s="1"/>
  <c r="BU69" i="1"/>
  <c r="BT69" i="1"/>
  <c r="L69" i="3" s="1"/>
  <c r="BS69" i="1"/>
  <c r="K69" i="3" s="1"/>
  <c r="BR69" i="1"/>
  <c r="BQ69" i="1"/>
  <c r="H69" i="3" s="1"/>
  <c r="BP69" i="1"/>
  <c r="G69" i="3" s="1"/>
  <c r="BX68" i="1"/>
  <c r="BW68" i="1"/>
  <c r="P68" i="3" s="1"/>
  <c r="BV68" i="1"/>
  <c r="O68" i="3" s="1"/>
  <c r="BU68" i="1"/>
  <c r="BT68" i="1"/>
  <c r="L68" i="3" s="1"/>
  <c r="BS68" i="1"/>
  <c r="K68" i="3" s="1"/>
  <c r="BR68" i="1"/>
  <c r="BQ68" i="1"/>
  <c r="H68" i="3" s="1"/>
  <c r="BP68" i="1"/>
  <c r="G68" i="3" s="1"/>
  <c r="BX67" i="1"/>
  <c r="BW67" i="1"/>
  <c r="P67" i="3" s="1"/>
  <c r="BV67" i="1"/>
  <c r="O67" i="3" s="1"/>
  <c r="BU67" i="1"/>
  <c r="BT67" i="1"/>
  <c r="L67" i="3" s="1"/>
  <c r="BS67" i="1"/>
  <c r="K67" i="3" s="1"/>
  <c r="BR67" i="1"/>
  <c r="BQ67" i="1"/>
  <c r="H67" i="3" s="1"/>
  <c r="BP67" i="1"/>
  <c r="G67" i="3" s="1"/>
  <c r="BX66" i="1"/>
  <c r="BW66" i="1"/>
  <c r="P66" i="3" s="1"/>
  <c r="BV66" i="1"/>
  <c r="O66" i="3" s="1"/>
  <c r="BU66" i="1"/>
  <c r="BT66" i="1"/>
  <c r="L66" i="3" s="1"/>
  <c r="BS66" i="1"/>
  <c r="K66" i="3" s="1"/>
  <c r="BR66" i="1"/>
  <c r="BQ66" i="1"/>
  <c r="H66" i="3" s="1"/>
  <c r="BP66" i="1"/>
  <c r="G66" i="3" s="1"/>
  <c r="BX64" i="1"/>
  <c r="BW64" i="1"/>
  <c r="P64" i="3" s="1"/>
  <c r="BV64" i="1"/>
  <c r="O64" i="3" s="1"/>
  <c r="BU64" i="1"/>
  <c r="BT64" i="1"/>
  <c r="L64" i="3" s="1"/>
  <c r="BS64" i="1"/>
  <c r="K64" i="3" s="1"/>
  <c r="BR64" i="1"/>
  <c r="BQ64" i="1"/>
  <c r="H64" i="3" s="1"/>
  <c r="BP64" i="1"/>
  <c r="G64" i="3" s="1"/>
  <c r="BX63" i="1"/>
  <c r="BW63" i="1"/>
  <c r="P63" i="3" s="1"/>
  <c r="BV63" i="1"/>
  <c r="O63" i="3" s="1"/>
  <c r="BU63" i="1"/>
  <c r="BT63" i="1"/>
  <c r="L63" i="3" s="1"/>
  <c r="BS63" i="1"/>
  <c r="K63" i="3" s="1"/>
  <c r="BR63" i="1"/>
  <c r="BQ63" i="1"/>
  <c r="H63" i="3" s="1"/>
  <c r="BP63" i="1"/>
  <c r="G63" i="3" s="1"/>
  <c r="BX60" i="1"/>
  <c r="BW60" i="1"/>
  <c r="BV60" i="1"/>
  <c r="BU60" i="1"/>
  <c r="BT60" i="1"/>
  <c r="L60" i="3" s="1"/>
  <c r="BS60" i="1"/>
  <c r="K60" i="3" s="1"/>
  <c r="BR60" i="1"/>
  <c r="BQ60" i="1"/>
  <c r="H60" i="3" s="1"/>
  <c r="BP60" i="1"/>
  <c r="G60" i="3" s="1"/>
  <c r="BX59" i="1"/>
  <c r="BW59" i="1"/>
  <c r="BV59" i="1"/>
  <c r="BU59" i="1"/>
  <c r="BT59" i="1"/>
  <c r="L59" i="3" s="1"/>
  <c r="BS59" i="1"/>
  <c r="K59" i="3" s="1"/>
  <c r="BR59" i="1"/>
  <c r="BQ59" i="1"/>
  <c r="H59" i="3" s="1"/>
  <c r="BP59" i="1"/>
  <c r="G59" i="3" s="1"/>
  <c r="BX58" i="1"/>
  <c r="BW58" i="1"/>
  <c r="BV58" i="1"/>
  <c r="BU58" i="1"/>
  <c r="BT58" i="1"/>
  <c r="L58" i="3" s="1"/>
  <c r="BS58" i="1"/>
  <c r="K58" i="3" s="1"/>
  <c r="BR58" i="1"/>
  <c r="BQ58" i="1"/>
  <c r="H58" i="3" s="1"/>
  <c r="BP58" i="1"/>
  <c r="G58" i="3" s="1"/>
  <c r="AL84" i="1"/>
  <c r="AK84" i="1"/>
  <c r="AJ84" i="1"/>
  <c r="AL83" i="1"/>
  <c r="AK83" i="1"/>
  <c r="AJ83" i="1"/>
  <c r="AL80" i="1"/>
  <c r="AK80" i="1"/>
  <c r="AJ80" i="1"/>
  <c r="AR79" i="1"/>
  <c r="AQ79" i="1"/>
  <c r="AP79" i="1"/>
  <c r="AO79" i="1"/>
  <c r="AN79" i="1"/>
  <c r="AM79" i="1"/>
  <c r="AL79" i="1"/>
  <c r="AK79" i="1"/>
  <c r="AJ79" i="1"/>
  <c r="AR78" i="1"/>
  <c r="AQ78" i="1"/>
  <c r="AQ80" i="1" s="1"/>
  <c r="AQ82" i="1" s="1"/>
  <c r="AP78" i="1"/>
  <c r="AP80" i="1" s="1"/>
  <c r="AP82" i="1" s="1"/>
  <c r="AO78" i="1"/>
  <c r="AN78" i="1"/>
  <c r="AN80" i="1" s="1"/>
  <c r="AN82" i="1" s="1"/>
  <c r="AM78" i="1"/>
  <c r="AM80" i="1" s="1"/>
  <c r="AM82" i="1" s="1"/>
  <c r="AL78" i="1"/>
  <c r="AK78" i="1"/>
  <c r="AJ78" i="1"/>
  <c r="AR77" i="1"/>
  <c r="Q77" i="3" s="1"/>
  <c r="AQ77" i="1"/>
  <c r="AP77" i="1"/>
  <c r="AO77" i="1"/>
  <c r="AN77" i="1"/>
  <c r="AM77" i="1"/>
  <c r="AL77" i="1"/>
  <c r="I77" i="3" s="1"/>
  <c r="AK77" i="1"/>
  <c r="AJ77" i="1"/>
  <c r="AR76" i="1"/>
  <c r="Q76" i="3" s="1"/>
  <c r="AQ76" i="1"/>
  <c r="AP76" i="1"/>
  <c r="AL76" i="1"/>
  <c r="I76" i="3" s="1"/>
  <c r="AK76" i="1"/>
  <c r="AJ76" i="1"/>
  <c r="AR75" i="1"/>
  <c r="Q75" i="3" s="1"/>
  <c r="AQ75" i="1"/>
  <c r="AP75" i="1"/>
  <c r="AO75" i="1"/>
  <c r="AN75" i="1"/>
  <c r="AM75" i="1"/>
  <c r="AL75" i="1"/>
  <c r="I75" i="3" s="1"/>
  <c r="AK75" i="1"/>
  <c r="AJ75" i="1"/>
  <c r="AR74" i="1"/>
  <c r="Q74" i="3" s="1"/>
  <c r="R74" i="3" s="1"/>
  <c r="AQ74" i="1"/>
  <c r="AP74" i="1"/>
  <c r="AO74" i="1"/>
  <c r="M74" i="3" s="1"/>
  <c r="AN74" i="1"/>
  <c r="AM74" i="1"/>
  <c r="AL74" i="1"/>
  <c r="I74" i="3" s="1"/>
  <c r="AK74" i="1"/>
  <c r="AJ74" i="1"/>
  <c r="AR73" i="1"/>
  <c r="Q73" i="3" s="1"/>
  <c r="AQ73" i="1"/>
  <c r="AP73" i="1"/>
  <c r="AO73" i="1"/>
  <c r="M73" i="3" s="1"/>
  <c r="AN73" i="1"/>
  <c r="AM73" i="1"/>
  <c r="AL73" i="1"/>
  <c r="I73" i="3" s="1"/>
  <c r="AK73" i="1"/>
  <c r="AJ73" i="1"/>
  <c r="AR72" i="1"/>
  <c r="Q72" i="3" s="1"/>
  <c r="AQ72" i="1"/>
  <c r="AP72" i="1"/>
  <c r="AO72" i="1"/>
  <c r="M72" i="3" s="1"/>
  <c r="AN72" i="1"/>
  <c r="AM72" i="1"/>
  <c r="AL72" i="1"/>
  <c r="I72" i="3" s="1"/>
  <c r="AK72" i="1"/>
  <c r="AJ72" i="1"/>
  <c r="AR71" i="1"/>
  <c r="Q71" i="3" s="1"/>
  <c r="AQ71" i="1"/>
  <c r="AP71" i="1"/>
  <c r="AO71" i="1"/>
  <c r="M71" i="3" s="1"/>
  <c r="AN71" i="1"/>
  <c r="AM71" i="1"/>
  <c r="AL71" i="1"/>
  <c r="I71" i="3" s="1"/>
  <c r="AK71" i="1"/>
  <c r="AJ71" i="1"/>
  <c r="AR70" i="1"/>
  <c r="Q70" i="3" s="1"/>
  <c r="AQ70" i="1"/>
  <c r="AP70" i="1"/>
  <c r="AO70" i="1"/>
  <c r="M70" i="3" s="1"/>
  <c r="AN70" i="1"/>
  <c r="AM70" i="1"/>
  <c r="AL70" i="1"/>
  <c r="I70" i="3" s="1"/>
  <c r="AK70" i="1"/>
  <c r="AJ70" i="1"/>
  <c r="AR69" i="1"/>
  <c r="Q69" i="3" s="1"/>
  <c r="AQ69" i="1"/>
  <c r="AP69" i="1"/>
  <c r="AO69" i="1"/>
  <c r="M69" i="3" s="1"/>
  <c r="AN69" i="1"/>
  <c r="AM69" i="1"/>
  <c r="AL69" i="1"/>
  <c r="I69" i="3" s="1"/>
  <c r="AK69" i="1"/>
  <c r="AJ69" i="1"/>
  <c r="AR68" i="1"/>
  <c r="Q68" i="3" s="1"/>
  <c r="AQ68" i="1"/>
  <c r="AP68" i="1"/>
  <c r="AO68" i="1"/>
  <c r="M68" i="3" s="1"/>
  <c r="AN68" i="1"/>
  <c r="AM68" i="1"/>
  <c r="AL68" i="1"/>
  <c r="I68" i="3" s="1"/>
  <c r="AK68" i="1"/>
  <c r="AJ68" i="1"/>
  <c r="AR67" i="1"/>
  <c r="Q67" i="3" s="1"/>
  <c r="AQ67" i="1"/>
  <c r="AP67" i="1"/>
  <c r="AO67" i="1"/>
  <c r="M67" i="3" s="1"/>
  <c r="AN67" i="1"/>
  <c r="AM67" i="1"/>
  <c r="AL67" i="1"/>
  <c r="I67" i="3" s="1"/>
  <c r="AK67" i="1"/>
  <c r="AJ67" i="1"/>
  <c r="AR66" i="1"/>
  <c r="Q66" i="3" s="1"/>
  <c r="AQ66" i="1"/>
  <c r="AP66" i="1"/>
  <c r="AO66" i="1"/>
  <c r="M66" i="3" s="1"/>
  <c r="AN66" i="1"/>
  <c r="AM66" i="1"/>
  <c r="AL66" i="1"/>
  <c r="I66" i="3" s="1"/>
  <c r="AK66" i="1"/>
  <c r="AJ66" i="1"/>
  <c r="AR65" i="1"/>
  <c r="Q65" i="3" s="1"/>
  <c r="R65" i="3" s="1"/>
  <c r="AQ65" i="1"/>
  <c r="AP65" i="1"/>
  <c r="AO65" i="1"/>
  <c r="M65" i="3" s="1"/>
  <c r="N65" i="3" s="1"/>
  <c r="AN65" i="1"/>
  <c r="AM65" i="1"/>
  <c r="AL65" i="1"/>
  <c r="I65" i="3" s="1"/>
  <c r="J65" i="3" s="1"/>
  <c r="AK65" i="1"/>
  <c r="AJ65" i="1"/>
  <c r="AR64" i="1"/>
  <c r="Q64" i="3" s="1"/>
  <c r="AQ64" i="1"/>
  <c r="AP64" i="1"/>
  <c r="AO64" i="1"/>
  <c r="M64" i="3" s="1"/>
  <c r="AN64" i="1"/>
  <c r="AM64" i="1"/>
  <c r="AL64" i="1"/>
  <c r="I64" i="3" s="1"/>
  <c r="AK64" i="1"/>
  <c r="AJ64" i="1"/>
  <c r="AR63" i="1"/>
  <c r="Q63" i="3" s="1"/>
  <c r="AQ63" i="1"/>
  <c r="AP63" i="1"/>
  <c r="AO63" i="1"/>
  <c r="M63" i="3" s="1"/>
  <c r="AN63" i="1"/>
  <c r="AM63" i="1"/>
  <c r="AL63" i="1"/>
  <c r="I63" i="3" s="1"/>
  <c r="AK63" i="1"/>
  <c r="AJ63" i="1"/>
  <c r="AR60" i="1"/>
  <c r="Q60" i="3" s="1"/>
  <c r="AQ60" i="1"/>
  <c r="AP60" i="1"/>
  <c r="AO60" i="1"/>
  <c r="M60" i="3" s="1"/>
  <c r="AN60" i="1"/>
  <c r="AM60" i="1"/>
  <c r="AL60" i="1"/>
  <c r="I60" i="3" s="1"/>
  <c r="AK60" i="1"/>
  <c r="AJ60" i="1"/>
  <c r="AR59" i="1"/>
  <c r="Q59" i="3" s="1"/>
  <c r="AQ59" i="1"/>
  <c r="AP59" i="1"/>
  <c r="AO59" i="1"/>
  <c r="M59" i="3" s="1"/>
  <c r="AN59" i="1"/>
  <c r="AM59" i="1"/>
  <c r="AL59" i="1"/>
  <c r="I59" i="3" s="1"/>
  <c r="AK59" i="1"/>
  <c r="AJ59" i="1"/>
  <c r="AR58" i="1"/>
  <c r="Q58" i="3" s="1"/>
  <c r="AQ58" i="1"/>
  <c r="AP58" i="1"/>
  <c r="AO58" i="1"/>
  <c r="M58" i="3" s="1"/>
  <c r="AN58" i="1"/>
  <c r="AM58" i="1"/>
  <c r="AL58" i="1"/>
  <c r="I58" i="3" s="1"/>
  <c r="AK58" i="1"/>
  <c r="AJ58" i="1"/>
  <c r="U63" i="1"/>
  <c r="AA63" i="1" s="1"/>
  <c r="E63" i="2" s="1"/>
  <c r="V63" i="1"/>
  <c r="AB63" i="1" s="1"/>
  <c r="F63" i="2" s="1"/>
  <c r="Q63" i="2" s="1"/>
  <c r="X63" i="1"/>
  <c r="U64" i="1"/>
  <c r="AA64" i="1" s="1"/>
  <c r="E64" i="2" s="1"/>
  <c r="P65" i="2" s="1"/>
  <c r="V64" i="1"/>
  <c r="AB64" i="1" s="1"/>
  <c r="F64" i="2" s="1"/>
  <c r="U66" i="1"/>
  <c r="AA66" i="1" s="1"/>
  <c r="E66" i="2" s="1"/>
  <c r="V66" i="1"/>
  <c r="AB66" i="1" s="1"/>
  <c r="F66" i="2" s="1"/>
  <c r="X66" i="1"/>
  <c r="U69" i="1"/>
  <c r="AA69" i="1" s="1"/>
  <c r="E69" i="2" s="1"/>
  <c r="V69" i="1"/>
  <c r="AB69" i="1" s="1"/>
  <c r="F69" i="2" s="1"/>
  <c r="X69" i="1"/>
  <c r="U71" i="1"/>
  <c r="AA71" i="1" s="1"/>
  <c r="E71" i="2" s="1"/>
  <c r="P71" i="2" s="1"/>
  <c r="V71" i="1"/>
  <c r="AB71" i="1" s="1"/>
  <c r="F71" i="2" s="1"/>
  <c r="Q71" i="2" s="1"/>
  <c r="U72" i="1"/>
  <c r="AA72" i="1" s="1"/>
  <c r="E72" i="2" s="1"/>
  <c r="V72" i="1"/>
  <c r="AB72" i="1" s="1"/>
  <c r="F72" i="2" s="1"/>
  <c r="X72" i="1"/>
  <c r="U79" i="1"/>
  <c r="AA79" i="1" s="1"/>
  <c r="V79" i="1"/>
  <c r="AB79" i="1" s="1"/>
  <c r="X79" i="1"/>
  <c r="AD79" i="1" s="1"/>
  <c r="AA83" i="1"/>
  <c r="V83" i="1"/>
  <c r="AB83" i="1" s="1"/>
  <c r="F83" i="2" s="1"/>
  <c r="AD83" i="1"/>
  <c r="B84" i="1"/>
  <c r="B83" i="1"/>
  <c r="B82" i="1"/>
  <c r="D79" i="1"/>
  <c r="B79" i="1"/>
  <c r="A79" i="2" s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0" i="1"/>
  <c r="B59" i="1"/>
  <c r="B58" i="1"/>
  <c r="K10" i="3"/>
  <c r="L10" i="3"/>
  <c r="M10" i="3"/>
  <c r="A10" i="2"/>
  <c r="V105" i="3" l="1"/>
  <c r="V89" i="3"/>
  <c r="BU107" i="1"/>
  <c r="BU105" i="1"/>
  <c r="BU106" i="1"/>
  <c r="V97" i="3"/>
  <c r="V103" i="3"/>
  <c r="AQ107" i="1"/>
  <c r="AQ105" i="1"/>
  <c r="AQ106" i="1"/>
  <c r="BX106" i="1"/>
  <c r="BX105" i="1"/>
  <c r="BX107" i="1"/>
  <c r="F106" i="3"/>
  <c r="V85" i="3"/>
  <c r="V101" i="3"/>
  <c r="F105" i="3"/>
  <c r="AM107" i="1"/>
  <c r="AM106" i="1"/>
  <c r="AM105" i="1"/>
  <c r="AN107" i="1"/>
  <c r="AN105" i="1"/>
  <c r="AN106" i="1"/>
  <c r="AP105" i="1"/>
  <c r="AP106" i="1"/>
  <c r="AP107" i="1"/>
  <c r="AN103" i="1"/>
  <c r="AN104" i="1"/>
  <c r="AN102" i="1"/>
  <c r="BX104" i="1"/>
  <c r="BX103" i="1"/>
  <c r="BX102" i="1"/>
  <c r="F85" i="3"/>
  <c r="F96" i="3"/>
  <c r="V104" i="3"/>
  <c r="BU102" i="1"/>
  <c r="BU104" i="1"/>
  <c r="BU103" i="1"/>
  <c r="F93" i="3"/>
  <c r="V102" i="3"/>
  <c r="AM104" i="1"/>
  <c r="AM102" i="1"/>
  <c r="AM103" i="1"/>
  <c r="AQ104" i="1"/>
  <c r="AQ102" i="1"/>
  <c r="AQ103" i="1"/>
  <c r="F90" i="3"/>
  <c r="F97" i="3"/>
  <c r="AP103" i="1"/>
  <c r="AP104" i="1"/>
  <c r="AP102" i="1"/>
  <c r="V86" i="3"/>
  <c r="V91" i="3"/>
  <c r="V93" i="3"/>
  <c r="V98" i="3"/>
  <c r="F104" i="3"/>
  <c r="AP101" i="1"/>
  <c r="AP100" i="1"/>
  <c r="AP99" i="1"/>
  <c r="AP98" i="1"/>
  <c r="AP97" i="1"/>
  <c r="AP96" i="1"/>
  <c r="AP95" i="1"/>
  <c r="AP94" i="1"/>
  <c r="AP93" i="1"/>
  <c r="AP92" i="1"/>
  <c r="AP91" i="1"/>
  <c r="AP89" i="1"/>
  <c r="AP90" i="1"/>
  <c r="AP88" i="1"/>
  <c r="AP87" i="1"/>
  <c r="AP86" i="1"/>
  <c r="AP85" i="1"/>
  <c r="F86" i="3"/>
  <c r="F91" i="3"/>
  <c r="F98" i="3"/>
  <c r="AM101" i="1"/>
  <c r="AM100" i="1"/>
  <c r="AM99" i="1"/>
  <c r="AM98" i="1"/>
  <c r="AM97" i="1"/>
  <c r="AM96" i="1"/>
  <c r="AM95" i="1"/>
  <c r="AM94" i="1"/>
  <c r="AM93" i="1"/>
  <c r="AM92" i="1"/>
  <c r="AM91" i="1"/>
  <c r="AM89" i="1"/>
  <c r="AM90" i="1"/>
  <c r="AM88" i="1"/>
  <c r="AM87" i="1"/>
  <c r="AM86" i="1"/>
  <c r="AM85" i="1"/>
  <c r="AQ101" i="1"/>
  <c r="AQ100" i="1"/>
  <c r="AQ99" i="1"/>
  <c r="AQ98" i="1"/>
  <c r="AQ97" i="1"/>
  <c r="AQ96" i="1"/>
  <c r="AQ95" i="1"/>
  <c r="AQ94" i="1"/>
  <c r="AQ93" i="1"/>
  <c r="AQ92" i="1"/>
  <c r="AQ91" i="1"/>
  <c r="AQ89" i="1"/>
  <c r="AQ90" i="1"/>
  <c r="AQ88" i="1"/>
  <c r="AQ87" i="1"/>
  <c r="AQ86" i="1"/>
  <c r="AQ85" i="1"/>
  <c r="F82" i="3"/>
  <c r="V87" i="3"/>
  <c r="V94" i="3"/>
  <c r="V99" i="3"/>
  <c r="F87" i="3"/>
  <c r="F94" i="3"/>
  <c r="F92" i="3"/>
  <c r="F99" i="3"/>
  <c r="AN101" i="1"/>
  <c r="AN100" i="1"/>
  <c r="AN99" i="1"/>
  <c r="AN98" i="1"/>
  <c r="AN97" i="1"/>
  <c r="AN96" i="1"/>
  <c r="AN95" i="1"/>
  <c r="AN94" i="1"/>
  <c r="AN93" i="1"/>
  <c r="AN92" i="1"/>
  <c r="AN91" i="1"/>
  <c r="AN89" i="1"/>
  <c r="AN90" i="1"/>
  <c r="AN88" i="1"/>
  <c r="AN87" i="1"/>
  <c r="AN86" i="1"/>
  <c r="AN85" i="1"/>
  <c r="BX101" i="1"/>
  <c r="BX100" i="1"/>
  <c r="BX99" i="1"/>
  <c r="BX98" i="1"/>
  <c r="BX97" i="1"/>
  <c r="BX92" i="1"/>
  <c r="BX89" i="1"/>
  <c r="BX93" i="1"/>
  <c r="BX96" i="1"/>
  <c r="BX95" i="1"/>
  <c r="BX94" i="1"/>
  <c r="BX91" i="1"/>
  <c r="BX90" i="1"/>
  <c r="BX88" i="1"/>
  <c r="BX87" i="1"/>
  <c r="BX86" i="1"/>
  <c r="BX85" i="1"/>
  <c r="V88" i="3"/>
  <c r="V95" i="3"/>
  <c r="V92" i="3"/>
  <c r="V100" i="3"/>
  <c r="F88" i="3"/>
  <c r="F95" i="3"/>
  <c r="F89" i="3"/>
  <c r="F100" i="3"/>
  <c r="BU101" i="1"/>
  <c r="BU100" i="1"/>
  <c r="BU99" i="1"/>
  <c r="BU98" i="1"/>
  <c r="BU97" i="1"/>
  <c r="BU92" i="1"/>
  <c r="BU89" i="1"/>
  <c r="BU93" i="1"/>
  <c r="BU96" i="1"/>
  <c r="BU95" i="1"/>
  <c r="BU94" i="1"/>
  <c r="BU91" i="1"/>
  <c r="BU90" i="1"/>
  <c r="BU88" i="1"/>
  <c r="BU87" i="1"/>
  <c r="BU86" i="1"/>
  <c r="BU85" i="1"/>
  <c r="F101" i="3"/>
  <c r="A59" i="3"/>
  <c r="A59" i="2"/>
  <c r="A77" i="3"/>
  <c r="A77" i="2"/>
  <c r="A63" i="3"/>
  <c r="A63" i="2"/>
  <c r="A71" i="3"/>
  <c r="A71" i="2"/>
  <c r="A65" i="3"/>
  <c r="A65" i="2"/>
  <c r="A73" i="3"/>
  <c r="A73" i="2"/>
  <c r="A82" i="3"/>
  <c r="A82" i="2"/>
  <c r="A69" i="3"/>
  <c r="A69" i="2"/>
  <c r="A64" i="3"/>
  <c r="A64" i="2"/>
  <c r="A66" i="3"/>
  <c r="A66" i="2"/>
  <c r="A67" i="3"/>
  <c r="A67" i="2"/>
  <c r="A75" i="3"/>
  <c r="A75" i="2"/>
  <c r="A84" i="3"/>
  <c r="A84" i="2"/>
  <c r="V82" i="3"/>
  <c r="A60" i="3"/>
  <c r="A60" i="2"/>
  <c r="A70" i="3"/>
  <c r="A70" i="2"/>
  <c r="A78" i="3"/>
  <c r="A78" i="2"/>
  <c r="A72" i="3"/>
  <c r="A72" i="2"/>
  <c r="A74" i="3"/>
  <c r="A74" i="2"/>
  <c r="A83" i="3"/>
  <c r="A83" i="2"/>
  <c r="A58" i="3"/>
  <c r="A58" i="2"/>
  <c r="A68" i="3"/>
  <c r="A68" i="2"/>
  <c r="A76" i="3"/>
  <c r="A76" i="2"/>
  <c r="V84" i="3"/>
  <c r="AN84" i="1"/>
  <c r="AN83" i="1"/>
  <c r="AP84" i="1"/>
  <c r="AP83" i="1"/>
  <c r="BU84" i="1"/>
  <c r="BU83" i="1"/>
  <c r="AQ84" i="1"/>
  <c r="AQ83" i="1"/>
  <c r="F83" i="3"/>
  <c r="AD72" i="1"/>
  <c r="H72" i="2" s="1"/>
  <c r="S72" i="2" s="1"/>
  <c r="F84" i="3"/>
  <c r="Q83" i="2"/>
  <c r="Q84" i="2"/>
  <c r="AD66" i="1"/>
  <c r="H66" i="2" s="1"/>
  <c r="BX84" i="1"/>
  <c r="BX83" i="1"/>
  <c r="AM84" i="1"/>
  <c r="AM83" i="1"/>
  <c r="V83" i="3"/>
  <c r="R75" i="3"/>
  <c r="J75" i="3"/>
  <c r="J77" i="3"/>
  <c r="BT80" i="1"/>
  <c r="BT82" i="1" s="1"/>
  <c r="L78" i="3"/>
  <c r="J76" i="3"/>
  <c r="BV80" i="1"/>
  <c r="BV82" i="1" s="1"/>
  <c r="O78" i="3"/>
  <c r="BW80" i="1"/>
  <c r="BW82" i="1" s="1"/>
  <c r="P78" i="3"/>
  <c r="BS80" i="1"/>
  <c r="BS82" i="1" s="1"/>
  <c r="K78" i="3"/>
  <c r="AD69" i="1"/>
  <c r="H69" i="2" s="1"/>
  <c r="AD63" i="1"/>
  <c r="H63" i="2" s="1"/>
  <c r="R76" i="3"/>
  <c r="N59" i="3"/>
  <c r="R77" i="3"/>
  <c r="AO80" i="1"/>
  <c r="AO82" i="1" s="1"/>
  <c r="M78" i="3"/>
  <c r="R69" i="3"/>
  <c r="N66" i="3"/>
  <c r="R67" i="3"/>
  <c r="N70" i="3"/>
  <c r="R71" i="3"/>
  <c r="J73" i="3"/>
  <c r="N74" i="3"/>
  <c r="AR80" i="1"/>
  <c r="AR82" i="1" s="1"/>
  <c r="Q78" i="3"/>
  <c r="AD77" i="1"/>
  <c r="H77" i="2" s="1"/>
  <c r="AD75" i="1"/>
  <c r="H75" i="2" s="1"/>
  <c r="AD76" i="1"/>
  <c r="H76" i="2" s="1"/>
  <c r="J59" i="3"/>
  <c r="N60" i="3"/>
  <c r="R63" i="3"/>
  <c r="P66" i="2"/>
  <c r="P67" i="2"/>
  <c r="P69" i="2"/>
  <c r="P70" i="2"/>
  <c r="J69" i="3"/>
  <c r="N67" i="3"/>
  <c r="R68" i="3"/>
  <c r="J70" i="3"/>
  <c r="N71" i="3"/>
  <c r="R72" i="3"/>
  <c r="J74" i="3"/>
  <c r="Q69" i="2"/>
  <c r="Q70" i="2"/>
  <c r="Q72" i="2"/>
  <c r="Q73" i="2"/>
  <c r="N68" i="3"/>
  <c r="J71" i="3"/>
  <c r="N72" i="3"/>
  <c r="R73" i="3"/>
  <c r="P72" i="2"/>
  <c r="P73" i="2"/>
  <c r="Q66" i="2"/>
  <c r="Q67" i="2"/>
  <c r="J63" i="3"/>
  <c r="J68" i="3"/>
  <c r="N69" i="3"/>
  <c r="R70" i="3"/>
  <c r="J72" i="3"/>
  <c r="N73" i="3"/>
  <c r="AD74" i="1"/>
  <c r="H74" i="2" s="1"/>
  <c r="AD73" i="1"/>
  <c r="H73" i="2" s="1"/>
  <c r="AD70" i="1"/>
  <c r="H70" i="2" s="1"/>
  <c r="AD67" i="1"/>
  <c r="H67" i="2" s="1"/>
  <c r="AD68" i="1"/>
  <c r="H68" i="2" s="1"/>
  <c r="J67" i="3"/>
  <c r="N58" i="3"/>
  <c r="R66" i="3"/>
  <c r="J64" i="3"/>
  <c r="R10" i="3"/>
  <c r="Q64" i="2"/>
  <c r="Q65" i="2"/>
  <c r="R64" i="3"/>
  <c r="P64" i="2"/>
  <c r="P63" i="2"/>
  <c r="J66" i="3"/>
  <c r="N64" i="3"/>
  <c r="N63" i="3"/>
  <c r="AD64" i="1"/>
  <c r="H64" i="2" s="1"/>
  <c r="AD65" i="1"/>
  <c r="H65" i="2" s="1"/>
  <c r="AD61" i="1"/>
  <c r="H61" i="2" s="1"/>
  <c r="AD62" i="1"/>
  <c r="H62" i="2" s="1"/>
  <c r="P58" i="3"/>
  <c r="O59" i="3"/>
  <c r="V59" i="3"/>
  <c r="J60" i="3"/>
  <c r="J58" i="3"/>
  <c r="P59" i="3"/>
  <c r="O60" i="3"/>
  <c r="P60" i="3"/>
  <c r="AD58" i="1"/>
  <c r="H58" i="2" s="1"/>
  <c r="AD54" i="1"/>
  <c r="H54" i="2" s="1"/>
  <c r="AD51" i="1"/>
  <c r="H51" i="2" s="1"/>
  <c r="AD48" i="1"/>
  <c r="H48" i="2" s="1"/>
  <c r="AD44" i="1"/>
  <c r="H44" i="2" s="1"/>
  <c r="AD42" i="1"/>
  <c r="H42" i="2" s="1"/>
  <c r="S42" i="2" s="1"/>
  <c r="AD39" i="1"/>
  <c r="H39" i="2" s="1"/>
  <c r="AD43" i="1"/>
  <c r="H43" i="2" s="1"/>
  <c r="AD55" i="1"/>
  <c r="H55" i="2" s="1"/>
  <c r="AD40" i="1"/>
  <c r="H40" i="2" s="1"/>
  <c r="AD52" i="1"/>
  <c r="H52" i="2" s="1"/>
  <c r="S52" i="2" s="1"/>
  <c r="AD60" i="1"/>
  <c r="H60" i="2" s="1"/>
  <c r="AD49" i="1"/>
  <c r="H49" i="2" s="1"/>
  <c r="AD50" i="1"/>
  <c r="H50" i="2" s="1"/>
  <c r="AD53" i="1"/>
  <c r="H53" i="2" s="1"/>
  <c r="AD45" i="1"/>
  <c r="H45" i="2" s="1"/>
  <c r="AD57" i="1"/>
  <c r="H57" i="2" s="1"/>
  <c r="AD56" i="1"/>
  <c r="H56" i="2" s="1"/>
  <c r="AD59" i="1"/>
  <c r="H59" i="2" s="1"/>
  <c r="AD38" i="1"/>
  <c r="H38" i="2" s="1"/>
  <c r="AD47" i="1"/>
  <c r="H47" i="2" s="1"/>
  <c r="S47" i="2" s="1"/>
  <c r="AD37" i="1"/>
  <c r="H37" i="2" s="1"/>
  <c r="AD36" i="1"/>
  <c r="H36" i="2" s="1"/>
  <c r="O58" i="3"/>
  <c r="V58" i="3"/>
  <c r="N10" i="3"/>
  <c r="N11" i="3"/>
  <c r="AD35" i="1"/>
  <c r="H35" i="2" s="1"/>
  <c r="AD33" i="1"/>
  <c r="H33" i="2" s="1"/>
  <c r="AD29" i="1"/>
  <c r="H29" i="2" s="1"/>
  <c r="AD32" i="1"/>
  <c r="H32" i="2" s="1"/>
  <c r="AD28" i="1"/>
  <c r="H28" i="2" s="1"/>
  <c r="AD31" i="1"/>
  <c r="H31" i="2" s="1"/>
  <c r="AD34" i="1"/>
  <c r="H34" i="2" s="1"/>
  <c r="AD30" i="1"/>
  <c r="H30" i="2" s="1"/>
  <c r="AD26" i="1"/>
  <c r="H26" i="2" s="1"/>
  <c r="AD27" i="1"/>
  <c r="H27" i="2" s="1"/>
  <c r="J10" i="3"/>
  <c r="J11" i="3"/>
  <c r="AD19" i="1"/>
  <c r="H19" i="2" s="1"/>
  <c r="AD24" i="1"/>
  <c r="H24" i="2" s="1"/>
  <c r="AD23" i="1"/>
  <c r="H23" i="2" s="1"/>
  <c r="AD20" i="1"/>
  <c r="H20" i="2" s="1"/>
  <c r="AD21" i="1"/>
  <c r="H21" i="2" s="1"/>
  <c r="AD25" i="1"/>
  <c r="H25" i="2" s="1"/>
  <c r="AD22" i="1"/>
  <c r="H22" i="2" s="1"/>
  <c r="AD17" i="1"/>
  <c r="H17" i="2" s="1"/>
  <c r="AD18" i="1"/>
  <c r="H18" i="2" s="1"/>
  <c r="AD16" i="1"/>
  <c r="H16" i="2" s="1"/>
  <c r="AD15" i="1"/>
  <c r="H15" i="2" s="1"/>
  <c r="O15" i="3"/>
  <c r="BW15" i="1"/>
  <c r="AD11" i="1"/>
  <c r="H11" i="2" s="1"/>
  <c r="S11" i="2" s="1"/>
  <c r="AD14" i="1"/>
  <c r="AD13" i="1"/>
  <c r="H13" i="2" s="1"/>
  <c r="AD12" i="1"/>
  <c r="H12" i="2" s="1"/>
  <c r="P11" i="2"/>
  <c r="P12" i="2"/>
  <c r="R11" i="2"/>
  <c r="T11" i="2"/>
  <c r="O11" i="2"/>
  <c r="Q11" i="2"/>
  <c r="P11" i="3"/>
  <c r="O11" i="3"/>
  <c r="V11" i="3"/>
  <c r="Q28" i="2"/>
  <c r="Q26" i="2"/>
  <c r="Q29" i="2"/>
  <c r="BV107" i="1" l="1"/>
  <c r="O107" i="3" s="1"/>
  <c r="BV105" i="1"/>
  <c r="O105" i="3" s="1"/>
  <c r="BV106" i="1"/>
  <c r="O106" i="3" s="1"/>
  <c r="BS105" i="1"/>
  <c r="K105" i="3" s="1"/>
  <c r="BS107" i="1"/>
  <c r="K107" i="3" s="1"/>
  <c r="BS106" i="1"/>
  <c r="K106" i="3" s="1"/>
  <c r="BW107" i="1"/>
  <c r="P107" i="3" s="1"/>
  <c r="BW106" i="1"/>
  <c r="P106" i="3" s="1"/>
  <c r="BW105" i="1"/>
  <c r="P105" i="3" s="1"/>
  <c r="S69" i="2"/>
  <c r="BT107" i="1"/>
  <c r="L107" i="3" s="1"/>
  <c r="BT105" i="1"/>
  <c r="L105" i="3" s="1"/>
  <c r="BT106" i="1"/>
  <c r="L106" i="3" s="1"/>
  <c r="AR105" i="1"/>
  <c r="Q105" i="3" s="1"/>
  <c r="AR107" i="1"/>
  <c r="Q107" i="3" s="1"/>
  <c r="AR106" i="1"/>
  <c r="Q106" i="3" s="1"/>
  <c r="S67" i="2"/>
  <c r="AO105" i="1"/>
  <c r="M105" i="3" s="1"/>
  <c r="AO107" i="1"/>
  <c r="M107" i="3" s="1"/>
  <c r="AO106" i="1"/>
  <c r="M106" i="3" s="1"/>
  <c r="BS104" i="1"/>
  <c r="K104" i="3" s="1"/>
  <c r="BS103" i="1"/>
  <c r="K103" i="3" s="1"/>
  <c r="BS102" i="1"/>
  <c r="K102" i="3" s="1"/>
  <c r="S63" i="2"/>
  <c r="BW104" i="1"/>
  <c r="P104" i="3" s="1"/>
  <c r="BW103" i="1"/>
  <c r="P103" i="3" s="1"/>
  <c r="BW102" i="1"/>
  <c r="P102" i="3" s="1"/>
  <c r="AR103" i="1"/>
  <c r="Q103" i="3" s="1"/>
  <c r="AR104" i="1"/>
  <c r="Q104" i="3" s="1"/>
  <c r="AR102" i="1"/>
  <c r="Q102" i="3" s="1"/>
  <c r="BV103" i="1"/>
  <c r="O103" i="3" s="1"/>
  <c r="BV102" i="1"/>
  <c r="O102" i="3" s="1"/>
  <c r="BV104" i="1"/>
  <c r="O104" i="3" s="1"/>
  <c r="AO104" i="1"/>
  <c r="M104" i="3" s="1"/>
  <c r="AO102" i="1"/>
  <c r="M102" i="3" s="1"/>
  <c r="AO103" i="1"/>
  <c r="M103" i="3" s="1"/>
  <c r="BT104" i="1"/>
  <c r="L104" i="3" s="1"/>
  <c r="BT102" i="1"/>
  <c r="L102" i="3" s="1"/>
  <c r="BT103" i="1"/>
  <c r="L103" i="3" s="1"/>
  <c r="AR101" i="1"/>
  <c r="Q101" i="3" s="1"/>
  <c r="AR100" i="1"/>
  <c r="Q100" i="3" s="1"/>
  <c r="AR99" i="1"/>
  <c r="Q99" i="3" s="1"/>
  <c r="AR98" i="1"/>
  <c r="Q98" i="3" s="1"/>
  <c r="AR97" i="1"/>
  <c r="Q97" i="3" s="1"/>
  <c r="AR96" i="1"/>
  <c r="Q96" i="3" s="1"/>
  <c r="AR95" i="1"/>
  <c r="Q95" i="3" s="1"/>
  <c r="AR94" i="1"/>
  <c r="Q94" i="3" s="1"/>
  <c r="AR93" i="1"/>
  <c r="Q93" i="3" s="1"/>
  <c r="AR92" i="1"/>
  <c r="Q92" i="3" s="1"/>
  <c r="AR91" i="1"/>
  <c r="Q91" i="3" s="1"/>
  <c r="AR89" i="1"/>
  <c r="Q89" i="3" s="1"/>
  <c r="AR90" i="1"/>
  <c r="Q90" i="3" s="1"/>
  <c r="AR88" i="1"/>
  <c r="Q88" i="3" s="1"/>
  <c r="AR87" i="1"/>
  <c r="Q87" i="3" s="1"/>
  <c r="AR86" i="1"/>
  <c r="Q86" i="3" s="1"/>
  <c r="AR85" i="1"/>
  <c r="Q85" i="3" s="1"/>
  <c r="BS101" i="1"/>
  <c r="K101" i="3" s="1"/>
  <c r="BS100" i="1"/>
  <c r="K100" i="3" s="1"/>
  <c r="BS99" i="1"/>
  <c r="K99" i="3" s="1"/>
  <c r="BS98" i="1"/>
  <c r="K98" i="3" s="1"/>
  <c r="BS97" i="1"/>
  <c r="K97" i="3" s="1"/>
  <c r="BS92" i="1"/>
  <c r="K92" i="3" s="1"/>
  <c r="BS89" i="1"/>
  <c r="K89" i="3" s="1"/>
  <c r="BS93" i="1"/>
  <c r="K93" i="3" s="1"/>
  <c r="BS96" i="1"/>
  <c r="K96" i="3" s="1"/>
  <c r="BS95" i="1"/>
  <c r="K95" i="3" s="1"/>
  <c r="BS94" i="1"/>
  <c r="K94" i="3" s="1"/>
  <c r="BS91" i="1"/>
  <c r="K91" i="3" s="1"/>
  <c r="BS90" i="1"/>
  <c r="K90" i="3" s="1"/>
  <c r="BS88" i="1"/>
  <c r="K88" i="3" s="1"/>
  <c r="BS87" i="1"/>
  <c r="K87" i="3" s="1"/>
  <c r="BS86" i="1"/>
  <c r="K86" i="3" s="1"/>
  <c r="BS85" i="1"/>
  <c r="K85" i="3" s="1"/>
  <c r="BV101" i="1"/>
  <c r="O101" i="3" s="1"/>
  <c r="BV100" i="1"/>
  <c r="O100" i="3" s="1"/>
  <c r="BV99" i="1"/>
  <c r="O99" i="3" s="1"/>
  <c r="BV98" i="1"/>
  <c r="O98" i="3" s="1"/>
  <c r="BV97" i="1"/>
  <c r="O97" i="3" s="1"/>
  <c r="BV89" i="1"/>
  <c r="O89" i="3" s="1"/>
  <c r="BV93" i="1"/>
  <c r="O93" i="3" s="1"/>
  <c r="BV92" i="1"/>
  <c r="O92" i="3" s="1"/>
  <c r="BV96" i="1"/>
  <c r="O96" i="3" s="1"/>
  <c r="BV95" i="1"/>
  <c r="O95" i="3" s="1"/>
  <c r="BV94" i="1"/>
  <c r="O94" i="3" s="1"/>
  <c r="BV91" i="1"/>
  <c r="O91" i="3" s="1"/>
  <c r="BV90" i="1"/>
  <c r="O90" i="3" s="1"/>
  <c r="BV88" i="1"/>
  <c r="O88" i="3" s="1"/>
  <c r="BV87" i="1"/>
  <c r="O87" i="3" s="1"/>
  <c r="BV86" i="1"/>
  <c r="O86" i="3" s="1"/>
  <c r="BV85" i="1"/>
  <c r="O85" i="3" s="1"/>
  <c r="AO101" i="1"/>
  <c r="M101" i="3" s="1"/>
  <c r="AO100" i="1"/>
  <c r="M100" i="3" s="1"/>
  <c r="AO99" i="1"/>
  <c r="M99" i="3" s="1"/>
  <c r="AO98" i="1"/>
  <c r="M98" i="3" s="1"/>
  <c r="AO97" i="1"/>
  <c r="M97" i="3" s="1"/>
  <c r="AO96" i="1"/>
  <c r="M96" i="3" s="1"/>
  <c r="AO95" i="1"/>
  <c r="M95" i="3" s="1"/>
  <c r="AO94" i="1"/>
  <c r="M94" i="3" s="1"/>
  <c r="AO93" i="1"/>
  <c r="M93" i="3" s="1"/>
  <c r="AO92" i="1"/>
  <c r="M92" i="3" s="1"/>
  <c r="AO91" i="1"/>
  <c r="M91" i="3" s="1"/>
  <c r="AO89" i="1"/>
  <c r="M89" i="3" s="1"/>
  <c r="AO90" i="1"/>
  <c r="M90" i="3" s="1"/>
  <c r="AO88" i="1"/>
  <c r="M88" i="3" s="1"/>
  <c r="AO87" i="1"/>
  <c r="M87" i="3" s="1"/>
  <c r="AO86" i="1"/>
  <c r="M86" i="3" s="1"/>
  <c r="AO85" i="1"/>
  <c r="M85" i="3" s="1"/>
  <c r="BW101" i="1"/>
  <c r="P101" i="3" s="1"/>
  <c r="BW100" i="1"/>
  <c r="P100" i="3" s="1"/>
  <c r="BW99" i="1"/>
  <c r="P99" i="3" s="1"/>
  <c r="BW98" i="1"/>
  <c r="P98" i="3" s="1"/>
  <c r="BW97" i="1"/>
  <c r="P97" i="3" s="1"/>
  <c r="BW92" i="1"/>
  <c r="P92" i="3" s="1"/>
  <c r="BW89" i="1"/>
  <c r="P89" i="3" s="1"/>
  <c r="BW93" i="1"/>
  <c r="P93" i="3" s="1"/>
  <c r="BW96" i="1"/>
  <c r="P96" i="3" s="1"/>
  <c r="BW95" i="1"/>
  <c r="P95" i="3" s="1"/>
  <c r="BW94" i="1"/>
  <c r="P94" i="3" s="1"/>
  <c r="BW91" i="1"/>
  <c r="P91" i="3" s="1"/>
  <c r="BW90" i="1"/>
  <c r="P90" i="3" s="1"/>
  <c r="BW88" i="1"/>
  <c r="P88" i="3" s="1"/>
  <c r="BW87" i="1"/>
  <c r="P87" i="3" s="1"/>
  <c r="BW86" i="1"/>
  <c r="P86" i="3" s="1"/>
  <c r="BW85" i="1"/>
  <c r="P85" i="3" s="1"/>
  <c r="BT101" i="1"/>
  <c r="L101" i="3" s="1"/>
  <c r="BT100" i="1"/>
  <c r="L100" i="3" s="1"/>
  <c r="BT99" i="1"/>
  <c r="L99" i="3" s="1"/>
  <c r="BT98" i="1"/>
  <c r="L98" i="3" s="1"/>
  <c r="BT97" i="1"/>
  <c r="L97" i="3" s="1"/>
  <c r="BT92" i="1"/>
  <c r="L92" i="3" s="1"/>
  <c r="BT89" i="1"/>
  <c r="L89" i="3" s="1"/>
  <c r="BT93" i="1"/>
  <c r="L93" i="3" s="1"/>
  <c r="BT96" i="1"/>
  <c r="L96" i="3" s="1"/>
  <c r="BT95" i="1"/>
  <c r="L95" i="3" s="1"/>
  <c r="BT94" i="1"/>
  <c r="L94" i="3" s="1"/>
  <c r="BT91" i="1"/>
  <c r="L91" i="3" s="1"/>
  <c r="BT90" i="1"/>
  <c r="L90" i="3" s="1"/>
  <c r="BT88" i="1"/>
  <c r="L88" i="3" s="1"/>
  <c r="BT87" i="1"/>
  <c r="L87" i="3" s="1"/>
  <c r="BT86" i="1"/>
  <c r="L86" i="3" s="1"/>
  <c r="N86" i="3" s="1"/>
  <c r="BT85" i="1"/>
  <c r="L85" i="3" s="1"/>
  <c r="S73" i="2"/>
  <c r="L82" i="3"/>
  <c r="BT84" i="1"/>
  <c r="L84" i="3" s="1"/>
  <c r="BT83" i="1"/>
  <c r="L83" i="3" s="1"/>
  <c r="Q82" i="3"/>
  <c r="AR84" i="1"/>
  <c r="Q84" i="3" s="1"/>
  <c r="AR83" i="1"/>
  <c r="Q83" i="3" s="1"/>
  <c r="K82" i="3"/>
  <c r="BS84" i="1"/>
  <c r="K84" i="3" s="1"/>
  <c r="BS83" i="1"/>
  <c r="K83" i="3" s="1"/>
  <c r="M82" i="3"/>
  <c r="AO84" i="1"/>
  <c r="M84" i="3" s="1"/>
  <c r="AO83" i="1"/>
  <c r="M83" i="3" s="1"/>
  <c r="P82" i="3"/>
  <c r="BW84" i="1"/>
  <c r="P84" i="3" s="1"/>
  <c r="BW83" i="1"/>
  <c r="P83" i="3" s="1"/>
  <c r="O82" i="3"/>
  <c r="BV84" i="1"/>
  <c r="O84" i="3" s="1"/>
  <c r="BV83" i="1"/>
  <c r="O83" i="3" s="1"/>
  <c r="S70" i="2"/>
  <c r="S74" i="2"/>
  <c r="R59" i="3"/>
  <c r="R78" i="3"/>
  <c r="S64" i="2"/>
  <c r="N78" i="3"/>
  <c r="S75" i="2"/>
  <c r="S61" i="2"/>
  <c r="S76" i="2"/>
  <c r="S27" i="2"/>
  <c r="S77" i="2"/>
  <c r="S78" i="2"/>
  <c r="S22" i="2"/>
  <c r="R58" i="3"/>
  <c r="S65" i="2"/>
  <c r="S68" i="2"/>
  <c r="S71" i="2"/>
  <c r="S66" i="2"/>
  <c r="R60" i="3"/>
  <c r="S62" i="2"/>
  <c r="S36" i="2"/>
  <c r="S53" i="2"/>
  <c r="S39" i="2"/>
  <c r="S49" i="2"/>
  <c r="S55" i="2"/>
  <c r="S56" i="2"/>
  <c r="S59" i="2"/>
  <c r="S51" i="2"/>
  <c r="S50" i="2"/>
  <c r="S37" i="2"/>
  <c r="S40" i="2"/>
  <c r="S41" i="2"/>
  <c r="S54" i="2"/>
  <c r="S57" i="2"/>
  <c r="S44" i="2"/>
  <c r="S58" i="2"/>
  <c r="R11" i="3"/>
  <c r="S38" i="2"/>
  <c r="S45" i="2"/>
  <c r="S46" i="2"/>
  <c r="S60" i="2"/>
  <c r="S43" i="2"/>
  <c r="S48" i="2"/>
  <c r="V60" i="3"/>
  <c r="S25" i="2"/>
  <c r="S20" i="2"/>
  <c r="S35" i="2"/>
  <c r="S34" i="2"/>
  <c r="S18" i="2"/>
  <c r="S21" i="2"/>
  <c r="S17" i="2"/>
  <c r="S19" i="2"/>
  <c r="S12" i="2"/>
  <c r="S13" i="2"/>
  <c r="S16" i="2"/>
  <c r="P15" i="3"/>
  <c r="R15" i="3" s="1"/>
  <c r="BX15" i="1"/>
  <c r="Q31" i="2"/>
  <c r="Q32" i="2"/>
  <c r="S28" i="2"/>
  <c r="S23" i="2"/>
  <c r="S32" i="2"/>
  <c r="S31" i="2"/>
  <c r="P28" i="2"/>
  <c r="S24" i="2"/>
  <c r="P32" i="2"/>
  <c r="P27" i="2"/>
  <c r="Q33" i="2"/>
  <c r="S29" i="2"/>
  <c r="P31" i="2"/>
  <c r="S30" i="2"/>
  <c r="P24" i="2"/>
  <c r="S26" i="2"/>
  <c r="P33" i="2"/>
  <c r="Q30" i="2"/>
  <c r="S33" i="2"/>
  <c r="P30" i="2"/>
  <c r="P29" i="2"/>
  <c r="Q24" i="2"/>
  <c r="Q23" i="2"/>
  <c r="P23" i="2"/>
  <c r="P26" i="2"/>
  <c r="Q27" i="2"/>
  <c r="N106" i="3" l="1"/>
  <c r="N107" i="3"/>
  <c r="N105" i="3"/>
  <c r="R106" i="3"/>
  <c r="R105" i="3"/>
  <c r="R107" i="3"/>
  <c r="R103" i="3"/>
  <c r="R102" i="3"/>
  <c r="N102" i="3"/>
  <c r="N103" i="3"/>
  <c r="N104" i="3"/>
  <c r="R104" i="3"/>
  <c r="N82" i="3"/>
  <c r="R87" i="3"/>
  <c r="R94" i="3"/>
  <c r="R93" i="3"/>
  <c r="R99" i="3"/>
  <c r="N85" i="3"/>
  <c r="N90" i="3"/>
  <c r="N96" i="3"/>
  <c r="N97" i="3"/>
  <c r="N101" i="3"/>
  <c r="R88" i="3"/>
  <c r="R95" i="3"/>
  <c r="R89" i="3"/>
  <c r="R100" i="3"/>
  <c r="N91" i="3"/>
  <c r="N93" i="3"/>
  <c r="N98" i="3"/>
  <c r="R85" i="3"/>
  <c r="R90" i="3"/>
  <c r="R96" i="3"/>
  <c r="R97" i="3"/>
  <c r="R101" i="3"/>
  <c r="N87" i="3"/>
  <c r="N94" i="3"/>
  <c r="N89" i="3"/>
  <c r="N99" i="3"/>
  <c r="R86" i="3"/>
  <c r="R91" i="3"/>
  <c r="R92" i="3"/>
  <c r="R98" i="3"/>
  <c r="N88" i="3"/>
  <c r="N95" i="3"/>
  <c r="N92" i="3"/>
  <c r="N100" i="3"/>
  <c r="R84" i="3"/>
  <c r="N83" i="3"/>
  <c r="R82" i="3"/>
  <c r="N84" i="3"/>
  <c r="R83" i="3"/>
  <c r="BY15" i="1"/>
  <c r="S15" i="3" s="1"/>
  <c r="BZ15" i="1" l="1"/>
  <c r="T15" i="3" s="1"/>
  <c r="V15" i="3" s="1"/>
  <c r="CA15" i="1" l="1"/>
  <c r="C15" i="3" l="1"/>
  <c r="D15" i="3" l="1"/>
  <c r="F15" i="3" s="1"/>
  <c r="H15" i="3" l="1"/>
  <c r="G15" i="3"/>
  <c r="J15" i="3" l="1"/>
</calcChain>
</file>

<file path=xl/sharedStrings.xml><?xml version="1.0" encoding="utf-8"?>
<sst xmlns="http://schemas.openxmlformats.org/spreadsheetml/2006/main" count="238" uniqueCount="73">
  <si>
    <t>PM</t>
  </si>
  <si>
    <t>Point centre haut</t>
  </si>
  <si>
    <t>X</t>
  </si>
  <si>
    <t>Y</t>
  </si>
  <si>
    <t>Z</t>
  </si>
  <si>
    <t>H</t>
  </si>
  <si>
    <t>Laboratoire ANDRA - Bure</t>
  </si>
  <si>
    <t>Temps (j)</t>
  </si>
  <si>
    <t>Date</t>
  </si>
  <si>
    <t>jours écoulés</t>
  </si>
  <si>
    <t>Point haut gauche</t>
  </si>
  <si>
    <t>Point haut droit</t>
  </si>
  <si>
    <t>HG</t>
  </si>
  <si>
    <t>HD</t>
  </si>
  <si>
    <t>LH</t>
  </si>
  <si>
    <t>V</t>
  </si>
  <si>
    <r>
      <t>D</t>
    </r>
    <r>
      <rPr>
        <b/>
        <sz val="12"/>
        <rFont val="Arial"/>
        <family val="2"/>
      </rPr>
      <t>X</t>
    </r>
  </si>
  <si>
    <r>
      <t>D</t>
    </r>
    <r>
      <rPr>
        <b/>
        <sz val="12"/>
        <rFont val="Arial"/>
        <family val="2"/>
      </rPr>
      <t>Y</t>
    </r>
  </si>
  <si>
    <r>
      <t>D</t>
    </r>
    <r>
      <rPr>
        <b/>
        <sz val="12"/>
        <rFont val="Arial"/>
        <family val="2"/>
      </rPr>
      <t>Z</t>
    </r>
  </si>
  <si>
    <r>
      <t>D</t>
    </r>
    <r>
      <rPr>
        <b/>
        <sz val="12"/>
        <rFont val="Arial"/>
        <family val="2"/>
      </rPr>
      <t>H</t>
    </r>
  </si>
  <si>
    <r>
      <t>D</t>
    </r>
    <r>
      <rPr>
        <b/>
        <sz val="12"/>
        <rFont val="Arial"/>
        <family val="2"/>
      </rPr>
      <t>PM</t>
    </r>
  </si>
  <si>
    <r>
      <t>D</t>
    </r>
    <r>
      <rPr>
        <b/>
        <sz val="12"/>
        <rFont val="Arial"/>
        <family val="2"/>
      </rPr>
      <t>PM haut gauche</t>
    </r>
  </si>
  <si>
    <r>
      <t>D</t>
    </r>
    <r>
      <rPr>
        <b/>
        <sz val="12"/>
        <rFont val="Arial"/>
        <family val="2"/>
      </rPr>
      <t>H haut gauche</t>
    </r>
  </si>
  <si>
    <r>
      <t>D</t>
    </r>
    <r>
      <rPr>
        <b/>
        <sz val="12"/>
        <rFont val="Arial"/>
        <family val="2"/>
      </rPr>
      <t>Z haut gauche</t>
    </r>
  </si>
  <si>
    <r>
      <t>D</t>
    </r>
    <r>
      <rPr>
        <b/>
        <sz val="12"/>
        <rFont val="Arial"/>
        <family val="2"/>
      </rPr>
      <t>PM centre haut</t>
    </r>
  </si>
  <si>
    <r>
      <t>D</t>
    </r>
    <r>
      <rPr>
        <b/>
        <sz val="12"/>
        <rFont val="Arial"/>
        <family val="2"/>
      </rPr>
      <t>H centre haut</t>
    </r>
  </si>
  <si>
    <r>
      <t>D</t>
    </r>
    <r>
      <rPr>
        <b/>
        <sz val="12"/>
        <rFont val="Arial"/>
        <family val="2"/>
      </rPr>
      <t>Z centre haut</t>
    </r>
  </si>
  <si>
    <r>
      <t>D</t>
    </r>
    <r>
      <rPr>
        <b/>
        <sz val="12"/>
        <rFont val="Arial"/>
        <family val="2"/>
      </rPr>
      <t>PM haut droit</t>
    </r>
  </si>
  <si>
    <r>
      <t>D</t>
    </r>
    <r>
      <rPr>
        <b/>
        <sz val="12"/>
        <rFont val="Arial"/>
        <family val="2"/>
      </rPr>
      <t>H haut droit</t>
    </r>
  </si>
  <si>
    <r>
      <t>D</t>
    </r>
    <r>
      <rPr>
        <b/>
        <sz val="12"/>
        <rFont val="Arial"/>
        <family val="2"/>
      </rPr>
      <t>Z haut droit</t>
    </r>
  </si>
  <si>
    <t>Distance au front</t>
  </si>
  <si>
    <t>Jours</t>
  </si>
  <si>
    <t>Front</t>
  </si>
  <si>
    <t>Dist</t>
  </si>
  <si>
    <t>Date point 0</t>
  </si>
  <si>
    <t>PM =</t>
  </si>
  <si>
    <t>IG</t>
  </si>
  <si>
    <t>ID</t>
  </si>
  <si>
    <t>LI</t>
  </si>
  <si>
    <t>Chantier 4</t>
  </si>
  <si>
    <r>
      <t>D</t>
    </r>
    <r>
      <rPr>
        <b/>
        <sz val="12"/>
        <rFont val="Arial"/>
        <family val="2"/>
      </rPr>
      <t>PM inter gauche</t>
    </r>
  </si>
  <si>
    <r>
      <t>D</t>
    </r>
    <r>
      <rPr>
        <b/>
        <sz val="12"/>
        <rFont val="Arial"/>
        <family val="2"/>
      </rPr>
      <t>H inter gauche</t>
    </r>
  </si>
  <si>
    <r>
      <t>D</t>
    </r>
    <r>
      <rPr>
        <b/>
        <sz val="12"/>
        <rFont val="Arial"/>
        <family val="2"/>
      </rPr>
      <t>Z inter gauche</t>
    </r>
  </si>
  <si>
    <r>
      <t>D</t>
    </r>
    <r>
      <rPr>
        <b/>
        <sz val="12"/>
        <rFont val="Arial"/>
        <family val="2"/>
      </rPr>
      <t>Z inter droit</t>
    </r>
  </si>
  <si>
    <t>CARREFOUR GCR2 - GVA2 - GVA3 - CONVERGENCE T12-T13 ( PM170.4 )</t>
  </si>
  <si>
    <t>CARREFOUR GCR2 - GVA2 -  GVA3 -DEPLACEMENTS DES CIBLES - CONVERGENCE T12T13 ( PM 170.4 )</t>
  </si>
  <si>
    <t>Point intermédiaire gauche</t>
  </si>
  <si>
    <t>Point intermédiaire droit</t>
  </si>
  <si>
    <t>Convergences - en mm</t>
  </si>
  <si>
    <t>Vitesse convergences en mm/j</t>
  </si>
  <si>
    <t>a</t>
  </si>
  <si>
    <t>non-visible (engin)</t>
  </si>
  <si>
    <t>Seuils</t>
  </si>
  <si>
    <t>Seuils en déplacements absolu</t>
  </si>
  <si>
    <t xml:space="preserve">Seuil de vigilance </t>
  </si>
  <si>
    <t>Seuil d'alerte</t>
  </si>
  <si>
    <t>Norme IG</t>
  </si>
  <si>
    <t>Norme HG</t>
  </si>
  <si>
    <t>Norme CH</t>
  </si>
  <si>
    <t>Norme HD</t>
  </si>
  <si>
    <t>Norme ID</t>
  </si>
  <si>
    <t>-</t>
  </si>
  <si>
    <t>s</t>
  </si>
  <si>
    <r>
      <t>D</t>
    </r>
    <r>
      <rPr>
        <b/>
        <sz val="12"/>
        <rFont val="Arial"/>
        <family val="2"/>
      </rPr>
      <t>PM inter droit</t>
    </r>
  </si>
  <si>
    <r>
      <t>D</t>
    </r>
    <r>
      <rPr>
        <b/>
        <sz val="12"/>
        <rFont val="Arial"/>
        <family val="2"/>
      </rPr>
      <t>H inter droit</t>
    </r>
  </si>
  <si>
    <t>f3(x)=a*(1-(b/(x+b))**c)</t>
  </si>
  <si>
    <t>b</t>
  </si>
  <si>
    <t xml:space="preserve">c </t>
  </si>
  <si>
    <t>Paramétrage Sulem</t>
  </si>
  <si>
    <t>Dépassement du seuil de mesure</t>
  </si>
  <si>
    <t>DATE</t>
  </si>
  <si>
    <t>J</t>
  </si>
  <si>
    <t>SULEM - n=3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</si>
</sst>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\+\ 0.0;\-\ 0.0;\±\ 0.0"/>
    <numFmt numFmtId="165" formatCode="0.0"/>
    <numFmt numFmtId="166" formatCode="0.0000"/>
    <numFmt numFmtId="167" formatCode="0.000"/>
    <numFmt numFmtId="168" formatCode="dd\ /\ mm\ /\ yy"/>
    <numFmt numFmtId="169" formatCode="\+\ 0;\-\ 0;\±\ 0"/>
    <numFmt numFmtId="170" formatCode="\+\ 0.000;\-\ 0.000;\±\ 0.000"/>
    <numFmt numFmtId="171" formatCode="dd\ /\ mm\ /\ yyyy"/>
  </numFmts>
  <fonts count="40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0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sz val="10"/>
      <name val="Arial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17"/>
      <name val="Calibri"/>
      <family val="2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1"/>
      <color indexed="8"/>
      <name val="Calibri"/>
      <family val="2"/>
    </font>
    <font>
      <b/>
      <sz val="11"/>
      <color indexed="9"/>
      <name val="Calibri"/>
      <family val="2"/>
    </font>
    <font>
      <b/>
      <sz val="20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b/>
      <sz val="10"/>
      <color indexed="10"/>
      <name val="Arial"/>
      <family val="2"/>
    </font>
    <font>
      <b/>
      <sz val="18"/>
      <name val="Symbol"/>
      <family val="1"/>
      <charset val="2"/>
    </font>
    <font>
      <sz val="8"/>
      <name val="Arial"/>
      <family val="2"/>
    </font>
    <font>
      <sz val="12"/>
      <name val="Arial"/>
      <family val="2"/>
    </font>
    <font>
      <sz val="12"/>
      <name val="Arial"/>
      <family val="2"/>
    </font>
    <font>
      <b/>
      <sz val="16"/>
      <name val="Arial"/>
      <family val="2"/>
    </font>
    <font>
      <b/>
      <sz val="10"/>
      <color rgb="FFFF0000"/>
      <name val="Arial"/>
      <family val="2"/>
    </font>
    <font>
      <b/>
      <sz val="12"/>
      <color rgb="FFFF000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</fonts>
  <fills count="31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FFFFCC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3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24">
    <xf numFmtId="0" fontId="0" fillId="0" borderId="0"/>
    <xf numFmtId="0" fontId="7" fillId="2" borderId="0" applyNumberFormat="0" applyBorder="0" applyAlignment="0" applyProtection="0"/>
    <xf numFmtId="0" fontId="7" fillId="3" borderId="0" applyNumberFormat="0" applyBorder="0" applyAlignment="0" applyProtection="0"/>
    <xf numFmtId="0" fontId="7" fillId="4" borderId="0" applyNumberFormat="0" applyBorder="0" applyAlignment="0" applyProtection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5" borderId="0" applyNumberFormat="0" applyBorder="0" applyAlignment="0" applyProtection="0"/>
    <xf numFmtId="0" fontId="7" fillId="8" borderId="0" applyNumberFormat="0" applyBorder="0" applyAlignment="0" applyProtection="0"/>
    <xf numFmtId="0" fontId="7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3" borderId="0" applyNumberFormat="0" applyBorder="0" applyAlignment="0" applyProtection="0"/>
    <xf numFmtId="0" fontId="8" fillId="14" borderId="0" applyNumberFormat="0" applyBorder="0" applyAlignment="0" applyProtection="0"/>
    <xf numFmtId="0" fontId="8" fillId="19" borderId="0" applyNumberFormat="0" applyBorder="0" applyAlignment="0" applyProtection="0"/>
    <xf numFmtId="0" fontId="9" fillId="0" borderId="0" applyNumberFormat="0" applyFill="0" applyBorder="0" applyAlignment="0" applyProtection="0"/>
    <xf numFmtId="0" fontId="10" fillId="20" borderId="1" applyNumberFormat="0" applyAlignment="0" applyProtection="0"/>
    <xf numFmtId="0" fontId="11" fillId="0" borderId="2" applyNumberFormat="0" applyFill="0" applyAlignment="0" applyProtection="0"/>
    <xf numFmtId="0" fontId="12" fillId="21" borderId="3" applyNumberFormat="0" applyFont="0" applyAlignment="0" applyProtection="0"/>
    <xf numFmtId="0" fontId="13" fillId="7" borderId="1" applyNumberFormat="0" applyAlignment="0" applyProtection="0"/>
    <xf numFmtId="0" fontId="14" fillId="3" borderId="0" applyNumberFormat="0" applyBorder="0" applyAlignment="0" applyProtection="0"/>
    <xf numFmtId="0" fontId="15" fillId="22" borderId="0" applyNumberFormat="0" applyBorder="0" applyAlignment="0" applyProtection="0"/>
    <xf numFmtId="0" fontId="16" fillId="4" borderId="0" applyNumberFormat="0" applyBorder="0" applyAlignment="0" applyProtection="0"/>
    <xf numFmtId="0" fontId="17" fillId="20" borderId="4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5" applyNumberFormat="0" applyFill="0" applyAlignment="0" applyProtection="0"/>
    <xf numFmtId="0" fontId="21" fillId="0" borderId="6" applyNumberFormat="0" applyFill="0" applyAlignment="0" applyProtection="0"/>
    <xf numFmtId="0" fontId="22" fillId="0" borderId="7" applyNumberFormat="0" applyFill="0" applyAlignment="0" applyProtection="0"/>
    <xf numFmtId="0" fontId="22" fillId="0" borderId="0" applyNumberFormat="0" applyFill="0" applyBorder="0" applyAlignment="0" applyProtection="0"/>
    <xf numFmtId="0" fontId="23" fillId="0" borderId="8" applyNumberFormat="0" applyFill="0" applyAlignment="0" applyProtection="0"/>
    <xf numFmtId="0" fontId="24" fillId="23" borderId="9" applyNumberFormat="0" applyAlignment="0" applyProtection="0"/>
    <xf numFmtId="0" fontId="6" fillId="0" borderId="0"/>
    <xf numFmtId="0" fontId="6" fillId="27" borderId="23" applyNumberFormat="0" applyFont="0" applyAlignment="0" applyProtection="0"/>
    <xf numFmtId="0" fontId="12" fillId="0" borderId="0"/>
    <xf numFmtId="9" fontId="12" fillId="0" borderId="0" applyFont="0" applyFill="0" applyBorder="0" applyAlignment="0" applyProtection="0"/>
    <xf numFmtId="0" fontId="5" fillId="0" borderId="0"/>
    <xf numFmtId="0" fontId="5" fillId="27" borderId="23" applyNumberFormat="0" applyFont="0" applyAlignment="0" applyProtection="0"/>
    <xf numFmtId="0" fontId="4" fillId="0" borderId="0"/>
    <xf numFmtId="0" fontId="4" fillId="0" borderId="0"/>
    <xf numFmtId="0" fontId="3" fillId="0" borderId="0"/>
    <xf numFmtId="0" fontId="37" fillId="0" borderId="0"/>
    <xf numFmtId="0" fontId="7" fillId="2" borderId="0" applyNumberFormat="0" applyBorder="0" applyAlignment="0" applyProtection="0"/>
    <xf numFmtId="0" fontId="7" fillId="3" borderId="0" applyNumberFormat="0" applyBorder="0" applyAlignment="0" applyProtection="0"/>
    <xf numFmtId="0" fontId="7" fillId="4" borderId="0" applyNumberFormat="0" applyBorder="0" applyAlignment="0" applyProtection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5" borderId="0" applyNumberFormat="0" applyBorder="0" applyAlignment="0" applyProtection="0"/>
    <xf numFmtId="0" fontId="7" fillId="8" borderId="0" applyNumberFormat="0" applyBorder="0" applyAlignment="0" applyProtection="0"/>
    <xf numFmtId="0" fontId="7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3" borderId="0" applyNumberFormat="0" applyBorder="0" applyAlignment="0" applyProtection="0"/>
    <xf numFmtId="0" fontId="8" fillId="14" borderId="0" applyNumberFormat="0" applyBorder="0" applyAlignment="0" applyProtection="0"/>
    <xf numFmtId="0" fontId="8" fillId="19" borderId="0" applyNumberFormat="0" applyBorder="0" applyAlignment="0" applyProtection="0"/>
    <xf numFmtId="0" fontId="9" fillId="0" borderId="0" applyNumberFormat="0" applyFill="0" applyBorder="0" applyAlignment="0" applyProtection="0"/>
    <xf numFmtId="0" fontId="10" fillId="20" borderId="1" applyNumberFormat="0" applyAlignment="0" applyProtection="0"/>
    <xf numFmtId="0" fontId="11" fillId="0" borderId="2" applyNumberFormat="0" applyFill="0" applyAlignment="0" applyProtection="0"/>
    <xf numFmtId="0" fontId="12" fillId="21" borderId="3" applyNumberFormat="0" applyFont="0" applyAlignment="0" applyProtection="0"/>
    <xf numFmtId="0" fontId="13" fillId="7" borderId="1" applyNumberFormat="0" applyAlignment="0" applyProtection="0"/>
    <xf numFmtId="0" fontId="14" fillId="3" borderId="0" applyNumberFormat="0" applyBorder="0" applyAlignment="0" applyProtection="0"/>
    <xf numFmtId="0" fontId="15" fillId="22" borderId="0" applyNumberFormat="0" applyBorder="0" applyAlignment="0" applyProtection="0"/>
    <xf numFmtId="0" fontId="16" fillId="4" borderId="0" applyNumberFormat="0" applyBorder="0" applyAlignment="0" applyProtection="0"/>
    <xf numFmtId="0" fontId="17" fillId="20" borderId="4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5" applyNumberFormat="0" applyFill="0" applyAlignment="0" applyProtection="0"/>
    <xf numFmtId="0" fontId="21" fillId="0" borderId="6" applyNumberFormat="0" applyFill="0" applyAlignment="0" applyProtection="0"/>
    <xf numFmtId="0" fontId="22" fillId="0" borderId="7" applyNumberFormat="0" applyFill="0" applyAlignment="0" applyProtection="0"/>
    <xf numFmtId="0" fontId="22" fillId="0" borderId="0" applyNumberFormat="0" applyFill="0" applyBorder="0" applyAlignment="0" applyProtection="0"/>
    <xf numFmtId="0" fontId="23" fillId="0" borderId="8" applyNumberFormat="0" applyFill="0" applyAlignment="0" applyProtection="0"/>
    <xf numFmtId="0" fontId="24" fillId="23" borderId="9" applyNumberFormat="0" applyAlignment="0" applyProtection="0"/>
    <xf numFmtId="0" fontId="3" fillId="0" borderId="0"/>
    <xf numFmtId="0" fontId="3" fillId="27" borderId="23" applyNumberFormat="0" applyFont="0" applyAlignment="0" applyProtection="0"/>
    <xf numFmtId="0" fontId="3" fillId="0" borderId="0"/>
    <xf numFmtId="0" fontId="3" fillId="27" borderId="23" applyNumberFormat="0" applyFont="0" applyAlignment="0" applyProtection="0"/>
    <xf numFmtId="0" fontId="3" fillId="0" borderId="0"/>
    <xf numFmtId="0" fontId="3" fillId="0" borderId="0"/>
    <xf numFmtId="0" fontId="2" fillId="0" borderId="0"/>
    <xf numFmtId="0" fontId="2" fillId="27" borderId="23" applyNumberFormat="0" applyFont="0" applyAlignment="0" applyProtection="0"/>
    <xf numFmtId="0" fontId="2" fillId="0" borderId="0"/>
    <xf numFmtId="0" fontId="2" fillId="27" borderId="23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12" fillId="0" borderId="0"/>
    <xf numFmtId="0" fontId="2" fillId="0" borderId="0"/>
    <xf numFmtId="0" fontId="2" fillId="27" borderId="23" applyNumberFormat="0" applyFont="0" applyAlignment="0" applyProtection="0"/>
    <xf numFmtId="0" fontId="2" fillId="0" borderId="0"/>
    <xf numFmtId="0" fontId="2" fillId="27" borderId="23" applyNumberFormat="0" applyFont="0" applyAlignment="0" applyProtection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148">
    <xf numFmtId="0" fontId="0" fillId="0" borderId="0" xfId="0"/>
    <xf numFmtId="0" fontId="29" fillId="0" borderId="0" xfId="0" applyFont="1" applyAlignment="1">
      <alignment vertical="center"/>
    </xf>
    <xf numFmtId="0" fontId="0" fillId="0" borderId="0" xfId="0" applyAlignment="1">
      <alignment vertical="center"/>
    </xf>
    <xf numFmtId="0" fontId="26" fillId="0" borderId="0" xfId="0" applyFont="1" applyAlignment="1">
      <alignment horizontal="center"/>
    </xf>
    <xf numFmtId="0" fontId="30" fillId="0" borderId="10" xfId="0" applyFont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6" fillId="0" borderId="0" xfId="0" applyFont="1" applyAlignment="1">
      <alignment vertical="center"/>
    </xf>
    <xf numFmtId="164" fontId="0" fillId="0" borderId="0" xfId="0" applyNumberFormat="1" applyAlignment="1">
      <alignment horizontal="center" vertical="center"/>
    </xf>
    <xf numFmtId="0" fontId="27" fillId="0" borderId="0" xfId="0" applyFont="1" applyAlignment="1">
      <alignment vertical="center"/>
    </xf>
    <xf numFmtId="0" fontId="33" fillId="0" borderId="12" xfId="0" applyFont="1" applyBorder="1" applyAlignment="1">
      <alignment vertical="center"/>
    </xf>
    <xf numFmtId="0" fontId="30" fillId="0" borderId="11" xfId="0" applyFont="1" applyBorder="1" applyAlignment="1">
      <alignment horizontal="center" vertical="center" wrapText="1"/>
    </xf>
    <xf numFmtId="0" fontId="32" fillId="0" borderId="0" xfId="0" applyFont="1" applyAlignment="1">
      <alignment horizontal="center" vertical="center"/>
    </xf>
    <xf numFmtId="0" fontId="28" fillId="0" borderId="13" xfId="0" applyFont="1" applyBorder="1" applyAlignment="1">
      <alignment horizontal="center" vertical="center" wrapText="1"/>
    </xf>
    <xf numFmtId="0" fontId="27" fillId="0" borderId="0" xfId="0" applyFont="1" applyAlignment="1">
      <alignment vertical="center" wrapText="1"/>
    </xf>
    <xf numFmtId="0" fontId="0" fillId="0" borderId="0" xfId="0" applyAlignment="1">
      <alignment horizontal="center" vertical="center"/>
    </xf>
    <xf numFmtId="167" fontId="0" fillId="0" borderId="0" xfId="0" applyNumberFormat="1" applyAlignment="1">
      <alignment vertical="center"/>
    </xf>
    <xf numFmtId="0" fontId="28" fillId="0" borderId="0" xfId="0" applyFont="1" applyAlignment="1">
      <alignment horizontal="center" vertical="center"/>
    </xf>
    <xf numFmtId="0" fontId="26" fillId="0" borderId="11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168" fontId="0" fillId="0" borderId="0" xfId="0" applyNumberFormat="1" applyAlignment="1">
      <alignment vertical="center"/>
    </xf>
    <xf numFmtId="168" fontId="26" fillId="0" borderId="12" xfId="0" applyNumberFormat="1" applyFont="1" applyBorder="1" applyAlignment="1">
      <alignment vertical="center"/>
    </xf>
    <xf numFmtId="0" fontId="26" fillId="0" borderId="12" xfId="0" applyFont="1" applyBorder="1" applyAlignment="1">
      <alignment vertical="center"/>
    </xf>
    <xf numFmtId="168" fontId="33" fillId="0" borderId="0" xfId="0" applyNumberFormat="1" applyFont="1" applyAlignment="1">
      <alignment vertical="center"/>
    </xf>
    <xf numFmtId="168" fontId="28" fillId="0" borderId="13" xfId="0" applyNumberFormat="1" applyFont="1" applyBorder="1" applyAlignment="1">
      <alignment horizontal="center" vertical="center" wrapText="1"/>
    </xf>
    <xf numFmtId="168" fontId="0" fillId="0" borderId="0" xfId="0" applyNumberFormat="1"/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26" fillId="0" borderId="0" xfId="0" applyFont="1" applyAlignment="1">
      <alignment horizontal="center" wrapText="1"/>
    </xf>
    <xf numFmtId="0" fontId="34" fillId="0" borderId="0" xfId="0" applyFont="1" applyAlignment="1">
      <alignment horizontal="center" vertical="center"/>
    </xf>
    <xf numFmtId="171" fontId="0" fillId="0" borderId="0" xfId="0" applyNumberFormat="1" applyAlignment="1">
      <alignment vertical="center"/>
    </xf>
    <xf numFmtId="1" fontId="28" fillId="24" borderId="11" xfId="0" applyNumberFormat="1" applyFont="1" applyFill="1" applyBorder="1" applyAlignment="1">
      <alignment horizontal="center" vertical="center"/>
    </xf>
    <xf numFmtId="168" fontId="12" fillId="24" borderId="11" xfId="0" applyNumberFormat="1" applyFont="1" applyFill="1" applyBorder="1" applyAlignment="1">
      <alignment horizontal="center" vertical="center"/>
    </xf>
    <xf numFmtId="0" fontId="0" fillId="24" borderId="0" xfId="0" applyFill="1" applyAlignment="1">
      <alignment vertical="center"/>
    </xf>
    <xf numFmtId="0" fontId="0" fillId="24" borderId="0" xfId="0" applyFill="1"/>
    <xf numFmtId="0" fontId="0" fillId="24" borderId="0" xfId="0" applyFill="1" applyAlignment="1">
      <alignment wrapText="1"/>
    </xf>
    <xf numFmtId="165" fontId="26" fillId="24" borderId="14" xfId="0" applyNumberFormat="1" applyFont="1" applyFill="1" applyBorder="1" applyAlignment="1">
      <alignment horizontal="center" vertical="center"/>
    </xf>
    <xf numFmtId="168" fontId="28" fillId="25" borderId="11" xfId="0" applyNumberFormat="1" applyFont="1" applyFill="1" applyBorder="1" applyAlignment="1">
      <alignment horizontal="center" vertical="center"/>
    </xf>
    <xf numFmtId="168" fontId="28" fillId="24" borderId="11" xfId="0" applyNumberFormat="1" applyFont="1" applyFill="1" applyBorder="1" applyAlignment="1">
      <alignment horizontal="center" vertical="center"/>
    </xf>
    <xf numFmtId="165" fontId="28" fillId="24" borderId="11" xfId="0" applyNumberFormat="1" applyFont="1" applyFill="1" applyBorder="1" applyAlignment="1">
      <alignment horizontal="center" vertical="center"/>
    </xf>
    <xf numFmtId="166" fontId="28" fillId="24" borderId="11" xfId="0" applyNumberFormat="1" applyFont="1" applyFill="1" applyBorder="1" applyAlignment="1">
      <alignment horizontal="center" vertical="center"/>
    </xf>
    <xf numFmtId="0" fontId="28" fillId="24" borderId="0" xfId="0" applyFont="1" applyFill="1" applyAlignment="1">
      <alignment vertical="center"/>
    </xf>
    <xf numFmtId="167" fontId="28" fillId="24" borderId="11" xfId="0" applyNumberFormat="1" applyFont="1" applyFill="1" applyBorder="1" applyAlignment="1">
      <alignment horizontal="center" vertical="center"/>
    </xf>
    <xf numFmtId="170" fontId="28" fillId="24" borderId="11" xfId="0" applyNumberFormat="1" applyFont="1" applyFill="1" applyBorder="1" applyAlignment="1">
      <alignment horizontal="center" vertical="center"/>
    </xf>
    <xf numFmtId="164" fontId="28" fillId="24" borderId="11" xfId="0" applyNumberFormat="1" applyFont="1" applyFill="1" applyBorder="1" applyAlignment="1">
      <alignment horizontal="center" vertical="center"/>
    </xf>
    <xf numFmtId="0" fontId="26" fillId="24" borderId="15" xfId="0" applyFont="1" applyFill="1" applyBorder="1" applyAlignment="1">
      <alignment horizontal="center" vertical="center"/>
    </xf>
    <xf numFmtId="1" fontId="28" fillId="25" borderId="11" xfId="0" applyNumberFormat="1" applyFont="1" applyFill="1" applyBorder="1" applyAlignment="1">
      <alignment horizontal="center" vertical="center"/>
    </xf>
    <xf numFmtId="165" fontId="28" fillId="25" borderId="11" xfId="0" applyNumberFormat="1" applyFont="1" applyFill="1" applyBorder="1" applyAlignment="1">
      <alignment horizontal="center" vertical="center"/>
    </xf>
    <xf numFmtId="166" fontId="28" fillId="25" borderId="11" xfId="0" applyNumberFormat="1" applyFont="1" applyFill="1" applyBorder="1" applyAlignment="1">
      <alignment horizontal="center" vertical="center"/>
    </xf>
    <xf numFmtId="169" fontId="28" fillId="25" borderId="11" xfId="0" applyNumberFormat="1" applyFont="1" applyFill="1" applyBorder="1" applyAlignment="1">
      <alignment horizontal="center" vertical="center"/>
    </xf>
    <xf numFmtId="164" fontId="0" fillId="24" borderId="11" xfId="0" applyNumberFormat="1" applyFill="1" applyBorder="1" applyAlignment="1">
      <alignment horizontal="center" vertical="center"/>
    </xf>
    <xf numFmtId="164" fontId="0" fillId="0" borderId="11" xfId="0" applyNumberFormat="1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24" borderId="11" xfId="0" applyFill="1" applyBorder="1" applyAlignment="1">
      <alignment horizontal="center" vertical="center"/>
    </xf>
    <xf numFmtId="168" fontId="0" fillId="24" borderId="11" xfId="0" applyNumberFormat="1" applyFill="1" applyBorder="1" applyAlignment="1">
      <alignment horizontal="center" vertical="center"/>
    </xf>
    <xf numFmtId="165" fontId="0" fillId="24" borderId="11" xfId="0" applyNumberFormat="1" applyFill="1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168" fontId="0" fillId="0" borderId="16" xfId="0" applyNumberFormat="1" applyBorder="1" applyAlignment="1">
      <alignment horizontal="center" vertical="center" wrapText="1"/>
    </xf>
    <xf numFmtId="166" fontId="35" fillId="25" borderId="11" xfId="0" applyNumberFormat="1" applyFont="1" applyFill="1" applyBorder="1" applyAlignment="1">
      <alignment horizontal="center" vertical="center"/>
    </xf>
    <xf numFmtId="0" fontId="36" fillId="24" borderId="15" xfId="0" applyFont="1" applyFill="1" applyBorder="1" applyAlignment="1">
      <alignment horizontal="center" vertical="center"/>
    </xf>
    <xf numFmtId="0" fontId="12" fillId="0" borderId="10" xfId="0" applyFont="1" applyBorder="1" applyAlignment="1">
      <alignment horizontal="center" vertical="center" wrapText="1"/>
    </xf>
    <xf numFmtId="0" fontId="0" fillId="0" borderId="24" xfId="0" applyBorder="1" applyAlignment="1">
      <alignment vertical="center"/>
    </xf>
    <xf numFmtId="0" fontId="0" fillId="0" borderId="25" xfId="0" applyBorder="1" applyAlignment="1">
      <alignment vertical="center"/>
    </xf>
    <xf numFmtId="0" fontId="0" fillId="0" borderId="26" xfId="0" applyBorder="1" applyAlignment="1">
      <alignment vertical="center"/>
    </xf>
    <xf numFmtId="0" fontId="32" fillId="0" borderId="0" xfId="0" applyFont="1" applyAlignment="1">
      <alignment vertical="center"/>
    </xf>
    <xf numFmtId="0" fontId="0" fillId="0" borderId="27" xfId="0" applyBorder="1" applyAlignment="1">
      <alignment vertical="center"/>
    </xf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12" xfId="0" applyBorder="1"/>
    <xf numFmtId="0" fontId="0" fillId="0" borderId="21" xfId="0" applyBorder="1"/>
    <xf numFmtId="0" fontId="0" fillId="0" borderId="28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21" xfId="0" applyBorder="1" applyAlignment="1">
      <alignment vertical="center"/>
    </xf>
    <xf numFmtId="164" fontId="28" fillId="25" borderId="11" xfId="0" applyNumberFormat="1" applyFont="1" applyFill="1" applyBorder="1" applyAlignment="1">
      <alignment horizontal="center" vertical="center"/>
    </xf>
    <xf numFmtId="164" fontId="28" fillId="25" borderId="10" xfId="0" applyNumberFormat="1" applyFont="1" applyFill="1" applyBorder="1" applyAlignment="1">
      <alignment horizontal="center" vertical="center"/>
    </xf>
    <xf numFmtId="14" fontId="12" fillId="0" borderId="0" xfId="0" applyNumberFormat="1" applyFont="1"/>
    <xf numFmtId="0" fontId="12" fillId="0" borderId="0" xfId="0" applyFont="1"/>
    <xf numFmtId="164" fontId="12" fillId="24" borderId="11" xfId="0" applyNumberFormat="1" applyFont="1" applyFill="1" applyBorder="1" applyAlignment="1">
      <alignment horizontal="center" vertical="center"/>
    </xf>
    <xf numFmtId="166" fontId="28" fillId="24" borderId="11" xfId="51" applyNumberFormat="1" applyFont="1" applyFill="1" applyBorder="1" applyAlignment="1">
      <alignment horizontal="center" vertical="center"/>
    </xf>
    <xf numFmtId="166" fontId="28" fillId="25" borderId="11" xfId="51" applyNumberFormat="1" applyFont="1" applyFill="1" applyBorder="1" applyAlignment="1">
      <alignment horizontal="center" vertical="center"/>
    </xf>
    <xf numFmtId="14" fontId="0" fillId="0" borderId="0" xfId="0" applyNumberFormat="1"/>
    <xf numFmtId="0" fontId="38" fillId="0" borderId="0" xfId="0" applyFont="1" applyAlignment="1">
      <alignment vertical="center"/>
    </xf>
    <xf numFmtId="14" fontId="38" fillId="0" borderId="0" xfId="0" applyNumberFormat="1" applyFont="1" applyAlignment="1">
      <alignment vertical="center"/>
    </xf>
    <xf numFmtId="0" fontId="27" fillId="26" borderId="0" xfId="0" applyFont="1" applyFill="1" applyAlignment="1">
      <alignment horizontal="center" vertical="center"/>
    </xf>
    <xf numFmtId="168" fontId="28" fillId="0" borderId="10" xfId="0" applyNumberFormat="1" applyFont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168" fontId="28" fillId="28" borderId="11" xfId="0" applyNumberFormat="1" applyFont="1" applyFill="1" applyBorder="1" applyAlignment="1">
      <alignment horizontal="center" vertical="center"/>
    </xf>
    <xf numFmtId="1" fontId="28" fillId="28" borderId="11" xfId="0" applyNumberFormat="1" applyFont="1" applyFill="1" applyBorder="1" applyAlignment="1">
      <alignment horizontal="center" vertical="center"/>
    </xf>
    <xf numFmtId="165" fontId="28" fillId="28" borderId="11" xfId="0" applyNumberFormat="1" applyFont="1" applyFill="1" applyBorder="1" applyAlignment="1">
      <alignment horizontal="center" vertical="center"/>
    </xf>
    <xf numFmtId="166" fontId="28" fillId="28" borderId="11" xfId="0" applyNumberFormat="1" applyFont="1" applyFill="1" applyBorder="1" applyAlignment="1">
      <alignment horizontal="center" vertical="center"/>
    </xf>
    <xf numFmtId="164" fontId="28" fillId="28" borderId="11" xfId="0" applyNumberFormat="1" applyFont="1" applyFill="1" applyBorder="1" applyAlignment="1">
      <alignment horizontal="center" vertical="center"/>
    </xf>
    <xf numFmtId="0" fontId="28" fillId="28" borderId="0" xfId="0" applyFont="1" applyFill="1" applyAlignment="1">
      <alignment vertical="center"/>
    </xf>
    <xf numFmtId="167" fontId="28" fillId="28" borderId="11" xfId="0" applyNumberFormat="1" applyFont="1" applyFill="1" applyBorder="1" applyAlignment="1">
      <alignment horizontal="center" vertical="center"/>
    </xf>
    <xf numFmtId="170" fontId="28" fillId="28" borderId="11" xfId="0" applyNumberFormat="1" applyFont="1" applyFill="1" applyBorder="1" applyAlignment="1">
      <alignment horizontal="center" vertical="center"/>
    </xf>
    <xf numFmtId="0" fontId="0" fillId="28" borderId="0" xfId="0" applyFill="1" applyAlignment="1">
      <alignment vertical="center"/>
    </xf>
    <xf numFmtId="0" fontId="12" fillId="0" borderId="0" xfId="0" applyFont="1" applyAlignment="1">
      <alignment vertical="center"/>
    </xf>
    <xf numFmtId="0" fontId="0" fillId="29" borderId="0" xfId="0" applyFill="1" applyAlignment="1">
      <alignment vertical="center"/>
    </xf>
    <xf numFmtId="0" fontId="26" fillId="29" borderId="25" xfId="0" applyFont="1" applyFill="1" applyBorder="1" applyAlignment="1">
      <alignment horizontal="center" vertical="center"/>
    </xf>
    <xf numFmtId="0" fontId="26" fillId="29" borderId="0" xfId="0" applyFont="1" applyFill="1" applyAlignment="1">
      <alignment horizontal="center" vertical="center"/>
    </xf>
    <xf numFmtId="14" fontId="0" fillId="29" borderId="0" xfId="0" applyNumberFormat="1" applyFill="1" applyAlignment="1">
      <alignment horizontal="center" vertical="center"/>
    </xf>
    <xf numFmtId="0" fontId="28" fillId="29" borderId="0" xfId="0" applyFont="1" applyFill="1" applyAlignment="1">
      <alignment horizontal="center" vertical="center"/>
    </xf>
    <xf numFmtId="0" fontId="0" fillId="29" borderId="0" xfId="0" applyFill="1"/>
    <xf numFmtId="0" fontId="0" fillId="29" borderId="12" xfId="0" applyFill="1" applyBorder="1"/>
    <xf numFmtId="0" fontId="0" fillId="29" borderId="12" xfId="0" applyFill="1" applyBorder="1" applyAlignment="1">
      <alignment vertical="center"/>
    </xf>
    <xf numFmtId="0" fontId="0" fillId="29" borderId="26" xfId="0" applyFill="1" applyBorder="1"/>
    <xf numFmtId="0" fontId="0" fillId="29" borderId="27" xfId="0" applyFill="1" applyBorder="1"/>
    <xf numFmtId="0" fontId="0" fillId="30" borderId="28" xfId="0" applyFill="1" applyBorder="1" applyAlignment="1">
      <alignment vertical="center"/>
    </xf>
    <xf numFmtId="0" fontId="0" fillId="30" borderId="12" xfId="0" applyFill="1" applyBorder="1" applyAlignment="1">
      <alignment vertical="center"/>
    </xf>
    <xf numFmtId="0" fontId="0" fillId="30" borderId="21" xfId="0" applyFill="1" applyBorder="1" applyAlignment="1">
      <alignment vertical="center"/>
    </xf>
    <xf numFmtId="2" fontId="0" fillId="0" borderId="0" xfId="0" applyNumberFormat="1"/>
    <xf numFmtId="0" fontId="36" fillId="0" borderId="17" xfId="0" applyFont="1" applyBorder="1" applyAlignment="1">
      <alignment horizontal="center" vertical="center"/>
    </xf>
    <xf numFmtId="0" fontId="36" fillId="0" borderId="18" xfId="0" applyFont="1" applyBorder="1" applyAlignment="1">
      <alignment horizontal="center" vertical="center"/>
    </xf>
    <xf numFmtId="0" fontId="36" fillId="0" borderId="19" xfId="0" applyFont="1" applyBorder="1" applyAlignment="1">
      <alignment horizontal="center" vertical="center"/>
    </xf>
    <xf numFmtId="0" fontId="28" fillId="0" borderId="20" xfId="0" applyFont="1" applyBorder="1" applyAlignment="1">
      <alignment horizontal="center" vertical="center"/>
    </xf>
    <xf numFmtId="0" fontId="28" fillId="0" borderId="21" xfId="0" applyFont="1" applyBorder="1" applyAlignment="1">
      <alignment horizontal="center" vertical="center"/>
    </xf>
    <xf numFmtId="0" fontId="26" fillId="0" borderId="17" xfId="0" applyFont="1" applyBorder="1" applyAlignment="1">
      <alignment horizontal="center" vertical="center"/>
    </xf>
    <xf numFmtId="0" fontId="26" fillId="0" borderId="18" xfId="0" applyFont="1" applyBorder="1" applyAlignment="1">
      <alignment horizontal="center" vertical="center"/>
    </xf>
    <xf numFmtId="0" fontId="26" fillId="0" borderId="19" xfId="0" applyFont="1" applyBorder="1" applyAlignment="1">
      <alignment horizontal="center" vertical="center"/>
    </xf>
    <xf numFmtId="0" fontId="28" fillId="0" borderId="22" xfId="0" applyFont="1" applyBorder="1" applyAlignment="1">
      <alignment horizontal="center" vertical="center"/>
    </xf>
    <xf numFmtId="0" fontId="28" fillId="0" borderId="10" xfId="0" applyFont="1" applyBorder="1" applyAlignment="1">
      <alignment horizontal="center" vertical="center"/>
    </xf>
    <xf numFmtId="166" fontId="28" fillId="24" borderId="13" xfId="0" applyNumberFormat="1" applyFont="1" applyFill="1" applyBorder="1" applyAlignment="1">
      <alignment horizontal="center" vertical="center"/>
    </xf>
    <xf numFmtId="166" fontId="28" fillId="24" borderId="16" xfId="0" applyNumberFormat="1" applyFont="1" applyFill="1" applyBorder="1" applyAlignment="1">
      <alignment horizontal="center" vertical="center"/>
    </xf>
    <xf numFmtId="166" fontId="28" fillId="24" borderId="29" xfId="0" applyNumberFormat="1" applyFont="1" applyFill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169" fontId="28" fillId="24" borderId="18" xfId="0" applyNumberFormat="1" applyFont="1" applyFill="1" applyBorder="1" applyAlignment="1">
      <alignment horizontal="center" vertical="center"/>
    </xf>
    <xf numFmtId="166" fontId="28" fillId="24" borderId="13" xfId="51" applyNumberFormat="1" applyFont="1" applyFill="1" applyBorder="1" applyAlignment="1">
      <alignment horizontal="center" vertical="center"/>
    </xf>
    <xf numFmtId="166" fontId="28" fillId="24" borderId="16" xfId="51" applyNumberFormat="1" applyFont="1" applyFill="1" applyBorder="1" applyAlignment="1">
      <alignment horizontal="center" vertical="center"/>
    </xf>
    <xf numFmtId="166" fontId="28" fillId="24" borderId="29" xfId="5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8" fillId="0" borderId="17" xfId="0" applyFont="1" applyBorder="1" applyAlignment="1">
      <alignment horizontal="center" vertical="center"/>
    </xf>
    <xf numFmtId="0" fontId="28" fillId="0" borderId="18" xfId="0" applyFont="1" applyBorder="1" applyAlignment="1">
      <alignment horizontal="center" vertical="center"/>
    </xf>
    <xf numFmtId="0" fontId="28" fillId="0" borderId="19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34" fillId="26" borderId="0" xfId="0" applyFont="1" applyFill="1" applyAlignment="1">
      <alignment horizontal="center" vertical="center"/>
    </xf>
    <xf numFmtId="0" fontId="28" fillId="0" borderId="15" xfId="0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7" fillId="26" borderId="0" xfId="0" applyFont="1" applyFill="1" applyAlignment="1">
      <alignment horizontal="center" vertical="center"/>
    </xf>
    <xf numFmtId="0" fontId="26" fillId="0" borderId="17" xfId="0" applyFont="1" applyBorder="1" applyAlignment="1">
      <alignment horizontal="center"/>
    </xf>
    <xf numFmtId="0" fontId="26" fillId="0" borderId="18" xfId="0" applyFont="1" applyBorder="1" applyAlignment="1">
      <alignment horizontal="center"/>
    </xf>
    <xf numFmtId="0" fontId="26" fillId="0" borderId="19" xfId="0" applyFont="1" applyBorder="1" applyAlignment="1">
      <alignment horizontal="center"/>
    </xf>
    <xf numFmtId="14" fontId="0" fillId="0" borderId="0" xfId="0" applyNumberFormat="1" applyAlignment="1">
      <alignment horizontal="center" vertical="center"/>
    </xf>
    <xf numFmtId="14" fontId="0" fillId="0" borderId="27" xfId="0" applyNumberFormat="1" applyBorder="1" applyAlignment="1">
      <alignment horizontal="center" vertical="center"/>
    </xf>
    <xf numFmtId="0" fontId="28" fillId="26" borderId="26" xfId="0" applyFont="1" applyFill="1" applyBorder="1" applyAlignment="1">
      <alignment horizontal="center" vertical="center"/>
    </xf>
    <xf numFmtId="0" fontId="28" fillId="26" borderId="0" xfId="0" applyFont="1" applyFill="1" applyAlignment="1">
      <alignment horizontal="center" vertical="center"/>
    </xf>
    <xf numFmtId="0" fontId="28" fillId="26" borderId="27" xfId="0" applyFont="1" applyFill="1" applyBorder="1" applyAlignment="1">
      <alignment horizontal="center" vertical="center"/>
    </xf>
    <xf numFmtId="0" fontId="26" fillId="0" borderId="25" xfId="0" applyFont="1" applyBorder="1" applyAlignment="1">
      <alignment horizontal="center" vertical="center"/>
    </xf>
    <xf numFmtId="0" fontId="26" fillId="0" borderId="20" xfId="0" applyFont="1" applyBorder="1" applyAlignment="1">
      <alignment horizontal="center" vertical="center"/>
    </xf>
    <xf numFmtId="0" fontId="26" fillId="0" borderId="27" xfId="0" applyFont="1" applyBorder="1" applyAlignment="1">
      <alignment horizontal="center" vertical="center"/>
    </xf>
  </cellXfs>
  <cellStyles count="124">
    <cellStyle name="20 % - Accent1" xfId="1" builtinId="30" customBuiltin="1"/>
    <cellStyle name="20 % - Accent1 2" xfId="52" xr:uid="{00000000-0005-0000-0000-000001000000}"/>
    <cellStyle name="20 % - Accent2" xfId="2" builtinId="34" customBuiltin="1"/>
    <cellStyle name="20 % - Accent2 2" xfId="53" xr:uid="{00000000-0005-0000-0000-000003000000}"/>
    <cellStyle name="20 % - Accent3" xfId="3" builtinId="38" customBuiltin="1"/>
    <cellStyle name="20 % - Accent3 2" xfId="54" xr:uid="{00000000-0005-0000-0000-000005000000}"/>
    <cellStyle name="20 % - Accent4" xfId="4" builtinId="42" customBuiltin="1"/>
    <cellStyle name="20 % - Accent4 2" xfId="55" xr:uid="{00000000-0005-0000-0000-000007000000}"/>
    <cellStyle name="20 % - Accent5" xfId="5" builtinId="46" customBuiltin="1"/>
    <cellStyle name="20 % - Accent5 2" xfId="56" xr:uid="{00000000-0005-0000-0000-000009000000}"/>
    <cellStyle name="20 % - Accent6" xfId="6" builtinId="50" customBuiltin="1"/>
    <cellStyle name="20 % - Accent6 2" xfId="57" xr:uid="{00000000-0005-0000-0000-00000B000000}"/>
    <cellStyle name="40 % - Accent1" xfId="7" builtinId="31" customBuiltin="1"/>
    <cellStyle name="40 % - Accent1 2" xfId="58" xr:uid="{00000000-0005-0000-0000-00000D000000}"/>
    <cellStyle name="40 % - Accent2" xfId="8" builtinId="35" customBuiltin="1"/>
    <cellStyle name="40 % - Accent2 2" xfId="59" xr:uid="{00000000-0005-0000-0000-00000F000000}"/>
    <cellStyle name="40 % - Accent3" xfId="9" builtinId="39" customBuiltin="1"/>
    <cellStyle name="40 % - Accent3 2" xfId="60" xr:uid="{00000000-0005-0000-0000-000011000000}"/>
    <cellStyle name="40 % - Accent4" xfId="10" builtinId="43" customBuiltin="1"/>
    <cellStyle name="40 % - Accent4 2" xfId="61" xr:uid="{00000000-0005-0000-0000-000013000000}"/>
    <cellStyle name="40 % - Accent5" xfId="11" builtinId="47" customBuiltin="1"/>
    <cellStyle name="40 % - Accent5 2" xfId="62" xr:uid="{00000000-0005-0000-0000-000015000000}"/>
    <cellStyle name="40 % - Accent6" xfId="12" builtinId="51" customBuiltin="1"/>
    <cellStyle name="40 % - Accent6 2" xfId="63" xr:uid="{00000000-0005-0000-0000-000017000000}"/>
    <cellStyle name="60 % - Accent1" xfId="13" builtinId="32" customBuiltin="1"/>
    <cellStyle name="60 % - Accent1 2" xfId="64" xr:uid="{00000000-0005-0000-0000-000019000000}"/>
    <cellStyle name="60 % - Accent2" xfId="14" builtinId="36" customBuiltin="1"/>
    <cellStyle name="60 % - Accent2 2" xfId="65" xr:uid="{00000000-0005-0000-0000-00001B000000}"/>
    <cellStyle name="60 % - Accent3" xfId="15" builtinId="40" customBuiltin="1"/>
    <cellStyle name="60 % - Accent3 2" xfId="66" xr:uid="{00000000-0005-0000-0000-00001D000000}"/>
    <cellStyle name="60 % - Accent4" xfId="16" builtinId="44" customBuiltin="1"/>
    <cellStyle name="60 % - Accent4 2" xfId="67" xr:uid="{00000000-0005-0000-0000-00001F000000}"/>
    <cellStyle name="60 % - Accent5" xfId="17" builtinId="48" customBuiltin="1"/>
    <cellStyle name="60 % - Accent5 2" xfId="68" xr:uid="{00000000-0005-0000-0000-000021000000}"/>
    <cellStyle name="60 % - Accent6" xfId="18" builtinId="52" customBuiltin="1"/>
    <cellStyle name="60 % - Accent6 2" xfId="69" xr:uid="{00000000-0005-0000-0000-000023000000}"/>
    <cellStyle name="Accent1" xfId="19" builtinId="29" customBuiltin="1"/>
    <cellStyle name="Accent1 2" xfId="70" xr:uid="{00000000-0005-0000-0000-000025000000}"/>
    <cellStyle name="Accent2" xfId="20" builtinId="33" customBuiltin="1"/>
    <cellStyle name="Accent2 2" xfId="71" xr:uid="{00000000-0005-0000-0000-000027000000}"/>
    <cellStyle name="Accent3" xfId="21" builtinId="37" customBuiltin="1"/>
    <cellStyle name="Accent3 2" xfId="72" xr:uid="{00000000-0005-0000-0000-000029000000}"/>
    <cellStyle name="Accent4" xfId="22" builtinId="41" customBuiltin="1"/>
    <cellStyle name="Accent4 2" xfId="73" xr:uid="{00000000-0005-0000-0000-00002B000000}"/>
    <cellStyle name="Accent5" xfId="23" builtinId="45" customBuiltin="1"/>
    <cellStyle name="Accent5 2" xfId="74" xr:uid="{00000000-0005-0000-0000-00002D000000}"/>
    <cellStyle name="Accent6" xfId="24" builtinId="49" customBuiltin="1"/>
    <cellStyle name="Accent6 2" xfId="75" xr:uid="{00000000-0005-0000-0000-00002F000000}"/>
    <cellStyle name="Avertissement" xfId="25" builtinId="11" customBuiltin="1"/>
    <cellStyle name="Avertissement 2" xfId="76" xr:uid="{00000000-0005-0000-0000-000031000000}"/>
    <cellStyle name="Calcul" xfId="26" builtinId="22" customBuiltin="1"/>
    <cellStyle name="Calcul 2" xfId="77" xr:uid="{00000000-0005-0000-0000-000033000000}"/>
    <cellStyle name="Cellule liée" xfId="27" builtinId="24" customBuiltin="1"/>
    <cellStyle name="Cellule liée 2" xfId="78" xr:uid="{00000000-0005-0000-0000-000035000000}"/>
    <cellStyle name="Commentaire 2" xfId="43" xr:uid="{00000000-0005-0000-0000-000037000000}"/>
    <cellStyle name="Commentaire 2 2" xfId="94" xr:uid="{00000000-0005-0000-0000-000038000000}"/>
    <cellStyle name="Commentaire 2 2 2" xfId="108" xr:uid="{00000000-0005-0000-0000-000039000000}"/>
    <cellStyle name="Commentaire 2 3" xfId="100" xr:uid="{00000000-0005-0000-0000-00003A000000}"/>
    <cellStyle name="Commentaire 3" xfId="47" xr:uid="{00000000-0005-0000-0000-00003B000000}"/>
    <cellStyle name="Commentaire 3 2" xfId="96" xr:uid="{00000000-0005-0000-0000-00003C000000}"/>
    <cellStyle name="Commentaire 3 2 2" xfId="110" xr:uid="{00000000-0005-0000-0000-00003D000000}"/>
    <cellStyle name="Commentaire 3 3" xfId="102" xr:uid="{00000000-0005-0000-0000-00003E000000}"/>
    <cellStyle name="Commentaire 4" xfId="79" xr:uid="{00000000-0005-0000-0000-00003F000000}"/>
    <cellStyle name="Entrée" xfId="29" builtinId="20" customBuiltin="1"/>
    <cellStyle name="Entrée 2" xfId="80" xr:uid="{00000000-0005-0000-0000-000041000000}"/>
    <cellStyle name="Insatisfaisant" xfId="30" builtinId="27" customBuiltin="1"/>
    <cellStyle name="Insatisfaisant 2" xfId="81" xr:uid="{00000000-0005-0000-0000-000043000000}"/>
    <cellStyle name="Neutre" xfId="31" builtinId="28" customBuiltin="1"/>
    <cellStyle name="Neutre 2" xfId="82" xr:uid="{00000000-0005-0000-0000-000045000000}"/>
    <cellStyle name="Normal" xfId="0" builtinId="0"/>
    <cellStyle name="Normal 2" xfId="42" xr:uid="{00000000-0005-0000-0000-000047000000}"/>
    <cellStyle name="Normal 2 2" xfId="44" xr:uid="{00000000-0005-0000-0000-000048000000}"/>
    <cellStyle name="Normal 2 2 2" xfId="123" xr:uid="{00000000-0005-0000-0000-000049000000}"/>
    <cellStyle name="Normal 2 3" xfId="93" xr:uid="{00000000-0005-0000-0000-00004A000000}"/>
    <cellStyle name="Normal 2 3 2" xfId="107" xr:uid="{00000000-0005-0000-0000-00004B000000}"/>
    <cellStyle name="Normal 2 4" xfId="99" xr:uid="{00000000-0005-0000-0000-00004C000000}"/>
    <cellStyle name="Normal 3" xfId="46" xr:uid="{00000000-0005-0000-0000-00004D000000}"/>
    <cellStyle name="Normal 3 2" xfId="49" xr:uid="{00000000-0005-0000-0000-00004E000000}"/>
    <cellStyle name="Normal 3 2 2" xfId="98" xr:uid="{00000000-0005-0000-0000-00004F000000}"/>
    <cellStyle name="Normal 3 2 2 2" xfId="112" xr:uid="{00000000-0005-0000-0000-000050000000}"/>
    <cellStyle name="Normal 3 2 2 3" xfId="121" xr:uid="{00000000-0005-0000-0000-000051000000}"/>
    <cellStyle name="Normal 3 2 3" xfId="104" xr:uid="{00000000-0005-0000-0000-000052000000}"/>
    <cellStyle name="Normal 3 2 4" xfId="116" xr:uid="{00000000-0005-0000-0000-000053000000}"/>
    <cellStyle name="Normal 3 3" xfId="95" xr:uid="{00000000-0005-0000-0000-000054000000}"/>
    <cellStyle name="Normal 3 3 2" xfId="109" xr:uid="{00000000-0005-0000-0000-000055000000}"/>
    <cellStyle name="Normal 3 3 3" xfId="120" xr:uid="{00000000-0005-0000-0000-000056000000}"/>
    <cellStyle name="Normal 3 4" xfId="101" xr:uid="{00000000-0005-0000-0000-000057000000}"/>
    <cellStyle name="Normal 3 5" xfId="115" xr:uid="{00000000-0005-0000-0000-000058000000}"/>
    <cellStyle name="Normal 4" xfId="48" xr:uid="{00000000-0005-0000-0000-000059000000}"/>
    <cellStyle name="Normal 4 2" xfId="97" xr:uid="{00000000-0005-0000-0000-00005A000000}"/>
    <cellStyle name="Normal 4 2 2" xfId="111" xr:uid="{00000000-0005-0000-0000-00005B000000}"/>
    <cellStyle name="Normal 4 2 3" xfId="119" xr:uid="{00000000-0005-0000-0000-00005C000000}"/>
    <cellStyle name="Normal 4 3" xfId="103" xr:uid="{00000000-0005-0000-0000-00005D000000}"/>
    <cellStyle name="Normal 4 4" xfId="114" xr:uid="{00000000-0005-0000-0000-00005E000000}"/>
    <cellStyle name="Normal 5" xfId="51" xr:uid="{00000000-0005-0000-0000-00005F000000}"/>
    <cellStyle name="Normal 5 2" xfId="106" xr:uid="{00000000-0005-0000-0000-000060000000}"/>
    <cellStyle name="Normal 5 2 2" xfId="122" xr:uid="{00000000-0005-0000-0000-000061000000}"/>
    <cellStyle name="Normal 5 3" xfId="117" xr:uid="{00000000-0005-0000-0000-000062000000}"/>
    <cellStyle name="Normal 6" xfId="50" xr:uid="{00000000-0005-0000-0000-000063000000}"/>
    <cellStyle name="Normal 6 2" xfId="105" xr:uid="{00000000-0005-0000-0000-000064000000}"/>
    <cellStyle name="Normal 6 3" xfId="118" xr:uid="{00000000-0005-0000-0000-000065000000}"/>
    <cellStyle name="Normal 7" xfId="113" xr:uid="{00000000-0005-0000-0000-000066000000}"/>
    <cellStyle name="Note" xfId="28" builtinId="10" customBuiltin="1"/>
    <cellStyle name="Pourcentage 2" xfId="45" xr:uid="{00000000-0005-0000-0000-000067000000}"/>
    <cellStyle name="Satisfaisant" xfId="32" builtinId="26" customBuiltin="1"/>
    <cellStyle name="Satisfaisant 2" xfId="83" xr:uid="{00000000-0005-0000-0000-000069000000}"/>
    <cellStyle name="Sortie" xfId="33" builtinId="21" customBuiltin="1"/>
    <cellStyle name="Sortie 2" xfId="84" xr:uid="{00000000-0005-0000-0000-00006B000000}"/>
    <cellStyle name="Texte explicatif" xfId="34" builtinId="53" customBuiltin="1"/>
    <cellStyle name="Texte explicatif 2" xfId="85" xr:uid="{00000000-0005-0000-0000-00006D000000}"/>
    <cellStyle name="Titre" xfId="35" builtinId="15" customBuiltin="1"/>
    <cellStyle name="Titre 2" xfId="86" xr:uid="{00000000-0005-0000-0000-00006F000000}"/>
    <cellStyle name="Titre 1" xfId="36" builtinId="16" customBuiltin="1"/>
    <cellStyle name="Titre 1 2" xfId="87" xr:uid="{00000000-0005-0000-0000-000071000000}"/>
    <cellStyle name="Titre 2" xfId="37" builtinId="17" customBuiltin="1"/>
    <cellStyle name="Titre 2 2" xfId="88" xr:uid="{00000000-0005-0000-0000-000073000000}"/>
    <cellStyle name="Titre 3" xfId="38" builtinId="18" customBuiltin="1"/>
    <cellStyle name="Titre 3 2" xfId="89" xr:uid="{00000000-0005-0000-0000-000075000000}"/>
    <cellStyle name="Titre 4" xfId="39" builtinId="19" customBuiltin="1"/>
    <cellStyle name="Titre 4 2" xfId="90" xr:uid="{00000000-0005-0000-0000-000077000000}"/>
    <cellStyle name="Total" xfId="40" builtinId="25" customBuiltin="1"/>
    <cellStyle name="Total 2" xfId="91" xr:uid="{00000000-0005-0000-0000-000079000000}"/>
    <cellStyle name="Vérification" xfId="41" builtinId="23" customBuiltin="1"/>
    <cellStyle name="Vérification 2" xfId="92" xr:uid="{00000000-0005-0000-0000-00007B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100" b="1" baseline="0"/>
              <a:t>Ajustement d'une loi théorique de déplacements aux données mesurées sur la cible HG-PM170-GVA3 - </a:t>
            </a:r>
            <a:r>
              <a:rPr lang="fr-FR" sz="800" b="0" i="1" baseline="0"/>
              <a:t>Ajustement d'une loi dite de Sulem (contrainte sur </a:t>
            </a:r>
            <a:r>
              <a:rPr lang="fr-FR" sz="800" b="0" i="1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rPr>
              <a:t>n=0.3 ) aux mesures existantes</a:t>
            </a:r>
          </a:p>
        </c:rich>
      </c:tx>
      <c:layout>
        <c:manualLayout>
          <c:xMode val="edge"/>
          <c:yMode val="edge"/>
          <c:x val="0.11155277777777778"/>
          <c:y val="2.116666666666667E-2"/>
        </c:manualLayout>
      </c:layout>
      <c:overlay val="0"/>
      <c:spPr>
        <a:solidFill>
          <a:sysClr val="window" lastClr="FFFFFF"/>
        </a:solidFill>
        <a:ln>
          <a:solidFill>
            <a:schemeClr val="tx1"/>
          </a:solidFill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8.9297777777777781E-2"/>
          <c:y val="0.17"/>
          <c:w val="0.85651981481481498"/>
          <c:h val="0.63760500000000031"/>
        </c:manualLayout>
      </c:layout>
      <c:scatterChart>
        <c:scatterStyle val="lineMarker"/>
        <c:varyColors val="0"/>
        <c:ser>
          <c:idx val="1"/>
          <c:order val="0"/>
          <c:tx>
            <c:strRef>
              <c:f>Déplacements!$J$9</c:f>
              <c:strCache>
                <c:ptCount val="1"/>
                <c:pt idx="0">
                  <c:v>Norme HG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4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Déplacements!$B$10:$B$200</c:f>
              <c:numCache>
                <c:formatCode>dd\ /\ mm\ /\ yy</c:formatCode>
                <c:ptCount val="191"/>
                <c:pt idx="0">
                  <c:v>43655</c:v>
                </c:pt>
                <c:pt idx="1">
                  <c:v>43657</c:v>
                </c:pt>
                <c:pt idx="2">
                  <c:v>43661</c:v>
                </c:pt>
                <c:pt idx="3">
                  <c:v>43663</c:v>
                </c:pt>
                <c:pt idx="4">
                  <c:v>43669</c:v>
                </c:pt>
                <c:pt idx="5">
                  <c:v>43675</c:v>
                </c:pt>
                <c:pt idx="6">
                  <c:v>43679</c:v>
                </c:pt>
                <c:pt idx="7">
                  <c:v>43682</c:v>
                </c:pt>
                <c:pt idx="8">
                  <c:v>43684</c:v>
                </c:pt>
                <c:pt idx="9">
                  <c:v>43685</c:v>
                </c:pt>
                <c:pt idx="10">
                  <c:v>43689</c:v>
                </c:pt>
                <c:pt idx="11">
                  <c:v>43690</c:v>
                </c:pt>
                <c:pt idx="12">
                  <c:v>43696</c:v>
                </c:pt>
                <c:pt idx="13">
                  <c:v>43699</c:v>
                </c:pt>
                <c:pt idx="14">
                  <c:v>43703</c:v>
                </c:pt>
                <c:pt idx="15">
                  <c:v>43706</c:v>
                </c:pt>
                <c:pt idx="16">
                  <c:v>43710</c:v>
                </c:pt>
                <c:pt idx="17">
                  <c:v>43713</c:v>
                </c:pt>
                <c:pt idx="18">
                  <c:v>43718</c:v>
                </c:pt>
                <c:pt idx="19">
                  <c:v>43720</c:v>
                </c:pt>
                <c:pt idx="20">
                  <c:v>43724</c:v>
                </c:pt>
                <c:pt idx="21">
                  <c:v>43727</c:v>
                </c:pt>
                <c:pt idx="22">
                  <c:v>43731</c:v>
                </c:pt>
                <c:pt idx="23">
                  <c:v>43734</c:v>
                </c:pt>
                <c:pt idx="24">
                  <c:v>43738</c:v>
                </c:pt>
                <c:pt idx="25">
                  <c:v>43741</c:v>
                </c:pt>
                <c:pt idx="26">
                  <c:v>43746</c:v>
                </c:pt>
                <c:pt idx="27">
                  <c:v>43753</c:v>
                </c:pt>
                <c:pt idx="28">
                  <c:v>43756</c:v>
                </c:pt>
                <c:pt idx="29">
                  <c:v>43760</c:v>
                </c:pt>
                <c:pt idx="30">
                  <c:v>43762</c:v>
                </c:pt>
                <c:pt idx="31">
                  <c:v>43766</c:v>
                </c:pt>
                <c:pt idx="32">
                  <c:v>43769</c:v>
                </c:pt>
                <c:pt idx="33">
                  <c:v>43774</c:v>
                </c:pt>
                <c:pt idx="34">
                  <c:v>43776</c:v>
                </c:pt>
                <c:pt idx="35">
                  <c:v>43781</c:v>
                </c:pt>
                <c:pt idx="36">
                  <c:v>43783</c:v>
                </c:pt>
                <c:pt idx="37">
                  <c:v>43787</c:v>
                </c:pt>
                <c:pt idx="38">
                  <c:v>43790</c:v>
                </c:pt>
                <c:pt idx="39">
                  <c:v>43795</c:v>
                </c:pt>
                <c:pt idx="40">
                  <c:v>43797</c:v>
                </c:pt>
                <c:pt idx="41">
                  <c:v>43801</c:v>
                </c:pt>
                <c:pt idx="42">
                  <c:v>43803</c:v>
                </c:pt>
                <c:pt idx="43">
                  <c:v>43808</c:v>
                </c:pt>
                <c:pt idx="44">
                  <c:v>43811</c:v>
                </c:pt>
                <c:pt idx="45">
                  <c:v>43815</c:v>
                </c:pt>
                <c:pt idx="46">
                  <c:v>43818</c:v>
                </c:pt>
                <c:pt idx="47">
                  <c:v>43837</c:v>
                </c:pt>
                <c:pt idx="48">
                  <c:v>43843</c:v>
                </c:pt>
                <c:pt idx="49">
                  <c:v>43850</c:v>
                </c:pt>
                <c:pt idx="50">
                  <c:v>43857</c:v>
                </c:pt>
                <c:pt idx="51">
                  <c:v>43865</c:v>
                </c:pt>
                <c:pt idx="52">
                  <c:v>43878</c:v>
                </c:pt>
                <c:pt idx="53">
                  <c:v>43886</c:v>
                </c:pt>
                <c:pt idx="54">
                  <c:v>43896</c:v>
                </c:pt>
                <c:pt idx="55">
                  <c:v>43970</c:v>
                </c:pt>
                <c:pt idx="56">
                  <c:v>43977</c:v>
                </c:pt>
                <c:pt idx="57">
                  <c:v>43984</c:v>
                </c:pt>
                <c:pt idx="58">
                  <c:v>43990</c:v>
                </c:pt>
                <c:pt idx="59">
                  <c:v>43997</c:v>
                </c:pt>
                <c:pt idx="60">
                  <c:v>44004</c:v>
                </c:pt>
                <c:pt idx="61">
                  <c:v>44018</c:v>
                </c:pt>
                <c:pt idx="62">
                  <c:v>44027</c:v>
                </c:pt>
                <c:pt idx="63">
                  <c:v>44039</c:v>
                </c:pt>
                <c:pt idx="64">
                  <c:v>44053</c:v>
                </c:pt>
                <c:pt idx="65">
                  <c:v>44075</c:v>
                </c:pt>
                <c:pt idx="66">
                  <c:v>44082</c:v>
                </c:pt>
                <c:pt idx="67">
                  <c:v>44112</c:v>
                </c:pt>
                <c:pt idx="68">
                  <c:v>44134</c:v>
                </c:pt>
                <c:pt idx="70">
                  <c:v>44134</c:v>
                </c:pt>
                <c:pt idx="72">
                  <c:v>44140</c:v>
                </c:pt>
                <c:pt idx="73">
                  <c:v>44172</c:v>
                </c:pt>
                <c:pt idx="74">
                  <c:v>44186</c:v>
                </c:pt>
                <c:pt idx="75">
                  <c:v>44203</c:v>
                </c:pt>
                <c:pt idx="76">
                  <c:v>44229</c:v>
                </c:pt>
                <c:pt idx="77">
                  <c:v>44245</c:v>
                </c:pt>
                <c:pt idx="78">
                  <c:v>44273</c:v>
                </c:pt>
                <c:pt idx="79">
                  <c:v>44287</c:v>
                </c:pt>
                <c:pt idx="80">
                  <c:v>44308</c:v>
                </c:pt>
                <c:pt idx="81">
                  <c:v>44322</c:v>
                </c:pt>
                <c:pt idx="82">
                  <c:v>44337</c:v>
                </c:pt>
                <c:pt idx="83">
                  <c:v>44351</c:v>
                </c:pt>
                <c:pt idx="84">
                  <c:v>44357</c:v>
                </c:pt>
                <c:pt idx="85">
                  <c:v>44362</c:v>
                </c:pt>
                <c:pt idx="86">
                  <c:v>44364</c:v>
                </c:pt>
                <c:pt idx="87">
                  <c:v>44369</c:v>
                </c:pt>
                <c:pt idx="88">
                  <c:v>44376</c:v>
                </c:pt>
                <c:pt idx="89">
                  <c:v>44378</c:v>
                </c:pt>
                <c:pt idx="90">
                  <c:v>44392</c:v>
                </c:pt>
                <c:pt idx="91">
                  <c:v>44400</c:v>
                </c:pt>
                <c:pt idx="92">
                  <c:v>44410</c:v>
                </c:pt>
                <c:pt idx="93">
                  <c:v>44453</c:v>
                </c:pt>
                <c:pt idx="94">
                  <c:v>44470</c:v>
                </c:pt>
                <c:pt idx="95">
                  <c:v>44489</c:v>
                </c:pt>
                <c:pt idx="96">
                  <c:v>44502</c:v>
                </c:pt>
                <c:pt idx="97">
                  <c:v>44915</c:v>
                </c:pt>
              </c:numCache>
            </c:numRef>
          </c:xVal>
          <c:yVal>
            <c:numRef>
              <c:f>Déplacements!$J$10:$J$200</c:f>
              <c:numCache>
                <c:formatCode>\+\ 0.0;\-\ 0.0;\±\ 0.0</c:formatCode>
                <c:ptCount val="191"/>
                <c:pt idx="0">
                  <c:v>0</c:v>
                </c:pt>
                <c:pt idx="1">
                  <c:v>0.85586213842426051</c:v>
                </c:pt>
                <c:pt idx="2">
                  <c:v>1.2579745625186352</c:v>
                </c:pt>
                <c:pt idx="3">
                  <c:v>2.022992832410313</c:v>
                </c:pt>
                <c:pt idx="5">
                  <c:v>4.019017292821256</c:v>
                </c:pt>
                <c:pt idx="6">
                  <c:v>2.7618802377833855</c:v>
                </c:pt>
                <c:pt idx="7">
                  <c:v>4.3376461650492395</c:v>
                </c:pt>
                <c:pt idx="8">
                  <c:v>4.3089213322396498</c:v>
                </c:pt>
                <c:pt idx="9">
                  <c:v>4.5828415724556768</c:v>
                </c:pt>
                <c:pt idx="10">
                  <c:v>5.7334240195621806</c:v>
                </c:pt>
                <c:pt idx="11">
                  <c:v>6.1806535269415468</c:v>
                </c:pt>
                <c:pt idx="12">
                  <c:v>5.2955169719370714</c:v>
                </c:pt>
                <c:pt idx="13">
                  <c:v>6.2787339488132989</c:v>
                </c:pt>
                <c:pt idx="14">
                  <c:v>7.618562856608194</c:v>
                </c:pt>
                <c:pt idx="15">
                  <c:v>7.9694730064233674</c:v>
                </c:pt>
                <c:pt idx="16">
                  <c:v>8.4482246655859363</c:v>
                </c:pt>
                <c:pt idx="17">
                  <c:v>9.2845301442790831</c:v>
                </c:pt>
                <c:pt idx="18">
                  <c:v>8.8939168289412702</c:v>
                </c:pt>
                <c:pt idx="19">
                  <c:v>9.1903481979810575</c:v>
                </c:pt>
                <c:pt idx="20">
                  <c:v>10.027586948020367</c:v>
                </c:pt>
                <c:pt idx="21">
                  <c:v>10.492020777717489</c:v>
                </c:pt>
                <c:pt idx="22">
                  <c:v>11.278851891933684</c:v>
                </c:pt>
                <c:pt idx="23">
                  <c:v>11.362768148659725</c:v>
                </c:pt>
                <c:pt idx="24">
                  <c:v>11.549173502300846</c:v>
                </c:pt>
                <c:pt idx="25">
                  <c:v>12.15946133675814</c:v>
                </c:pt>
                <c:pt idx="26">
                  <c:v>12.452946770578082</c:v>
                </c:pt>
                <c:pt idx="27">
                  <c:v>12.335433990346063</c:v>
                </c:pt>
                <c:pt idx="28">
                  <c:v>12.268388559650163</c:v>
                </c:pt>
                <c:pt idx="29">
                  <c:v>13.510034484155391</c:v>
                </c:pt>
                <c:pt idx="30">
                  <c:v>12.462171430703206</c:v>
                </c:pt>
                <c:pt idx="32">
                  <c:v>13.484756389011141</c:v>
                </c:pt>
                <c:pt idx="33">
                  <c:v>13.878422645134179</c:v>
                </c:pt>
                <c:pt idx="34">
                  <c:v>13.914470884664354</c:v>
                </c:pt>
                <c:pt idx="35">
                  <c:v>14.424025097049789</c:v>
                </c:pt>
                <c:pt idx="37">
                  <c:v>14.813254200203909</c:v>
                </c:pt>
                <c:pt idx="38">
                  <c:v>14.929584722956536</c:v>
                </c:pt>
                <c:pt idx="39">
                  <c:v>14.986744142748861</c:v>
                </c:pt>
                <c:pt idx="40">
                  <c:v>15.633697579274381</c:v>
                </c:pt>
                <c:pt idx="41">
                  <c:v>15.644567747303803</c:v>
                </c:pt>
                <c:pt idx="42">
                  <c:v>14.968717379927259</c:v>
                </c:pt>
                <c:pt idx="43">
                  <c:v>16.063767523722653</c:v>
                </c:pt>
                <c:pt idx="44">
                  <c:v>15.878680675681082</c:v>
                </c:pt>
                <c:pt idx="45">
                  <c:v>16.747014659336955</c:v>
                </c:pt>
                <c:pt idx="46">
                  <c:v>16.287188216505992</c:v>
                </c:pt>
                <c:pt idx="47">
                  <c:v>17.180584972577424</c:v>
                </c:pt>
                <c:pt idx="48">
                  <c:v>17.567939549087967</c:v>
                </c:pt>
                <c:pt idx="49">
                  <c:v>17.392886476943055</c:v>
                </c:pt>
                <c:pt idx="50">
                  <c:v>18.026993648418429</c:v>
                </c:pt>
                <c:pt idx="51">
                  <c:v>17.963922177509815</c:v>
                </c:pt>
                <c:pt idx="52">
                  <c:v>18.691776266580341</c:v>
                </c:pt>
                <c:pt idx="53">
                  <c:v>18.33691631654823</c:v>
                </c:pt>
                <c:pt idx="54">
                  <c:v>19.056560550107811</c:v>
                </c:pt>
                <c:pt idx="55">
                  <c:v>20.97528307317593</c:v>
                </c:pt>
                <c:pt idx="56">
                  <c:v>20.295627607936513</c:v>
                </c:pt>
                <c:pt idx="57">
                  <c:v>20.640479558017077</c:v>
                </c:pt>
                <c:pt idx="58">
                  <c:v>21.395238579626678</c:v>
                </c:pt>
                <c:pt idx="59">
                  <c:v>20.739411017182245</c:v>
                </c:pt>
                <c:pt idx="60">
                  <c:v>21.242249275982115</c:v>
                </c:pt>
                <c:pt idx="61">
                  <c:v>21.976517614316752</c:v>
                </c:pt>
                <c:pt idx="62">
                  <c:v>22.007480680890811</c:v>
                </c:pt>
                <c:pt idx="63">
                  <c:v>22.964873531887417</c:v>
                </c:pt>
                <c:pt idx="64">
                  <c:v>23.443711981494104</c:v>
                </c:pt>
                <c:pt idx="65">
                  <c:v>24.211455201176371</c:v>
                </c:pt>
                <c:pt idx="66">
                  <c:v>24.124045545920055</c:v>
                </c:pt>
                <c:pt idx="67">
                  <c:v>24.016452169224429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5E6-45AC-AFB5-E8F1E0CD5AAC}"/>
            </c:ext>
          </c:extLst>
        </c:ser>
        <c:ser>
          <c:idx val="4"/>
          <c:order val="2"/>
          <c:tx>
            <c:strRef>
              <c:f>Déplacements!$AL$9</c:f>
              <c:strCache>
                <c:ptCount val="1"/>
                <c:pt idx="0">
                  <c:v>SULEM - n=3</c:v>
                </c:pt>
              </c:strCache>
            </c:strRef>
          </c:tx>
          <c:spPr>
            <a:ln w="1270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xVal>
            <c:numRef>
              <c:f>Déplacements!$AJ$10:$AJ$202</c:f>
              <c:numCache>
                <c:formatCode>m/d/yyyy</c:formatCode>
                <c:ptCount val="193"/>
                <c:pt idx="0">
                  <c:v>43655</c:v>
                </c:pt>
                <c:pt idx="1">
                  <c:v>43656</c:v>
                </c:pt>
                <c:pt idx="2">
                  <c:v>43657</c:v>
                </c:pt>
                <c:pt idx="3">
                  <c:v>43661</c:v>
                </c:pt>
                <c:pt idx="4">
                  <c:v>43663</c:v>
                </c:pt>
                <c:pt idx="5">
                  <c:v>43677</c:v>
                </c:pt>
                <c:pt idx="6">
                  <c:v>43693</c:v>
                </c:pt>
                <c:pt idx="7">
                  <c:v>43697</c:v>
                </c:pt>
                <c:pt idx="8">
                  <c:v>43699</c:v>
                </c:pt>
                <c:pt idx="9">
                  <c:v>43703</c:v>
                </c:pt>
                <c:pt idx="10">
                  <c:v>43705</c:v>
                </c:pt>
                <c:pt idx="11">
                  <c:v>43706</c:v>
                </c:pt>
                <c:pt idx="12">
                  <c:v>43711</c:v>
                </c:pt>
                <c:pt idx="13">
                  <c:v>43713</c:v>
                </c:pt>
                <c:pt idx="14">
                  <c:v>43717</c:v>
                </c:pt>
                <c:pt idx="15">
                  <c:v>43720</c:v>
                </c:pt>
                <c:pt idx="16">
                  <c:v>43725</c:v>
                </c:pt>
                <c:pt idx="17">
                  <c:v>43731</c:v>
                </c:pt>
                <c:pt idx="18">
                  <c:v>43735</c:v>
                </c:pt>
                <c:pt idx="19">
                  <c:v>43738</c:v>
                </c:pt>
                <c:pt idx="20">
                  <c:v>43740</c:v>
                </c:pt>
                <c:pt idx="21">
                  <c:v>43741</c:v>
                </c:pt>
                <c:pt idx="22">
                  <c:v>43745</c:v>
                </c:pt>
                <c:pt idx="23">
                  <c:v>43746</c:v>
                </c:pt>
                <c:pt idx="24">
                  <c:v>43752</c:v>
                </c:pt>
                <c:pt idx="25">
                  <c:v>43755</c:v>
                </c:pt>
                <c:pt idx="26">
                  <c:v>43759</c:v>
                </c:pt>
                <c:pt idx="27">
                  <c:v>43762</c:v>
                </c:pt>
                <c:pt idx="28">
                  <c:v>43766</c:v>
                </c:pt>
                <c:pt idx="29">
                  <c:v>43769</c:v>
                </c:pt>
                <c:pt idx="30">
                  <c:v>43774</c:v>
                </c:pt>
                <c:pt idx="31">
                  <c:v>43776</c:v>
                </c:pt>
                <c:pt idx="32">
                  <c:v>43780</c:v>
                </c:pt>
                <c:pt idx="33">
                  <c:v>43783</c:v>
                </c:pt>
                <c:pt idx="34">
                  <c:v>43787</c:v>
                </c:pt>
                <c:pt idx="35">
                  <c:v>43790</c:v>
                </c:pt>
                <c:pt idx="36">
                  <c:v>43794</c:v>
                </c:pt>
                <c:pt idx="37">
                  <c:v>43797</c:v>
                </c:pt>
                <c:pt idx="38">
                  <c:v>43802</c:v>
                </c:pt>
                <c:pt idx="39">
                  <c:v>43809</c:v>
                </c:pt>
                <c:pt idx="40">
                  <c:v>43812</c:v>
                </c:pt>
                <c:pt idx="41">
                  <c:v>43816</c:v>
                </c:pt>
                <c:pt idx="42">
                  <c:v>43818</c:v>
                </c:pt>
                <c:pt idx="43">
                  <c:v>43822</c:v>
                </c:pt>
                <c:pt idx="44">
                  <c:v>43825</c:v>
                </c:pt>
                <c:pt idx="45">
                  <c:v>43830</c:v>
                </c:pt>
                <c:pt idx="46">
                  <c:v>43832</c:v>
                </c:pt>
                <c:pt idx="47">
                  <c:v>43837</c:v>
                </c:pt>
                <c:pt idx="48">
                  <c:v>43839</c:v>
                </c:pt>
                <c:pt idx="49">
                  <c:v>43843</c:v>
                </c:pt>
                <c:pt idx="50">
                  <c:v>43846</c:v>
                </c:pt>
                <c:pt idx="51">
                  <c:v>43851</c:v>
                </c:pt>
                <c:pt idx="52">
                  <c:v>43853</c:v>
                </c:pt>
                <c:pt idx="53">
                  <c:v>43857</c:v>
                </c:pt>
                <c:pt idx="54">
                  <c:v>43859</c:v>
                </c:pt>
                <c:pt idx="55">
                  <c:v>43864</c:v>
                </c:pt>
                <c:pt idx="56">
                  <c:v>43867</c:v>
                </c:pt>
                <c:pt idx="57">
                  <c:v>43871</c:v>
                </c:pt>
                <c:pt idx="58">
                  <c:v>43874</c:v>
                </c:pt>
                <c:pt idx="59">
                  <c:v>43893</c:v>
                </c:pt>
                <c:pt idx="60">
                  <c:v>43899</c:v>
                </c:pt>
                <c:pt idx="61">
                  <c:v>43906</c:v>
                </c:pt>
                <c:pt idx="62">
                  <c:v>43913</c:v>
                </c:pt>
                <c:pt idx="63">
                  <c:v>43921</c:v>
                </c:pt>
                <c:pt idx="64">
                  <c:v>43923</c:v>
                </c:pt>
                <c:pt idx="65">
                  <c:v>43934</c:v>
                </c:pt>
                <c:pt idx="66">
                  <c:v>43942</c:v>
                </c:pt>
                <c:pt idx="67">
                  <c:v>43952</c:v>
                </c:pt>
                <c:pt idx="68">
                  <c:v>44026</c:v>
                </c:pt>
                <c:pt idx="69">
                  <c:v>44033</c:v>
                </c:pt>
                <c:pt idx="70">
                  <c:v>44040</c:v>
                </c:pt>
                <c:pt idx="71">
                  <c:v>44046</c:v>
                </c:pt>
                <c:pt idx="72">
                  <c:v>44053</c:v>
                </c:pt>
                <c:pt idx="73">
                  <c:v>44055</c:v>
                </c:pt>
                <c:pt idx="74">
                  <c:v>44065</c:v>
                </c:pt>
                <c:pt idx="75">
                  <c:v>44075</c:v>
                </c:pt>
                <c:pt idx="76">
                  <c:v>44085</c:v>
                </c:pt>
                <c:pt idx="77">
                  <c:v>44095</c:v>
                </c:pt>
                <c:pt idx="78">
                  <c:v>44105</c:v>
                </c:pt>
                <c:pt idx="79">
                  <c:v>44115</c:v>
                </c:pt>
                <c:pt idx="80">
                  <c:v>44125</c:v>
                </c:pt>
                <c:pt idx="81">
                  <c:v>44135</c:v>
                </c:pt>
                <c:pt idx="83">
                  <c:v>44155</c:v>
                </c:pt>
                <c:pt idx="84">
                  <c:v>44165</c:v>
                </c:pt>
                <c:pt idx="85">
                  <c:v>44175</c:v>
                </c:pt>
                <c:pt idx="86">
                  <c:v>44185</c:v>
                </c:pt>
                <c:pt idx="87">
                  <c:v>44195</c:v>
                </c:pt>
                <c:pt idx="88">
                  <c:v>44205</c:v>
                </c:pt>
                <c:pt idx="89">
                  <c:v>44215</c:v>
                </c:pt>
                <c:pt idx="90">
                  <c:v>44225</c:v>
                </c:pt>
                <c:pt idx="91">
                  <c:v>44235</c:v>
                </c:pt>
                <c:pt idx="92">
                  <c:v>44245</c:v>
                </c:pt>
                <c:pt idx="93">
                  <c:v>44255</c:v>
                </c:pt>
                <c:pt idx="94">
                  <c:v>44265</c:v>
                </c:pt>
                <c:pt idx="95">
                  <c:v>44275</c:v>
                </c:pt>
                <c:pt idx="96">
                  <c:v>44285</c:v>
                </c:pt>
                <c:pt idx="97">
                  <c:v>44295</c:v>
                </c:pt>
                <c:pt idx="98">
                  <c:v>44305</c:v>
                </c:pt>
                <c:pt idx="99">
                  <c:v>44315</c:v>
                </c:pt>
                <c:pt idx="100">
                  <c:v>44325</c:v>
                </c:pt>
                <c:pt idx="101">
                  <c:v>44335</c:v>
                </c:pt>
                <c:pt idx="102">
                  <c:v>44345</c:v>
                </c:pt>
                <c:pt idx="103">
                  <c:v>44355</c:v>
                </c:pt>
                <c:pt idx="104">
                  <c:v>44365</c:v>
                </c:pt>
                <c:pt idx="105">
                  <c:v>44375</c:v>
                </c:pt>
                <c:pt idx="106">
                  <c:v>44385</c:v>
                </c:pt>
                <c:pt idx="107">
                  <c:v>44395</c:v>
                </c:pt>
                <c:pt idx="108">
                  <c:v>44405</c:v>
                </c:pt>
                <c:pt idx="109">
                  <c:v>44415</c:v>
                </c:pt>
                <c:pt idx="110">
                  <c:v>44425</c:v>
                </c:pt>
                <c:pt idx="111">
                  <c:v>44435</c:v>
                </c:pt>
                <c:pt idx="112">
                  <c:v>44445</c:v>
                </c:pt>
                <c:pt idx="113">
                  <c:v>44455</c:v>
                </c:pt>
                <c:pt idx="114">
                  <c:v>44465</c:v>
                </c:pt>
                <c:pt idx="115">
                  <c:v>44475</c:v>
                </c:pt>
                <c:pt idx="116">
                  <c:v>44485</c:v>
                </c:pt>
                <c:pt idx="117">
                  <c:v>44495</c:v>
                </c:pt>
                <c:pt idx="118">
                  <c:v>44505</c:v>
                </c:pt>
                <c:pt idx="119">
                  <c:v>44515</c:v>
                </c:pt>
                <c:pt idx="120">
                  <c:v>44525</c:v>
                </c:pt>
                <c:pt idx="121">
                  <c:v>44535</c:v>
                </c:pt>
                <c:pt idx="122">
                  <c:v>44545</c:v>
                </c:pt>
                <c:pt idx="123">
                  <c:v>44555</c:v>
                </c:pt>
                <c:pt idx="124">
                  <c:v>44565</c:v>
                </c:pt>
                <c:pt idx="125">
                  <c:v>44575</c:v>
                </c:pt>
                <c:pt idx="126">
                  <c:v>44585</c:v>
                </c:pt>
                <c:pt idx="127">
                  <c:v>44595</c:v>
                </c:pt>
                <c:pt idx="128">
                  <c:v>44605</c:v>
                </c:pt>
                <c:pt idx="129">
                  <c:v>44615</c:v>
                </c:pt>
                <c:pt idx="130">
                  <c:v>44625</c:v>
                </c:pt>
                <c:pt idx="131">
                  <c:v>44635</c:v>
                </c:pt>
                <c:pt idx="132">
                  <c:v>44645</c:v>
                </c:pt>
                <c:pt idx="133">
                  <c:v>44655</c:v>
                </c:pt>
                <c:pt idx="134">
                  <c:v>44665</c:v>
                </c:pt>
                <c:pt idx="135">
                  <c:v>44675</c:v>
                </c:pt>
                <c:pt idx="136">
                  <c:v>44685</c:v>
                </c:pt>
                <c:pt idx="137">
                  <c:v>44695</c:v>
                </c:pt>
                <c:pt idx="138">
                  <c:v>44705</c:v>
                </c:pt>
                <c:pt idx="139">
                  <c:v>44715</c:v>
                </c:pt>
                <c:pt idx="140">
                  <c:v>44725</c:v>
                </c:pt>
                <c:pt idx="141">
                  <c:v>44855</c:v>
                </c:pt>
                <c:pt idx="142">
                  <c:v>44915</c:v>
                </c:pt>
                <c:pt idx="143">
                  <c:v>44975</c:v>
                </c:pt>
                <c:pt idx="144">
                  <c:v>45035</c:v>
                </c:pt>
                <c:pt idx="145">
                  <c:v>45095</c:v>
                </c:pt>
                <c:pt idx="146">
                  <c:v>45155</c:v>
                </c:pt>
                <c:pt idx="147">
                  <c:v>45215</c:v>
                </c:pt>
                <c:pt idx="148">
                  <c:v>45275</c:v>
                </c:pt>
                <c:pt idx="149">
                  <c:v>45335</c:v>
                </c:pt>
                <c:pt idx="150">
                  <c:v>45395</c:v>
                </c:pt>
                <c:pt idx="151">
                  <c:v>45455</c:v>
                </c:pt>
                <c:pt idx="152">
                  <c:v>45515</c:v>
                </c:pt>
                <c:pt idx="153">
                  <c:v>45575</c:v>
                </c:pt>
                <c:pt idx="154">
                  <c:v>45635</c:v>
                </c:pt>
                <c:pt idx="155">
                  <c:v>45695</c:v>
                </c:pt>
                <c:pt idx="156">
                  <c:v>45815</c:v>
                </c:pt>
                <c:pt idx="157">
                  <c:v>45935</c:v>
                </c:pt>
                <c:pt idx="158">
                  <c:v>46055</c:v>
                </c:pt>
                <c:pt idx="159">
                  <c:v>46175</c:v>
                </c:pt>
                <c:pt idx="160">
                  <c:v>46295</c:v>
                </c:pt>
                <c:pt idx="161">
                  <c:v>46415</c:v>
                </c:pt>
                <c:pt idx="162">
                  <c:v>46535</c:v>
                </c:pt>
                <c:pt idx="163">
                  <c:v>46655</c:v>
                </c:pt>
                <c:pt idx="164">
                  <c:v>46775</c:v>
                </c:pt>
                <c:pt idx="165">
                  <c:v>46895</c:v>
                </c:pt>
                <c:pt idx="166">
                  <c:v>47015</c:v>
                </c:pt>
                <c:pt idx="167">
                  <c:v>47135</c:v>
                </c:pt>
                <c:pt idx="168">
                  <c:v>47255</c:v>
                </c:pt>
                <c:pt idx="169">
                  <c:v>47375</c:v>
                </c:pt>
                <c:pt idx="170">
                  <c:v>47495</c:v>
                </c:pt>
                <c:pt idx="171">
                  <c:v>47615</c:v>
                </c:pt>
                <c:pt idx="172">
                  <c:v>47735</c:v>
                </c:pt>
                <c:pt idx="173">
                  <c:v>47855</c:v>
                </c:pt>
                <c:pt idx="174">
                  <c:v>47975</c:v>
                </c:pt>
                <c:pt idx="175">
                  <c:v>48095</c:v>
                </c:pt>
                <c:pt idx="176">
                  <c:v>48215</c:v>
                </c:pt>
                <c:pt idx="177">
                  <c:v>48335</c:v>
                </c:pt>
                <c:pt idx="178">
                  <c:v>48455</c:v>
                </c:pt>
                <c:pt idx="179">
                  <c:v>48575</c:v>
                </c:pt>
                <c:pt idx="180">
                  <c:v>48695</c:v>
                </c:pt>
                <c:pt idx="181">
                  <c:v>48815</c:v>
                </c:pt>
                <c:pt idx="182">
                  <c:v>48935</c:v>
                </c:pt>
                <c:pt idx="183">
                  <c:v>49055</c:v>
                </c:pt>
                <c:pt idx="184">
                  <c:v>49175</c:v>
                </c:pt>
                <c:pt idx="185">
                  <c:v>49295</c:v>
                </c:pt>
                <c:pt idx="186">
                  <c:v>49415</c:v>
                </c:pt>
                <c:pt idx="187">
                  <c:v>49535</c:v>
                </c:pt>
                <c:pt idx="188">
                  <c:v>49655</c:v>
                </c:pt>
                <c:pt idx="189">
                  <c:v>49775</c:v>
                </c:pt>
                <c:pt idx="190">
                  <c:v>49895</c:v>
                </c:pt>
                <c:pt idx="191">
                  <c:v>50015</c:v>
                </c:pt>
                <c:pt idx="192">
                  <c:v>50135</c:v>
                </c:pt>
              </c:numCache>
            </c:numRef>
          </c:xVal>
          <c:yVal>
            <c:numRef>
              <c:f>Déplacements!$AL$10:$AL$202</c:f>
              <c:numCache>
                <c:formatCode>General</c:formatCode>
                <c:ptCount val="193"/>
                <c:pt idx="0">
                  <c:v>0</c:v>
                </c:pt>
                <c:pt idx="1">
                  <c:v>0.2312613996895595</c:v>
                </c:pt>
                <c:pt idx="2">
                  <c:v>0.45810070260620733</c:v>
                </c:pt>
                <c:pt idx="3">
                  <c:v>1.3240838680468323</c:v>
                </c:pt>
                <c:pt idx="4">
                  <c:v>1.7340649577718015</c:v>
                </c:pt>
                <c:pt idx="5">
                  <c:v>4.251603571603634</c:v>
                </c:pt>
                <c:pt idx="6">
                  <c:v>6.5599513817560924</c:v>
                </c:pt>
                <c:pt idx="7">
                  <c:v>7.0658487468949538</c:v>
                </c:pt>
                <c:pt idx="8">
                  <c:v>7.3097794669384308</c:v>
                </c:pt>
                <c:pt idx="9">
                  <c:v>7.7808270057635296</c:v>
                </c:pt>
                <c:pt idx="10">
                  <c:v>8.008390676904801</c:v>
                </c:pt>
                <c:pt idx="11">
                  <c:v>8.1202740135854157</c:v>
                </c:pt>
                <c:pt idx="12">
                  <c:v>8.6616663001553622</c:v>
                </c:pt>
                <c:pt idx="13">
                  <c:v>8.8702301306700235</c:v>
                </c:pt>
                <c:pt idx="14">
                  <c:v>9.2745645943002888</c:v>
                </c:pt>
                <c:pt idx="15">
                  <c:v>9.5672145603780052</c:v>
                </c:pt>
                <c:pt idx="16">
                  <c:v>10.036149867333965</c:v>
                </c:pt>
                <c:pt idx="17">
                  <c:v>10.57019970958445</c:v>
                </c:pt>
                <c:pt idx="18">
                  <c:v>10.910237566651199</c:v>
                </c:pt>
                <c:pt idx="19">
                  <c:v>11.157434014466896</c:v>
                </c:pt>
                <c:pt idx="20">
                  <c:v>11.318673258030019</c:v>
                </c:pt>
                <c:pt idx="21">
                  <c:v>11.398257723165294</c:v>
                </c:pt>
                <c:pt idx="22">
                  <c:v>11.709932866914428</c:v>
                </c:pt>
                <c:pt idx="23">
                  <c:v>11.786234891868922</c:v>
                </c:pt>
                <c:pt idx="24">
                  <c:v>12.23117357037942</c:v>
                </c:pt>
                <c:pt idx="25">
                  <c:v>12.445751550434572</c:v>
                </c:pt>
                <c:pt idx="26">
                  <c:v>12.724154754858429</c:v>
                </c:pt>
                <c:pt idx="27">
                  <c:v>12.927438783871596</c:v>
                </c:pt>
                <c:pt idx="28">
                  <c:v>13.191478806378942</c:v>
                </c:pt>
                <c:pt idx="29">
                  <c:v>13.384479644351583</c:v>
                </c:pt>
                <c:pt idx="30">
                  <c:v>13.697047645541431</c:v>
                </c:pt>
                <c:pt idx="31">
                  <c:v>13.819020954113467</c:v>
                </c:pt>
                <c:pt idx="32">
                  <c:v>14.057964577351751</c:v>
                </c:pt>
                <c:pt idx="33">
                  <c:v>14.232951002826015</c:v>
                </c:pt>
                <c:pt idx="34">
                  <c:v>14.460878741372646</c:v>
                </c:pt>
                <c:pt idx="35">
                  <c:v>14.627938690585435</c:v>
                </c:pt>
                <c:pt idx="36">
                  <c:v>14.845718293546861</c:v>
                </c:pt>
                <c:pt idx="37">
                  <c:v>15.005465614224638</c:v>
                </c:pt>
                <c:pt idx="38">
                  <c:v>15.265174760706918</c:v>
                </c:pt>
                <c:pt idx="39">
                  <c:v>15.615764152464342</c:v>
                </c:pt>
                <c:pt idx="40">
                  <c:v>15.76161359172486</c:v>
                </c:pt>
                <c:pt idx="41">
                  <c:v>15.952165193704468</c:v>
                </c:pt>
                <c:pt idx="42">
                  <c:v>16.045814123546748</c:v>
                </c:pt>
                <c:pt idx="43">
                  <c:v>16.229965688832408</c:v>
                </c:pt>
                <c:pt idx="44">
                  <c:v>16.365407112112319</c:v>
                </c:pt>
                <c:pt idx="45">
                  <c:v>16.586248041244257</c:v>
                </c:pt>
                <c:pt idx="46">
                  <c:v>16.67292546607068</c:v>
                </c:pt>
                <c:pt idx="47">
                  <c:v>16.885626184169499</c:v>
                </c:pt>
                <c:pt idx="48">
                  <c:v>16.969153542228298</c:v>
                </c:pt>
                <c:pt idx="49">
                  <c:v>17.13363479670625</c:v>
                </c:pt>
                <c:pt idx="50">
                  <c:v>17.254804598512077</c:v>
                </c:pt>
                <c:pt idx="51">
                  <c:v>17.452727859802202</c:v>
                </c:pt>
                <c:pt idx="52">
                  <c:v>17.530528967617297</c:v>
                </c:pt>
                <c:pt idx="53">
                  <c:v>17.683859757657775</c:v>
                </c:pt>
                <c:pt idx="54">
                  <c:v>17.75941529637597</c:v>
                </c:pt>
                <c:pt idx="55">
                  <c:v>17.945166699731114</c:v>
                </c:pt>
                <c:pt idx="56">
                  <c:v>18.05452567470093</c:v>
                </c:pt>
                <c:pt idx="57">
                  <c:v>18.197977036789354</c:v>
                </c:pt>
                <c:pt idx="58">
                  <c:v>18.30384287143869</c:v>
                </c:pt>
                <c:pt idx="59">
                  <c:v>18.942312314537595</c:v>
                </c:pt>
                <c:pt idx="60">
                  <c:v>19.133249681472623</c:v>
                </c:pt>
                <c:pt idx="61">
                  <c:v>19.350034048713081</c:v>
                </c:pt>
                <c:pt idx="62">
                  <c:v>19.560689371192112</c:v>
                </c:pt>
                <c:pt idx="63">
                  <c:v>19.794317316210901</c:v>
                </c:pt>
                <c:pt idx="64">
                  <c:v>19.851583974012733</c:v>
                </c:pt>
                <c:pt idx="65">
                  <c:v>20.158780301217636</c:v>
                </c:pt>
                <c:pt idx="66">
                  <c:v>20.374315863444217</c:v>
                </c:pt>
                <c:pt idx="67">
                  <c:v>20.634980165540767</c:v>
                </c:pt>
                <c:pt idx="68">
                  <c:v>22.312056877686334</c:v>
                </c:pt>
                <c:pt idx="69">
                  <c:v>22.451426793146371</c:v>
                </c:pt>
                <c:pt idx="70">
                  <c:v>22.587971263054968</c:v>
                </c:pt>
                <c:pt idx="71">
                  <c:v>22.702836333418773</c:v>
                </c:pt>
                <c:pt idx="72">
                  <c:v>22.834394505116158</c:v>
                </c:pt>
                <c:pt idx="73">
                  <c:v>22.871509721043097</c:v>
                </c:pt>
                <c:pt idx="74">
                  <c:v>23.054030465982123</c:v>
                </c:pt>
                <c:pt idx="75">
                  <c:v>23.23163670727903</c:v>
                </c:pt>
                <c:pt idx="76">
                  <c:v>23.404557816056926</c:v>
                </c:pt>
                <c:pt idx="77">
                  <c:v>23.573008108834987</c:v>
                </c:pt>
                <c:pt idx="78">
                  <c:v>23.73718810996948</c:v>
                </c:pt>
                <c:pt idx="79">
                  <c:v>23.897285686103132</c:v>
                </c:pt>
                <c:pt idx="80">
                  <c:v>24.053477067758372</c:v>
                </c:pt>
                <c:pt idx="81">
                  <c:v>24.205927771174149</c:v>
                </c:pt>
                <c:pt idx="83">
                  <c:v>24.500220559034432</c:v>
                </c:pt>
                <c:pt idx="84">
                  <c:v>24.642347221764219</c:v>
                </c:pt>
                <c:pt idx="85">
                  <c:v>24.781303670718565</c:v>
                </c:pt>
                <c:pt idx="86">
                  <c:v>24.917212905798301</c:v>
                </c:pt>
                <c:pt idx="87">
                  <c:v>25.050191193277236</c:v>
                </c:pt>
                <c:pt idx="88">
                  <c:v>25.180348538310039</c:v>
                </c:pt>
                <c:pt idx="89">
                  <c:v>25.307789117228346</c:v>
                </c:pt>
                <c:pt idx="90">
                  <c:v>25.43261167362872</c:v>
                </c:pt>
                <c:pt idx="91">
                  <c:v>25.55490988180135</c:v>
                </c:pt>
                <c:pt idx="92">
                  <c:v>25.674772680651451</c:v>
                </c:pt>
                <c:pt idx="93">
                  <c:v>25.792284580918317</c:v>
                </c:pt>
                <c:pt idx="94">
                  <c:v>25.907525948192344</c:v>
                </c:pt>
                <c:pt idx="95">
                  <c:v>26.02057326396331</c:v>
                </c:pt>
                <c:pt idx="96">
                  <c:v>26.131499366697575</c:v>
                </c:pt>
                <c:pt idx="97">
                  <c:v>26.240373674734705</c:v>
                </c:pt>
                <c:pt idx="98">
                  <c:v>26.347262392610197</c:v>
                </c:pt>
                <c:pt idx="99">
                  <c:v>26.452228702249187</c:v>
                </c:pt>
                <c:pt idx="100">
                  <c:v>26.555332940331681</c:v>
                </c:pt>
                <c:pt idx="101">
                  <c:v>26.656632763002253</c:v>
                </c:pt>
                <c:pt idx="102">
                  <c:v>26.756183298983409</c:v>
                </c:pt>
                <c:pt idx="103">
                  <c:v>26.854037292050261</c:v>
                </c:pt>
                <c:pt idx="104">
                  <c:v>26.950245233733913</c:v>
                </c:pt>
                <c:pt idx="105">
                  <c:v>27.044855487040024</c:v>
                </c:pt>
                <c:pt idx="106">
                  <c:v>27.137914401896328</c:v>
                </c:pt>
                <c:pt idx="107">
                  <c:v>27.229466422978486</c:v>
                </c:pt>
                <c:pt idx="108">
                  <c:v>27.319554190504793</c:v>
                </c:pt>
                <c:pt idx="109">
                  <c:v>27.408218634538265</c:v>
                </c:pt>
                <c:pt idx="110">
                  <c:v>27.495499063287181</c:v>
                </c:pt>
                <c:pt idx="111">
                  <c:v>27.581433245852789</c:v>
                </c:pt>
                <c:pt idx="112">
                  <c:v>27.666057489834273</c:v>
                </c:pt>
                <c:pt idx="113">
                  <c:v>27.749406714166682</c:v>
                </c:pt>
                <c:pt idx="114">
                  <c:v>27.831514517535677</c:v>
                </c:pt>
                <c:pt idx="115">
                  <c:v>27.912413242685037</c:v>
                </c:pt>
                <c:pt idx="116">
                  <c:v>27.992134036906496</c:v>
                </c:pt>
                <c:pt idx="117">
                  <c:v>28.070706908978469</c:v>
                </c:pt>
                <c:pt idx="118">
                  <c:v>28.148160782798751</c:v>
                </c:pt>
                <c:pt idx="119">
                  <c:v>28.224523547936816</c:v>
                </c:pt>
                <c:pt idx="120">
                  <c:v>28.299822107313876</c:v>
                </c:pt>
                <c:pt idx="121">
                  <c:v>28.374082422202537</c:v>
                </c:pt>
                <c:pt idx="122">
                  <c:v>28.447329554723321</c:v>
                </c:pt>
                <c:pt idx="123">
                  <c:v>28.519587708001854</c:v>
                </c:pt>
                <c:pt idx="124">
                  <c:v>28.590880264138242</c:v>
                </c:pt>
                <c:pt idx="125">
                  <c:v>28.661229820128781</c:v>
                </c:pt>
                <c:pt idx="126">
                  <c:v>28.730658221870062</c:v>
                </c:pt>
                <c:pt idx="127">
                  <c:v>28.799186596365903</c:v>
                </c:pt>
                <c:pt idx="128">
                  <c:v>28.866835382248798</c:v>
                </c:pt>
                <c:pt idx="129">
                  <c:v>28.933624358719918</c:v>
                </c:pt>
                <c:pt idx="130">
                  <c:v>28.999572673003911</c:v>
                </c:pt>
                <c:pt idx="131">
                  <c:v>29.064698866408353</c:v>
                </c:pt>
                <c:pt idx="132">
                  <c:v>29.129020899071307</c:v>
                </c:pt>
                <c:pt idx="133">
                  <c:v>29.19255617347482</c:v>
                </c:pt>
                <c:pt idx="134">
                  <c:v>29.255321556796673</c:v>
                </c:pt>
                <c:pt idx="135">
                  <c:v>29.317333402168174</c:v>
                </c:pt>
                <c:pt idx="136">
                  <c:v>29.378607568900936</c:v>
                </c:pt>
                <c:pt idx="137">
                  <c:v>29.439159441741541</c:v>
                </c:pt>
                <c:pt idx="138">
                  <c:v>29.499003949209197</c:v>
                </c:pt>
                <c:pt idx="139">
                  <c:v>29.558155581067744</c:v>
                </c:pt>
                <c:pt idx="140">
                  <c:v>29.616628404980304</c:v>
                </c:pt>
                <c:pt idx="141">
                  <c:v>30.32072611185605</c:v>
                </c:pt>
                <c:pt idx="142">
                  <c:v>30.614730203296421</c:v>
                </c:pt>
                <c:pt idx="143">
                  <c:v>30.891933733612269</c:v>
                </c:pt>
                <c:pt idx="144">
                  <c:v>31.153963903009739</c:v>
                </c:pt>
                <c:pt idx="145">
                  <c:v>31.402230905630205</c:v>
                </c:pt>
                <c:pt idx="146">
                  <c:v>31.637964178029613</c:v>
                </c:pt>
                <c:pt idx="147">
                  <c:v>31.862241463114991</c:v>
                </c:pt>
                <c:pt idx="148">
                  <c:v>32.076012321315943</c:v>
                </c:pt>
                <c:pt idx="149">
                  <c:v>32.280117306240619</c:v>
                </c:pt>
                <c:pt idx="150">
                  <c:v>32.475303723248167</c:v>
                </c:pt>
                <c:pt idx="151">
                  <c:v>32.662238671247856</c:v>
                </c:pt>
                <c:pt idx="152">
                  <c:v>32.841519906959292</c:v>
                </c:pt>
                <c:pt idx="153">
                  <c:v>33.013684950632026</c:v>
                </c:pt>
                <c:pt idx="154">
                  <c:v>33.179218761566453</c:v>
                </c:pt>
                <c:pt idx="155">
                  <c:v>33.338560242782734</c:v>
                </c:pt>
                <c:pt idx="156">
                  <c:v>33.640223988786737</c:v>
                </c:pt>
                <c:pt idx="157">
                  <c:v>33.921457878789717</c:v>
                </c:pt>
                <c:pt idx="158">
                  <c:v>34.1845889263763</c:v>
                </c:pt>
                <c:pt idx="159">
                  <c:v>34.431581749447901</c:v>
                </c:pt>
                <c:pt idx="160">
                  <c:v>34.664108804079383</c:v>
                </c:pt>
                <c:pt idx="161">
                  <c:v>34.883604563067905</c:v>
                </c:pt>
                <c:pt idx="162">
                  <c:v>35.091307821899377</c:v>
                </c:pt>
                <c:pt idx="163">
                  <c:v>35.288295102239253</c:v>
                </c:pt>
                <c:pt idx="164">
                  <c:v>35.475507294909391</c:v>
                </c:pt>
                <c:pt idx="165">
                  <c:v>35.653771109069403</c:v>
                </c:pt>
                <c:pt idx="166">
                  <c:v>35.823816488506239</c:v>
                </c:pt>
                <c:pt idx="167">
                  <c:v>35.98629086554832</c:v>
                </c:pt>
                <c:pt idx="168">
                  <c:v>36.141770912588996</c:v>
                </c:pt>
                <c:pt idx="169">
                  <c:v>36.290772296711467</c:v>
                </c:pt>
                <c:pt idx="170">
                  <c:v>36.433757828256915</c:v>
                </c:pt>
                <c:pt idx="171">
                  <c:v>36.571144308204723</c:v>
                </c:pt>
                <c:pt idx="172">
                  <c:v>36.703308314133785</c:v>
                </c:pt>
                <c:pt idx="173">
                  <c:v>36.830591114791723</c:v>
                </c:pt>
                <c:pt idx="174">
                  <c:v>36.953302864965373</c:v>
                </c:pt>
                <c:pt idx="175">
                  <c:v>37.071726202568968</c:v>
                </c:pt>
                <c:pt idx="176">
                  <c:v>37.186119346561327</c:v>
                </c:pt>
                <c:pt idx="177">
                  <c:v>37.296718775934337</c:v>
                </c:pt>
                <c:pt idx="178">
                  <c:v>37.403741555440121</c:v>
                </c:pt>
                <c:pt idx="179">
                  <c:v>37.507387362085943</c:v>
                </c:pt>
                <c:pt idx="180">
                  <c:v>37.607840257077477</c:v>
                </c:pt>
                <c:pt idx="181">
                  <c:v>37.705270240339466</c:v>
                </c:pt>
                <c:pt idx="182">
                  <c:v>37.799834618609047</c:v>
                </c:pt>
                <c:pt idx="183">
                  <c:v>37.891679213090377</c:v>
                </c:pt>
                <c:pt idx="184">
                  <c:v>37.980939428551828</c:v>
                </c:pt>
                <c:pt idx="185">
                  <c:v>38.067741202362484</c:v>
                </c:pt>
                <c:pt idx="186">
                  <c:v>38.152201849162559</c:v>
                </c:pt>
                <c:pt idx="187">
                  <c:v>38.234430814533496</c:v>
                </c:pt>
                <c:pt idx="188">
                  <c:v>38.31453034908953</c:v>
                </c:pt>
                <c:pt idx="189">
                  <c:v>38.392596112783686</c:v>
                </c:pt>
                <c:pt idx="190">
                  <c:v>38.468717717851732</c:v>
                </c:pt>
                <c:pt idx="191">
                  <c:v>38.542979217661198</c:v>
                </c:pt>
                <c:pt idx="192">
                  <c:v>38.615459547754085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75E6-45AC-AFB5-E8F1E0CD5A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1724760"/>
        <c:axId val="321725152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1"/>
                <c:tx>
                  <c:strRef>
                    <c:extLst>
                      <c:ext uri="{02D57815-91ED-43cb-92C2-25804820EDAC}">
                        <c15:formulaRef>
                          <c15:sqref>[1]PM169!$E$2</c15:sqref>
                        </c15:formulaRef>
                      </c:ext>
                    </c:extLst>
                    <c:strCache>
                      <c:ptCount val="1"/>
                      <c:pt idx="0">
                        <c:v>Norme CH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[1]PM169!$A$39:$A$65</c15:sqref>
                        </c15:formulaRef>
                      </c:ext>
                    </c:extLst>
                    <c:numCache>
                      <c:formatCode>General</c:formatCode>
                      <c:ptCount val="27"/>
                      <c:pt idx="0">
                        <c:v>43738</c:v>
                      </c:pt>
                      <c:pt idx="1">
                        <c:v>43741</c:v>
                      </c:pt>
                      <c:pt idx="2">
                        <c:v>43746</c:v>
                      </c:pt>
                      <c:pt idx="3">
                        <c:v>43753</c:v>
                      </c:pt>
                      <c:pt idx="4">
                        <c:v>43756</c:v>
                      </c:pt>
                      <c:pt idx="5">
                        <c:v>43760</c:v>
                      </c:pt>
                      <c:pt idx="6">
                        <c:v>43762</c:v>
                      </c:pt>
                      <c:pt idx="7">
                        <c:v>43766</c:v>
                      </c:pt>
                      <c:pt idx="8">
                        <c:v>43769</c:v>
                      </c:pt>
                      <c:pt idx="9">
                        <c:v>43774</c:v>
                      </c:pt>
                      <c:pt idx="10">
                        <c:v>43776</c:v>
                      </c:pt>
                      <c:pt idx="11">
                        <c:v>43781</c:v>
                      </c:pt>
                      <c:pt idx="12">
                        <c:v>43783</c:v>
                      </c:pt>
                      <c:pt idx="13">
                        <c:v>43787</c:v>
                      </c:pt>
                      <c:pt idx="14">
                        <c:v>43790</c:v>
                      </c:pt>
                      <c:pt idx="15">
                        <c:v>43795</c:v>
                      </c:pt>
                      <c:pt idx="16">
                        <c:v>43797</c:v>
                      </c:pt>
                      <c:pt idx="17">
                        <c:v>43801</c:v>
                      </c:pt>
                      <c:pt idx="18">
                        <c:v>43803</c:v>
                      </c:pt>
                      <c:pt idx="19">
                        <c:v>43808</c:v>
                      </c:pt>
                      <c:pt idx="20">
                        <c:v>43811</c:v>
                      </c:pt>
                      <c:pt idx="21">
                        <c:v>43815</c:v>
                      </c:pt>
                      <c:pt idx="22">
                        <c:v>43818</c:v>
                      </c:pt>
                      <c:pt idx="23">
                        <c:v>43837</c:v>
                      </c:pt>
                      <c:pt idx="24">
                        <c:v>43843</c:v>
                      </c:pt>
                      <c:pt idx="25">
                        <c:v>43850</c:v>
                      </c:pt>
                      <c:pt idx="26">
                        <c:v>43857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[1]PM169!$E$39:$E$65</c15:sqref>
                        </c15:formulaRef>
                      </c:ext>
                    </c:extLst>
                    <c:numCache>
                      <c:formatCode>General</c:formatCode>
                      <c:ptCount val="27"/>
                      <c:pt idx="0">
                        <c:v>18.331487663901811</c:v>
                      </c:pt>
                      <c:pt idx="1">
                        <c:v>18.600584903277213</c:v>
                      </c:pt>
                      <c:pt idx="2">
                        <c:v>19.71236219668431</c:v>
                      </c:pt>
                      <c:pt idx="3">
                        <c:v>19.72705417497842</c:v>
                      </c:pt>
                      <c:pt idx="4">
                        <c:v>19.15228446255519</c:v>
                      </c:pt>
                      <c:pt idx="5">
                        <c:v>20.03324584437949</c:v>
                      </c:pt>
                      <c:pt idx="6">
                        <c:v>20.20618717150256</c:v>
                      </c:pt>
                      <c:pt idx="7">
                        <c:v>20.224206899693066</c:v>
                      </c:pt>
                      <c:pt idx="8">
                        <c:v>20.201485102072755</c:v>
                      </c:pt>
                      <c:pt idx="9">
                        <c:v>20.740781101614143</c:v>
                      </c:pt>
                      <c:pt idx="10">
                        <c:v>20.756004670876287</c:v>
                      </c:pt>
                      <c:pt idx="11">
                        <c:v>20.812839707626349</c:v>
                      </c:pt>
                      <c:pt idx="12">
                        <c:v>21.20966875435348</c:v>
                      </c:pt>
                      <c:pt idx="13">
                        <c:v>21.221853585851314</c:v>
                      </c:pt>
                      <c:pt idx="14">
                        <c:v>21.511789084586237</c:v>
                      </c:pt>
                      <c:pt idx="15">
                        <c:v>21.880381227786099</c:v>
                      </c:pt>
                      <c:pt idx="16">
                        <c:v>21.941326021688621</c:v>
                      </c:pt>
                      <c:pt idx="17">
                        <c:v>21.778728790260587</c:v>
                      </c:pt>
                      <c:pt idx="18">
                        <c:v>21.822963361967595</c:v>
                      </c:pt>
                      <c:pt idx="19">
                        <c:v>22.39336557094293</c:v>
                      </c:pt>
                      <c:pt idx="20">
                        <c:v>22.078126694028526</c:v>
                      </c:pt>
                      <c:pt idx="21">
                        <c:v>23.129199467700737</c:v>
                      </c:pt>
                      <c:pt idx="22">
                        <c:v>22.63249072500399</c:v>
                      </c:pt>
                      <c:pt idx="23">
                        <c:v>23.098565045542546</c:v>
                      </c:pt>
                      <c:pt idx="24">
                        <c:v>23.20753022485162</c:v>
                      </c:pt>
                      <c:pt idx="25">
                        <c:v>23.347605857293772</c:v>
                      </c:pt>
                      <c:pt idx="26">
                        <c:v>23.950020296257836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2-75E6-45AC-AFB5-E8F1E0CD5AAC}"/>
                  </c:ext>
                </c:extLst>
              </c15:ser>
            </c15:filteredScatterSeries>
          </c:ext>
        </c:extLst>
      </c:scatterChart>
      <c:valAx>
        <c:axId val="321724760"/>
        <c:scaling>
          <c:orientation val="minMax"/>
          <c:max val="44100"/>
          <c:min val="436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mm\-yyyy;@" sourceLinked="0"/>
        <c:majorTickMark val="out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21725152"/>
        <c:crosses val="autoZero"/>
        <c:crossBetween val="midCat"/>
        <c:majorUnit val="30"/>
        <c:minorUnit val="30"/>
      </c:valAx>
      <c:valAx>
        <c:axId val="321725152"/>
        <c:scaling>
          <c:orientation val="minMax"/>
          <c:max val="2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Norme des déplacements [mm]</a:t>
                </a:r>
              </a:p>
            </c:rich>
          </c:tx>
          <c:layout>
            <c:manualLayout>
              <c:xMode val="edge"/>
              <c:yMode val="edge"/>
              <c:x val="4.2214814814814814E-3"/>
              <c:y val="0.24103777777777782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\+\ 0.0;\-\ 0.0;\±\ 0.0" sourceLinked="1"/>
        <c:majorTickMark val="out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217247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1"/>
        <c:delete val="1"/>
      </c:legendEntry>
      <c:layout>
        <c:manualLayout>
          <c:xMode val="edge"/>
          <c:yMode val="edge"/>
          <c:x val="0.10897722222222218"/>
          <c:y val="0.20172555555555555"/>
          <c:w val="0.27978870370370384"/>
          <c:h val="6.8793333333333401E-2"/>
        </c:manualLayout>
      </c:layout>
      <c:overlay val="0"/>
      <c:spPr>
        <a:solidFill>
          <a:schemeClr val="bg1"/>
        </a:solidFill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100" b="1" baseline="0"/>
              <a:t>Projection à 10 ans des déplacements de la cible HG-PM170-GVA3 - </a:t>
            </a:r>
            <a:r>
              <a:rPr lang="fr-FR" sz="800" b="0" i="1" baseline="0"/>
              <a:t>Projection à partir d'une loi dite de Sulem ajustée aux </a:t>
            </a:r>
            <a:r>
              <a:rPr lang="fr-FR" sz="800" b="0" i="1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rPr>
              <a:t>mesures existantes au 16/06/2020</a:t>
            </a:r>
          </a:p>
        </c:rich>
      </c:tx>
      <c:layout>
        <c:manualLayout>
          <c:xMode val="edge"/>
          <c:yMode val="edge"/>
          <c:x val="0.15388611111111122"/>
          <c:y val="3.175E-2"/>
        </c:manualLayout>
      </c:layout>
      <c:overlay val="0"/>
      <c:spPr>
        <a:solidFill>
          <a:sysClr val="window" lastClr="FFFFFF"/>
        </a:solidFill>
        <a:ln>
          <a:solidFill>
            <a:schemeClr val="tx1"/>
          </a:solidFill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8.9297777777777781E-2"/>
          <c:y val="0.17"/>
          <c:w val="0.85651981481481498"/>
          <c:h val="0.63760500000000031"/>
        </c:manualLayout>
      </c:layout>
      <c:scatterChart>
        <c:scatterStyle val="lineMarker"/>
        <c:varyColors val="0"/>
        <c:ser>
          <c:idx val="1"/>
          <c:order val="0"/>
          <c:tx>
            <c:strRef>
              <c:f>Déplacements!$J$9</c:f>
              <c:strCache>
                <c:ptCount val="1"/>
                <c:pt idx="0">
                  <c:v>Norme HG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4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Déplacements!$B$10:$B$200</c:f>
              <c:numCache>
                <c:formatCode>dd\ /\ mm\ /\ yy</c:formatCode>
                <c:ptCount val="191"/>
                <c:pt idx="0">
                  <c:v>43655</c:v>
                </c:pt>
                <c:pt idx="1">
                  <c:v>43657</c:v>
                </c:pt>
                <c:pt idx="2">
                  <c:v>43661</c:v>
                </c:pt>
                <c:pt idx="3">
                  <c:v>43663</c:v>
                </c:pt>
                <c:pt idx="4">
                  <c:v>43669</c:v>
                </c:pt>
                <c:pt idx="5">
                  <c:v>43675</c:v>
                </c:pt>
                <c:pt idx="6">
                  <c:v>43679</c:v>
                </c:pt>
                <c:pt idx="7">
                  <c:v>43682</c:v>
                </c:pt>
                <c:pt idx="8">
                  <c:v>43684</c:v>
                </c:pt>
                <c:pt idx="9">
                  <c:v>43685</c:v>
                </c:pt>
                <c:pt idx="10">
                  <c:v>43689</c:v>
                </c:pt>
                <c:pt idx="11">
                  <c:v>43690</c:v>
                </c:pt>
                <c:pt idx="12">
                  <c:v>43696</c:v>
                </c:pt>
                <c:pt idx="13">
                  <c:v>43699</c:v>
                </c:pt>
                <c:pt idx="14">
                  <c:v>43703</c:v>
                </c:pt>
                <c:pt idx="15">
                  <c:v>43706</c:v>
                </c:pt>
                <c:pt idx="16">
                  <c:v>43710</c:v>
                </c:pt>
                <c:pt idx="17">
                  <c:v>43713</c:v>
                </c:pt>
                <c:pt idx="18">
                  <c:v>43718</c:v>
                </c:pt>
                <c:pt idx="19">
                  <c:v>43720</c:v>
                </c:pt>
                <c:pt idx="20">
                  <c:v>43724</c:v>
                </c:pt>
                <c:pt idx="21">
                  <c:v>43727</c:v>
                </c:pt>
                <c:pt idx="22">
                  <c:v>43731</c:v>
                </c:pt>
                <c:pt idx="23">
                  <c:v>43734</c:v>
                </c:pt>
                <c:pt idx="24">
                  <c:v>43738</c:v>
                </c:pt>
                <c:pt idx="25">
                  <c:v>43741</c:v>
                </c:pt>
                <c:pt idx="26">
                  <c:v>43746</c:v>
                </c:pt>
                <c:pt idx="27">
                  <c:v>43753</c:v>
                </c:pt>
                <c:pt idx="28">
                  <c:v>43756</c:v>
                </c:pt>
                <c:pt idx="29">
                  <c:v>43760</c:v>
                </c:pt>
                <c:pt idx="30">
                  <c:v>43762</c:v>
                </c:pt>
                <c:pt idx="31">
                  <c:v>43766</c:v>
                </c:pt>
                <c:pt idx="32">
                  <c:v>43769</c:v>
                </c:pt>
                <c:pt idx="33">
                  <c:v>43774</c:v>
                </c:pt>
                <c:pt idx="34">
                  <c:v>43776</c:v>
                </c:pt>
                <c:pt idx="35">
                  <c:v>43781</c:v>
                </c:pt>
                <c:pt idx="36">
                  <c:v>43783</c:v>
                </c:pt>
                <c:pt idx="37">
                  <c:v>43787</c:v>
                </c:pt>
                <c:pt idx="38">
                  <c:v>43790</c:v>
                </c:pt>
                <c:pt idx="39">
                  <c:v>43795</c:v>
                </c:pt>
                <c:pt idx="40">
                  <c:v>43797</c:v>
                </c:pt>
                <c:pt idx="41">
                  <c:v>43801</c:v>
                </c:pt>
                <c:pt idx="42">
                  <c:v>43803</c:v>
                </c:pt>
                <c:pt idx="43">
                  <c:v>43808</c:v>
                </c:pt>
                <c:pt idx="44">
                  <c:v>43811</c:v>
                </c:pt>
                <c:pt idx="45">
                  <c:v>43815</c:v>
                </c:pt>
                <c:pt idx="46">
                  <c:v>43818</c:v>
                </c:pt>
                <c:pt idx="47">
                  <c:v>43837</c:v>
                </c:pt>
                <c:pt idx="48">
                  <c:v>43843</c:v>
                </c:pt>
                <c:pt idx="49">
                  <c:v>43850</c:v>
                </c:pt>
                <c:pt idx="50">
                  <c:v>43857</c:v>
                </c:pt>
                <c:pt idx="51">
                  <c:v>43865</c:v>
                </c:pt>
                <c:pt idx="52">
                  <c:v>43878</c:v>
                </c:pt>
                <c:pt idx="53">
                  <c:v>43886</c:v>
                </c:pt>
                <c:pt idx="54">
                  <c:v>43896</c:v>
                </c:pt>
                <c:pt idx="55">
                  <c:v>43970</c:v>
                </c:pt>
                <c:pt idx="56">
                  <c:v>43977</c:v>
                </c:pt>
                <c:pt idx="57">
                  <c:v>43984</c:v>
                </c:pt>
                <c:pt idx="58">
                  <c:v>43990</c:v>
                </c:pt>
                <c:pt idx="59">
                  <c:v>43997</c:v>
                </c:pt>
                <c:pt idx="60">
                  <c:v>44004</c:v>
                </c:pt>
                <c:pt idx="61">
                  <c:v>44018</c:v>
                </c:pt>
                <c:pt idx="62">
                  <c:v>44027</c:v>
                </c:pt>
                <c:pt idx="63">
                  <c:v>44039</c:v>
                </c:pt>
                <c:pt idx="64">
                  <c:v>44053</c:v>
                </c:pt>
                <c:pt idx="65">
                  <c:v>44075</c:v>
                </c:pt>
                <c:pt idx="66">
                  <c:v>44082</c:v>
                </c:pt>
                <c:pt idx="67">
                  <c:v>44112</c:v>
                </c:pt>
                <c:pt idx="68">
                  <c:v>44134</c:v>
                </c:pt>
                <c:pt idx="70">
                  <c:v>44134</c:v>
                </c:pt>
                <c:pt idx="72">
                  <c:v>44140</c:v>
                </c:pt>
                <c:pt idx="73">
                  <c:v>44172</c:v>
                </c:pt>
                <c:pt idx="74">
                  <c:v>44186</c:v>
                </c:pt>
                <c:pt idx="75">
                  <c:v>44203</c:v>
                </c:pt>
                <c:pt idx="76">
                  <c:v>44229</c:v>
                </c:pt>
                <c:pt idx="77">
                  <c:v>44245</c:v>
                </c:pt>
                <c:pt idx="78">
                  <c:v>44273</c:v>
                </c:pt>
                <c:pt idx="79">
                  <c:v>44287</c:v>
                </c:pt>
                <c:pt idx="80">
                  <c:v>44308</c:v>
                </c:pt>
                <c:pt idx="81">
                  <c:v>44322</c:v>
                </c:pt>
                <c:pt idx="82">
                  <c:v>44337</c:v>
                </c:pt>
                <c:pt idx="83">
                  <c:v>44351</c:v>
                </c:pt>
                <c:pt idx="84">
                  <c:v>44357</c:v>
                </c:pt>
                <c:pt idx="85">
                  <c:v>44362</c:v>
                </c:pt>
                <c:pt idx="86">
                  <c:v>44364</c:v>
                </c:pt>
                <c:pt idx="87">
                  <c:v>44369</c:v>
                </c:pt>
                <c:pt idx="88">
                  <c:v>44376</c:v>
                </c:pt>
                <c:pt idx="89">
                  <c:v>44378</c:v>
                </c:pt>
                <c:pt idx="90">
                  <c:v>44392</c:v>
                </c:pt>
                <c:pt idx="91">
                  <c:v>44400</c:v>
                </c:pt>
                <c:pt idx="92">
                  <c:v>44410</c:v>
                </c:pt>
                <c:pt idx="93">
                  <c:v>44453</c:v>
                </c:pt>
                <c:pt idx="94">
                  <c:v>44470</c:v>
                </c:pt>
                <c:pt idx="95">
                  <c:v>44489</c:v>
                </c:pt>
                <c:pt idx="96">
                  <c:v>44502</c:v>
                </c:pt>
                <c:pt idx="97">
                  <c:v>44915</c:v>
                </c:pt>
              </c:numCache>
            </c:numRef>
          </c:xVal>
          <c:yVal>
            <c:numRef>
              <c:f>Déplacements!$J$10:$J$200</c:f>
              <c:numCache>
                <c:formatCode>\+\ 0.0;\-\ 0.0;\±\ 0.0</c:formatCode>
                <c:ptCount val="191"/>
                <c:pt idx="0">
                  <c:v>0</c:v>
                </c:pt>
                <c:pt idx="1">
                  <c:v>0.85586213842426051</c:v>
                </c:pt>
                <c:pt idx="2">
                  <c:v>1.2579745625186352</c:v>
                </c:pt>
                <c:pt idx="3">
                  <c:v>2.022992832410313</c:v>
                </c:pt>
                <c:pt idx="5">
                  <c:v>4.019017292821256</c:v>
                </c:pt>
                <c:pt idx="6">
                  <c:v>2.7618802377833855</c:v>
                </c:pt>
                <c:pt idx="7">
                  <c:v>4.3376461650492395</c:v>
                </c:pt>
                <c:pt idx="8">
                  <c:v>4.3089213322396498</c:v>
                </c:pt>
                <c:pt idx="9">
                  <c:v>4.5828415724556768</c:v>
                </c:pt>
                <c:pt idx="10">
                  <c:v>5.7334240195621806</c:v>
                </c:pt>
                <c:pt idx="11">
                  <c:v>6.1806535269415468</c:v>
                </c:pt>
                <c:pt idx="12">
                  <c:v>5.2955169719370714</c:v>
                </c:pt>
                <c:pt idx="13">
                  <c:v>6.2787339488132989</c:v>
                </c:pt>
                <c:pt idx="14">
                  <c:v>7.618562856608194</c:v>
                </c:pt>
                <c:pt idx="15">
                  <c:v>7.9694730064233674</c:v>
                </c:pt>
                <c:pt idx="16">
                  <c:v>8.4482246655859363</c:v>
                </c:pt>
                <c:pt idx="17">
                  <c:v>9.2845301442790831</c:v>
                </c:pt>
                <c:pt idx="18">
                  <c:v>8.8939168289412702</c:v>
                </c:pt>
                <c:pt idx="19">
                  <c:v>9.1903481979810575</c:v>
                </c:pt>
                <c:pt idx="20">
                  <c:v>10.027586948020367</c:v>
                </c:pt>
                <c:pt idx="21">
                  <c:v>10.492020777717489</c:v>
                </c:pt>
                <c:pt idx="22">
                  <c:v>11.278851891933684</c:v>
                </c:pt>
                <c:pt idx="23">
                  <c:v>11.362768148659725</c:v>
                </c:pt>
                <c:pt idx="24">
                  <c:v>11.549173502300846</c:v>
                </c:pt>
                <c:pt idx="25">
                  <c:v>12.15946133675814</c:v>
                </c:pt>
                <c:pt idx="26">
                  <c:v>12.452946770578082</c:v>
                </c:pt>
                <c:pt idx="27">
                  <c:v>12.335433990346063</c:v>
                </c:pt>
                <c:pt idx="28">
                  <c:v>12.268388559650163</c:v>
                </c:pt>
                <c:pt idx="29">
                  <c:v>13.510034484155391</c:v>
                </c:pt>
                <c:pt idx="30">
                  <c:v>12.462171430703206</c:v>
                </c:pt>
                <c:pt idx="32">
                  <c:v>13.484756389011141</c:v>
                </c:pt>
                <c:pt idx="33">
                  <c:v>13.878422645134179</c:v>
                </c:pt>
                <c:pt idx="34">
                  <c:v>13.914470884664354</c:v>
                </c:pt>
                <c:pt idx="35">
                  <c:v>14.424025097049789</c:v>
                </c:pt>
                <c:pt idx="37">
                  <c:v>14.813254200203909</c:v>
                </c:pt>
                <c:pt idx="38">
                  <c:v>14.929584722956536</c:v>
                </c:pt>
                <c:pt idx="39">
                  <c:v>14.986744142748861</c:v>
                </c:pt>
                <c:pt idx="40">
                  <c:v>15.633697579274381</c:v>
                </c:pt>
                <c:pt idx="41">
                  <c:v>15.644567747303803</c:v>
                </c:pt>
                <c:pt idx="42">
                  <c:v>14.968717379927259</c:v>
                </c:pt>
                <c:pt idx="43">
                  <c:v>16.063767523722653</c:v>
                </c:pt>
                <c:pt idx="44">
                  <c:v>15.878680675681082</c:v>
                </c:pt>
                <c:pt idx="45">
                  <c:v>16.747014659336955</c:v>
                </c:pt>
                <c:pt idx="46">
                  <c:v>16.287188216505992</c:v>
                </c:pt>
                <c:pt idx="47">
                  <c:v>17.180584972577424</c:v>
                </c:pt>
                <c:pt idx="48">
                  <c:v>17.567939549087967</c:v>
                </c:pt>
                <c:pt idx="49">
                  <c:v>17.392886476943055</c:v>
                </c:pt>
                <c:pt idx="50">
                  <c:v>18.026993648418429</c:v>
                </c:pt>
                <c:pt idx="51">
                  <c:v>17.963922177509815</c:v>
                </c:pt>
                <c:pt idx="52">
                  <c:v>18.691776266580341</c:v>
                </c:pt>
                <c:pt idx="53">
                  <c:v>18.33691631654823</c:v>
                </c:pt>
                <c:pt idx="54">
                  <c:v>19.056560550107811</c:v>
                </c:pt>
                <c:pt idx="55">
                  <c:v>20.97528307317593</c:v>
                </c:pt>
                <c:pt idx="56">
                  <c:v>20.295627607936513</c:v>
                </c:pt>
                <c:pt idx="57">
                  <c:v>20.640479558017077</c:v>
                </c:pt>
                <c:pt idx="58">
                  <c:v>21.395238579626678</c:v>
                </c:pt>
                <c:pt idx="59">
                  <c:v>20.739411017182245</c:v>
                </c:pt>
                <c:pt idx="60">
                  <c:v>21.242249275982115</c:v>
                </c:pt>
                <c:pt idx="61">
                  <c:v>21.976517614316752</c:v>
                </c:pt>
                <c:pt idx="62">
                  <c:v>22.007480680890811</c:v>
                </c:pt>
                <c:pt idx="63">
                  <c:v>22.964873531887417</c:v>
                </c:pt>
                <c:pt idx="64">
                  <c:v>23.443711981494104</c:v>
                </c:pt>
                <c:pt idx="65">
                  <c:v>24.211455201176371</c:v>
                </c:pt>
                <c:pt idx="66">
                  <c:v>24.124045545920055</c:v>
                </c:pt>
                <c:pt idx="67">
                  <c:v>24.016452169224429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452-4991-A7F8-C746DD6FED4A}"/>
            </c:ext>
          </c:extLst>
        </c:ser>
        <c:ser>
          <c:idx val="4"/>
          <c:order val="2"/>
          <c:tx>
            <c:strRef>
              <c:f>Déplacements!$AL$9</c:f>
              <c:strCache>
                <c:ptCount val="1"/>
                <c:pt idx="0">
                  <c:v>SULEM - n=3</c:v>
                </c:pt>
              </c:strCache>
            </c:strRef>
          </c:tx>
          <c:spPr>
            <a:ln w="1270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xVal>
            <c:numRef>
              <c:f>Déplacements!$AJ$10:$AJ$202</c:f>
              <c:numCache>
                <c:formatCode>m/d/yyyy</c:formatCode>
                <c:ptCount val="193"/>
                <c:pt idx="0">
                  <c:v>43655</c:v>
                </c:pt>
                <c:pt idx="1">
                  <c:v>43656</c:v>
                </c:pt>
                <c:pt idx="2">
                  <c:v>43657</c:v>
                </c:pt>
                <c:pt idx="3">
                  <c:v>43661</c:v>
                </c:pt>
                <c:pt idx="4">
                  <c:v>43663</c:v>
                </c:pt>
                <c:pt idx="5">
                  <c:v>43677</c:v>
                </c:pt>
                <c:pt idx="6">
                  <c:v>43693</c:v>
                </c:pt>
                <c:pt idx="7">
                  <c:v>43697</c:v>
                </c:pt>
                <c:pt idx="8">
                  <c:v>43699</c:v>
                </c:pt>
                <c:pt idx="9">
                  <c:v>43703</c:v>
                </c:pt>
                <c:pt idx="10">
                  <c:v>43705</c:v>
                </c:pt>
                <c:pt idx="11">
                  <c:v>43706</c:v>
                </c:pt>
                <c:pt idx="12">
                  <c:v>43711</c:v>
                </c:pt>
                <c:pt idx="13">
                  <c:v>43713</c:v>
                </c:pt>
                <c:pt idx="14">
                  <c:v>43717</c:v>
                </c:pt>
                <c:pt idx="15">
                  <c:v>43720</c:v>
                </c:pt>
                <c:pt idx="16">
                  <c:v>43725</c:v>
                </c:pt>
                <c:pt idx="17">
                  <c:v>43731</c:v>
                </c:pt>
                <c:pt idx="18">
                  <c:v>43735</c:v>
                </c:pt>
                <c:pt idx="19">
                  <c:v>43738</c:v>
                </c:pt>
                <c:pt idx="20">
                  <c:v>43740</c:v>
                </c:pt>
                <c:pt idx="21">
                  <c:v>43741</c:v>
                </c:pt>
                <c:pt idx="22">
                  <c:v>43745</c:v>
                </c:pt>
                <c:pt idx="23">
                  <c:v>43746</c:v>
                </c:pt>
                <c:pt idx="24">
                  <c:v>43752</c:v>
                </c:pt>
                <c:pt idx="25">
                  <c:v>43755</c:v>
                </c:pt>
                <c:pt idx="26">
                  <c:v>43759</c:v>
                </c:pt>
                <c:pt idx="27">
                  <c:v>43762</c:v>
                </c:pt>
                <c:pt idx="28">
                  <c:v>43766</c:v>
                </c:pt>
                <c:pt idx="29">
                  <c:v>43769</c:v>
                </c:pt>
                <c:pt idx="30">
                  <c:v>43774</c:v>
                </c:pt>
                <c:pt idx="31">
                  <c:v>43776</c:v>
                </c:pt>
                <c:pt idx="32">
                  <c:v>43780</c:v>
                </c:pt>
                <c:pt idx="33">
                  <c:v>43783</c:v>
                </c:pt>
                <c:pt idx="34">
                  <c:v>43787</c:v>
                </c:pt>
                <c:pt idx="35">
                  <c:v>43790</c:v>
                </c:pt>
                <c:pt idx="36">
                  <c:v>43794</c:v>
                </c:pt>
                <c:pt idx="37">
                  <c:v>43797</c:v>
                </c:pt>
                <c:pt idx="38">
                  <c:v>43802</c:v>
                </c:pt>
                <c:pt idx="39">
                  <c:v>43809</c:v>
                </c:pt>
                <c:pt idx="40">
                  <c:v>43812</c:v>
                </c:pt>
                <c:pt idx="41">
                  <c:v>43816</c:v>
                </c:pt>
                <c:pt idx="42">
                  <c:v>43818</c:v>
                </c:pt>
                <c:pt idx="43">
                  <c:v>43822</c:v>
                </c:pt>
                <c:pt idx="44">
                  <c:v>43825</c:v>
                </c:pt>
                <c:pt idx="45">
                  <c:v>43830</c:v>
                </c:pt>
                <c:pt idx="46">
                  <c:v>43832</c:v>
                </c:pt>
                <c:pt idx="47">
                  <c:v>43837</c:v>
                </c:pt>
                <c:pt idx="48">
                  <c:v>43839</c:v>
                </c:pt>
                <c:pt idx="49">
                  <c:v>43843</c:v>
                </c:pt>
                <c:pt idx="50">
                  <c:v>43846</c:v>
                </c:pt>
                <c:pt idx="51">
                  <c:v>43851</c:v>
                </c:pt>
                <c:pt idx="52">
                  <c:v>43853</c:v>
                </c:pt>
                <c:pt idx="53">
                  <c:v>43857</c:v>
                </c:pt>
                <c:pt idx="54">
                  <c:v>43859</c:v>
                </c:pt>
                <c:pt idx="55">
                  <c:v>43864</c:v>
                </c:pt>
                <c:pt idx="56">
                  <c:v>43867</c:v>
                </c:pt>
                <c:pt idx="57">
                  <c:v>43871</c:v>
                </c:pt>
                <c:pt idx="58">
                  <c:v>43874</c:v>
                </c:pt>
                <c:pt idx="59">
                  <c:v>43893</c:v>
                </c:pt>
                <c:pt idx="60">
                  <c:v>43899</c:v>
                </c:pt>
                <c:pt idx="61">
                  <c:v>43906</c:v>
                </c:pt>
                <c:pt idx="62">
                  <c:v>43913</c:v>
                </c:pt>
                <c:pt idx="63">
                  <c:v>43921</c:v>
                </c:pt>
                <c:pt idx="64">
                  <c:v>43923</c:v>
                </c:pt>
                <c:pt idx="65">
                  <c:v>43934</c:v>
                </c:pt>
                <c:pt idx="66">
                  <c:v>43942</c:v>
                </c:pt>
                <c:pt idx="67">
                  <c:v>43952</c:v>
                </c:pt>
                <c:pt idx="68">
                  <c:v>44026</c:v>
                </c:pt>
                <c:pt idx="69">
                  <c:v>44033</c:v>
                </c:pt>
                <c:pt idx="70">
                  <c:v>44040</c:v>
                </c:pt>
                <c:pt idx="71">
                  <c:v>44046</c:v>
                </c:pt>
                <c:pt idx="72">
                  <c:v>44053</c:v>
                </c:pt>
                <c:pt idx="73">
                  <c:v>44055</c:v>
                </c:pt>
                <c:pt idx="74">
                  <c:v>44065</c:v>
                </c:pt>
                <c:pt idx="75">
                  <c:v>44075</c:v>
                </c:pt>
                <c:pt idx="76">
                  <c:v>44085</c:v>
                </c:pt>
                <c:pt idx="77">
                  <c:v>44095</c:v>
                </c:pt>
                <c:pt idx="78">
                  <c:v>44105</c:v>
                </c:pt>
                <c:pt idx="79">
                  <c:v>44115</c:v>
                </c:pt>
                <c:pt idx="80">
                  <c:v>44125</c:v>
                </c:pt>
                <c:pt idx="81">
                  <c:v>44135</c:v>
                </c:pt>
                <c:pt idx="83">
                  <c:v>44155</c:v>
                </c:pt>
                <c:pt idx="84">
                  <c:v>44165</c:v>
                </c:pt>
                <c:pt idx="85">
                  <c:v>44175</c:v>
                </c:pt>
                <c:pt idx="86">
                  <c:v>44185</c:v>
                </c:pt>
                <c:pt idx="87">
                  <c:v>44195</c:v>
                </c:pt>
                <c:pt idx="88">
                  <c:v>44205</c:v>
                </c:pt>
                <c:pt idx="89">
                  <c:v>44215</c:v>
                </c:pt>
                <c:pt idx="90">
                  <c:v>44225</c:v>
                </c:pt>
                <c:pt idx="91">
                  <c:v>44235</c:v>
                </c:pt>
                <c:pt idx="92">
                  <c:v>44245</c:v>
                </c:pt>
                <c:pt idx="93">
                  <c:v>44255</c:v>
                </c:pt>
                <c:pt idx="94">
                  <c:v>44265</c:v>
                </c:pt>
                <c:pt idx="95">
                  <c:v>44275</c:v>
                </c:pt>
                <c:pt idx="96">
                  <c:v>44285</c:v>
                </c:pt>
                <c:pt idx="97">
                  <c:v>44295</c:v>
                </c:pt>
                <c:pt idx="98">
                  <c:v>44305</c:v>
                </c:pt>
                <c:pt idx="99">
                  <c:v>44315</c:v>
                </c:pt>
                <c:pt idx="100">
                  <c:v>44325</c:v>
                </c:pt>
                <c:pt idx="101">
                  <c:v>44335</c:v>
                </c:pt>
                <c:pt idx="102">
                  <c:v>44345</c:v>
                </c:pt>
                <c:pt idx="103">
                  <c:v>44355</c:v>
                </c:pt>
                <c:pt idx="104">
                  <c:v>44365</c:v>
                </c:pt>
                <c:pt idx="105">
                  <c:v>44375</c:v>
                </c:pt>
                <c:pt idx="106">
                  <c:v>44385</c:v>
                </c:pt>
                <c:pt idx="107">
                  <c:v>44395</c:v>
                </c:pt>
                <c:pt idx="108">
                  <c:v>44405</c:v>
                </c:pt>
                <c:pt idx="109">
                  <c:v>44415</c:v>
                </c:pt>
                <c:pt idx="110">
                  <c:v>44425</c:v>
                </c:pt>
                <c:pt idx="111">
                  <c:v>44435</c:v>
                </c:pt>
                <c:pt idx="112">
                  <c:v>44445</c:v>
                </c:pt>
                <c:pt idx="113">
                  <c:v>44455</c:v>
                </c:pt>
                <c:pt idx="114">
                  <c:v>44465</c:v>
                </c:pt>
                <c:pt idx="115">
                  <c:v>44475</c:v>
                </c:pt>
                <c:pt idx="116">
                  <c:v>44485</c:v>
                </c:pt>
                <c:pt idx="117">
                  <c:v>44495</c:v>
                </c:pt>
                <c:pt idx="118">
                  <c:v>44505</c:v>
                </c:pt>
                <c:pt idx="119">
                  <c:v>44515</c:v>
                </c:pt>
                <c:pt idx="120">
                  <c:v>44525</c:v>
                </c:pt>
                <c:pt idx="121">
                  <c:v>44535</c:v>
                </c:pt>
                <c:pt idx="122">
                  <c:v>44545</c:v>
                </c:pt>
                <c:pt idx="123">
                  <c:v>44555</c:v>
                </c:pt>
                <c:pt idx="124">
                  <c:v>44565</c:v>
                </c:pt>
                <c:pt idx="125">
                  <c:v>44575</c:v>
                </c:pt>
                <c:pt idx="126">
                  <c:v>44585</c:v>
                </c:pt>
                <c:pt idx="127">
                  <c:v>44595</c:v>
                </c:pt>
                <c:pt idx="128">
                  <c:v>44605</c:v>
                </c:pt>
                <c:pt idx="129">
                  <c:v>44615</c:v>
                </c:pt>
                <c:pt idx="130">
                  <c:v>44625</c:v>
                </c:pt>
                <c:pt idx="131">
                  <c:v>44635</c:v>
                </c:pt>
                <c:pt idx="132">
                  <c:v>44645</c:v>
                </c:pt>
                <c:pt idx="133">
                  <c:v>44655</c:v>
                </c:pt>
                <c:pt idx="134">
                  <c:v>44665</c:v>
                </c:pt>
                <c:pt idx="135">
                  <c:v>44675</c:v>
                </c:pt>
                <c:pt idx="136">
                  <c:v>44685</c:v>
                </c:pt>
                <c:pt idx="137">
                  <c:v>44695</c:v>
                </c:pt>
                <c:pt idx="138">
                  <c:v>44705</c:v>
                </c:pt>
                <c:pt idx="139">
                  <c:v>44715</c:v>
                </c:pt>
                <c:pt idx="140">
                  <c:v>44725</c:v>
                </c:pt>
                <c:pt idx="141">
                  <c:v>44855</c:v>
                </c:pt>
                <c:pt idx="142">
                  <c:v>44915</c:v>
                </c:pt>
                <c:pt idx="143">
                  <c:v>44975</c:v>
                </c:pt>
                <c:pt idx="144">
                  <c:v>45035</c:v>
                </c:pt>
                <c:pt idx="145">
                  <c:v>45095</c:v>
                </c:pt>
                <c:pt idx="146">
                  <c:v>45155</c:v>
                </c:pt>
                <c:pt idx="147">
                  <c:v>45215</c:v>
                </c:pt>
                <c:pt idx="148">
                  <c:v>45275</c:v>
                </c:pt>
                <c:pt idx="149">
                  <c:v>45335</c:v>
                </c:pt>
                <c:pt idx="150">
                  <c:v>45395</c:v>
                </c:pt>
                <c:pt idx="151">
                  <c:v>45455</c:v>
                </c:pt>
                <c:pt idx="152">
                  <c:v>45515</c:v>
                </c:pt>
                <c:pt idx="153">
                  <c:v>45575</c:v>
                </c:pt>
                <c:pt idx="154">
                  <c:v>45635</c:v>
                </c:pt>
                <c:pt idx="155">
                  <c:v>45695</c:v>
                </c:pt>
                <c:pt idx="156">
                  <c:v>45815</c:v>
                </c:pt>
                <c:pt idx="157">
                  <c:v>45935</c:v>
                </c:pt>
                <c:pt idx="158">
                  <c:v>46055</c:v>
                </c:pt>
                <c:pt idx="159">
                  <c:v>46175</c:v>
                </c:pt>
                <c:pt idx="160">
                  <c:v>46295</c:v>
                </c:pt>
                <c:pt idx="161">
                  <c:v>46415</c:v>
                </c:pt>
                <c:pt idx="162">
                  <c:v>46535</c:v>
                </c:pt>
                <c:pt idx="163">
                  <c:v>46655</c:v>
                </c:pt>
                <c:pt idx="164">
                  <c:v>46775</c:v>
                </c:pt>
                <c:pt idx="165">
                  <c:v>46895</c:v>
                </c:pt>
                <c:pt idx="166">
                  <c:v>47015</c:v>
                </c:pt>
                <c:pt idx="167">
                  <c:v>47135</c:v>
                </c:pt>
                <c:pt idx="168">
                  <c:v>47255</c:v>
                </c:pt>
                <c:pt idx="169">
                  <c:v>47375</c:v>
                </c:pt>
                <c:pt idx="170">
                  <c:v>47495</c:v>
                </c:pt>
                <c:pt idx="171">
                  <c:v>47615</c:v>
                </c:pt>
                <c:pt idx="172">
                  <c:v>47735</c:v>
                </c:pt>
                <c:pt idx="173">
                  <c:v>47855</c:v>
                </c:pt>
                <c:pt idx="174">
                  <c:v>47975</c:v>
                </c:pt>
                <c:pt idx="175">
                  <c:v>48095</c:v>
                </c:pt>
                <c:pt idx="176">
                  <c:v>48215</c:v>
                </c:pt>
                <c:pt idx="177">
                  <c:v>48335</c:v>
                </c:pt>
                <c:pt idx="178">
                  <c:v>48455</c:v>
                </c:pt>
                <c:pt idx="179">
                  <c:v>48575</c:v>
                </c:pt>
                <c:pt idx="180">
                  <c:v>48695</c:v>
                </c:pt>
                <c:pt idx="181">
                  <c:v>48815</c:v>
                </c:pt>
                <c:pt idx="182">
                  <c:v>48935</c:v>
                </c:pt>
                <c:pt idx="183">
                  <c:v>49055</c:v>
                </c:pt>
                <c:pt idx="184">
                  <c:v>49175</c:v>
                </c:pt>
                <c:pt idx="185">
                  <c:v>49295</c:v>
                </c:pt>
                <c:pt idx="186">
                  <c:v>49415</c:v>
                </c:pt>
                <c:pt idx="187">
                  <c:v>49535</c:v>
                </c:pt>
                <c:pt idx="188">
                  <c:v>49655</c:v>
                </c:pt>
                <c:pt idx="189">
                  <c:v>49775</c:v>
                </c:pt>
                <c:pt idx="190">
                  <c:v>49895</c:v>
                </c:pt>
                <c:pt idx="191">
                  <c:v>50015</c:v>
                </c:pt>
                <c:pt idx="192">
                  <c:v>50135</c:v>
                </c:pt>
              </c:numCache>
            </c:numRef>
          </c:xVal>
          <c:yVal>
            <c:numRef>
              <c:f>Déplacements!$AL$10:$AL$202</c:f>
              <c:numCache>
                <c:formatCode>General</c:formatCode>
                <c:ptCount val="193"/>
                <c:pt idx="0">
                  <c:v>0</c:v>
                </c:pt>
                <c:pt idx="1">
                  <c:v>0.2312613996895595</c:v>
                </c:pt>
                <c:pt idx="2">
                  <c:v>0.45810070260620733</c:v>
                </c:pt>
                <c:pt idx="3">
                  <c:v>1.3240838680468323</c:v>
                </c:pt>
                <c:pt idx="4">
                  <c:v>1.7340649577718015</c:v>
                </c:pt>
                <c:pt idx="5">
                  <c:v>4.251603571603634</c:v>
                </c:pt>
                <c:pt idx="6">
                  <c:v>6.5599513817560924</c:v>
                </c:pt>
                <c:pt idx="7">
                  <c:v>7.0658487468949538</c:v>
                </c:pt>
                <c:pt idx="8">
                  <c:v>7.3097794669384308</c:v>
                </c:pt>
                <c:pt idx="9">
                  <c:v>7.7808270057635296</c:v>
                </c:pt>
                <c:pt idx="10">
                  <c:v>8.008390676904801</c:v>
                </c:pt>
                <c:pt idx="11">
                  <c:v>8.1202740135854157</c:v>
                </c:pt>
                <c:pt idx="12">
                  <c:v>8.6616663001553622</c:v>
                </c:pt>
                <c:pt idx="13">
                  <c:v>8.8702301306700235</c:v>
                </c:pt>
                <c:pt idx="14">
                  <c:v>9.2745645943002888</c:v>
                </c:pt>
                <c:pt idx="15">
                  <c:v>9.5672145603780052</c:v>
                </c:pt>
                <c:pt idx="16">
                  <c:v>10.036149867333965</c:v>
                </c:pt>
                <c:pt idx="17">
                  <c:v>10.57019970958445</c:v>
                </c:pt>
                <c:pt idx="18">
                  <c:v>10.910237566651199</c:v>
                </c:pt>
                <c:pt idx="19">
                  <c:v>11.157434014466896</c:v>
                </c:pt>
                <c:pt idx="20">
                  <c:v>11.318673258030019</c:v>
                </c:pt>
                <c:pt idx="21">
                  <c:v>11.398257723165294</c:v>
                </c:pt>
                <c:pt idx="22">
                  <c:v>11.709932866914428</c:v>
                </c:pt>
                <c:pt idx="23">
                  <c:v>11.786234891868922</c:v>
                </c:pt>
                <c:pt idx="24">
                  <c:v>12.23117357037942</c:v>
                </c:pt>
                <c:pt idx="25">
                  <c:v>12.445751550434572</c:v>
                </c:pt>
                <c:pt idx="26">
                  <c:v>12.724154754858429</c:v>
                </c:pt>
                <c:pt idx="27">
                  <c:v>12.927438783871596</c:v>
                </c:pt>
                <c:pt idx="28">
                  <c:v>13.191478806378942</c:v>
                </c:pt>
                <c:pt idx="29">
                  <c:v>13.384479644351583</c:v>
                </c:pt>
                <c:pt idx="30">
                  <c:v>13.697047645541431</c:v>
                </c:pt>
                <c:pt idx="31">
                  <c:v>13.819020954113467</c:v>
                </c:pt>
                <c:pt idx="32">
                  <c:v>14.057964577351751</c:v>
                </c:pt>
                <c:pt idx="33">
                  <c:v>14.232951002826015</c:v>
                </c:pt>
                <c:pt idx="34">
                  <c:v>14.460878741372646</c:v>
                </c:pt>
                <c:pt idx="35">
                  <c:v>14.627938690585435</c:v>
                </c:pt>
                <c:pt idx="36">
                  <c:v>14.845718293546861</c:v>
                </c:pt>
                <c:pt idx="37">
                  <c:v>15.005465614224638</c:v>
                </c:pt>
                <c:pt idx="38">
                  <c:v>15.265174760706918</c:v>
                </c:pt>
                <c:pt idx="39">
                  <c:v>15.615764152464342</c:v>
                </c:pt>
                <c:pt idx="40">
                  <c:v>15.76161359172486</c:v>
                </c:pt>
                <c:pt idx="41">
                  <c:v>15.952165193704468</c:v>
                </c:pt>
                <c:pt idx="42">
                  <c:v>16.045814123546748</c:v>
                </c:pt>
                <c:pt idx="43">
                  <c:v>16.229965688832408</c:v>
                </c:pt>
                <c:pt idx="44">
                  <c:v>16.365407112112319</c:v>
                </c:pt>
                <c:pt idx="45">
                  <c:v>16.586248041244257</c:v>
                </c:pt>
                <c:pt idx="46">
                  <c:v>16.67292546607068</c:v>
                </c:pt>
                <c:pt idx="47">
                  <c:v>16.885626184169499</c:v>
                </c:pt>
                <c:pt idx="48">
                  <c:v>16.969153542228298</c:v>
                </c:pt>
                <c:pt idx="49">
                  <c:v>17.13363479670625</c:v>
                </c:pt>
                <c:pt idx="50">
                  <c:v>17.254804598512077</c:v>
                </c:pt>
                <c:pt idx="51">
                  <c:v>17.452727859802202</c:v>
                </c:pt>
                <c:pt idx="52">
                  <c:v>17.530528967617297</c:v>
                </c:pt>
                <c:pt idx="53">
                  <c:v>17.683859757657775</c:v>
                </c:pt>
                <c:pt idx="54">
                  <c:v>17.75941529637597</c:v>
                </c:pt>
                <c:pt idx="55">
                  <c:v>17.945166699731114</c:v>
                </c:pt>
                <c:pt idx="56">
                  <c:v>18.05452567470093</c:v>
                </c:pt>
                <c:pt idx="57">
                  <c:v>18.197977036789354</c:v>
                </c:pt>
                <c:pt idx="58">
                  <c:v>18.30384287143869</c:v>
                </c:pt>
                <c:pt idx="59">
                  <c:v>18.942312314537595</c:v>
                </c:pt>
                <c:pt idx="60">
                  <c:v>19.133249681472623</c:v>
                </c:pt>
                <c:pt idx="61">
                  <c:v>19.350034048713081</c:v>
                </c:pt>
                <c:pt idx="62">
                  <c:v>19.560689371192112</c:v>
                </c:pt>
                <c:pt idx="63">
                  <c:v>19.794317316210901</c:v>
                </c:pt>
                <c:pt idx="64">
                  <c:v>19.851583974012733</c:v>
                </c:pt>
                <c:pt idx="65">
                  <c:v>20.158780301217636</c:v>
                </c:pt>
                <c:pt idx="66">
                  <c:v>20.374315863444217</c:v>
                </c:pt>
                <c:pt idx="67">
                  <c:v>20.634980165540767</c:v>
                </c:pt>
                <c:pt idx="68">
                  <c:v>22.312056877686334</c:v>
                </c:pt>
                <c:pt idx="69">
                  <c:v>22.451426793146371</c:v>
                </c:pt>
                <c:pt idx="70">
                  <c:v>22.587971263054968</c:v>
                </c:pt>
                <c:pt idx="71">
                  <c:v>22.702836333418773</c:v>
                </c:pt>
                <c:pt idx="72">
                  <c:v>22.834394505116158</c:v>
                </c:pt>
                <c:pt idx="73">
                  <c:v>22.871509721043097</c:v>
                </c:pt>
                <c:pt idx="74">
                  <c:v>23.054030465982123</c:v>
                </c:pt>
                <c:pt idx="75">
                  <c:v>23.23163670727903</c:v>
                </c:pt>
                <c:pt idx="76">
                  <c:v>23.404557816056926</c:v>
                </c:pt>
                <c:pt idx="77">
                  <c:v>23.573008108834987</c:v>
                </c:pt>
                <c:pt idx="78">
                  <c:v>23.73718810996948</c:v>
                </c:pt>
                <c:pt idx="79">
                  <c:v>23.897285686103132</c:v>
                </c:pt>
                <c:pt idx="80">
                  <c:v>24.053477067758372</c:v>
                </c:pt>
                <c:pt idx="81">
                  <c:v>24.205927771174149</c:v>
                </c:pt>
                <c:pt idx="83">
                  <c:v>24.500220559034432</c:v>
                </c:pt>
                <c:pt idx="84">
                  <c:v>24.642347221764219</c:v>
                </c:pt>
                <c:pt idx="85">
                  <c:v>24.781303670718565</c:v>
                </c:pt>
                <c:pt idx="86">
                  <c:v>24.917212905798301</c:v>
                </c:pt>
                <c:pt idx="87">
                  <c:v>25.050191193277236</c:v>
                </c:pt>
                <c:pt idx="88">
                  <c:v>25.180348538310039</c:v>
                </c:pt>
                <c:pt idx="89">
                  <c:v>25.307789117228346</c:v>
                </c:pt>
                <c:pt idx="90">
                  <c:v>25.43261167362872</c:v>
                </c:pt>
                <c:pt idx="91">
                  <c:v>25.55490988180135</c:v>
                </c:pt>
                <c:pt idx="92">
                  <c:v>25.674772680651451</c:v>
                </c:pt>
                <c:pt idx="93">
                  <c:v>25.792284580918317</c:v>
                </c:pt>
                <c:pt idx="94">
                  <c:v>25.907525948192344</c:v>
                </c:pt>
                <c:pt idx="95">
                  <c:v>26.02057326396331</c:v>
                </c:pt>
                <c:pt idx="96">
                  <c:v>26.131499366697575</c:v>
                </c:pt>
                <c:pt idx="97">
                  <c:v>26.240373674734705</c:v>
                </c:pt>
                <c:pt idx="98">
                  <c:v>26.347262392610197</c:v>
                </c:pt>
                <c:pt idx="99">
                  <c:v>26.452228702249187</c:v>
                </c:pt>
                <c:pt idx="100">
                  <c:v>26.555332940331681</c:v>
                </c:pt>
                <c:pt idx="101">
                  <c:v>26.656632763002253</c:v>
                </c:pt>
                <c:pt idx="102">
                  <c:v>26.756183298983409</c:v>
                </c:pt>
                <c:pt idx="103">
                  <c:v>26.854037292050261</c:v>
                </c:pt>
                <c:pt idx="104">
                  <c:v>26.950245233733913</c:v>
                </c:pt>
                <c:pt idx="105">
                  <c:v>27.044855487040024</c:v>
                </c:pt>
                <c:pt idx="106">
                  <c:v>27.137914401896328</c:v>
                </c:pt>
                <c:pt idx="107">
                  <c:v>27.229466422978486</c:v>
                </c:pt>
                <c:pt idx="108">
                  <c:v>27.319554190504793</c:v>
                </c:pt>
                <c:pt idx="109">
                  <c:v>27.408218634538265</c:v>
                </c:pt>
                <c:pt idx="110">
                  <c:v>27.495499063287181</c:v>
                </c:pt>
                <c:pt idx="111">
                  <c:v>27.581433245852789</c:v>
                </c:pt>
                <c:pt idx="112">
                  <c:v>27.666057489834273</c:v>
                </c:pt>
                <c:pt idx="113">
                  <c:v>27.749406714166682</c:v>
                </c:pt>
                <c:pt idx="114">
                  <c:v>27.831514517535677</c:v>
                </c:pt>
                <c:pt idx="115">
                  <c:v>27.912413242685037</c:v>
                </c:pt>
                <c:pt idx="116">
                  <c:v>27.992134036906496</c:v>
                </c:pt>
                <c:pt idx="117">
                  <c:v>28.070706908978469</c:v>
                </c:pt>
                <c:pt idx="118">
                  <c:v>28.148160782798751</c:v>
                </c:pt>
                <c:pt idx="119">
                  <c:v>28.224523547936816</c:v>
                </c:pt>
                <c:pt idx="120">
                  <c:v>28.299822107313876</c:v>
                </c:pt>
                <c:pt idx="121">
                  <c:v>28.374082422202537</c:v>
                </c:pt>
                <c:pt idx="122">
                  <c:v>28.447329554723321</c:v>
                </c:pt>
                <c:pt idx="123">
                  <c:v>28.519587708001854</c:v>
                </c:pt>
                <c:pt idx="124">
                  <c:v>28.590880264138242</c:v>
                </c:pt>
                <c:pt idx="125">
                  <c:v>28.661229820128781</c:v>
                </c:pt>
                <c:pt idx="126">
                  <c:v>28.730658221870062</c:v>
                </c:pt>
                <c:pt idx="127">
                  <c:v>28.799186596365903</c:v>
                </c:pt>
                <c:pt idx="128">
                  <c:v>28.866835382248798</c:v>
                </c:pt>
                <c:pt idx="129">
                  <c:v>28.933624358719918</c:v>
                </c:pt>
                <c:pt idx="130">
                  <c:v>28.999572673003911</c:v>
                </c:pt>
                <c:pt idx="131">
                  <c:v>29.064698866408353</c:v>
                </c:pt>
                <c:pt idx="132">
                  <c:v>29.129020899071307</c:v>
                </c:pt>
                <c:pt idx="133">
                  <c:v>29.19255617347482</c:v>
                </c:pt>
                <c:pt idx="134">
                  <c:v>29.255321556796673</c:v>
                </c:pt>
                <c:pt idx="135">
                  <c:v>29.317333402168174</c:v>
                </c:pt>
                <c:pt idx="136">
                  <c:v>29.378607568900936</c:v>
                </c:pt>
                <c:pt idx="137">
                  <c:v>29.439159441741541</c:v>
                </c:pt>
                <c:pt idx="138">
                  <c:v>29.499003949209197</c:v>
                </c:pt>
                <c:pt idx="139">
                  <c:v>29.558155581067744</c:v>
                </c:pt>
                <c:pt idx="140">
                  <c:v>29.616628404980304</c:v>
                </c:pt>
                <c:pt idx="141">
                  <c:v>30.32072611185605</c:v>
                </c:pt>
                <c:pt idx="142">
                  <c:v>30.614730203296421</c:v>
                </c:pt>
                <c:pt idx="143">
                  <c:v>30.891933733612269</c:v>
                </c:pt>
                <c:pt idx="144">
                  <c:v>31.153963903009739</c:v>
                </c:pt>
                <c:pt idx="145">
                  <c:v>31.402230905630205</c:v>
                </c:pt>
                <c:pt idx="146">
                  <c:v>31.637964178029613</c:v>
                </c:pt>
                <c:pt idx="147">
                  <c:v>31.862241463114991</c:v>
                </c:pt>
                <c:pt idx="148">
                  <c:v>32.076012321315943</c:v>
                </c:pt>
                <c:pt idx="149">
                  <c:v>32.280117306240619</c:v>
                </c:pt>
                <c:pt idx="150">
                  <c:v>32.475303723248167</c:v>
                </c:pt>
                <c:pt idx="151">
                  <c:v>32.662238671247856</c:v>
                </c:pt>
                <c:pt idx="152">
                  <c:v>32.841519906959292</c:v>
                </c:pt>
                <c:pt idx="153">
                  <c:v>33.013684950632026</c:v>
                </c:pt>
                <c:pt idx="154">
                  <c:v>33.179218761566453</c:v>
                </c:pt>
                <c:pt idx="155">
                  <c:v>33.338560242782734</c:v>
                </c:pt>
                <c:pt idx="156">
                  <c:v>33.640223988786737</c:v>
                </c:pt>
                <c:pt idx="157">
                  <c:v>33.921457878789717</c:v>
                </c:pt>
                <c:pt idx="158">
                  <c:v>34.1845889263763</c:v>
                </c:pt>
                <c:pt idx="159">
                  <c:v>34.431581749447901</c:v>
                </c:pt>
                <c:pt idx="160">
                  <c:v>34.664108804079383</c:v>
                </c:pt>
                <c:pt idx="161">
                  <c:v>34.883604563067905</c:v>
                </c:pt>
                <c:pt idx="162">
                  <c:v>35.091307821899377</c:v>
                </c:pt>
                <c:pt idx="163">
                  <c:v>35.288295102239253</c:v>
                </c:pt>
                <c:pt idx="164">
                  <c:v>35.475507294909391</c:v>
                </c:pt>
                <c:pt idx="165">
                  <c:v>35.653771109069403</c:v>
                </c:pt>
                <c:pt idx="166">
                  <c:v>35.823816488506239</c:v>
                </c:pt>
                <c:pt idx="167">
                  <c:v>35.98629086554832</c:v>
                </c:pt>
                <c:pt idx="168">
                  <c:v>36.141770912588996</c:v>
                </c:pt>
                <c:pt idx="169">
                  <c:v>36.290772296711467</c:v>
                </c:pt>
                <c:pt idx="170">
                  <c:v>36.433757828256915</c:v>
                </c:pt>
                <c:pt idx="171">
                  <c:v>36.571144308204723</c:v>
                </c:pt>
                <c:pt idx="172">
                  <c:v>36.703308314133785</c:v>
                </c:pt>
                <c:pt idx="173">
                  <c:v>36.830591114791723</c:v>
                </c:pt>
                <c:pt idx="174">
                  <c:v>36.953302864965373</c:v>
                </c:pt>
                <c:pt idx="175">
                  <c:v>37.071726202568968</c:v>
                </c:pt>
                <c:pt idx="176">
                  <c:v>37.186119346561327</c:v>
                </c:pt>
                <c:pt idx="177">
                  <c:v>37.296718775934337</c:v>
                </c:pt>
                <c:pt idx="178">
                  <c:v>37.403741555440121</c:v>
                </c:pt>
                <c:pt idx="179">
                  <c:v>37.507387362085943</c:v>
                </c:pt>
                <c:pt idx="180">
                  <c:v>37.607840257077477</c:v>
                </c:pt>
                <c:pt idx="181">
                  <c:v>37.705270240339466</c:v>
                </c:pt>
                <c:pt idx="182">
                  <c:v>37.799834618609047</c:v>
                </c:pt>
                <c:pt idx="183">
                  <c:v>37.891679213090377</c:v>
                </c:pt>
                <c:pt idx="184">
                  <c:v>37.980939428551828</c:v>
                </c:pt>
                <c:pt idx="185">
                  <c:v>38.067741202362484</c:v>
                </c:pt>
                <c:pt idx="186">
                  <c:v>38.152201849162559</c:v>
                </c:pt>
                <c:pt idx="187">
                  <c:v>38.234430814533496</c:v>
                </c:pt>
                <c:pt idx="188">
                  <c:v>38.31453034908953</c:v>
                </c:pt>
                <c:pt idx="189">
                  <c:v>38.392596112783686</c:v>
                </c:pt>
                <c:pt idx="190">
                  <c:v>38.468717717851732</c:v>
                </c:pt>
                <c:pt idx="191">
                  <c:v>38.542979217661198</c:v>
                </c:pt>
                <c:pt idx="192">
                  <c:v>38.615459547754085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0452-4991-A7F8-C746DD6FED4A}"/>
            </c:ext>
          </c:extLst>
        </c:ser>
        <c:ser>
          <c:idx val="2"/>
          <c:order val="3"/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Lbls>
            <c:dLbl>
              <c:idx val="2"/>
              <c:layout>
                <c:manualLayout>
                  <c:x val="1.1759259259259261E-2"/>
                  <c:y val="-7.0555555555555524E-2"/>
                </c:manualLayout>
              </c:layout>
              <c:numFmt formatCode="mmm\-yyyy;@" sourceLinked="0"/>
              <c:spPr>
                <a:solidFill>
                  <a:schemeClr val="bg1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452-4991-A7F8-C746DD6FED4A}"/>
                </c:ext>
              </c:extLst>
            </c:dLbl>
            <c:numFmt formatCode="mmm\-yyyy;@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Déplacements!$Z$32:$Z$34</c:f>
              <c:numCache>
                <c:formatCode>m/d/yyyy</c:formatCode>
                <c:ptCount val="3"/>
                <c:pt idx="0">
                  <c:v>43655</c:v>
                </c:pt>
                <c:pt idx="1">
                  <c:v>44794</c:v>
                </c:pt>
                <c:pt idx="2">
                  <c:v>44794</c:v>
                </c:pt>
              </c:numCache>
            </c:numRef>
          </c:xVal>
          <c:yVal>
            <c:numRef>
              <c:f>Déplacements!$AB$32:$AB$34</c:f>
              <c:numCache>
                <c:formatCode>General</c:formatCode>
                <c:ptCount val="3"/>
                <c:pt idx="0">
                  <c:v>30.002649597748196</c:v>
                </c:pt>
                <c:pt idx="1">
                  <c:v>30.002649597748196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452-4991-A7F8-C746DD6FED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6698680"/>
        <c:axId val="516699072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1"/>
                <c:tx>
                  <c:strRef>
                    <c:extLst>
                      <c:ext uri="{02D57815-91ED-43cb-92C2-25804820EDAC}">
                        <c15:formulaRef>
                          <c15:sqref>[1]PM169!$E$2</c15:sqref>
                        </c15:formulaRef>
                      </c:ext>
                    </c:extLst>
                    <c:strCache>
                      <c:ptCount val="1"/>
                      <c:pt idx="0">
                        <c:v>Norme CH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[1]PM169!$A$39:$A$65</c15:sqref>
                        </c15:formulaRef>
                      </c:ext>
                    </c:extLst>
                    <c:numCache>
                      <c:formatCode>General</c:formatCode>
                      <c:ptCount val="27"/>
                      <c:pt idx="0">
                        <c:v>43738</c:v>
                      </c:pt>
                      <c:pt idx="1">
                        <c:v>43741</c:v>
                      </c:pt>
                      <c:pt idx="2">
                        <c:v>43746</c:v>
                      </c:pt>
                      <c:pt idx="3">
                        <c:v>43753</c:v>
                      </c:pt>
                      <c:pt idx="4">
                        <c:v>43756</c:v>
                      </c:pt>
                      <c:pt idx="5">
                        <c:v>43760</c:v>
                      </c:pt>
                      <c:pt idx="6">
                        <c:v>43762</c:v>
                      </c:pt>
                      <c:pt idx="7">
                        <c:v>43766</c:v>
                      </c:pt>
                      <c:pt idx="8">
                        <c:v>43769</c:v>
                      </c:pt>
                      <c:pt idx="9">
                        <c:v>43774</c:v>
                      </c:pt>
                      <c:pt idx="10">
                        <c:v>43776</c:v>
                      </c:pt>
                      <c:pt idx="11">
                        <c:v>43781</c:v>
                      </c:pt>
                      <c:pt idx="12">
                        <c:v>43783</c:v>
                      </c:pt>
                      <c:pt idx="13">
                        <c:v>43787</c:v>
                      </c:pt>
                      <c:pt idx="14">
                        <c:v>43790</c:v>
                      </c:pt>
                      <c:pt idx="15">
                        <c:v>43795</c:v>
                      </c:pt>
                      <c:pt idx="16">
                        <c:v>43797</c:v>
                      </c:pt>
                      <c:pt idx="17">
                        <c:v>43801</c:v>
                      </c:pt>
                      <c:pt idx="18">
                        <c:v>43803</c:v>
                      </c:pt>
                      <c:pt idx="19">
                        <c:v>43808</c:v>
                      </c:pt>
                      <c:pt idx="20">
                        <c:v>43811</c:v>
                      </c:pt>
                      <c:pt idx="21">
                        <c:v>43815</c:v>
                      </c:pt>
                      <c:pt idx="22">
                        <c:v>43818</c:v>
                      </c:pt>
                      <c:pt idx="23">
                        <c:v>43837</c:v>
                      </c:pt>
                      <c:pt idx="24">
                        <c:v>43843</c:v>
                      </c:pt>
                      <c:pt idx="25">
                        <c:v>43850</c:v>
                      </c:pt>
                      <c:pt idx="26">
                        <c:v>43857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[1]PM169!$E$39:$E$65</c15:sqref>
                        </c15:formulaRef>
                      </c:ext>
                    </c:extLst>
                    <c:numCache>
                      <c:formatCode>General</c:formatCode>
                      <c:ptCount val="27"/>
                      <c:pt idx="0">
                        <c:v>18.331487663901811</c:v>
                      </c:pt>
                      <c:pt idx="1">
                        <c:v>18.600584903277213</c:v>
                      </c:pt>
                      <c:pt idx="2">
                        <c:v>19.71236219668431</c:v>
                      </c:pt>
                      <c:pt idx="3">
                        <c:v>19.72705417497842</c:v>
                      </c:pt>
                      <c:pt idx="4">
                        <c:v>19.15228446255519</c:v>
                      </c:pt>
                      <c:pt idx="5">
                        <c:v>20.03324584437949</c:v>
                      </c:pt>
                      <c:pt idx="6">
                        <c:v>20.20618717150256</c:v>
                      </c:pt>
                      <c:pt idx="7">
                        <c:v>20.224206899693066</c:v>
                      </c:pt>
                      <c:pt idx="8">
                        <c:v>20.201485102072755</c:v>
                      </c:pt>
                      <c:pt idx="9">
                        <c:v>20.740781101614143</c:v>
                      </c:pt>
                      <c:pt idx="10">
                        <c:v>20.756004670876287</c:v>
                      </c:pt>
                      <c:pt idx="11">
                        <c:v>20.812839707626349</c:v>
                      </c:pt>
                      <c:pt idx="12">
                        <c:v>21.20966875435348</c:v>
                      </c:pt>
                      <c:pt idx="13">
                        <c:v>21.221853585851314</c:v>
                      </c:pt>
                      <c:pt idx="14">
                        <c:v>21.511789084586237</c:v>
                      </c:pt>
                      <c:pt idx="15">
                        <c:v>21.880381227786099</c:v>
                      </c:pt>
                      <c:pt idx="16">
                        <c:v>21.941326021688621</c:v>
                      </c:pt>
                      <c:pt idx="17">
                        <c:v>21.778728790260587</c:v>
                      </c:pt>
                      <c:pt idx="18">
                        <c:v>21.822963361967595</c:v>
                      </c:pt>
                      <c:pt idx="19">
                        <c:v>22.39336557094293</c:v>
                      </c:pt>
                      <c:pt idx="20">
                        <c:v>22.078126694028526</c:v>
                      </c:pt>
                      <c:pt idx="21">
                        <c:v>23.129199467700737</c:v>
                      </c:pt>
                      <c:pt idx="22">
                        <c:v>22.63249072500399</c:v>
                      </c:pt>
                      <c:pt idx="23">
                        <c:v>23.098565045542546</c:v>
                      </c:pt>
                      <c:pt idx="24">
                        <c:v>23.20753022485162</c:v>
                      </c:pt>
                      <c:pt idx="25">
                        <c:v>23.347605857293772</c:v>
                      </c:pt>
                      <c:pt idx="26">
                        <c:v>23.950020296257836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4-0452-4991-A7F8-C746DD6FED4A}"/>
                  </c:ext>
                </c:extLst>
              </c15:ser>
            </c15:filteredScatterSeries>
          </c:ext>
        </c:extLst>
      </c:scatterChart>
      <c:valAx>
        <c:axId val="516698680"/>
        <c:scaling>
          <c:orientation val="minMax"/>
          <c:max val="47900"/>
          <c:min val="4359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mm\-yyyy;@" sourceLinked="0"/>
        <c:majorTickMark val="out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16699072"/>
        <c:crosses val="autoZero"/>
        <c:crossBetween val="midCat"/>
        <c:majorUnit val="365"/>
        <c:minorUnit val="30"/>
      </c:valAx>
      <c:valAx>
        <c:axId val="516699072"/>
        <c:scaling>
          <c:orientation val="minMax"/>
          <c:max val="4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Norme des déplacements [mm]</a:t>
                </a:r>
              </a:p>
            </c:rich>
          </c:tx>
          <c:layout>
            <c:manualLayout>
              <c:xMode val="edge"/>
              <c:yMode val="edge"/>
              <c:x val="4.2214814814814814E-3"/>
              <c:y val="0.24103777777777782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\+\ 0.0;\-\ 0.0;\±\ 0.0" sourceLinked="1"/>
        <c:majorTickMark val="out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166986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Déplacement en Z</a:t>
            </a:r>
          </a:p>
        </c:rich>
      </c:tx>
      <c:layout>
        <c:manualLayout>
          <c:xMode val="edge"/>
          <c:yMode val="edge"/>
          <c:x val="0.43183990697710872"/>
          <c:y val="3.03525988787354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8.6758248843572708E-2"/>
          <c:y val="7.5632404057602035E-2"/>
          <c:w val="0.81583642369330522"/>
          <c:h val="0.7252675510155826"/>
        </c:manualLayout>
      </c:layout>
      <c:scatterChart>
        <c:scatterStyle val="lineMarker"/>
        <c:varyColors val="0"/>
        <c:ser>
          <c:idx val="1"/>
          <c:order val="0"/>
          <c:tx>
            <c:strRef>
              <c:f>Déplacements!$M$9</c:f>
              <c:strCache>
                <c:ptCount val="1"/>
                <c:pt idx="0">
                  <c:v>DZ centre haut</c:v>
                </c:pt>
              </c:strCache>
            </c:strRef>
          </c:tx>
          <c:spPr>
            <a:ln w="15875" cap="rnd">
              <a:solidFill>
                <a:schemeClr val="accent2"/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2">
                      <a:tint val="50000"/>
                      <a:satMod val="300000"/>
                    </a:schemeClr>
                  </a:gs>
                  <a:gs pos="35000">
                    <a:schemeClr val="accent2">
                      <a:tint val="37000"/>
                      <a:satMod val="300000"/>
                    </a:schemeClr>
                  </a:gs>
                  <a:gs pos="100000">
                    <a:schemeClr val="accent2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marker>
          <c:xVal>
            <c:numRef>
              <c:f>Déplacements!$B$10:$B$133</c:f>
              <c:numCache>
                <c:formatCode>dd\ /\ mm\ /\ yy</c:formatCode>
                <c:ptCount val="124"/>
                <c:pt idx="0">
                  <c:v>43655</c:v>
                </c:pt>
                <c:pt idx="1">
                  <c:v>43657</c:v>
                </c:pt>
                <c:pt idx="2">
                  <c:v>43661</c:v>
                </c:pt>
                <c:pt idx="3">
                  <c:v>43663</c:v>
                </c:pt>
                <c:pt idx="4">
                  <c:v>43669</c:v>
                </c:pt>
                <c:pt idx="5">
                  <c:v>43675</c:v>
                </c:pt>
                <c:pt idx="6">
                  <c:v>43679</c:v>
                </c:pt>
                <c:pt idx="7">
                  <c:v>43682</c:v>
                </c:pt>
                <c:pt idx="8">
                  <c:v>43684</c:v>
                </c:pt>
                <c:pt idx="9">
                  <c:v>43685</c:v>
                </c:pt>
                <c:pt idx="10">
                  <c:v>43689</c:v>
                </c:pt>
                <c:pt idx="11">
                  <c:v>43690</c:v>
                </c:pt>
                <c:pt idx="12">
                  <c:v>43696</c:v>
                </c:pt>
                <c:pt idx="13">
                  <c:v>43699</c:v>
                </c:pt>
                <c:pt idx="14">
                  <c:v>43703</c:v>
                </c:pt>
                <c:pt idx="15">
                  <c:v>43706</c:v>
                </c:pt>
                <c:pt idx="16">
                  <c:v>43710</c:v>
                </c:pt>
                <c:pt idx="17">
                  <c:v>43713</c:v>
                </c:pt>
                <c:pt idx="18">
                  <c:v>43718</c:v>
                </c:pt>
                <c:pt idx="19">
                  <c:v>43720</c:v>
                </c:pt>
                <c:pt idx="20">
                  <c:v>43724</c:v>
                </c:pt>
                <c:pt idx="21">
                  <c:v>43727</c:v>
                </c:pt>
                <c:pt idx="22">
                  <c:v>43731</c:v>
                </c:pt>
                <c:pt idx="23">
                  <c:v>43734</c:v>
                </c:pt>
                <c:pt idx="24">
                  <c:v>43738</c:v>
                </c:pt>
                <c:pt idx="25">
                  <c:v>43741</c:v>
                </c:pt>
                <c:pt idx="26">
                  <c:v>43746</c:v>
                </c:pt>
                <c:pt idx="27">
                  <c:v>43753</c:v>
                </c:pt>
                <c:pt idx="28">
                  <c:v>43756</c:v>
                </c:pt>
                <c:pt idx="29">
                  <c:v>43760</c:v>
                </c:pt>
                <c:pt idx="30">
                  <c:v>43762</c:v>
                </c:pt>
                <c:pt idx="31">
                  <c:v>43766</c:v>
                </c:pt>
                <c:pt idx="32">
                  <c:v>43769</c:v>
                </c:pt>
                <c:pt idx="33">
                  <c:v>43774</c:v>
                </c:pt>
                <c:pt idx="34">
                  <c:v>43776</c:v>
                </c:pt>
                <c:pt idx="35">
                  <c:v>43781</c:v>
                </c:pt>
                <c:pt idx="36">
                  <c:v>43783</c:v>
                </c:pt>
                <c:pt idx="37">
                  <c:v>43787</c:v>
                </c:pt>
                <c:pt idx="38">
                  <c:v>43790</c:v>
                </c:pt>
                <c:pt idx="39">
                  <c:v>43795</c:v>
                </c:pt>
                <c:pt idx="40">
                  <c:v>43797</c:v>
                </c:pt>
                <c:pt idx="41">
                  <c:v>43801</c:v>
                </c:pt>
                <c:pt idx="42">
                  <c:v>43803</c:v>
                </c:pt>
                <c:pt idx="43">
                  <c:v>43808</c:v>
                </c:pt>
                <c:pt idx="44">
                  <c:v>43811</c:v>
                </c:pt>
                <c:pt idx="45">
                  <c:v>43815</c:v>
                </c:pt>
                <c:pt idx="46">
                  <c:v>43818</c:v>
                </c:pt>
                <c:pt idx="47">
                  <c:v>43837</c:v>
                </c:pt>
                <c:pt idx="48">
                  <c:v>43843</c:v>
                </c:pt>
                <c:pt idx="49">
                  <c:v>43850</c:v>
                </c:pt>
                <c:pt idx="50">
                  <c:v>43857</c:v>
                </c:pt>
                <c:pt idx="51">
                  <c:v>43865</c:v>
                </c:pt>
                <c:pt idx="52">
                  <c:v>43878</c:v>
                </c:pt>
                <c:pt idx="53">
                  <c:v>43886</c:v>
                </c:pt>
                <c:pt idx="54">
                  <c:v>43896</c:v>
                </c:pt>
                <c:pt idx="55">
                  <c:v>43970</c:v>
                </c:pt>
                <c:pt idx="56">
                  <c:v>43977</c:v>
                </c:pt>
                <c:pt idx="57">
                  <c:v>43984</c:v>
                </c:pt>
                <c:pt idx="58">
                  <c:v>43990</c:v>
                </c:pt>
                <c:pt idx="59">
                  <c:v>43997</c:v>
                </c:pt>
                <c:pt idx="60">
                  <c:v>44004</c:v>
                </c:pt>
                <c:pt idx="61">
                  <c:v>44018</c:v>
                </c:pt>
                <c:pt idx="62">
                  <c:v>44027</c:v>
                </c:pt>
                <c:pt idx="63">
                  <c:v>44039</c:v>
                </c:pt>
                <c:pt idx="64">
                  <c:v>44053</c:v>
                </c:pt>
                <c:pt idx="65">
                  <c:v>44075</c:v>
                </c:pt>
                <c:pt idx="66">
                  <c:v>44082</c:v>
                </c:pt>
                <c:pt idx="67">
                  <c:v>44112</c:v>
                </c:pt>
                <c:pt idx="68">
                  <c:v>44134</c:v>
                </c:pt>
                <c:pt idx="70">
                  <c:v>44134</c:v>
                </c:pt>
                <c:pt idx="72">
                  <c:v>44140</c:v>
                </c:pt>
                <c:pt idx="73">
                  <c:v>44172</c:v>
                </c:pt>
                <c:pt idx="74">
                  <c:v>44186</c:v>
                </c:pt>
                <c:pt idx="75">
                  <c:v>44203</c:v>
                </c:pt>
                <c:pt idx="76">
                  <c:v>44229</c:v>
                </c:pt>
                <c:pt idx="77">
                  <c:v>44245</c:v>
                </c:pt>
                <c:pt idx="78">
                  <c:v>44273</c:v>
                </c:pt>
                <c:pt idx="79">
                  <c:v>44287</c:v>
                </c:pt>
                <c:pt idx="80">
                  <c:v>44308</c:v>
                </c:pt>
                <c:pt idx="81">
                  <c:v>44322</c:v>
                </c:pt>
                <c:pt idx="82">
                  <c:v>44337</c:v>
                </c:pt>
                <c:pt idx="83">
                  <c:v>44351</c:v>
                </c:pt>
                <c:pt idx="84">
                  <c:v>44357</c:v>
                </c:pt>
                <c:pt idx="85">
                  <c:v>44362</c:v>
                </c:pt>
                <c:pt idx="86">
                  <c:v>44364</c:v>
                </c:pt>
                <c:pt idx="87">
                  <c:v>44369</c:v>
                </c:pt>
                <c:pt idx="88">
                  <c:v>44376</c:v>
                </c:pt>
                <c:pt idx="89">
                  <c:v>44378</c:v>
                </c:pt>
                <c:pt idx="90">
                  <c:v>44392</c:v>
                </c:pt>
                <c:pt idx="91">
                  <c:v>44400</c:v>
                </c:pt>
                <c:pt idx="92">
                  <c:v>44410</c:v>
                </c:pt>
                <c:pt idx="93">
                  <c:v>44453</c:v>
                </c:pt>
                <c:pt idx="94">
                  <c:v>44470</c:v>
                </c:pt>
                <c:pt idx="95">
                  <c:v>44489</c:v>
                </c:pt>
                <c:pt idx="96">
                  <c:v>44502</c:v>
                </c:pt>
                <c:pt idx="97">
                  <c:v>44915</c:v>
                </c:pt>
              </c:numCache>
            </c:numRef>
          </c:xVal>
          <c:yVal>
            <c:numRef>
              <c:f>Déplacements!$M$10:$M$132</c:f>
              <c:numCache>
                <c:formatCode>\+\ 0.0;\-\ 0.0;\±\ 0.0</c:formatCode>
                <c:ptCount val="123"/>
                <c:pt idx="0">
                  <c:v>0</c:v>
                </c:pt>
                <c:pt idx="1">
                  <c:v>-0.39999999999906777</c:v>
                </c:pt>
                <c:pt idx="2">
                  <c:v>-0.90000000000145519</c:v>
                </c:pt>
                <c:pt idx="3">
                  <c:v>-1.4999999999929514</c:v>
                </c:pt>
                <c:pt idx="4">
                  <c:v>-2.0999999999986585</c:v>
                </c:pt>
                <c:pt idx="5">
                  <c:v>-3.0000000000001137</c:v>
                </c:pt>
                <c:pt idx="6">
                  <c:v>-2.6000000000010459</c:v>
                </c:pt>
                <c:pt idx="7">
                  <c:v>-3.3999999999991815</c:v>
                </c:pt>
                <c:pt idx="8">
                  <c:v>-3.7999999999982492</c:v>
                </c:pt>
                <c:pt idx="9">
                  <c:v>-3.3999999999991815</c:v>
                </c:pt>
                <c:pt idx="10">
                  <c:v>-4.4000000000039563</c:v>
                </c:pt>
                <c:pt idx="11">
                  <c:v>-3.7999999999982492</c:v>
                </c:pt>
                <c:pt idx="12">
                  <c:v>-4.4000000000039563</c:v>
                </c:pt>
                <c:pt idx="13">
                  <c:v>-4.9000000000063437</c:v>
                </c:pt>
                <c:pt idx="14">
                  <c:v>-5.49999999999784</c:v>
                </c:pt>
                <c:pt idx="15">
                  <c:v>-5.8999999999969077</c:v>
                </c:pt>
                <c:pt idx="16">
                  <c:v>-6.3999999999992951</c:v>
                </c:pt>
                <c:pt idx="17">
                  <c:v>-6.9000000000016826</c:v>
                </c:pt>
                <c:pt idx="18">
                  <c:v>-6.6000000000059345</c:v>
                </c:pt>
                <c:pt idx="19">
                  <c:v>-6.5000000000026148</c:v>
                </c:pt>
                <c:pt idx="20">
                  <c:v>-7.5999999999964984</c:v>
                </c:pt>
                <c:pt idx="21">
                  <c:v>-7.9999999999955662</c:v>
                </c:pt>
                <c:pt idx="22">
                  <c:v>-8.3000000000055252</c:v>
                </c:pt>
                <c:pt idx="23">
                  <c:v>-8.399999999994634</c:v>
                </c:pt>
                <c:pt idx="24">
                  <c:v>-8.4999999999979536</c:v>
                </c:pt>
                <c:pt idx="25">
                  <c:v>-8.4999999999979536</c:v>
                </c:pt>
                <c:pt idx="26">
                  <c:v>-9.6999999999951569</c:v>
                </c:pt>
                <c:pt idx="27">
                  <c:v>-9.5833333333388282</c:v>
                </c:pt>
                <c:pt idx="28">
                  <c:v>-9.0000000000003411</c:v>
                </c:pt>
                <c:pt idx="29">
                  <c:v>-10.499999999993292</c:v>
                </c:pt>
                <c:pt idx="30">
                  <c:v>-9.9000000000017963</c:v>
                </c:pt>
                <c:pt idx="31">
                  <c:v>-9.9000000000017963</c:v>
                </c:pt>
                <c:pt idx="32">
                  <c:v>-9.9000000000017963</c:v>
                </c:pt>
                <c:pt idx="33">
                  <c:v>-10.499999999993292</c:v>
                </c:pt>
                <c:pt idx="34">
                  <c:v>-10.300000000000864</c:v>
                </c:pt>
                <c:pt idx="35">
                  <c:v>-10.499999999993292</c:v>
                </c:pt>
                <c:pt idx="36">
                  <c:v>-10.699999999999932</c:v>
                </c:pt>
                <c:pt idx="37">
                  <c:v>-11.099999999999</c:v>
                </c:pt>
                <c:pt idx="38">
                  <c:v>-11.200000000002319</c:v>
                </c:pt>
                <c:pt idx="39">
                  <c:v>-11.600000000001387</c:v>
                </c:pt>
                <c:pt idx="40">
                  <c:v>-11.399999999994748</c:v>
                </c:pt>
                <c:pt idx="41">
                  <c:v>-11.300000000005639</c:v>
                </c:pt>
                <c:pt idx="42">
                  <c:v>-11.600000000001387</c:v>
                </c:pt>
                <c:pt idx="43">
                  <c:v>-12.199999999992883</c:v>
                </c:pt>
                <c:pt idx="44">
                  <c:v>-11.700000000004707</c:v>
                </c:pt>
                <c:pt idx="45">
                  <c:v>-12.500000000002842</c:v>
                </c:pt>
                <c:pt idx="46">
                  <c:v>-12.299999999996203</c:v>
                </c:pt>
                <c:pt idx="47">
                  <c:v>-12.699999999995271</c:v>
                </c:pt>
                <c:pt idx="48">
                  <c:v>-13.00000000000523</c:v>
                </c:pt>
                <c:pt idx="49">
                  <c:v>-12.90000000000191</c:v>
                </c:pt>
                <c:pt idx="50">
                  <c:v>-13.499999999993406</c:v>
                </c:pt>
                <c:pt idx="51">
                  <c:v>-13.800000000003365</c:v>
                </c:pt>
                <c:pt idx="52">
                  <c:v>-14.499999999998181</c:v>
                </c:pt>
                <c:pt idx="53">
                  <c:v>-14.099999999999113</c:v>
                </c:pt>
                <c:pt idx="54">
                  <c:v>-14.300000000005753</c:v>
                </c:pt>
                <c:pt idx="55">
                  <c:v>-15.799999999998704</c:v>
                </c:pt>
                <c:pt idx="56">
                  <c:v>-15.500000000002956</c:v>
                </c:pt>
                <c:pt idx="57">
                  <c:v>-15.699999999995384</c:v>
                </c:pt>
                <c:pt idx="58">
                  <c:v>-16.300000000001091</c:v>
                </c:pt>
                <c:pt idx="59">
                  <c:v>-15.100000000003888</c:v>
                </c:pt>
                <c:pt idx="60">
                  <c:v>-15.900000000002024</c:v>
                </c:pt>
                <c:pt idx="61">
                  <c:v>-16.400000000004411</c:v>
                </c:pt>
                <c:pt idx="62">
                  <c:v>-15.900000000002024</c:v>
                </c:pt>
                <c:pt idx="63">
                  <c:v>-17.600000000001614</c:v>
                </c:pt>
                <c:pt idx="64">
                  <c:v>-17.499999999998295</c:v>
                </c:pt>
                <c:pt idx="68">
                  <c:v>-18.900000000002137</c:v>
                </c:pt>
                <c:pt idx="72">
                  <c:v>-19.599999999996953</c:v>
                </c:pt>
                <c:pt idx="73">
                  <c:v>-19.599999999996953</c:v>
                </c:pt>
                <c:pt idx="74">
                  <c:v>-20.600000000001728</c:v>
                </c:pt>
                <c:pt idx="75">
                  <c:v>-20.899999999997476</c:v>
                </c:pt>
                <c:pt idx="76">
                  <c:v>-21.799999999998931</c:v>
                </c:pt>
                <c:pt idx="77">
                  <c:v>-20.800000000008367</c:v>
                </c:pt>
                <c:pt idx="78">
                  <c:v>-21.699999999995612</c:v>
                </c:pt>
                <c:pt idx="79">
                  <c:v>-21.399999999999864</c:v>
                </c:pt>
                <c:pt idx="80">
                  <c:v>-21.900000000002251</c:v>
                </c:pt>
                <c:pt idx="81">
                  <c:v>-22.300000000001319</c:v>
                </c:pt>
                <c:pt idx="82">
                  <c:v>-22.999999999996135</c:v>
                </c:pt>
                <c:pt idx="83">
                  <c:v>-21.799999999998931</c:v>
                </c:pt>
                <c:pt idx="84">
                  <c:v>-22.199999999997999</c:v>
                </c:pt>
                <c:pt idx="85">
                  <c:v>-22.800000000003706</c:v>
                </c:pt>
                <c:pt idx="86">
                  <c:v>-23.700000000005161</c:v>
                </c:pt>
                <c:pt idx="87">
                  <c:v>-22.599999999997067</c:v>
                </c:pt>
                <c:pt idx="88">
                  <c:v>-22.999999999996135</c:v>
                </c:pt>
                <c:pt idx="89">
                  <c:v>-22.800000000003706</c:v>
                </c:pt>
                <c:pt idx="90">
                  <c:v>-23.499999999998522</c:v>
                </c:pt>
                <c:pt idx="91">
                  <c:v>-23.399999999995202</c:v>
                </c:pt>
                <c:pt idx="92">
                  <c:v>-23.499999999998522</c:v>
                </c:pt>
                <c:pt idx="93">
                  <c:v>-24.399999999999977</c:v>
                </c:pt>
                <c:pt idx="94">
                  <c:v>-24.399999999999977</c:v>
                </c:pt>
                <c:pt idx="95">
                  <c:v>-25.300000000001432</c:v>
                </c:pt>
                <c:pt idx="96">
                  <c:v>-24.799999999999045</c:v>
                </c:pt>
                <c:pt idx="97">
                  <c:v>-30.000000000001137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B02-481E-8C79-4DC4FAD20F8B}"/>
            </c:ext>
          </c:extLst>
        </c:ser>
        <c:ser>
          <c:idx val="3"/>
          <c:order val="1"/>
          <c:tx>
            <c:strRef>
              <c:f>Déplacements!$I$9</c:f>
              <c:strCache>
                <c:ptCount val="1"/>
                <c:pt idx="0">
                  <c:v>DZ haut gauche</c:v>
                </c:pt>
              </c:strCache>
            </c:strRef>
          </c:tx>
          <c:spPr>
            <a:ln w="15875" cap="rnd">
              <a:solidFill>
                <a:schemeClr val="accent4"/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4">
                      <a:tint val="50000"/>
                      <a:satMod val="300000"/>
                    </a:schemeClr>
                  </a:gs>
                  <a:gs pos="35000">
                    <a:schemeClr val="accent4">
                      <a:tint val="37000"/>
                      <a:satMod val="300000"/>
                    </a:schemeClr>
                  </a:gs>
                  <a:gs pos="100000">
                    <a:schemeClr val="accent4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marker>
          <c:xVal>
            <c:numRef>
              <c:f>Déplacements!$B$10:$B$133</c:f>
              <c:numCache>
                <c:formatCode>dd\ /\ mm\ /\ yy</c:formatCode>
                <c:ptCount val="124"/>
                <c:pt idx="0">
                  <c:v>43655</c:v>
                </c:pt>
                <c:pt idx="1">
                  <c:v>43657</c:v>
                </c:pt>
                <c:pt idx="2">
                  <c:v>43661</c:v>
                </c:pt>
                <c:pt idx="3">
                  <c:v>43663</c:v>
                </c:pt>
                <c:pt idx="4">
                  <c:v>43669</c:v>
                </c:pt>
                <c:pt idx="5">
                  <c:v>43675</c:v>
                </c:pt>
                <c:pt idx="6">
                  <c:v>43679</c:v>
                </c:pt>
                <c:pt idx="7">
                  <c:v>43682</c:v>
                </c:pt>
                <c:pt idx="8">
                  <c:v>43684</c:v>
                </c:pt>
                <c:pt idx="9">
                  <c:v>43685</c:v>
                </c:pt>
                <c:pt idx="10">
                  <c:v>43689</c:v>
                </c:pt>
                <c:pt idx="11">
                  <c:v>43690</c:v>
                </c:pt>
                <c:pt idx="12">
                  <c:v>43696</c:v>
                </c:pt>
                <c:pt idx="13">
                  <c:v>43699</c:v>
                </c:pt>
                <c:pt idx="14">
                  <c:v>43703</c:v>
                </c:pt>
                <c:pt idx="15">
                  <c:v>43706</c:v>
                </c:pt>
                <c:pt idx="16">
                  <c:v>43710</c:v>
                </c:pt>
                <c:pt idx="17">
                  <c:v>43713</c:v>
                </c:pt>
                <c:pt idx="18">
                  <c:v>43718</c:v>
                </c:pt>
                <c:pt idx="19">
                  <c:v>43720</c:v>
                </c:pt>
                <c:pt idx="20">
                  <c:v>43724</c:v>
                </c:pt>
                <c:pt idx="21">
                  <c:v>43727</c:v>
                </c:pt>
                <c:pt idx="22">
                  <c:v>43731</c:v>
                </c:pt>
                <c:pt idx="23">
                  <c:v>43734</c:v>
                </c:pt>
                <c:pt idx="24">
                  <c:v>43738</c:v>
                </c:pt>
                <c:pt idx="25">
                  <c:v>43741</c:v>
                </c:pt>
                <c:pt idx="26">
                  <c:v>43746</c:v>
                </c:pt>
                <c:pt idx="27">
                  <c:v>43753</c:v>
                </c:pt>
                <c:pt idx="28">
                  <c:v>43756</c:v>
                </c:pt>
                <c:pt idx="29">
                  <c:v>43760</c:v>
                </c:pt>
                <c:pt idx="30">
                  <c:v>43762</c:v>
                </c:pt>
                <c:pt idx="31">
                  <c:v>43766</c:v>
                </c:pt>
                <c:pt idx="32">
                  <c:v>43769</c:v>
                </c:pt>
                <c:pt idx="33">
                  <c:v>43774</c:v>
                </c:pt>
                <c:pt idx="34">
                  <c:v>43776</c:v>
                </c:pt>
                <c:pt idx="35">
                  <c:v>43781</c:v>
                </c:pt>
                <c:pt idx="36">
                  <c:v>43783</c:v>
                </c:pt>
                <c:pt idx="37">
                  <c:v>43787</c:v>
                </c:pt>
                <c:pt idx="38">
                  <c:v>43790</c:v>
                </c:pt>
                <c:pt idx="39">
                  <c:v>43795</c:v>
                </c:pt>
                <c:pt idx="40">
                  <c:v>43797</c:v>
                </c:pt>
                <c:pt idx="41">
                  <c:v>43801</c:v>
                </c:pt>
                <c:pt idx="42">
                  <c:v>43803</c:v>
                </c:pt>
                <c:pt idx="43">
                  <c:v>43808</c:v>
                </c:pt>
                <c:pt idx="44">
                  <c:v>43811</c:v>
                </c:pt>
                <c:pt idx="45">
                  <c:v>43815</c:v>
                </c:pt>
                <c:pt idx="46">
                  <c:v>43818</c:v>
                </c:pt>
                <c:pt idx="47">
                  <c:v>43837</c:v>
                </c:pt>
                <c:pt idx="48">
                  <c:v>43843</c:v>
                </c:pt>
                <c:pt idx="49">
                  <c:v>43850</c:v>
                </c:pt>
                <c:pt idx="50">
                  <c:v>43857</c:v>
                </c:pt>
                <c:pt idx="51">
                  <c:v>43865</c:v>
                </c:pt>
                <c:pt idx="52">
                  <c:v>43878</c:v>
                </c:pt>
                <c:pt idx="53">
                  <c:v>43886</c:v>
                </c:pt>
                <c:pt idx="54">
                  <c:v>43896</c:v>
                </c:pt>
                <c:pt idx="55">
                  <c:v>43970</c:v>
                </c:pt>
                <c:pt idx="56">
                  <c:v>43977</c:v>
                </c:pt>
                <c:pt idx="57">
                  <c:v>43984</c:v>
                </c:pt>
                <c:pt idx="58">
                  <c:v>43990</c:v>
                </c:pt>
                <c:pt idx="59">
                  <c:v>43997</c:v>
                </c:pt>
                <c:pt idx="60">
                  <c:v>44004</c:v>
                </c:pt>
                <c:pt idx="61">
                  <c:v>44018</c:v>
                </c:pt>
                <c:pt idx="62">
                  <c:v>44027</c:v>
                </c:pt>
                <c:pt idx="63">
                  <c:v>44039</c:v>
                </c:pt>
                <c:pt idx="64">
                  <c:v>44053</c:v>
                </c:pt>
                <c:pt idx="65">
                  <c:v>44075</c:v>
                </c:pt>
                <c:pt idx="66">
                  <c:v>44082</c:v>
                </c:pt>
                <c:pt idx="67">
                  <c:v>44112</c:v>
                </c:pt>
                <c:pt idx="68">
                  <c:v>44134</c:v>
                </c:pt>
                <c:pt idx="70">
                  <c:v>44134</c:v>
                </c:pt>
                <c:pt idx="72">
                  <c:v>44140</c:v>
                </c:pt>
                <c:pt idx="73">
                  <c:v>44172</c:v>
                </c:pt>
                <c:pt idx="74">
                  <c:v>44186</c:v>
                </c:pt>
                <c:pt idx="75">
                  <c:v>44203</c:v>
                </c:pt>
                <c:pt idx="76">
                  <c:v>44229</c:v>
                </c:pt>
                <c:pt idx="77">
                  <c:v>44245</c:v>
                </c:pt>
                <c:pt idx="78">
                  <c:v>44273</c:v>
                </c:pt>
                <c:pt idx="79">
                  <c:v>44287</c:v>
                </c:pt>
                <c:pt idx="80">
                  <c:v>44308</c:v>
                </c:pt>
                <c:pt idx="81">
                  <c:v>44322</c:v>
                </c:pt>
                <c:pt idx="82">
                  <c:v>44337</c:v>
                </c:pt>
                <c:pt idx="83">
                  <c:v>44351</c:v>
                </c:pt>
                <c:pt idx="84">
                  <c:v>44357</c:v>
                </c:pt>
                <c:pt idx="85">
                  <c:v>44362</c:v>
                </c:pt>
                <c:pt idx="86">
                  <c:v>44364</c:v>
                </c:pt>
                <c:pt idx="87">
                  <c:v>44369</c:v>
                </c:pt>
                <c:pt idx="88">
                  <c:v>44376</c:v>
                </c:pt>
                <c:pt idx="89">
                  <c:v>44378</c:v>
                </c:pt>
                <c:pt idx="90">
                  <c:v>44392</c:v>
                </c:pt>
                <c:pt idx="91">
                  <c:v>44400</c:v>
                </c:pt>
                <c:pt idx="92">
                  <c:v>44410</c:v>
                </c:pt>
                <c:pt idx="93">
                  <c:v>44453</c:v>
                </c:pt>
                <c:pt idx="94">
                  <c:v>44470</c:v>
                </c:pt>
                <c:pt idx="95">
                  <c:v>44489</c:v>
                </c:pt>
                <c:pt idx="96">
                  <c:v>44502</c:v>
                </c:pt>
                <c:pt idx="97">
                  <c:v>44915</c:v>
                </c:pt>
              </c:numCache>
            </c:numRef>
          </c:xVal>
          <c:yVal>
            <c:numRef>
              <c:f>Déplacements!$I$10:$I$312</c:f>
              <c:numCache>
                <c:formatCode>\+\ 0.0;\-\ 0.0;\±\ 0.0</c:formatCode>
                <c:ptCount val="303"/>
                <c:pt idx="0">
                  <c:v>0</c:v>
                </c:pt>
                <c:pt idx="1">
                  <c:v>-0.34999999999740794</c:v>
                </c:pt>
                <c:pt idx="2">
                  <c:v>-0.64999999999315605</c:v>
                </c:pt>
                <c:pt idx="3">
                  <c:v>-1.5499999999946112</c:v>
                </c:pt>
                <c:pt idx="4">
                  <c:v>0</c:v>
                </c:pt>
                <c:pt idx="5">
                  <c:v>-2.5499999999993861</c:v>
                </c:pt>
                <c:pt idx="6">
                  <c:v>-2.1500000000003183</c:v>
                </c:pt>
                <c:pt idx="7">
                  <c:v>-2.9499999999984539</c:v>
                </c:pt>
                <c:pt idx="8">
                  <c:v>-3.4500000000008413</c:v>
                </c:pt>
                <c:pt idx="9">
                  <c:v>-3.0499999999875627</c:v>
                </c:pt>
                <c:pt idx="10">
                  <c:v>-4.1499999999956572</c:v>
                </c:pt>
                <c:pt idx="11">
                  <c:v>-3.7499999999965894</c:v>
                </c:pt>
                <c:pt idx="12">
                  <c:v>-4.1499999999956572</c:v>
                </c:pt>
                <c:pt idx="13">
                  <c:v>-4.9499999999937927</c:v>
                </c:pt>
                <c:pt idx="14">
                  <c:v>-5.4499999999961801</c:v>
                </c:pt>
                <c:pt idx="15">
                  <c:v>-5.8499999999952479</c:v>
                </c:pt>
                <c:pt idx="16">
                  <c:v>-6.450000000000955</c:v>
                </c:pt>
                <c:pt idx="17">
                  <c:v>-7.0499999999924512</c:v>
                </c:pt>
                <c:pt idx="18">
                  <c:v>-6.7499999999967031</c:v>
                </c:pt>
                <c:pt idx="19">
                  <c:v>-6.8500000000000227</c:v>
                </c:pt>
                <c:pt idx="20">
                  <c:v>-7.8499999999905867</c:v>
                </c:pt>
                <c:pt idx="21">
                  <c:v>-8.3499999999929742</c:v>
                </c:pt>
                <c:pt idx="22">
                  <c:v>-8.7499999999920419</c:v>
                </c:pt>
                <c:pt idx="23">
                  <c:v>-8.9499999999986812</c:v>
                </c:pt>
                <c:pt idx="24">
                  <c:v>-8.8499999999953616</c:v>
                </c:pt>
                <c:pt idx="25">
                  <c:v>-9.2499999999944293</c:v>
                </c:pt>
                <c:pt idx="26">
                  <c:v>-9.9999999999909051</c:v>
                </c:pt>
                <c:pt idx="27">
                  <c:v>-10.099999999980014</c:v>
                </c:pt>
                <c:pt idx="28">
                  <c:v>-9.7499999999968168</c:v>
                </c:pt>
                <c:pt idx="29">
                  <c:v>-11.04999999999734</c:v>
                </c:pt>
                <c:pt idx="30">
                  <c:v>-10.249999999999204</c:v>
                </c:pt>
                <c:pt idx="32">
                  <c:v>-10.749999999987381</c:v>
                </c:pt>
                <c:pt idx="33">
                  <c:v>-11.349999999993088</c:v>
                </c:pt>
                <c:pt idx="34">
                  <c:v>-11.150000000000659</c:v>
                </c:pt>
                <c:pt idx="35">
                  <c:v>-11.549999999999727</c:v>
                </c:pt>
                <c:pt idx="37">
                  <c:v>-11.849999999995475</c:v>
                </c:pt>
                <c:pt idx="38">
                  <c:v>-11.949999999998795</c:v>
                </c:pt>
                <c:pt idx="39">
                  <c:v>-12.349999999997863</c:v>
                </c:pt>
                <c:pt idx="40">
                  <c:v>-12.349999999997863</c:v>
                </c:pt>
                <c:pt idx="41">
                  <c:v>-12.649999999993611</c:v>
                </c:pt>
                <c:pt idx="42">
                  <c:v>-12.249999999994543</c:v>
                </c:pt>
                <c:pt idx="43">
                  <c:v>-13.049999999992679</c:v>
                </c:pt>
                <c:pt idx="44">
                  <c:v>-12.74999999999693</c:v>
                </c:pt>
                <c:pt idx="45">
                  <c:v>-13.749999999987494</c:v>
                </c:pt>
                <c:pt idx="46">
                  <c:v>-13.349999999988427</c:v>
                </c:pt>
                <c:pt idx="47">
                  <c:v>-13.949999999994134</c:v>
                </c:pt>
                <c:pt idx="48">
                  <c:v>-14.150000000000773</c:v>
                </c:pt>
                <c:pt idx="49">
                  <c:v>-14.249999999989882</c:v>
                </c:pt>
                <c:pt idx="50">
                  <c:v>-14.849999999995589</c:v>
                </c:pt>
                <c:pt idx="51">
                  <c:v>-15.049999999988017</c:v>
                </c:pt>
                <c:pt idx="52">
                  <c:v>-15.749999999997044</c:v>
                </c:pt>
                <c:pt idx="53">
                  <c:v>-15.450000000001296</c:v>
                </c:pt>
                <c:pt idx="54">
                  <c:v>-15.749999999997044</c:v>
                </c:pt>
                <c:pt idx="55">
                  <c:v>-17.449999999996635</c:v>
                </c:pt>
                <c:pt idx="56">
                  <c:v>-16.949999999994247</c:v>
                </c:pt>
                <c:pt idx="57">
                  <c:v>-17.349999999993315</c:v>
                </c:pt>
                <c:pt idx="58">
                  <c:v>-17.749999999992383</c:v>
                </c:pt>
                <c:pt idx="59">
                  <c:v>-17.049999999997567</c:v>
                </c:pt>
                <c:pt idx="60">
                  <c:v>-17.649999999989063</c:v>
                </c:pt>
                <c:pt idx="61">
                  <c:v>-18.24999999999477</c:v>
                </c:pt>
                <c:pt idx="62">
                  <c:v>-17.749999999992383</c:v>
                </c:pt>
                <c:pt idx="63">
                  <c:v>-19.349999999988654</c:v>
                </c:pt>
                <c:pt idx="64">
                  <c:v>-19.549999999995293</c:v>
                </c:pt>
                <c:pt idx="65">
                  <c:v>-20.550000000000068</c:v>
                </c:pt>
                <c:pt idx="66">
                  <c:v>-20.449999999996749</c:v>
                </c:pt>
                <c:pt idx="67">
                  <c:v>-20.449999999996749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B02-481E-8C79-4DC4FAD20F8B}"/>
            </c:ext>
          </c:extLst>
        </c:ser>
        <c:ser>
          <c:idx val="4"/>
          <c:order val="2"/>
          <c:tx>
            <c:strRef>
              <c:f>Déplacements!$Q$9</c:f>
              <c:strCache>
                <c:ptCount val="1"/>
                <c:pt idx="0">
                  <c:v>DZ haut droit</c:v>
                </c:pt>
              </c:strCache>
            </c:strRef>
          </c:tx>
          <c:spPr>
            <a:ln w="15875" cap="rnd">
              <a:solidFill>
                <a:schemeClr val="accent5"/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5">
                      <a:tint val="50000"/>
                      <a:satMod val="300000"/>
                    </a:schemeClr>
                  </a:gs>
                  <a:gs pos="35000">
                    <a:schemeClr val="accent5">
                      <a:tint val="37000"/>
                      <a:satMod val="300000"/>
                    </a:schemeClr>
                  </a:gs>
                  <a:gs pos="100000">
                    <a:schemeClr val="accent5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5"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marker>
          <c:xVal>
            <c:numRef>
              <c:f>Déplacements!$B$10:$B$313</c:f>
              <c:numCache>
                <c:formatCode>dd\ /\ mm\ /\ yy</c:formatCode>
                <c:ptCount val="304"/>
                <c:pt idx="0">
                  <c:v>43655</c:v>
                </c:pt>
                <c:pt idx="1">
                  <c:v>43657</c:v>
                </c:pt>
                <c:pt idx="2">
                  <c:v>43661</c:v>
                </c:pt>
                <c:pt idx="3">
                  <c:v>43663</c:v>
                </c:pt>
                <c:pt idx="4">
                  <c:v>43669</c:v>
                </c:pt>
                <c:pt idx="5">
                  <c:v>43675</c:v>
                </c:pt>
                <c:pt idx="6">
                  <c:v>43679</c:v>
                </c:pt>
                <c:pt idx="7">
                  <c:v>43682</c:v>
                </c:pt>
                <c:pt idx="8">
                  <c:v>43684</c:v>
                </c:pt>
                <c:pt idx="9">
                  <c:v>43685</c:v>
                </c:pt>
                <c:pt idx="10">
                  <c:v>43689</c:v>
                </c:pt>
                <c:pt idx="11">
                  <c:v>43690</c:v>
                </c:pt>
                <c:pt idx="12">
                  <c:v>43696</c:v>
                </c:pt>
                <c:pt idx="13">
                  <c:v>43699</c:v>
                </c:pt>
                <c:pt idx="14">
                  <c:v>43703</c:v>
                </c:pt>
                <c:pt idx="15">
                  <c:v>43706</c:v>
                </c:pt>
                <c:pt idx="16">
                  <c:v>43710</c:v>
                </c:pt>
                <c:pt idx="17">
                  <c:v>43713</c:v>
                </c:pt>
                <c:pt idx="18">
                  <c:v>43718</c:v>
                </c:pt>
                <c:pt idx="19">
                  <c:v>43720</c:v>
                </c:pt>
                <c:pt idx="20">
                  <c:v>43724</c:v>
                </c:pt>
                <c:pt idx="21">
                  <c:v>43727</c:v>
                </c:pt>
                <c:pt idx="22">
                  <c:v>43731</c:v>
                </c:pt>
                <c:pt idx="23">
                  <c:v>43734</c:v>
                </c:pt>
                <c:pt idx="24">
                  <c:v>43738</c:v>
                </c:pt>
                <c:pt idx="25">
                  <c:v>43741</c:v>
                </c:pt>
                <c:pt idx="26">
                  <c:v>43746</c:v>
                </c:pt>
                <c:pt idx="27">
                  <c:v>43753</c:v>
                </c:pt>
                <c:pt idx="28">
                  <c:v>43756</c:v>
                </c:pt>
                <c:pt idx="29">
                  <c:v>43760</c:v>
                </c:pt>
                <c:pt idx="30">
                  <c:v>43762</c:v>
                </c:pt>
                <c:pt idx="31">
                  <c:v>43766</c:v>
                </c:pt>
                <c:pt idx="32">
                  <c:v>43769</c:v>
                </c:pt>
                <c:pt idx="33">
                  <c:v>43774</c:v>
                </c:pt>
                <c:pt idx="34">
                  <c:v>43776</c:v>
                </c:pt>
                <c:pt idx="35">
                  <c:v>43781</c:v>
                </c:pt>
                <c:pt idx="36">
                  <c:v>43783</c:v>
                </c:pt>
                <c:pt idx="37">
                  <c:v>43787</c:v>
                </c:pt>
                <c:pt idx="38">
                  <c:v>43790</c:v>
                </c:pt>
                <c:pt idx="39">
                  <c:v>43795</c:v>
                </c:pt>
                <c:pt idx="40">
                  <c:v>43797</c:v>
                </c:pt>
                <c:pt idx="41">
                  <c:v>43801</c:v>
                </c:pt>
                <c:pt idx="42">
                  <c:v>43803</c:v>
                </c:pt>
                <c:pt idx="43">
                  <c:v>43808</c:v>
                </c:pt>
                <c:pt idx="44">
                  <c:v>43811</c:v>
                </c:pt>
                <c:pt idx="45">
                  <c:v>43815</c:v>
                </c:pt>
                <c:pt idx="46">
                  <c:v>43818</c:v>
                </c:pt>
                <c:pt idx="47">
                  <c:v>43837</c:v>
                </c:pt>
                <c:pt idx="48">
                  <c:v>43843</c:v>
                </c:pt>
                <c:pt idx="49">
                  <c:v>43850</c:v>
                </c:pt>
                <c:pt idx="50">
                  <c:v>43857</c:v>
                </c:pt>
                <c:pt idx="51">
                  <c:v>43865</c:v>
                </c:pt>
                <c:pt idx="52">
                  <c:v>43878</c:v>
                </c:pt>
                <c:pt idx="53">
                  <c:v>43886</c:v>
                </c:pt>
                <c:pt idx="54">
                  <c:v>43896</c:v>
                </c:pt>
                <c:pt idx="55">
                  <c:v>43970</c:v>
                </c:pt>
                <c:pt idx="56">
                  <c:v>43977</c:v>
                </c:pt>
                <c:pt idx="57">
                  <c:v>43984</c:v>
                </c:pt>
                <c:pt idx="58">
                  <c:v>43990</c:v>
                </c:pt>
                <c:pt idx="59">
                  <c:v>43997</c:v>
                </c:pt>
                <c:pt idx="60">
                  <c:v>44004</c:v>
                </c:pt>
                <c:pt idx="61">
                  <c:v>44018</c:v>
                </c:pt>
                <c:pt idx="62">
                  <c:v>44027</c:v>
                </c:pt>
                <c:pt idx="63">
                  <c:v>44039</c:v>
                </c:pt>
                <c:pt idx="64">
                  <c:v>44053</c:v>
                </c:pt>
                <c:pt idx="65">
                  <c:v>44075</c:v>
                </c:pt>
                <c:pt idx="66">
                  <c:v>44082</c:v>
                </c:pt>
                <c:pt idx="67">
                  <c:v>44112</c:v>
                </c:pt>
                <c:pt idx="68">
                  <c:v>44134</c:v>
                </c:pt>
                <c:pt idx="70">
                  <c:v>44134</c:v>
                </c:pt>
                <c:pt idx="72">
                  <c:v>44140</c:v>
                </c:pt>
                <c:pt idx="73">
                  <c:v>44172</c:v>
                </c:pt>
                <c:pt idx="74">
                  <c:v>44186</c:v>
                </c:pt>
                <c:pt idx="75">
                  <c:v>44203</c:v>
                </c:pt>
                <c:pt idx="76">
                  <c:v>44229</c:v>
                </c:pt>
                <c:pt idx="77">
                  <c:v>44245</c:v>
                </c:pt>
                <c:pt idx="78">
                  <c:v>44273</c:v>
                </c:pt>
                <c:pt idx="79">
                  <c:v>44287</c:v>
                </c:pt>
                <c:pt idx="80">
                  <c:v>44308</c:v>
                </c:pt>
                <c:pt idx="81">
                  <c:v>44322</c:v>
                </c:pt>
                <c:pt idx="82">
                  <c:v>44337</c:v>
                </c:pt>
                <c:pt idx="83">
                  <c:v>44351</c:v>
                </c:pt>
                <c:pt idx="84">
                  <c:v>44357</c:v>
                </c:pt>
                <c:pt idx="85">
                  <c:v>44362</c:v>
                </c:pt>
                <c:pt idx="86">
                  <c:v>44364</c:v>
                </c:pt>
                <c:pt idx="87">
                  <c:v>44369</c:v>
                </c:pt>
                <c:pt idx="88">
                  <c:v>44376</c:v>
                </c:pt>
                <c:pt idx="89">
                  <c:v>44378</c:v>
                </c:pt>
                <c:pt idx="90">
                  <c:v>44392</c:v>
                </c:pt>
                <c:pt idx="91">
                  <c:v>44400</c:v>
                </c:pt>
                <c:pt idx="92">
                  <c:v>44410</c:v>
                </c:pt>
                <c:pt idx="93">
                  <c:v>44453</c:v>
                </c:pt>
                <c:pt idx="94">
                  <c:v>44470</c:v>
                </c:pt>
                <c:pt idx="95">
                  <c:v>44489</c:v>
                </c:pt>
                <c:pt idx="96">
                  <c:v>44502</c:v>
                </c:pt>
                <c:pt idx="97">
                  <c:v>44915</c:v>
                </c:pt>
              </c:numCache>
            </c:numRef>
          </c:xVal>
          <c:yVal>
            <c:numRef>
              <c:f>Déplacements!$Q$10:$Q$312</c:f>
              <c:numCache>
                <c:formatCode>\+\ 0.0;\-\ 0.0;\±\ 0.0</c:formatCode>
                <c:ptCount val="303"/>
                <c:pt idx="0">
                  <c:v>0</c:v>
                </c:pt>
                <c:pt idx="1">
                  <c:v>-0.24999999999408828</c:v>
                </c:pt>
                <c:pt idx="2">
                  <c:v>-0.74999999999647571</c:v>
                </c:pt>
                <c:pt idx="3">
                  <c:v>-0.84999999999979536</c:v>
                </c:pt>
                <c:pt idx="4">
                  <c:v>-1.1499999999955435</c:v>
                </c:pt>
                <c:pt idx="5">
                  <c:v>-2.3499999999927468</c:v>
                </c:pt>
                <c:pt idx="6">
                  <c:v>-2.0499999999969987</c:v>
                </c:pt>
                <c:pt idx="7">
                  <c:v>-2.5499999999993861</c:v>
                </c:pt>
                <c:pt idx="8">
                  <c:v>-3.1499999999908823</c:v>
                </c:pt>
                <c:pt idx="9">
                  <c:v>-2.4499999999960664</c:v>
                </c:pt>
                <c:pt idx="10">
                  <c:v>-3.5500000000041609</c:v>
                </c:pt>
                <c:pt idx="11">
                  <c:v>-2.9499999999984539</c:v>
                </c:pt>
                <c:pt idx="12">
                  <c:v>-3.249999999994202</c:v>
                </c:pt>
                <c:pt idx="13">
                  <c:v>-3.9500000000032287</c:v>
                </c:pt>
                <c:pt idx="14">
                  <c:v>-4.4499999999914053</c:v>
                </c:pt>
                <c:pt idx="15">
                  <c:v>-4.7500000000013642</c:v>
                </c:pt>
                <c:pt idx="16">
                  <c:v>-4.9499999999937927</c:v>
                </c:pt>
                <c:pt idx="17">
                  <c:v>-5.4499999999961801</c:v>
                </c:pt>
                <c:pt idx="18">
                  <c:v>-5.4499999999961801</c:v>
                </c:pt>
                <c:pt idx="19">
                  <c:v>-5.150000000000432</c:v>
                </c:pt>
                <c:pt idx="20">
                  <c:v>-6.0500000000018872</c:v>
                </c:pt>
                <c:pt idx="21">
                  <c:v>-6.2499999999943157</c:v>
                </c:pt>
                <c:pt idx="22">
                  <c:v>-6.6499999999933834</c:v>
                </c:pt>
                <c:pt idx="23">
                  <c:v>-7.0499999999924512</c:v>
                </c:pt>
                <c:pt idx="24">
                  <c:v>-6.7499999999967031</c:v>
                </c:pt>
                <c:pt idx="25">
                  <c:v>-6.9500000000033424</c:v>
                </c:pt>
                <c:pt idx="26">
                  <c:v>-7.6999999999998181</c:v>
                </c:pt>
                <c:pt idx="27">
                  <c:v>-7.8500000000047976</c:v>
                </c:pt>
                <c:pt idx="28">
                  <c:v>-7.3500000000024102</c:v>
                </c:pt>
                <c:pt idx="29">
                  <c:v>-8.1500000000005457</c:v>
                </c:pt>
                <c:pt idx="30">
                  <c:v>-8.049999999997226</c:v>
                </c:pt>
                <c:pt idx="31">
                  <c:v>-7.8500000000047976</c:v>
                </c:pt>
                <c:pt idx="32">
                  <c:v>-8.2500000000038654</c:v>
                </c:pt>
                <c:pt idx="33">
                  <c:v>-8.6500000000029331</c:v>
                </c:pt>
                <c:pt idx="34">
                  <c:v>-8.4499999999962938</c:v>
                </c:pt>
                <c:pt idx="35">
                  <c:v>-8.6500000000029331</c:v>
                </c:pt>
                <c:pt idx="36">
                  <c:v>-8.8499999999953616</c:v>
                </c:pt>
                <c:pt idx="37">
                  <c:v>-8.9499999999986812</c:v>
                </c:pt>
                <c:pt idx="38">
                  <c:v>-8.9499999999986812</c:v>
                </c:pt>
                <c:pt idx="39">
                  <c:v>-9.349999999997749</c:v>
                </c:pt>
                <c:pt idx="40">
                  <c:v>-9.4500000000010687</c:v>
                </c:pt>
                <c:pt idx="41">
                  <c:v>-9.4500000000010687</c:v>
                </c:pt>
                <c:pt idx="42">
                  <c:v>-9.5500000000043883</c:v>
                </c:pt>
                <c:pt idx="43">
                  <c:v>-9.9500000000034561</c:v>
                </c:pt>
                <c:pt idx="44">
                  <c:v>-9.5500000000043883</c:v>
                </c:pt>
                <c:pt idx="45">
                  <c:v>-10.549999999994952</c:v>
                </c:pt>
                <c:pt idx="46">
                  <c:v>-10.149999999995885</c:v>
                </c:pt>
                <c:pt idx="47">
                  <c:v>-10.649999999998272</c:v>
                </c:pt>
                <c:pt idx="48">
                  <c:v>-10.649999999998272</c:v>
                </c:pt>
                <c:pt idx="49">
                  <c:v>-10.549999999994952</c:v>
                </c:pt>
                <c:pt idx="50">
                  <c:v>-11.04999999999734</c:v>
                </c:pt>
                <c:pt idx="51">
                  <c:v>-11.650000000003047</c:v>
                </c:pt>
                <c:pt idx="52">
                  <c:v>-12.050000000002115</c:v>
                </c:pt>
                <c:pt idx="53">
                  <c:v>-11.949999999998795</c:v>
                </c:pt>
                <c:pt idx="54">
                  <c:v>-11.849999999995475</c:v>
                </c:pt>
                <c:pt idx="55">
                  <c:v>-13.249999999999318</c:v>
                </c:pt>
                <c:pt idx="56">
                  <c:v>-12.85000000000025</c:v>
                </c:pt>
                <c:pt idx="57">
                  <c:v>-13.149999999995998</c:v>
                </c:pt>
                <c:pt idx="58">
                  <c:v>-13.750000000001705</c:v>
                </c:pt>
                <c:pt idx="59">
                  <c:v>-12.74999999999693</c:v>
                </c:pt>
                <c:pt idx="60">
                  <c:v>-13.549999999995066</c:v>
                </c:pt>
                <c:pt idx="61">
                  <c:v>-13.750000000001705</c:v>
                </c:pt>
                <c:pt idx="62">
                  <c:v>-13.449999999991746</c:v>
                </c:pt>
                <c:pt idx="63">
                  <c:v>-14.749999999992269</c:v>
                </c:pt>
                <c:pt idx="64">
                  <c:v>-14.65000000000316</c:v>
                </c:pt>
                <c:pt idx="65">
                  <c:v>-15.450000000001296</c:v>
                </c:pt>
                <c:pt idx="66">
                  <c:v>-15.450000000001296</c:v>
                </c:pt>
                <c:pt idx="67">
                  <c:v>-14.949999999998909</c:v>
                </c:pt>
                <c:pt idx="68">
                  <c:v>-15.749999999997044</c:v>
                </c:pt>
                <c:pt idx="72">
                  <c:v>-16.450000000006071</c:v>
                </c:pt>
                <c:pt idx="73">
                  <c:v>-16.149999999996112</c:v>
                </c:pt>
                <c:pt idx="74">
                  <c:v>-17.250000000004206</c:v>
                </c:pt>
                <c:pt idx="75">
                  <c:v>-17.250000000004206</c:v>
                </c:pt>
                <c:pt idx="76">
                  <c:v>-18.550000000004729</c:v>
                </c:pt>
                <c:pt idx="77">
                  <c:v>-17.449999999996635</c:v>
                </c:pt>
                <c:pt idx="78">
                  <c:v>-18.34999999999809</c:v>
                </c:pt>
                <c:pt idx="79">
                  <c:v>-17.849999999995703</c:v>
                </c:pt>
                <c:pt idx="80">
                  <c:v>-18.24999999999477</c:v>
                </c:pt>
                <c:pt idx="81">
                  <c:v>-18.950000000003797</c:v>
                </c:pt>
                <c:pt idx="82">
                  <c:v>-19.450000000006185</c:v>
                </c:pt>
                <c:pt idx="83">
                  <c:v>-18.34999999999809</c:v>
                </c:pt>
                <c:pt idx="84">
                  <c:v>-18.749999999997158</c:v>
                </c:pt>
                <c:pt idx="85">
                  <c:v>-19.249999999999545</c:v>
                </c:pt>
                <c:pt idx="86">
                  <c:v>-19.949999999994361</c:v>
                </c:pt>
                <c:pt idx="87">
                  <c:v>-18.950000000003797</c:v>
                </c:pt>
                <c:pt idx="88">
                  <c:v>-19.350000000002865</c:v>
                </c:pt>
                <c:pt idx="89">
                  <c:v>-19.249999999999545</c:v>
                </c:pt>
                <c:pt idx="90">
                  <c:v>-19.549999999995293</c:v>
                </c:pt>
                <c:pt idx="91">
                  <c:v>-19.750000000001933</c:v>
                </c:pt>
                <c:pt idx="92">
                  <c:v>-19.750000000001933</c:v>
                </c:pt>
                <c:pt idx="93">
                  <c:v>-20.449999999996749</c:v>
                </c:pt>
                <c:pt idx="94">
                  <c:v>-20.449999999996749</c:v>
                </c:pt>
                <c:pt idx="95">
                  <c:v>-21.249999999994884</c:v>
                </c:pt>
                <c:pt idx="96">
                  <c:v>-20.550000000000068</c:v>
                </c:pt>
                <c:pt idx="97">
                  <c:v>-25.249999999999773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B02-481E-8C79-4DC4FAD20F8B}"/>
            </c:ext>
          </c:extLst>
        </c:ser>
        <c:ser>
          <c:idx val="5"/>
          <c:order val="3"/>
          <c:tx>
            <c:strRef>
              <c:f>Déplacements!$E$9</c:f>
              <c:strCache>
                <c:ptCount val="1"/>
                <c:pt idx="0">
                  <c:v>DZ inter gauche</c:v>
                </c:pt>
              </c:strCache>
            </c:strRef>
          </c:tx>
          <c:spPr>
            <a:ln w="15875" cap="rnd">
              <a:solidFill>
                <a:schemeClr val="accent6"/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6">
                      <a:tint val="50000"/>
                      <a:satMod val="300000"/>
                    </a:schemeClr>
                  </a:gs>
                  <a:gs pos="35000">
                    <a:schemeClr val="accent6">
                      <a:tint val="37000"/>
                      <a:satMod val="300000"/>
                    </a:schemeClr>
                  </a:gs>
                  <a:gs pos="100000">
                    <a:schemeClr val="accent6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6"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marker>
          <c:xVal>
            <c:numRef>
              <c:f>Déplacements!$B$10:$B$111</c:f>
              <c:numCache>
                <c:formatCode>dd\ /\ mm\ /\ yy</c:formatCode>
                <c:ptCount val="102"/>
                <c:pt idx="0">
                  <c:v>43655</c:v>
                </c:pt>
                <c:pt idx="1">
                  <c:v>43657</c:v>
                </c:pt>
                <c:pt idx="2">
                  <c:v>43661</c:v>
                </c:pt>
                <c:pt idx="3">
                  <c:v>43663</c:v>
                </c:pt>
                <c:pt idx="4">
                  <c:v>43669</c:v>
                </c:pt>
                <c:pt idx="5">
                  <c:v>43675</c:v>
                </c:pt>
                <c:pt idx="6">
                  <c:v>43679</c:v>
                </c:pt>
                <c:pt idx="7">
                  <c:v>43682</c:v>
                </c:pt>
                <c:pt idx="8">
                  <c:v>43684</c:v>
                </c:pt>
                <c:pt idx="9">
                  <c:v>43685</c:v>
                </c:pt>
                <c:pt idx="10">
                  <c:v>43689</c:v>
                </c:pt>
                <c:pt idx="11">
                  <c:v>43690</c:v>
                </c:pt>
                <c:pt idx="12">
                  <c:v>43696</c:v>
                </c:pt>
                <c:pt idx="13">
                  <c:v>43699</c:v>
                </c:pt>
                <c:pt idx="14">
                  <c:v>43703</c:v>
                </c:pt>
                <c:pt idx="15">
                  <c:v>43706</c:v>
                </c:pt>
                <c:pt idx="16">
                  <c:v>43710</c:v>
                </c:pt>
                <c:pt idx="17">
                  <c:v>43713</c:v>
                </c:pt>
                <c:pt idx="18">
                  <c:v>43718</c:v>
                </c:pt>
                <c:pt idx="19">
                  <c:v>43720</c:v>
                </c:pt>
                <c:pt idx="20">
                  <c:v>43724</c:v>
                </c:pt>
                <c:pt idx="21">
                  <c:v>43727</c:v>
                </c:pt>
                <c:pt idx="22">
                  <c:v>43731</c:v>
                </c:pt>
                <c:pt idx="23">
                  <c:v>43734</c:v>
                </c:pt>
                <c:pt idx="24">
                  <c:v>43738</c:v>
                </c:pt>
                <c:pt idx="25">
                  <c:v>43741</c:v>
                </c:pt>
                <c:pt idx="26">
                  <c:v>43746</c:v>
                </c:pt>
                <c:pt idx="27">
                  <c:v>43753</c:v>
                </c:pt>
                <c:pt idx="28">
                  <c:v>43756</c:v>
                </c:pt>
                <c:pt idx="29">
                  <c:v>43760</c:v>
                </c:pt>
                <c:pt idx="30">
                  <c:v>43762</c:v>
                </c:pt>
                <c:pt idx="31">
                  <c:v>43766</c:v>
                </c:pt>
                <c:pt idx="32">
                  <c:v>43769</c:v>
                </c:pt>
                <c:pt idx="33">
                  <c:v>43774</c:v>
                </c:pt>
                <c:pt idx="34">
                  <c:v>43776</c:v>
                </c:pt>
                <c:pt idx="35">
                  <c:v>43781</c:v>
                </c:pt>
                <c:pt idx="36">
                  <c:v>43783</c:v>
                </c:pt>
                <c:pt idx="37">
                  <c:v>43787</c:v>
                </c:pt>
                <c:pt idx="38">
                  <c:v>43790</c:v>
                </c:pt>
                <c:pt idx="39">
                  <c:v>43795</c:v>
                </c:pt>
                <c:pt idx="40">
                  <c:v>43797</c:v>
                </c:pt>
                <c:pt idx="41">
                  <c:v>43801</c:v>
                </c:pt>
                <c:pt idx="42">
                  <c:v>43803</c:v>
                </c:pt>
                <c:pt idx="43">
                  <c:v>43808</c:v>
                </c:pt>
                <c:pt idx="44">
                  <c:v>43811</c:v>
                </c:pt>
                <c:pt idx="45">
                  <c:v>43815</c:v>
                </c:pt>
                <c:pt idx="46">
                  <c:v>43818</c:v>
                </c:pt>
                <c:pt idx="47">
                  <c:v>43837</c:v>
                </c:pt>
                <c:pt idx="48">
                  <c:v>43843</c:v>
                </c:pt>
                <c:pt idx="49">
                  <c:v>43850</c:v>
                </c:pt>
                <c:pt idx="50">
                  <c:v>43857</c:v>
                </c:pt>
                <c:pt idx="51">
                  <c:v>43865</c:v>
                </c:pt>
                <c:pt idx="52">
                  <c:v>43878</c:v>
                </c:pt>
                <c:pt idx="53">
                  <c:v>43886</c:v>
                </c:pt>
                <c:pt idx="54">
                  <c:v>43896</c:v>
                </c:pt>
                <c:pt idx="55">
                  <c:v>43970</c:v>
                </c:pt>
                <c:pt idx="56">
                  <c:v>43977</c:v>
                </c:pt>
                <c:pt idx="57">
                  <c:v>43984</c:v>
                </c:pt>
                <c:pt idx="58">
                  <c:v>43990</c:v>
                </c:pt>
                <c:pt idx="59">
                  <c:v>43997</c:v>
                </c:pt>
                <c:pt idx="60">
                  <c:v>44004</c:v>
                </c:pt>
                <c:pt idx="61">
                  <c:v>44018</c:v>
                </c:pt>
                <c:pt idx="62">
                  <c:v>44027</c:v>
                </c:pt>
                <c:pt idx="63">
                  <c:v>44039</c:v>
                </c:pt>
                <c:pt idx="64">
                  <c:v>44053</c:v>
                </c:pt>
                <c:pt idx="65">
                  <c:v>44075</c:v>
                </c:pt>
                <c:pt idx="66">
                  <c:v>44082</c:v>
                </c:pt>
                <c:pt idx="67">
                  <c:v>44112</c:v>
                </c:pt>
                <c:pt idx="68">
                  <c:v>44134</c:v>
                </c:pt>
                <c:pt idx="70">
                  <c:v>44134</c:v>
                </c:pt>
                <c:pt idx="72">
                  <c:v>44140</c:v>
                </c:pt>
                <c:pt idx="73">
                  <c:v>44172</c:v>
                </c:pt>
                <c:pt idx="74">
                  <c:v>44186</c:v>
                </c:pt>
                <c:pt idx="75">
                  <c:v>44203</c:v>
                </c:pt>
                <c:pt idx="76">
                  <c:v>44229</c:v>
                </c:pt>
                <c:pt idx="77">
                  <c:v>44245</c:v>
                </c:pt>
                <c:pt idx="78">
                  <c:v>44273</c:v>
                </c:pt>
                <c:pt idx="79">
                  <c:v>44287</c:v>
                </c:pt>
                <c:pt idx="80">
                  <c:v>44308</c:v>
                </c:pt>
                <c:pt idx="81">
                  <c:v>44322</c:v>
                </c:pt>
                <c:pt idx="82">
                  <c:v>44337</c:v>
                </c:pt>
                <c:pt idx="83">
                  <c:v>44351</c:v>
                </c:pt>
                <c:pt idx="84">
                  <c:v>44357</c:v>
                </c:pt>
                <c:pt idx="85">
                  <c:v>44362</c:v>
                </c:pt>
                <c:pt idx="86">
                  <c:v>44364</c:v>
                </c:pt>
                <c:pt idx="87">
                  <c:v>44369</c:v>
                </c:pt>
                <c:pt idx="88">
                  <c:v>44376</c:v>
                </c:pt>
                <c:pt idx="89">
                  <c:v>44378</c:v>
                </c:pt>
                <c:pt idx="90">
                  <c:v>44392</c:v>
                </c:pt>
                <c:pt idx="91">
                  <c:v>44400</c:v>
                </c:pt>
                <c:pt idx="92">
                  <c:v>44410</c:v>
                </c:pt>
                <c:pt idx="93">
                  <c:v>44453</c:v>
                </c:pt>
                <c:pt idx="94">
                  <c:v>44470</c:v>
                </c:pt>
                <c:pt idx="95">
                  <c:v>44489</c:v>
                </c:pt>
                <c:pt idx="96">
                  <c:v>44502</c:v>
                </c:pt>
                <c:pt idx="97">
                  <c:v>44915</c:v>
                </c:pt>
              </c:numCache>
            </c:numRef>
          </c:xVal>
          <c:yVal>
            <c:numRef>
              <c:f>Déplacements!$E$10:$E$111</c:f>
              <c:numCache>
                <c:formatCode>\+\ 0.0;\-\ 0.0;\±\ 0.0</c:formatCode>
                <c:ptCount val="102"/>
                <c:pt idx="0">
                  <c:v>0</c:v>
                </c:pt>
                <c:pt idx="1">
                  <c:v>-0.15000000000497948</c:v>
                </c:pt>
                <c:pt idx="2">
                  <c:v>-0.75000000001068656</c:v>
                </c:pt>
                <c:pt idx="3">
                  <c:v>-0.84999999999979536</c:v>
                </c:pt>
                <c:pt idx="4">
                  <c:v>-1.1500000000097543</c:v>
                </c:pt>
                <c:pt idx="5">
                  <c:v>-1.2499999999988631</c:v>
                </c:pt>
                <c:pt idx="6">
                  <c:v>-1.0500000000064347</c:v>
                </c:pt>
                <c:pt idx="7">
                  <c:v>-1.4500000000055024</c:v>
                </c:pt>
                <c:pt idx="8">
                  <c:v>-1.8500000000045702</c:v>
                </c:pt>
                <c:pt idx="9">
                  <c:v>-1.4500000000055024</c:v>
                </c:pt>
                <c:pt idx="10">
                  <c:v>-2.1500000000003183</c:v>
                </c:pt>
                <c:pt idx="11">
                  <c:v>-1.7500000000012506</c:v>
                </c:pt>
                <c:pt idx="12">
                  <c:v>-1.8500000000045702</c:v>
                </c:pt>
                <c:pt idx="13">
                  <c:v>-2.3500000000069576</c:v>
                </c:pt>
                <c:pt idx="14">
                  <c:v>-2.6500000000027057</c:v>
                </c:pt>
                <c:pt idx="15">
                  <c:v>-3.0500000000017735</c:v>
                </c:pt>
                <c:pt idx="16">
                  <c:v>-3.1500000000050932</c:v>
                </c:pt>
                <c:pt idx="17">
                  <c:v>-3.5500000000041609</c:v>
                </c:pt>
                <c:pt idx="18">
                  <c:v>-3.4500000000008413</c:v>
                </c:pt>
                <c:pt idx="19">
                  <c:v>-3.2500000000084128</c:v>
                </c:pt>
                <c:pt idx="20">
                  <c:v>-4.0500000000065484</c:v>
                </c:pt>
                <c:pt idx="21">
                  <c:v>-4.4500000000056161</c:v>
                </c:pt>
                <c:pt idx="22">
                  <c:v>-4.3500000000022965</c:v>
                </c:pt>
                <c:pt idx="23">
                  <c:v>-4.6499999999980446</c:v>
                </c:pt>
                <c:pt idx="24">
                  <c:v>-4.5500000000089358</c:v>
                </c:pt>
                <c:pt idx="25">
                  <c:v>-4.5500000000089358</c:v>
                </c:pt>
                <c:pt idx="26">
                  <c:v>-5.2500000000179625</c:v>
                </c:pt>
                <c:pt idx="27">
                  <c:v>-5.3000000000196223</c:v>
                </c:pt>
                <c:pt idx="28">
                  <c:v>-4.6499999999980446</c:v>
                </c:pt>
                <c:pt idx="29">
                  <c:v>-5.5499999999994998</c:v>
                </c:pt>
                <c:pt idx="30">
                  <c:v>-5.6500000000028194</c:v>
                </c:pt>
                <c:pt idx="31">
                  <c:v>-5.150000000000432</c:v>
                </c:pt>
                <c:pt idx="32">
                  <c:v>-5.2500000000037517</c:v>
                </c:pt>
                <c:pt idx="33">
                  <c:v>-5.7500000000061391</c:v>
                </c:pt>
                <c:pt idx="34">
                  <c:v>-5.5499999999994998</c:v>
                </c:pt>
                <c:pt idx="35">
                  <c:v>-5.7500000000061391</c:v>
                </c:pt>
                <c:pt idx="36">
                  <c:v>-5.8500000000094587</c:v>
                </c:pt>
                <c:pt idx="37">
                  <c:v>-5.7500000000061391</c:v>
                </c:pt>
                <c:pt idx="38">
                  <c:v>-5.7500000000061391</c:v>
                </c:pt>
                <c:pt idx="39">
                  <c:v>-6.2500000000085265</c:v>
                </c:pt>
                <c:pt idx="40">
                  <c:v>-6.1500000000052069</c:v>
                </c:pt>
                <c:pt idx="41">
                  <c:v>-6.0500000000018872</c:v>
                </c:pt>
                <c:pt idx="42">
                  <c:v>-6.0500000000018872</c:v>
                </c:pt>
                <c:pt idx="43">
                  <c:v>-6.6500000000075943</c:v>
                </c:pt>
                <c:pt idx="44">
                  <c:v>-5.9499999999985675</c:v>
                </c:pt>
                <c:pt idx="45">
                  <c:v>-6.9500000000033424</c:v>
                </c:pt>
                <c:pt idx="46">
                  <c:v>-6.5500000000042746</c:v>
                </c:pt>
                <c:pt idx="47">
                  <c:v>-6.7500000000109139</c:v>
                </c:pt>
                <c:pt idx="48">
                  <c:v>-6.7500000000109139</c:v>
                </c:pt>
                <c:pt idx="49">
                  <c:v>-6.7500000000109139</c:v>
                </c:pt>
                <c:pt idx="50">
                  <c:v>-7.2499999999990905</c:v>
                </c:pt>
                <c:pt idx="51">
                  <c:v>-7.6499999999981583</c:v>
                </c:pt>
                <c:pt idx="52">
                  <c:v>-7.8500000000047976</c:v>
                </c:pt>
                <c:pt idx="53">
                  <c:v>-7.7500000000014779</c:v>
                </c:pt>
                <c:pt idx="54">
                  <c:v>-7.7500000000014779</c:v>
                </c:pt>
                <c:pt idx="55">
                  <c:v>-8.5499999999996135</c:v>
                </c:pt>
                <c:pt idx="56">
                  <c:v>-8.1500000000005457</c:v>
                </c:pt>
                <c:pt idx="57">
                  <c:v>-8.2500000000038654</c:v>
                </c:pt>
                <c:pt idx="58">
                  <c:v>-8.6500000000029331</c:v>
                </c:pt>
                <c:pt idx="59">
                  <c:v>-7.5500000000090495</c:v>
                </c:pt>
                <c:pt idx="60">
                  <c:v>-8.1500000000005457</c:v>
                </c:pt>
                <c:pt idx="61">
                  <c:v>-8.350000000007185</c:v>
                </c:pt>
                <c:pt idx="62">
                  <c:v>-7.7500000000014779</c:v>
                </c:pt>
                <c:pt idx="63">
                  <c:v>-9.0500000000020009</c:v>
                </c:pt>
                <c:pt idx="64">
                  <c:v>-8.5499999999996135</c:v>
                </c:pt>
                <c:pt idx="65">
                  <c:v>-9.1500000000053205</c:v>
                </c:pt>
                <c:pt idx="66">
                  <c:v>-8.7500000000062528</c:v>
                </c:pt>
                <c:pt idx="68">
                  <c:v>-8.350000000007185</c:v>
                </c:pt>
                <c:pt idx="71">
                  <c:v>0</c:v>
                </c:pt>
                <c:pt idx="72">
                  <c:v>-9.1500000000053205</c:v>
                </c:pt>
                <c:pt idx="73">
                  <c:v>-8.9500000000128921</c:v>
                </c:pt>
                <c:pt idx="74">
                  <c:v>-9.4500000000152795</c:v>
                </c:pt>
                <c:pt idx="75">
                  <c:v>-9.1500000000053205</c:v>
                </c:pt>
                <c:pt idx="76">
                  <c:v>-9.1500000000053205</c:v>
                </c:pt>
                <c:pt idx="77">
                  <c:v>-9.1500000000053205</c:v>
                </c:pt>
                <c:pt idx="78">
                  <c:v>-9.8500000000143473</c:v>
                </c:pt>
                <c:pt idx="79">
                  <c:v>-8.9500000000128921</c:v>
                </c:pt>
                <c:pt idx="80">
                  <c:v>-9.2500000000086402</c:v>
                </c:pt>
                <c:pt idx="81">
                  <c:v>-9.7500000000110276</c:v>
                </c:pt>
                <c:pt idx="82">
                  <c:v>-9.9500000000176669</c:v>
                </c:pt>
                <c:pt idx="83">
                  <c:v>-8.9500000000128921</c:v>
                </c:pt>
                <c:pt idx="84">
                  <c:v>-9.1500000000053205</c:v>
                </c:pt>
                <c:pt idx="85">
                  <c:v>-9.5500000000043883</c:v>
                </c:pt>
                <c:pt idx="86">
                  <c:v>-10.650000000012483</c:v>
                </c:pt>
                <c:pt idx="87">
                  <c:v>-9.3500000000119599</c:v>
                </c:pt>
                <c:pt idx="88">
                  <c:v>-9.650000000007708</c:v>
                </c:pt>
                <c:pt idx="89">
                  <c:v>-9.650000000007708</c:v>
                </c:pt>
                <c:pt idx="90">
                  <c:v>-9.7500000000110276</c:v>
                </c:pt>
                <c:pt idx="91">
                  <c:v>-9.7500000000110276</c:v>
                </c:pt>
                <c:pt idx="93">
                  <c:v>-9.9500000000176669</c:v>
                </c:pt>
                <c:pt idx="94">
                  <c:v>-10.250000000013415</c:v>
                </c:pt>
                <c:pt idx="95">
                  <c:v>-10.650000000012483</c:v>
                </c:pt>
                <c:pt idx="96">
                  <c:v>-9.7500000000110276</c:v>
                </c:pt>
                <c:pt idx="97">
                  <c:v>-10.850000000004911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B02-481E-8C79-4DC4FAD20F8B}"/>
            </c:ext>
          </c:extLst>
        </c:ser>
        <c:ser>
          <c:idx val="6"/>
          <c:order val="4"/>
          <c:tx>
            <c:strRef>
              <c:f>Déplacements!$U$9</c:f>
              <c:strCache>
                <c:ptCount val="1"/>
                <c:pt idx="0">
                  <c:v>DZ inter droit</c:v>
                </c:pt>
              </c:strCache>
            </c:strRef>
          </c:tx>
          <c:spPr>
            <a:ln w="15875" cap="rnd">
              <a:solidFill>
                <a:schemeClr val="accent1">
                  <a:lumMod val="60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lumMod val="60000"/>
                      <a:tint val="50000"/>
                      <a:satMod val="300000"/>
                    </a:schemeClr>
                  </a:gs>
                  <a:gs pos="35000">
                    <a:schemeClr val="accent1">
                      <a:lumMod val="60000"/>
                      <a:tint val="37000"/>
                      <a:satMod val="300000"/>
                    </a:schemeClr>
                  </a:gs>
                  <a:gs pos="100000">
                    <a:schemeClr val="accent1">
                      <a:lumMod val="60000"/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1">
                    <a:lumMod val="60000"/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marker>
          <c:xVal>
            <c:numRef>
              <c:f>Déplacements!$B$10:$B$313</c:f>
              <c:numCache>
                <c:formatCode>dd\ /\ mm\ /\ yy</c:formatCode>
                <c:ptCount val="304"/>
                <c:pt idx="0">
                  <c:v>43655</c:v>
                </c:pt>
                <c:pt idx="1">
                  <c:v>43657</c:v>
                </c:pt>
                <c:pt idx="2">
                  <c:v>43661</c:v>
                </c:pt>
                <c:pt idx="3">
                  <c:v>43663</c:v>
                </c:pt>
                <c:pt idx="4">
                  <c:v>43669</c:v>
                </c:pt>
                <c:pt idx="5">
                  <c:v>43675</c:v>
                </c:pt>
                <c:pt idx="6">
                  <c:v>43679</c:v>
                </c:pt>
                <c:pt idx="7">
                  <c:v>43682</c:v>
                </c:pt>
                <c:pt idx="8">
                  <c:v>43684</c:v>
                </c:pt>
                <c:pt idx="9">
                  <c:v>43685</c:v>
                </c:pt>
                <c:pt idx="10">
                  <c:v>43689</c:v>
                </c:pt>
                <c:pt idx="11">
                  <c:v>43690</c:v>
                </c:pt>
                <c:pt idx="12">
                  <c:v>43696</c:v>
                </c:pt>
                <c:pt idx="13">
                  <c:v>43699</c:v>
                </c:pt>
                <c:pt idx="14">
                  <c:v>43703</c:v>
                </c:pt>
                <c:pt idx="15">
                  <c:v>43706</c:v>
                </c:pt>
                <c:pt idx="16">
                  <c:v>43710</c:v>
                </c:pt>
                <c:pt idx="17">
                  <c:v>43713</c:v>
                </c:pt>
                <c:pt idx="18">
                  <c:v>43718</c:v>
                </c:pt>
                <c:pt idx="19">
                  <c:v>43720</c:v>
                </c:pt>
                <c:pt idx="20">
                  <c:v>43724</c:v>
                </c:pt>
                <c:pt idx="21">
                  <c:v>43727</c:v>
                </c:pt>
                <c:pt idx="22">
                  <c:v>43731</c:v>
                </c:pt>
                <c:pt idx="23">
                  <c:v>43734</c:v>
                </c:pt>
                <c:pt idx="24">
                  <c:v>43738</c:v>
                </c:pt>
                <c:pt idx="25">
                  <c:v>43741</c:v>
                </c:pt>
                <c:pt idx="26">
                  <c:v>43746</c:v>
                </c:pt>
                <c:pt idx="27">
                  <c:v>43753</c:v>
                </c:pt>
                <c:pt idx="28">
                  <c:v>43756</c:v>
                </c:pt>
                <c:pt idx="29">
                  <c:v>43760</c:v>
                </c:pt>
                <c:pt idx="30">
                  <c:v>43762</c:v>
                </c:pt>
                <c:pt idx="31">
                  <c:v>43766</c:v>
                </c:pt>
                <c:pt idx="32">
                  <c:v>43769</c:v>
                </c:pt>
                <c:pt idx="33">
                  <c:v>43774</c:v>
                </c:pt>
                <c:pt idx="34">
                  <c:v>43776</c:v>
                </c:pt>
                <c:pt idx="35">
                  <c:v>43781</c:v>
                </c:pt>
                <c:pt idx="36">
                  <c:v>43783</c:v>
                </c:pt>
                <c:pt idx="37">
                  <c:v>43787</c:v>
                </c:pt>
                <c:pt idx="38">
                  <c:v>43790</c:v>
                </c:pt>
                <c:pt idx="39">
                  <c:v>43795</c:v>
                </c:pt>
                <c:pt idx="40">
                  <c:v>43797</c:v>
                </c:pt>
                <c:pt idx="41">
                  <c:v>43801</c:v>
                </c:pt>
                <c:pt idx="42">
                  <c:v>43803</c:v>
                </c:pt>
                <c:pt idx="43">
                  <c:v>43808</c:v>
                </c:pt>
                <c:pt idx="44">
                  <c:v>43811</c:v>
                </c:pt>
                <c:pt idx="45">
                  <c:v>43815</c:v>
                </c:pt>
                <c:pt idx="46">
                  <c:v>43818</c:v>
                </c:pt>
                <c:pt idx="47">
                  <c:v>43837</c:v>
                </c:pt>
                <c:pt idx="48">
                  <c:v>43843</c:v>
                </c:pt>
                <c:pt idx="49">
                  <c:v>43850</c:v>
                </c:pt>
                <c:pt idx="50">
                  <c:v>43857</c:v>
                </c:pt>
                <c:pt idx="51">
                  <c:v>43865</c:v>
                </c:pt>
                <c:pt idx="52">
                  <c:v>43878</c:v>
                </c:pt>
                <c:pt idx="53">
                  <c:v>43886</c:v>
                </c:pt>
                <c:pt idx="54">
                  <c:v>43896</c:v>
                </c:pt>
                <c:pt idx="55">
                  <c:v>43970</c:v>
                </c:pt>
                <c:pt idx="56">
                  <c:v>43977</c:v>
                </c:pt>
                <c:pt idx="57">
                  <c:v>43984</c:v>
                </c:pt>
                <c:pt idx="58">
                  <c:v>43990</c:v>
                </c:pt>
                <c:pt idx="59">
                  <c:v>43997</c:v>
                </c:pt>
                <c:pt idx="60">
                  <c:v>44004</c:v>
                </c:pt>
                <c:pt idx="61">
                  <c:v>44018</c:v>
                </c:pt>
                <c:pt idx="62">
                  <c:v>44027</c:v>
                </c:pt>
                <c:pt idx="63">
                  <c:v>44039</c:v>
                </c:pt>
                <c:pt idx="64">
                  <c:v>44053</c:v>
                </c:pt>
                <c:pt idx="65">
                  <c:v>44075</c:v>
                </c:pt>
                <c:pt idx="66">
                  <c:v>44082</c:v>
                </c:pt>
                <c:pt idx="67">
                  <c:v>44112</c:v>
                </c:pt>
                <c:pt idx="68">
                  <c:v>44134</c:v>
                </c:pt>
                <c:pt idx="70">
                  <c:v>44134</c:v>
                </c:pt>
                <c:pt idx="72">
                  <c:v>44140</c:v>
                </c:pt>
                <c:pt idx="73">
                  <c:v>44172</c:v>
                </c:pt>
                <c:pt idx="74">
                  <c:v>44186</c:v>
                </c:pt>
                <c:pt idx="75">
                  <c:v>44203</c:v>
                </c:pt>
                <c:pt idx="76">
                  <c:v>44229</c:v>
                </c:pt>
                <c:pt idx="77">
                  <c:v>44245</c:v>
                </c:pt>
                <c:pt idx="78">
                  <c:v>44273</c:v>
                </c:pt>
                <c:pt idx="79">
                  <c:v>44287</c:v>
                </c:pt>
                <c:pt idx="80">
                  <c:v>44308</c:v>
                </c:pt>
                <c:pt idx="81">
                  <c:v>44322</c:v>
                </c:pt>
                <c:pt idx="82">
                  <c:v>44337</c:v>
                </c:pt>
                <c:pt idx="83">
                  <c:v>44351</c:v>
                </c:pt>
                <c:pt idx="84">
                  <c:v>44357</c:v>
                </c:pt>
                <c:pt idx="85">
                  <c:v>44362</c:v>
                </c:pt>
                <c:pt idx="86">
                  <c:v>44364</c:v>
                </c:pt>
                <c:pt idx="87">
                  <c:v>44369</c:v>
                </c:pt>
                <c:pt idx="88">
                  <c:v>44376</c:v>
                </c:pt>
                <c:pt idx="89">
                  <c:v>44378</c:v>
                </c:pt>
                <c:pt idx="90">
                  <c:v>44392</c:v>
                </c:pt>
                <c:pt idx="91">
                  <c:v>44400</c:v>
                </c:pt>
                <c:pt idx="92">
                  <c:v>44410</c:v>
                </c:pt>
                <c:pt idx="93">
                  <c:v>44453</c:v>
                </c:pt>
                <c:pt idx="94">
                  <c:v>44470</c:v>
                </c:pt>
                <c:pt idx="95">
                  <c:v>44489</c:v>
                </c:pt>
                <c:pt idx="96">
                  <c:v>44502</c:v>
                </c:pt>
                <c:pt idx="97">
                  <c:v>44915</c:v>
                </c:pt>
              </c:numCache>
            </c:numRef>
          </c:xVal>
          <c:yVal>
            <c:numRef>
              <c:f>Déplacements!$U$10:$U$312</c:f>
              <c:numCache>
                <c:formatCode>\+\ 0.0;\-\ 0.0;\±\ 0.0</c:formatCode>
                <c:ptCount val="303"/>
                <c:pt idx="0">
                  <c:v>0</c:v>
                </c:pt>
                <c:pt idx="1">
                  <c:v>-0.15000000000497948</c:v>
                </c:pt>
                <c:pt idx="2">
                  <c:v>-0.95000000000311502</c:v>
                </c:pt>
                <c:pt idx="3">
                  <c:v>-0.25000000000829914</c:v>
                </c:pt>
                <c:pt idx="4">
                  <c:v>-0.84999999999979536</c:v>
                </c:pt>
                <c:pt idx="5">
                  <c:v>-0.95000000000311502</c:v>
                </c:pt>
                <c:pt idx="6">
                  <c:v>-0.35000000001161879</c:v>
                </c:pt>
                <c:pt idx="7">
                  <c:v>0</c:v>
                </c:pt>
                <c:pt idx="8">
                  <c:v>-1.1500000000097543</c:v>
                </c:pt>
                <c:pt idx="9">
                  <c:v>-0.55000000000404725</c:v>
                </c:pt>
                <c:pt idx="10">
                  <c:v>-1.0500000000064347</c:v>
                </c:pt>
                <c:pt idx="11">
                  <c:v>-0.65000000000736691</c:v>
                </c:pt>
                <c:pt idx="12">
                  <c:v>-0.35000000001161879</c:v>
                </c:pt>
                <c:pt idx="13">
                  <c:v>-0.75000000001068656</c:v>
                </c:pt>
                <c:pt idx="14">
                  <c:v>-0.84999999999979536</c:v>
                </c:pt>
                <c:pt idx="15">
                  <c:v>-0.95000000000311502</c:v>
                </c:pt>
                <c:pt idx="16">
                  <c:v>-1.0500000000064347</c:v>
                </c:pt>
                <c:pt idx="17">
                  <c:v>-1.3500000000021828</c:v>
                </c:pt>
                <c:pt idx="18">
                  <c:v>-0.75000000001068656</c:v>
                </c:pt>
                <c:pt idx="19">
                  <c:v>-0.4500000000007276</c:v>
                </c:pt>
                <c:pt idx="20">
                  <c:v>-1.1500000000097543</c:v>
                </c:pt>
                <c:pt idx="21">
                  <c:v>-1.1500000000097543</c:v>
                </c:pt>
                <c:pt idx="22">
                  <c:v>-1.1500000000097543</c:v>
                </c:pt>
                <c:pt idx="23">
                  <c:v>-1.250000000013074</c:v>
                </c:pt>
                <c:pt idx="24">
                  <c:v>-0.84999999999979536</c:v>
                </c:pt>
                <c:pt idx="25">
                  <c:v>-0.95000000000311502</c:v>
                </c:pt>
                <c:pt idx="26">
                  <c:v>-1.5999999999962711</c:v>
                </c:pt>
                <c:pt idx="27">
                  <c:v>-1.3833333333224118</c:v>
                </c:pt>
                <c:pt idx="28">
                  <c:v>-0.75000000001068656</c:v>
                </c:pt>
                <c:pt idx="29">
                  <c:v>-1.8500000000045702</c:v>
                </c:pt>
                <c:pt idx="30">
                  <c:v>-1.0500000000064347</c:v>
                </c:pt>
                <c:pt idx="31">
                  <c:v>-1.250000000013074</c:v>
                </c:pt>
                <c:pt idx="32">
                  <c:v>-1.0500000000064347</c:v>
                </c:pt>
                <c:pt idx="33">
                  <c:v>-1.4500000000055024</c:v>
                </c:pt>
                <c:pt idx="34">
                  <c:v>-1.0500000000064347</c:v>
                </c:pt>
                <c:pt idx="35">
                  <c:v>-1.1500000000097543</c:v>
                </c:pt>
                <c:pt idx="36">
                  <c:v>-1.250000000013074</c:v>
                </c:pt>
                <c:pt idx="37">
                  <c:v>-1.250000000013074</c:v>
                </c:pt>
                <c:pt idx="38">
                  <c:v>-1.1500000000097543</c:v>
                </c:pt>
                <c:pt idx="39">
                  <c:v>-1.3500000000021828</c:v>
                </c:pt>
                <c:pt idx="40">
                  <c:v>-1.250000000013074</c:v>
                </c:pt>
                <c:pt idx="41">
                  <c:v>-1.3500000000021828</c:v>
                </c:pt>
                <c:pt idx="42">
                  <c:v>-1.1500000000097543</c:v>
                </c:pt>
                <c:pt idx="43">
                  <c:v>-1.6500000000121418</c:v>
                </c:pt>
                <c:pt idx="44">
                  <c:v>-0.95000000000311502</c:v>
                </c:pt>
                <c:pt idx="45">
                  <c:v>-1.8500000000045702</c:v>
                </c:pt>
                <c:pt idx="46">
                  <c:v>-1.3500000000021828</c:v>
                </c:pt>
                <c:pt idx="47">
                  <c:v>-1.4500000000055024</c:v>
                </c:pt>
                <c:pt idx="48">
                  <c:v>-1.4500000000055024</c:v>
                </c:pt>
                <c:pt idx="49">
                  <c:v>-1.250000000013074</c:v>
                </c:pt>
                <c:pt idx="50">
                  <c:v>-1.4500000000055024</c:v>
                </c:pt>
                <c:pt idx="51">
                  <c:v>-1.9500000000078899</c:v>
                </c:pt>
                <c:pt idx="52">
                  <c:v>-1.9500000000078899</c:v>
                </c:pt>
                <c:pt idx="53">
                  <c:v>-1.7500000000012506</c:v>
                </c:pt>
                <c:pt idx="54">
                  <c:v>-1.6500000000121418</c:v>
                </c:pt>
                <c:pt idx="55">
                  <c:v>-1.7500000000012506</c:v>
                </c:pt>
                <c:pt idx="56">
                  <c:v>-1.6500000000121418</c:v>
                </c:pt>
                <c:pt idx="57">
                  <c:v>-1.7500000000012506</c:v>
                </c:pt>
                <c:pt idx="58">
                  <c:v>-2.1500000000003183</c:v>
                </c:pt>
                <c:pt idx="59">
                  <c:v>-0.84999999999979536</c:v>
                </c:pt>
                <c:pt idx="60">
                  <c:v>-1.5500000000088221</c:v>
                </c:pt>
                <c:pt idx="61">
                  <c:v>-1.6500000000121418</c:v>
                </c:pt>
                <c:pt idx="62">
                  <c:v>-0.95000000000311502</c:v>
                </c:pt>
                <c:pt idx="63">
                  <c:v>-2.250000000003638</c:v>
                </c:pt>
                <c:pt idx="64">
                  <c:v>-1.9500000000078899</c:v>
                </c:pt>
                <c:pt idx="65">
                  <c:v>-2.3500000000069576</c:v>
                </c:pt>
                <c:pt idx="66">
                  <c:v>-1.9500000000078899</c:v>
                </c:pt>
                <c:pt idx="67">
                  <c:v>-0.65000000000736691</c:v>
                </c:pt>
                <c:pt idx="68">
                  <c:v>-1.1500000000097543</c:v>
                </c:pt>
                <c:pt idx="72">
                  <c:v>-1.6500000000121418</c:v>
                </c:pt>
                <c:pt idx="73">
                  <c:v>-1.1500000000097543</c:v>
                </c:pt>
                <c:pt idx="74">
                  <c:v>-1.8500000000187811</c:v>
                </c:pt>
                <c:pt idx="75">
                  <c:v>-1.6500000000121418</c:v>
                </c:pt>
                <c:pt idx="76">
                  <c:v>-2.6500000000169166</c:v>
                </c:pt>
                <c:pt idx="77">
                  <c:v>-1.1500000000097543</c:v>
                </c:pt>
                <c:pt idx="78">
                  <c:v>-2.0500000000112095</c:v>
                </c:pt>
                <c:pt idx="79">
                  <c:v>-1.3500000000163936</c:v>
                </c:pt>
                <c:pt idx="80">
                  <c:v>-1.5500000000088221</c:v>
                </c:pt>
                <c:pt idx="81">
                  <c:v>-1.8500000000187811</c:v>
                </c:pt>
                <c:pt idx="82">
                  <c:v>-2.2500000000178488</c:v>
                </c:pt>
                <c:pt idx="83">
                  <c:v>-1.250000000013074</c:v>
                </c:pt>
                <c:pt idx="84">
                  <c:v>-1.3500000000163936</c:v>
                </c:pt>
                <c:pt idx="85">
                  <c:v>-1.9500000000078899</c:v>
                </c:pt>
                <c:pt idx="86">
                  <c:v>-2.6500000000169166</c:v>
                </c:pt>
                <c:pt idx="87">
                  <c:v>-1.5500000000088221</c:v>
                </c:pt>
                <c:pt idx="88">
                  <c:v>-1.8500000000187811</c:v>
                </c:pt>
                <c:pt idx="89">
                  <c:v>-1.9500000000078899</c:v>
                </c:pt>
                <c:pt idx="90">
                  <c:v>-1.8500000000187811</c:v>
                </c:pt>
                <c:pt idx="91">
                  <c:v>-1.8500000000187811</c:v>
                </c:pt>
                <c:pt idx="92">
                  <c:v>-1.8500000000187811</c:v>
                </c:pt>
                <c:pt idx="93">
                  <c:v>-2.0500000000112095</c:v>
                </c:pt>
                <c:pt idx="94">
                  <c:v>-1.9500000000078899</c:v>
                </c:pt>
                <c:pt idx="95">
                  <c:v>-2.4500000000102773</c:v>
                </c:pt>
                <c:pt idx="96">
                  <c:v>-1.5500000000088221</c:v>
                </c:pt>
                <c:pt idx="97">
                  <c:v>-1.9500000000078899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B02-481E-8C79-4DC4FAD20F8B}"/>
            </c:ext>
          </c:extLst>
        </c:ser>
        <c:ser>
          <c:idx val="8"/>
          <c:order val="6"/>
          <c:tx>
            <c:strRef>
              <c:f>Graphiques!#REF!</c:f>
              <c:strCache>
                <c:ptCount val="1"/>
                <c:pt idx="0">
                  <c:v>#REF!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none"/>
          </c:marker>
          <c:xVal>
            <c:numRef>
              <c:f>'Graphiques (100j)'!$AD$35:$AD$36</c:f>
              <c:numCache>
                <c:formatCode>m/d/yyyy</c:formatCode>
                <c:ptCount val="2"/>
              </c:numCache>
            </c:numRef>
          </c:xVal>
          <c:yVal>
            <c:numRef>
              <c:f>'Graphiques (100j)'!$AE$35:$AE$36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1B02-481E-8C79-4DC4FAD20F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6701424"/>
        <c:axId val="516701816"/>
      </c:scatterChart>
      <c:scatterChart>
        <c:scatterStyle val="lineMarker"/>
        <c:varyColors val="0"/>
        <c:ser>
          <c:idx val="7"/>
          <c:order val="5"/>
          <c:tx>
            <c:v>PM</c:v>
          </c:tx>
          <c:spPr>
            <a:ln w="15875" cap="rnd">
              <a:solidFill>
                <a:schemeClr val="accent2">
                  <a:lumMod val="60000"/>
                </a:schemeClr>
              </a:solidFill>
              <a:prstDash val="sysDot"/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none"/>
          </c:marker>
          <c:xVal>
            <c:numRef>
              <c:f>Déplacements!$B$10:$B$313</c:f>
              <c:numCache>
                <c:formatCode>dd\ /\ mm\ /\ yy</c:formatCode>
                <c:ptCount val="304"/>
                <c:pt idx="0">
                  <c:v>43655</c:v>
                </c:pt>
                <c:pt idx="1">
                  <c:v>43657</c:v>
                </c:pt>
                <c:pt idx="2">
                  <c:v>43661</c:v>
                </c:pt>
                <c:pt idx="3">
                  <c:v>43663</c:v>
                </c:pt>
                <c:pt idx="4">
                  <c:v>43669</c:v>
                </c:pt>
                <c:pt idx="5">
                  <c:v>43675</c:v>
                </c:pt>
                <c:pt idx="6">
                  <c:v>43679</c:v>
                </c:pt>
                <c:pt idx="7">
                  <c:v>43682</c:v>
                </c:pt>
                <c:pt idx="8">
                  <c:v>43684</c:v>
                </c:pt>
                <c:pt idx="9">
                  <c:v>43685</c:v>
                </c:pt>
                <c:pt idx="10">
                  <c:v>43689</c:v>
                </c:pt>
                <c:pt idx="11">
                  <c:v>43690</c:v>
                </c:pt>
                <c:pt idx="12">
                  <c:v>43696</c:v>
                </c:pt>
                <c:pt idx="13">
                  <c:v>43699</c:v>
                </c:pt>
                <c:pt idx="14">
                  <c:v>43703</c:v>
                </c:pt>
                <c:pt idx="15">
                  <c:v>43706</c:v>
                </c:pt>
                <c:pt idx="16">
                  <c:v>43710</c:v>
                </c:pt>
                <c:pt idx="17">
                  <c:v>43713</c:v>
                </c:pt>
                <c:pt idx="18">
                  <c:v>43718</c:v>
                </c:pt>
                <c:pt idx="19">
                  <c:v>43720</c:v>
                </c:pt>
                <c:pt idx="20">
                  <c:v>43724</c:v>
                </c:pt>
                <c:pt idx="21">
                  <c:v>43727</c:v>
                </c:pt>
                <c:pt idx="22">
                  <c:v>43731</c:v>
                </c:pt>
                <c:pt idx="23">
                  <c:v>43734</c:v>
                </c:pt>
                <c:pt idx="24">
                  <c:v>43738</c:v>
                </c:pt>
                <c:pt idx="25">
                  <c:v>43741</c:v>
                </c:pt>
                <c:pt idx="26">
                  <c:v>43746</c:v>
                </c:pt>
                <c:pt idx="27">
                  <c:v>43753</c:v>
                </c:pt>
                <c:pt idx="28">
                  <c:v>43756</c:v>
                </c:pt>
                <c:pt idx="29">
                  <c:v>43760</c:v>
                </c:pt>
                <c:pt idx="30">
                  <c:v>43762</c:v>
                </c:pt>
                <c:pt idx="31">
                  <c:v>43766</c:v>
                </c:pt>
                <c:pt idx="32">
                  <c:v>43769</c:v>
                </c:pt>
                <c:pt idx="33">
                  <c:v>43774</c:v>
                </c:pt>
                <c:pt idx="34">
                  <c:v>43776</c:v>
                </c:pt>
                <c:pt idx="35">
                  <c:v>43781</c:v>
                </c:pt>
                <c:pt idx="36">
                  <c:v>43783</c:v>
                </c:pt>
                <c:pt idx="37">
                  <c:v>43787</c:v>
                </c:pt>
                <c:pt idx="38">
                  <c:v>43790</c:v>
                </c:pt>
                <c:pt idx="39">
                  <c:v>43795</c:v>
                </c:pt>
                <c:pt idx="40">
                  <c:v>43797</c:v>
                </c:pt>
                <c:pt idx="41">
                  <c:v>43801</c:v>
                </c:pt>
                <c:pt idx="42">
                  <c:v>43803</c:v>
                </c:pt>
                <c:pt idx="43">
                  <c:v>43808</c:v>
                </c:pt>
                <c:pt idx="44">
                  <c:v>43811</c:v>
                </c:pt>
                <c:pt idx="45">
                  <c:v>43815</c:v>
                </c:pt>
                <c:pt idx="46">
                  <c:v>43818</c:v>
                </c:pt>
                <c:pt idx="47">
                  <c:v>43837</c:v>
                </c:pt>
                <c:pt idx="48">
                  <c:v>43843</c:v>
                </c:pt>
                <c:pt idx="49">
                  <c:v>43850</c:v>
                </c:pt>
                <c:pt idx="50">
                  <c:v>43857</c:v>
                </c:pt>
                <c:pt idx="51">
                  <c:v>43865</c:v>
                </c:pt>
                <c:pt idx="52">
                  <c:v>43878</c:v>
                </c:pt>
                <c:pt idx="53">
                  <c:v>43886</c:v>
                </c:pt>
                <c:pt idx="54">
                  <c:v>43896</c:v>
                </c:pt>
                <c:pt idx="55">
                  <c:v>43970</c:v>
                </c:pt>
                <c:pt idx="56">
                  <c:v>43977</c:v>
                </c:pt>
                <c:pt idx="57">
                  <c:v>43984</c:v>
                </c:pt>
                <c:pt idx="58">
                  <c:v>43990</c:v>
                </c:pt>
                <c:pt idx="59">
                  <c:v>43997</c:v>
                </c:pt>
                <c:pt idx="60">
                  <c:v>44004</c:v>
                </c:pt>
                <c:pt idx="61">
                  <c:v>44018</c:v>
                </c:pt>
                <c:pt idx="62">
                  <c:v>44027</c:v>
                </c:pt>
                <c:pt idx="63">
                  <c:v>44039</c:v>
                </c:pt>
                <c:pt idx="64">
                  <c:v>44053</c:v>
                </c:pt>
                <c:pt idx="65">
                  <c:v>44075</c:v>
                </c:pt>
                <c:pt idx="66">
                  <c:v>44082</c:v>
                </c:pt>
                <c:pt idx="67">
                  <c:v>44112</c:v>
                </c:pt>
                <c:pt idx="68">
                  <c:v>44134</c:v>
                </c:pt>
                <c:pt idx="70">
                  <c:v>44134</c:v>
                </c:pt>
                <c:pt idx="72">
                  <c:v>44140</c:v>
                </c:pt>
                <c:pt idx="73">
                  <c:v>44172</c:v>
                </c:pt>
                <c:pt idx="74">
                  <c:v>44186</c:v>
                </c:pt>
                <c:pt idx="75">
                  <c:v>44203</c:v>
                </c:pt>
                <c:pt idx="76">
                  <c:v>44229</c:v>
                </c:pt>
                <c:pt idx="77">
                  <c:v>44245</c:v>
                </c:pt>
                <c:pt idx="78">
                  <c:v>44273</c:v>
                </c:pt>
                <c:pt idx="79">
                  <c:v>44287</c:v>
                </c:pt>
                <c:pt idx="80">
                  <c:v>44308</c:v>
                </c:pt>
                <c:pt idx="81">
                  <c:v>44322</c:v>
                </c:pt>
                <c:pt idx="82">
                  <c:v>44337</c:v>
                </c:pt>
                <c:pt idx="83">
                  <c:v>44351</c:v>
                </c:pt>
                <c:pt idx="84">
                  <c:v>44357</c:v>
                </c:pt>
                <c:pt idx="85">
                  <c:v>44362</c:v>
                </c:pt>
                <c:pt idx="86">
                  <c:v>44364</c:v>
                </c:pt>
                <c:pt idx="87">
                  <c:v>44369</c:v>
                </c:pt>
                <c:pt idx="88">
                  <c:v>44376</c:v>
                </c:pt>
                <c:pt idx="89">
                  <c:v>44378</c:v>
                </c:pt>
                <c:pt idx="90">
                  <c:v>44392</c:v>
                </c:pt>
                <c:pt idx="91">
                  <c:v>44400</c:v>
                </c:pt>
                <c:pt idx="92">
                  <c:v>44410</c:v>
                </c:pt>
                <c:pt idx="93">
                  <c:v>44453</c:v>
                </c:pt>
                <c:pt idx="94">
                  <c:v>44470</c:v>
                </c:pt>
                <c:pt idx="95">
                  <c:v>44489</c:v>
                </c:pt>
                <c:pt idx="96">
                  <c:v>44502</c:v>
                </c:pt>
                <c:pt idx="97">
                  <c:v>44915</c:v>
                </c:pt>
              </c:numCache>
            </c:numRef>
          </c:xVal>
          <c:yVal>
            <c:numRef>
              <c:f>'Résultats observations'!$C$10:$C$311</c:f>
              <c:numCache>
                <c:formatCode>0.0</c:formatCode>
                <c:ptCount val="302"/>
                <c:pt idx="0">
                  <c:v>184.3</c:v>
                </c:pt>
                <c:pt idx="1">
                  <c:v>185.03</c:v>
                </c:pt>
                <c:pt idx="2">
                  <c:v>187.2</c:v>
                </c:pt>
                <c:pt idx="3">
                  <c:v>188.17</c:v>
                </c:pt>
                <c:pt idx="4">
                  <c:v>189.2</c:v>
                </c:pt>
                <c:pt idx="5">
                  <c:v>191.5</c:v>
                </c:pt>
                <c:pt idx="6">
                  <c:v>192.5</c:v>
                </c:pt>
                <c:pt idx="7">
                  <c:v>193.04</c:v>
                </c:pt>
                <c:pt idx="8">
                  <c:v>193.6</c:v>
                </c:pt>
                <c:pt idx="9">
                  <c:v>193.6</c:v>
                </c:pt>
                <c:pt idx="10">
                  <c:v>194.8</c:v>
                </c:pt>
                <c:pt idx="11">
                  <c:v>194.8</c:v>
                </c:pt>
                <c:pt idx="12">
                  <c:v>195.4</c:v>
                </c:pt>
                <c:pt idx="13">
                  <c:v>196.35</c:v>
                </c:pt>
                <c:pt idx="14">
                  <c:v>196.35</c:v>
                </c:pt>
                <c:pt idx="15">
                  <c:v>198.3</c:v>
                </c:pt>
                <c:pt idx="16">
                  <c:v>199.4</c:v>
                </c:pt>
                <c:pt idx="17">
                  <c:v>200.6</c:v>
                </c:pt>
                <c:pt idx="18">
                  <c:v>202.58</c:v>
                </c:pt>
                <c:pt idx="19">
                  <c:v>203.6</c:v>
                </c:pt>
                <c:pt idx="20">
                  <c:v>203.6</c:v>
                </c:pt>
                <c:pt idx="21">
                  <c:v>206.32</c:v>
                </c:pt>
                <c:pt idx="22">
                  <c:v>206.32</c:v>
                </c:pt>
                <c:pt idx="23">
                  <c:v>206.32</c:v>
                </c:pt>
                <c:pt idx="24">
                  <c:v>206.32</c:v>
                </c:pt>
                <c:pt idx="25">
                  <c:v>207.2</c:v>
                </c:pt>
                <c:pt idx="26">
                  <c:v>208.3</c:v>
                </c:pt>
                <c:pt idx="27">
                  <c:v>212.65</c:v>
                </c:pt>
                <c:pt idx="28">
                  <c:v>213.5</c:v>
                </c:pt>
                <c:pt idx="29">
                  <c:v>215</c:v>
                </c:pt>
                <c:pt idx="30">
                  <c:v>215</c:v>
                </c:pt>
                <c:pt idx="31">
                  <c:v>215.55</c:v>
                </c:pt>
                <c:pt idx="32">
                  <c:v>216.87</c:v>
                </c:pt>
                <c:pt idx="33">
                  <c:v>217.7</c:v>
                </c:pt>
                <c:pt idx="34">
                  <c:v>218.7</c:v>
                </c:pt>
                <c:pt idx="35">
                  <c:v>218.7</c:v>
                </c:pt>
                <c:pt idx="36">
                  <c:v>220.5</c:v>
                </c:pt>
                <c:pt idx="37">
                  <c:v>221.7</c:v>
                </c:pt>
                <c:pt idx="38">
                  <c:v>222.9</c:v>
                </c:pt>
                <c:pt idx="39">
                  <c:v>222.9</c:v>
                </c:pt>
                <c:pt idx="40">
                  <c:v>222.9</c:v>
                </c:pt>
                <c:pt idx="41">
                  <c:v>222.9</c:v>
                </c:pt>
                <c:pt idx="42">
                  <c:v>222.9</c:v>
                </c:pt>
                <c:pt idx="43">
                  <c:v>222.9</c:v>
                </c:pt>
                <c:pt idx="44">
                  <c:v>222.9</c:v>
                </c:pt>
                <c:pt idx="45">
                  <c:v>222.9</c:v>
                </c:pt>
                <c:pt idx="46">
                  <c:v>222.9</c:v>
                </c:pt>
                <c:pt idx="47">
                  <c:v>222.9</c:v>
                </c:pt>
                <c:pt idx="48">
                  <c:v>222.9</c:v>
                </c:pt>
                <c:pt idx="49">
                  <c:v>222.9</c:v>
                </c:pt>
                <c:pt idx="50">
                  <c:v>222.9</c:v>
                </c:pt>
                <c:pt idx="51">
                  <c:v>222.9</c:v>
                </c:pt>
                <c:pt idx="52">
                  <c:v>222.9</c:v>
                </c:pt>
                <c:pt idx="53">
                  <c:v>222.9</c:v>
                </c:pt>
                <c:pt idx="54">
                  <c:v>222.9</c:v>
                </c:pt>
                <c:pt idx="55">
                  <c:v>222.9</c:v>
                </c:pt>
                <c:pt idx="56">
                  <c:v>222.9</c:v>
                </c:pt>
                <c:pt idx="57">
                  <c:v>222.9</c:v>
                </c:pt>
                <c:pt idx="58">
                  <c:v>222.9</c:v>
                </c:pt>
                <c:pt idx="59">
                  <c:v>223.9</c:v>
                </c:pt>
                <c:pt idx="60">
                  <c:v>223.9</c:v>
                </c:pt>
                <c:pt idx="61">
                  <c:v>223.9</c:v>
                </c:pt>
                <c:pt idx="62">
                  <c:v>223.9</c:v>
                </c:pt>
                <c:pt idx="63">
                  <c:v>223.9</c:v>
                </c:pt>
                <c:pt idx="64">
                  <c:v>223.9</c:v>
                </c:pt>
                <c:pt idx="65">
                  <c:v>223.9</c:v>
                </c:pt>
                <c:pt idx="66">
                  <c:v>223.9</c:v>
                </c:pt>
                <c:pt idx="67">
                  <c:v>223.9</c:v>
                </c:pt>
                <c:pt idx="68">
                  <c:v>223.9</c:v>
                </c:pt>
                <c:pt idx="70">
                  <c:v>223.9</c:v>
                </c:pt>
                <c:pt idx="72">
                  <c:v>223.9</c:v>
                </c:pt>
                <c:pt idx="73">
                  <c:v>223.9</c:v>
                </c:pt>
                <c:pt idx="74">
                  <c:v>223.9</c:v>
                </c:pt>
                <c:pt idx="75">
                  <c:v>223.9</c:v>
                </c:pt>
                <c:pt idx="76">
                  <c:v>223.9</c:v>
                </c:pt>
                <c:pt idx="77">
                  <c:v>223.9</c:v>
                </c:pt>
                <c:pt idx="78">
                  <c:v>223.9</c:v>
                </c:pt>
                <c:pt idx="79">
                  <c:v>223.9</c:v>
                </c:pt>
                <c:pt idx="80">
                  <c:v>223.9</c:v>
                </c:pt>
                <c:pt idx="81">
                  <c:v>223.9</c:v>
                </c:pt>
                <c:pt idx="82">
                  <c:v>223.9</c:v>
                </c:pt>
                <c:pt idx="83">
                  <c:v>223.9</c:v>
                </c:pt>
                <c:pt idx="84">
                  <c:v>223.9</c:v>
                </c:pt>
                <c:pt idx="85">
                  <c:v>223.9</c:v>
                </c:pt>
                <c:pt idx="86">
                  <c:v>223.9</c:v>
                </c:pt>
                <c:pt idx="87">
                  <c:v>223.9</c:v>
                </c:pt>
                <c:pt idx="88">
                  <c:v>223.9</c:v>
                </c:pt>
                <c:pt idx="89">
                  <c:v>223.9</c:v>
                </c:pt>
                <c:pt idx="90">
                  <c:v>223.9</c:v>
                </c:pt>
                <c:pt idx="91">
                  <c:v>223.9</c:v>
                </c:pt>
                <c:pt idx="92">
                  <c:v>223.9</c:v>
                </c:pt>
                <c:pt idx="93">
                  <c:v>223.9</c:v>
                </c:pt>
                <c:pt idx="94">
                  <c:v>223.9</c:v>
                </c:pt>
                <c:pt idx="95">
                  <c:v>223.9</c:v>
                </c:pt>
                <c:pt idx="96">
                  <c:v>223.9</c:v>
                </c:pt>
                <c:pt idx="97">
                  <c:v>223.9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B02-481E-8C79-4DC4FAD20F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6702600"/>
        <c:axId val="516702208"/>
      </c:scatterChart>
      <c:valAx>
        <c:axId val="516701424"/>
        <c:scaling>
          <c:orientation val="minMax"/>
          <c:max val="44917"/>
          <c:min val="4428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Date</a:t>
                </a:r>
              </a:p>
            </c:rich>
          </c:tx>
          <c:layout>
            <c:manualLayout>
              <c:xMode val="edge"/>
              <c:yMode val="edge"/>
              <c:x val="0.91621151220831765"/>
              <c:y val="0.8522671490388025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dd/mm/yyyy" sourceLinked="0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16701816"/>
        <c:crossesAt val="0"/>
        <c:crossBetween val="midCat"/>
        <c:majorUnit val="50"/>
      </c:valAx>
      <c:valAx>
        <c:axId val="516701816"/>
        <c:scaling>
          <c:orientation val="minMax"/>
          <c:max val="5"/>
          <c:min val="-4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>
              <a:solidFill>
                <a:schemeClr val="tx1">
                  <a:lumMod val="5000"/>
                  <a:lumOff val="95000"/>
                </a:schemeClr>
              </a:solidFill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Déplacement [mm]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\+\ 0.0;\-\ 0.0;\±\ 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16701424"/>
        <c:crosses val="autoZero"/>
        <c:crossBetween val="midCat"/>
        <c:majorUnit val="5"/>
        <c:minorUnit val="1"/>
      </c:valAx>
      <c:valAx>
        <c:axId val="516702208"/>
        <c:scaling>
          <c:orientation val="minMax"/>
          <c:min val="180"/>
        </c:scaling>
        <c:delete val="0"/>
        <c:axPos val="r"/>
        <c:numFmt formatCode="0.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16702600"/>
        <c:crosses val="max"/>
        <c:crossBetween val="midCat"/>
      </c:valAx>
      <c:valAx>
        <c:axId val="516702600"/>
        <c:scaling>
          <c:orientation val="minMax"/>
        </c:scaling>
        <c:delete val="1"/>
        <c:axPos val="b"/>
        <c:numFmt formatCode="dd\ /\ mm\ /\ yy" sourceLinked="1"/>
        <c:majorTickMark val="out"/>
        <c:minorTickMark val="none"/>
        <c:tickLblPos val="nextTo"/>
        <c:crossAx val="5167022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5"/>
        <c:delete val="1"/>
      </c:legendEntry>
      <c:layout>
        <c:manualLayout>
          <c:xMode val="edge"/>
          <c:yMode val="edge"/>
          <c:x val="0.25723300710509156"/>
          <c:y val="0.63094378704744281"/>
          <c:w val="0.59545744649755628"/>
          <c:h val="0.1423754434675304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span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 alignWithMargins="0"/>
    <c:pageMargins b="0.98425196899999956" l="0.78740157499999996" r="0.78740157499999996" t="0.98425196899999956" header="0.49212598450000444" footer="0.49212598450000444"/>
    <c:pageSetup paperSize="9"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Déplacement en PM</a:t>
            </a:r>
          </a:p>
        </c:rich>
      </c:tx>
      <c:layout>
        <c:manualLayout>
          <c:xMode val="edge"/>
          <c:yMode val="edge"/>
          <c:x val="0.39544064320853911"/>
          <c:y val="1.574107849133844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8.6758248843572708E-2"/>
          <c:y val="5.9742866745908424E-2"/>
          <c:w val="0.8201330150247067"/>
          <c:h val="0.74711986067519143"/>
        </c:manualLayout>
      </c:layout>
      <c:scatterChart>
        <c:scatterStyle val="lineMarker"/>
        <c:varyColors val="0"/>
        <c:ser>
          <c:idx val="1"/>
          <c:order val="0"/>
          <c:tx>
            <c:strRef>
              <c:f>Déplacements!$K$9</c:f>
              <c:strCache>
                <c:ptCount val="1"/>
                <c:pt idx="0">
                  <c:v>DPM centre haut</c:v>
                </c:pt>
              </c:strCache>
            </c:strRef>
          </c:tx>
          <c:spPr>
            <a:ln w="15875" cap="rnd">
              <a:solidFill>
                <a:schemeClr val="accent2"/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2">
                      <a:tint val="50000"/>
                      <a:satMod val="300000"/>
                    </a:schemeClr>
                  </a:gs>
                  <a:gs pos="35000">
                    <a:schemeClr val="accent2">
                      <a:tint val="37000"/>
                      <a:satMod val="300000"/>
                    </a:schemeClr>
                  </a:gs>
                  <a:gs pos="100000">
                    <a:schemeClr val="accent2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marker>
          <c:xVal>
            <c:numRef>
              <c:f>Déplacements!$B$10:$B$133</c:f>
              <c:numCache>
                <c:formatCode>dd\ /\ mm\ /\ yy</c:formatCode>
                <c:ptCount val="124"/>
                <c:pt idx="0">
                  <c:v>43655</c:v>
                </c:pt>
                <c:pt idx="1">
                  <c:v>43657</c:v>
                </c:pt>
                <c:pt idx="2">
                  <c:v>43661</c:v>
                </c:pt>
                <c:pt idx="3">
                  <c:v>43663</c:v>
                </c:pt>
                <c:pt idx="4">
                  <c:v>43669</c:v>
                </c:pt>
                <c:pt idx="5">
                  <c:v>43675</c:v>
                </c:pt>
                <c:pt idx="6">
                  <c:v>43679</c:v>
                </c:pt>
                <c:pt idx="7">
                  <c:v>43682</c:v>
                </c:pt>
                <c:pt idx="8">
                  <c:v>43684</c:v>
                </c:pt>
                <c:pt idx="9">
                  <c:v>43685</c:v>
                </c:pt>
                <c:pt idx="10">
                  <c:v>43689</c:v>
                </c:pt>
                <c:pt idx="11">
                  <c:v>43690</c:v>
                </c:pt>
                <c:pt idx="12">
                  <c:v>43696</c:v>
                </c:pt>
                <c:pt idx="13">
                  <c:v>43699</c:v>
                </c:pt>
                <c:pt idx="14">
                  <c:v>43703</c:v>
                </c:pt>
                <c:pt idx="15">
                  <c:v>43706</c:v>
                </c:pt>
                <c:pt idx="16">
                  <c:v>43710</c:v>
                </c:pt>
                <c:pt idx="17">
                  <c:v>43713</c:v>
                </c:pt>
                <c:pt idx="18">
                  <c:v>43718</c:v>
                </c:pt>
                <c:pt idx="19">
                  <c:v>43720</c:v>
                </c:pt>
                <c:pt idx="20">
                  <c:v>43724</c:v>
                </c:pt>
                <c:pt idx="21">
                  <c:v>43727</c:v>
                </c:pt>
                <c:pt idx="22">
                  <c:v>43731</c:v>
                </c:pt>
                <c:pt idx="23">
                  <c:v>43734</c:v>
                </c:pt>
                <c:pt idx="24">
                  <c:v>43738</c:v>
                </c:pt>
                <c:pt idx="25">
                  <c:v>43741</c:v>
                </c:pt>
                <c:pt idx="26">
                  <c:v>43746</c:v>
                </c:pt>
                <c:pt idx="27">
                  <c:v>43753</c:v>
                </c:pt>
                <c:pt idx="28">
                  <c:v>43756</c:v>
                </c:pt>
                <c:pt idx="29">
                  <c:v>43760</c:v>
                </c:pt>
                <c:pt idx="30">
                  <c:v>43762</c:v>
                </c:pt>
                <c:pt idx="31">
                  <c:v>43766</c:v>
                </c:pt>
                <c:pt idx="32">
                  <c:v>43769</c:v>
                </c:pt>
                <c:pt idx="33">
                  <c:v>43774</c:v>
                </c:pt>
                <c:pt idx="34">
                  <c:v>43776</c:v>
                </c:pt>
                <c:pt idx="35">
                  <c:v>43781</c:v>
                </c:pt>
                <c:pt idx="36">
                  <c:v>43783</c:v>
                </c:pt>
                <c:pt idx="37">
                  <c:v>43787</c:v>
                </c:pt>
                <c:pt idx="38">
                  <c:v>43790</c:v>
                </c:pt>
                <c:pt idx="39">
                  <c:v>43795</c:v>
                </c:pt>
                <c:pt idx="40">
                  <c:v>43797</c:v>
                </c:pt>
                <c:pt idx="41">
                  <c:v>43801</c:v>
                </c:pt>
                <c:pt idx="42">
                  <c:v>43803</c:v>
                </c:pt>
                <c:pt idx="43">
                  <c:v>43808</c:v>
                </c:pt>
                <c:pt idx="44">
                  <c:v>43811</c:v>
                </c:pt>
                <c:pt idx="45">
                  <c:v>43815</c:v>
                </c:pt>
                <c:pt idx="46">
                  <c:v>43818</c:v>
                </c:pt>
                <c:pt idx="47">
                  <c:v>43837</c:v>
                </c:pt>
                <c:pt idx="48">
                  <c:v>43843</c:v>
                </c:pt>
                <c:pt idx="49">
                  <c:v>43850</c:v>
                </c:pt>
                <c:pt idx="50">
                  <c:v>43857</c:v>
                </c:pt>
                <c:pt idx="51">
                  <c:v>43865</c:v>
                </c:pt>
                <c:pt idx="52">
                  <c:v>43878</c:v>
                </c:pt>
                <c:pt idx="53">
                  <c:v>43886</c:v>
                </c:pt>
                <c:pt idx="54">
                  <c:v>43896</c:v>
                </c:pt>
                <c:pt idx="55">
                  <c:v>43970</c:v>
                </c:pt>
                <c:pt idx="56">
                  <c:v>43977</c:v>
                </c:pt>
                <c:pt idx="57">
                  <c:v>43984</c:v>
                </c:pt>
                <c:pt idx="58">
                  <c:v>43990</c:v>
                </c:pt>
                <c:pt idx="59">
                  <c:v>43997</c:v>
                </c:pt>
                <c:pt idx="60">
                  <c:v>44004</c:v>
                </c:pt>
                <c:pt idx="61">
                  <c:v>44018</c:v>
                </c:pt>
                <c:pt idx="62">
                  <c:v>44027</c:v>
                </c:pt>
                <c:pt idx="63">
                  <c:v>44039</c:v>
                </c:pt>
                <c:pt idx="64">
                  <c:v>44053</c:v>
                </c:pt>
                <c:pt idx="65">
                  <c:v>44075</c:v>
                </c:pt>
                <c:pt idx="66">
                  <c:v>44082</c:v>
                </c:pt>
                <c:pt idx="67">
                  <c:v>44112</c:v>
                </c:pt>
                <c:pt idx="68">
                  <c:v>44134</c:v>
                </c:pt>
                <c:pt idx="70">
                  <c:v>44134</c:v>
                </c:pt>
                <c:pt idx="72">
                  <c:v>44140</c:v>
                </c:pt>
                <c:pt idx="73">
                  <c:v>44172</c:v>
                </c:pt>
                <c:pt idx="74">
                  <c:v>44186</c:v>
                </c:pt>
                <c:pt idx="75">
                  <c:v>44203</c:v>
                </c:pt>
                <c:pt idx="76">
                  <c:v>44229</c:v>
                </c:pt>
                <c:pt idx="77">
                  <c:v>44245</c:v>
                </c:pt>
                <c:pt idx="78">
                  <c:v>44273</c:v>
                </c:pt>
                <c:pt idx="79">
                  <c:v>44287</c:v>
                </c:pt>
                <c:pt idx="80">
                  <c:v>44308</c:v>
                </c:pt>
                <c:pt idx="81">
                  <c:v>44322</c:v>
                </c:pt>
                <c:pt idx="82">
                  <c:v>44337</c:v>
                </c:pt>
                <c:pt idx="83">
                  <c:v>44351</c:v>
                </c:pt>
                <c:pt idx="84">
                  <c:v>44357</c:v>
                </c:pt>
                <c:pt idx="85">
                  <c:v>44362</c:v>
                </c:pt>
                <c:pt idx="86">
                  <c:v>44364</c:v>
                </c:pt>
                <c:pt idx="87">
                  <c:v>44369</c:v>
                </c:pt>
                <c:pt idx="88">
                  <c:v>44376</c:v>
                </c:pt>
                <c:pt idx="89">
                  <c:v>44378</c:v>
                </c:pt>
                <c:pt idx="90">
                  <c:v>44392</c:v>
                </c:pt>
                <c:pt idx="91">
                  <c:v>44400</c:v>
                </c:pt>
                <c:pt idx="92">
                  <c:v>44410</c:v>
                </c:pt>
                <c:pt idx="93">
                  <c:v>44453</c:v>
                </c:pt>
                <c:pt idx="94">
                  <c:v>44470</c:v>
                </c:pt>
                <c:pt idx="95">
                  <c:v>44489</c:v>
                </c:pt>
                <c:pt idx="96">
                  <c:v>44502</c:v>
                </c:pt>
                <c:pt idx="97">
                  <c:v>44915</c:v>
                </c:pt>
              </c:numCache>
            </c:numRef>
          </c:xVal>
          <c:yVal>
            <c:numRef>
              <c:f>Déplacements!$K$10:$K$132</c:f>
              <c:numCache>
                <c:formatCode>\+\ 0.0;\-\ 0.0;\±\ 0.0</c:formatCode>
                <c:ptCount val="123"/>
                <c:pt idx="0">
                  <c:v>0</c:v>
                </c:pt>
                <c:pt idx="1">
                  <c:v>0.40000000001327862</c:v>
                </c:pt>
                <c:pt idx="2">
                  <c:v>0.90000000000145519</c:v>
                </c:pt>
                <c:pt idx="3">
                  <c:v>0.69999999999481588</c:v>
                </c:pt>
                <c:pt idx="4">
                  <c:v>-0.59999999999149622</c:v>
                </c:pt>
                <c:pt idx="5">
                  <c:v>-1.2000000000114142</c:v>
                </c:pt>
                <c:pt idx="6">
                  <c:v>-1.0686999999904856</c:v>
                </c:pt>
                <c:pt idx="7">
                  <c:v>-1.7209699263105449</c:v>
                </c:pt>
                <c:pt idx="8">
                  <c:v>-0.87519999999585707</c:v>
                </c:pt>
                <c:pt idx="9">
                  <c:v>-0.85079999999493339</c:v>
                </c:pt>
                <c:pt idx="10">
                  <c:v>-2.300899999994499</c:v>
                </c:pt>
                <c:pt idx="11">
                  <c:v>-2.0106999999995878</c:v>
                </c:pt>
                <c:pt idx="12">
                  <c:v>-1.5999999999962711</c:v>
                </c:pt>
                <c:pt idx="13">
                  <c:v>-1.90000000000623</c:v>
                </c:pt>
                <c:pt idx="14">
                  <c:v>-2.9000000000110049</c:v>
                </c:pt>
                <c:pt idx="15">
                  <c:v>-2.9000000000110049</c:v>
                </c:pt>
                <c:pt idx="16">
                  <c:v>-3.2999999999958618</c:v>
                </c:pt>
                <c:pt idx="17">
                  <c:v>-3.5000000000025011</c:v>
                </c:pt>
                <c:pt idx="18">
                  <c:v>-3.0860804203314274</c:v>
                </c:pt>
                <c:pt idx="19">
                  <c:v>-3.2999999999958618</c:v>
                </c:pt>
                <c:pt idx="20">
                  <c:v>-3.7000000000091404</c:v>
                </c:pt>
                <c:pt idx="21">
                  <c:v>-3.2999999999958618</c:v>
                </c:pt>
                <c:pt idx="22">
                  <c:v>-4.6000000000105956</c:v>
                </c:pt>
                <c:pt idx="23">
                  <c:v>-4.199999999997317</c:v>
                </c:pt>
                <c:pt idx="24">
                  <c:v>-4.5662151851786348</c:v>
                </c:pt>
                <c:pt idx="25">
                  <c:v>-4.500000000007276</c:v>
                </c:pt>
                <c:pt idx="26">
                  <c:v>-4.599545461701382</c:v>
                </c:pt>
                <c:pt idx="27">
                  <c:v>-4.2190166107616278</c:v>
                </c:pt>
                <c:pt idx="28">
                  <c:v>-4.5422464690716424</c:v>
                </c:pt>
                <c:pt idx="29">
                  <c:v>-4.4333208995226414</c:v>
                </c:pt>
                <c:pt idx="30">
                  <c:v>-4.8986644992510264</c:v>
                </c:pt>
                <c:pt idx="31">
                  <c:v>-5.4180444434450692</c:v>
                </c:pt>
                <c:pt idx="32">
                  <c:v>-4.675140853208859</c:v>
                </c:pt>
                <c:pt idx="33">
                  <c:v>-4.9709972496714272</c:v>
                </c:pt>
                <c:pt idx="34">
                  <c:v>-4.8999999999921329</c:v>
                </c:pt>
                <c:pt idx="35">
                  <c:v>-5.3000000000054115</c:v>
                </c:pt>
                <c:pt idx="36">
                  <c:v>-5.2000000000020918</c:v>
                </c:pt>
                <c:pt idx="37">
                  <c:v>-5.5000000000120508</c:v>
                </c:pt>
                <c:pt idx="38">
                  <c:v>-5.5000000000120508</c:v>
                </c:pt>
                <c:pt idx="39">
                  <c:v>-5.2000000000020918</c:v>
                </c:pt>
                <c:pt idx="40">
                  <c:v>-5.8999999999969077</c:v>
                </c:pt>
                <c:pt idx="41">
                  <c:v>-5.3000000000054115</c:v>
                </c:pt>
                <c:pt idx="42">
                  <c:v>-5.3000000000054115</c:v>
                </c:pt>
                <c:pt idx="43">
                  <c:v>-6.0947140828204738</c:v>
                </c:pt>
                <c:pt idx="44">
                  <c:v>-5.7999999999935881</c:v>
                </c:pt>
                <c:pt idx="45">
                  <c:v>-5.8999999999969077</c:v>
                </c:pt>
                <c:pt idx="46">
                  <c:v>-5.7999999999935881</c:v>
                </c:pt>
                <c:pt idx="47">
                  <c:v>-6.100000000003547</c:v>
                </c:pt>
                <c:pt idx="48">
                  <c:v>-6.400000000013506</c:v>
                </c:pt>
                <c:pt idx="49">
                  <c:v>-6.100000000003547</c:v>
                </c:pt>
                <c:pt idx="50">
                  <c:v>-6.2000000000068667</c:v>
                </c:pt>
                <c:pt idx="51">
                  <c:v>-6.100000000003547</c:v>
                </c:pt>
                <c:pt idx="52">
                  <c:v>-6.2000000000068667</c:v>
                </c:pt>
                <c:pt idx="53">
                  <c:v>-5.7999999999935881</c:v>
                </c:pt>
                <c:pt idx="54">
                  <c:v>-6.5999999999917236</c:v>
                </c:pt>
                <c:pt idx="55">
                  <c:v>-7.1000000000083219</c:v>
                </c:pt>
                <c:pt idx="56">
                  <c:v>-6.6999999999950433</c:v>
                </c:pt>
                <c:pt idx="57">
                  <c:v>-6.7953525438326778</c:v>
                </c:pt>
                <c:pt idx="58">
                  <c:v>-7.4476270760044372</c:v>
                </c:pt>
                <c:pt idx="59">
                  <c:v>-7.1818382023138838</c:v>
                </c:pt>
                <c:pt idx="60">
                  <c:v>-7.1517705810890675</c:v>
                </c:pt>
                <c:pt idx="61">
                  <c:v>-7.3752941216298495</c:v>
                </c:pt>
                <c:pt idx="62">
                  <c:v>-7.7012182448754629</c:v>
                </c:pt>
                <c:pt idx="63">
                  <c:v>-7.4959910048164602</c:v>
                </c:pt>
                <c:pt idx="64">
                  <c:v>-7.7195146508870494</c:v>
                </c:pt>
                <c:pt idx="68">
                  <c:v>-8.190957057365722</c:v>
                </c:pt>
                <c:pt idx="72">
                  <c:v>-7.0375990996751625</c:v>
                </c:pt>
                <c:pt idx="73">
                  <c:v>-8.3726419724712287</c:v>
                </c:pt>
                <c:pt idx="74">
                  <c:v>-6.317430817460945</c:v>
                </c:pt>
                <c:pt idx="75">
                  <c:v>-7.4667762714284436</c:v>
                </c:pt>
                <c:pt idx="76">
                  <c:v>-7.3174308174657199</c:v>
                </c:pt>
                <c:pt idx="77">
                  <c:v>-7.188789791371164</c:v>
                </c:pt>
                <c:pt idx="78">
                  <c:v>-7.8288667171477755</c:v>
                </c:pt>
                <c:pt idx="79">
                  <c:v>-8.3125066244633672</c:v>
                </c:pt>
                <c:pt idx="80">
                  <c:v>-7.2127586129511201</c:v>
                </c:pt>
                <c:pt idx="81">
                  <c:v>-7.0436978008672213</c:v>
                </c:pt>
                <c:pt idx="82">
                  <c:v>-7.9133970739917459</c:v>
                </c:pt>
                <c:pt idx="83">
                  <c:v>-7.4301834522714216</c:v>
                </c:pt>
                <c:pt idx="84">
                  <c:v>-8.0279950520605325</c:v>
                </c:pt>
                <c:pt idx="85">
                  <c:v>-7.8044715044143231</c:v>
                </c:pt>
                <c:pt idx="86">
                  <c:v>-8.5234062730137339</c:v>
                </c:pt>
                <c:pt idx="87">
                  <c:v>-7.9072982672414582</c:v>
                </c:pt>
                <c:pt idx="88">
                  <c:v>-7.9495633964654644</c:v>
                </c:pt>
                <c:pt idx="89">
                  <c:v>-8.070260279652075</c:v>
                </c:pt>
                <c:pt idx="90">
                  <c:v>-7.9979275292032526</c:v>
                </c:pt>
                <c:pt idx="91">
                  <c:v>-8.5173074733688736</c:v>
                </c:pt>
                <c:pt idx="92">
                  <c:v>-7.7683049780148394</c:v>
                </c:pt>
                <c:pt idx="93">
                  <c:v>-9.0549839219420392</c:v>
                </c:pt>
                <c:pt idx="94">
                  <c:v>-8.462844737806563</c:v>
                </c:pt>
                <c:pt idx="95">
                  <c:v>-8.7830963470310053</c:v>
                </c:pt>
                <c:pt idx="96">
                  <c:v>-8.9159907311398001</c:v>
                </c:pt>
                <c:pt idx="97">
                  <c:v>-10.251459995089363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389-4B8E-B1F3-ED080CF4A12E}"/>
            </c:ext>
          </c:extLst>
        </c:ser>
        <c:ser>
          <c:idx val="3"/>
          <c:order val="1"/>
          <c:tx>
            <c:strRef>
              <c:f>Déplacements!$G$9</c:f>
              <c:strCache>
                <c:ptCount val="1"/>
                <c:pt idx="0">
                  <c:v>DPM haut gauche</c:v>
                </c:pt>
              </c:strCache>
            </c:strRef>
          </c:tx>
          <c:spPr>
            <a:ln w="15875" cap="rnd">
              <a:solidFill>
                <a:schemeClr val="accent4"/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4">
                      <a:tint val="50000"/>
                      <a:satMod val="300000"/>
                    </a:schemeClr>
                  </a:gs>
                  <a:gs pos="35000">
                    <a:schemeClr val="accent4">
                      <a:tint val="37000"/>
                      <a:satMod val="300000"/>
                    </a:schemeClr>
                  </a:gs>
                  <a:gs pos="100000">
                    <a:schemeClr val="accent4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marker>
          <c:xVal>
            <c:numRef>
              <c:f>Déplacements!$B$10:$B$133</c:f>
              <c:numCache>
                <c:formatCode>dd\ /\ mm\ /\ yy</c:formatCode>
                <c:ptCount val="124"/>
                <c:pt idx="0">
                  <c:v>43655</c:v>
                </c:pt>
                <c:pt idx="1">
                  <c:v>43657</c:v>
                </c:pt>
                <c:pt idx="2">
                  <c:v>43661</c:v>
                </c:pt>
                <c:pt idx="3">
                  <c:v>43663</c:v>
                </c:pt>
                <c:pt idx="4">
                  <c:v>43669</c:v>
                </c:pt>
                <c:pt idx="5">
                  <c:v>43675</c:v>
                </c:pt>
                <c:pt idx="6">
                  <c:v>43679</c:v>
                </c:pt>
                <c:pt idx="7">
                  <c:v>43682</c:v>
                </c:pt>
                <c:pt idx="8">
                  <c:v>43684</c:v>
                </c:pt>
                <c:pt idx="9">
                  <c:v>43685</c:v>
                </c:pt>
                <c:pt idx="10">
                  <c:v>43689</c:v>
                </c:pt>
                <c:pt idx="11">
                  <c:v>43690</c:v>
                </c:pt>
                <c:pt idx="12">
                  <c:v>43696</c:v>
                </c:pt>
                <c:pt idx="13">
                  <c:v>43699</c:v>
                </c:pt>
                <c:pt idx="14">
                  <c:v>43703</c:v>
                </c:pt>
                <c:pt idx="15">
                  <c:v>43706</c:v>
                </c:pt>
                <c:pt idx="16">
                  <c:v>43710</c:v>
                </c:pt>
                <c:pt idx="17">
                  <c:v>43713</c:v>
                </c:pt>
                <c:pt idx="18">
                  <c:v>43718</c:v>
                </c:pt>
                <c:pt idx="19">
                  <c:v>43720</c:v>
                </c:pt>
                <c:pt idx="20">
                  <c:v>43724</c:v>
                </c:pt>
                <c:pt idx="21">
                  <c:v>43727</c:v>
                </c:pt>
                <c:pt idx="22">
                  <c:v>43731</c:v>
                </c:pt>
                <c:pt idx="23">
                  <c:v>43734</c:v>
                </c:pt>
                <c:pt idx="24">
                  <c:v>43738</c:v>
                </c:pt>
                <c:pt idx="25">
                  <c:v>43741</c:v>
                </c:pt>
                <c:pt idx="26">
                  <c:v>43746</c:v>
                </c:pt>
                <c:pt idx="27">
                  <c:v>43753</c:v>
                </c:pt>
                <c:pt idx="28">
                  <c:v>43756</c:v>
                </c:pt>
                <c:pt idx="29">
                  <c:v>43760</c:v>
                </c:pt>
                <c:pt idx="30">
                  <c:v>43762</c:v>
                </c:pt>
                <c:pt idx="31">
                  <c:v>43766</c:v>
                </c:pt>
                <c:pt idx="32">
                  <c:v>43769</c:v>
                </c:pt>
                <c:pt idx="33">
                  <c:v>43774</c:v>
                </c:pt>
                <c:pt idx="34">
                  <c:v>43776</c:v>
                </c:pt>
                <c:pt idx="35">
                  <c:v>43781</c:v>
                </c:pt>
                <c:pt idx="36">
                  <c:v>43783</c:v>
                </c:pt>
                <c:pt idx="37">
                  <c:v>43787</c:v>
                </c:pt>
                <c:pt idx="38">
                  <c:v>43790</c:v>
                </c:pt>
                <c:pt idx="39">
                  <c:v>43795</c:v>
                </c:pt>
                <c:pt idx="40">
                  <c:v>43797</c:v>
                </c:pt>
                <c:pt idx="41">
                  <c:v>43801</c:v>
                </c:pt>
                <c:pt idx="42">
                  <c:v>43803</c:v>
                </c:pt>
                <c:pt idx="43">
                  <c:v>43808</c:v>
                </c:pt>
                <c:pt idx="44">
                  <c:v>43811</c:v>
                </c:pt>
                <c:pt idx="45">
                  <c:v>43815</c:v>
                </c:pt>
                <c:pt idx="46">
                  <c:v>43818</c:v>
                </c:pt>
                <c:pt idx="47">
                  <c:v>43837</c:v>
                </c:pt>
                <c:pt idx="48">
                  <c:v>43843</c:v>
                </c:pt>
                <c:pt idx="49">
                  <c:v>43850</c:v>
                </c:pt>
                <c:pt idx="50">
                  <c:v>43857</c:v>
                </c:pt>
                <c:pt idx="51">
                  <c:v>43865</c:v>
                </c:pt>
                <c:pt idx="52">
                  <c:v>43878</c:v>
                </c:pt>
                <c:pt idx="53">
                  <c:v>43886</c:v>
                </c:pt>
                <c:pt idx="54">
                  <c:v>43896</c:v>
                </c:pt>
                <c:pt idx="55">
                  <c:v>43970</c:v>
                </c:pt>
                <c:pt idx="56">
                  <c:v>43977</c:v>
                </c:pt>
                <c:pt idx="57">
                  <c:v>43984</c:v>
                </c:pt>
                <c:pt idx="58">
                  <c:v>43990</c:v>
                </c:pt>
                <c:pt idx="59">
                  <c:v>43997</c:v>
                </c:pt>
                <c:pt idx="60">
                  <c:v>44004</c:v>
                </c:pt>
                <c:pt idx="61">
                  <c:v>44018</c:v>
                </c:pt>
                <c:pt idx="62">
                  <c:v>44027</c:v>
                </c:pt>
                <c:pt idx="63">
                  <c:v>44039</c:v>
                </c:pt>
                <c:pt idx="64">
                  <c:v>44053</c:v>
                </c:pt>
                <c:pt idx="65">
                  <c:v>44075</c:v>
                </c:pt>
                <c:pt idx="66">
                  <c:v>44082</c:v>
                </c:pt>
                <c:pt idx="67">
                  <c:v>44112</c:v>
                </c:pt>
                <c:pt idx="68">
                  <c:v>44134</c:v>
                </c:pt>
                <c:pt idx="70">
                  <c:v>44134</c:v>
                </c:pt>
                <c:pt idx="72">
                  <c:v>44140</c:v>
                </c:pt>
                <c:pt idx="73">
                  <c:v>44172</c:v>
                </c:pt>
                <c:pt idx="74">
                  <c:v>44186</c:v>
                </c:pt>
                <c:pt idx="75">
                  <c:v>44203</c:v>
                </c:pt>
                <c:pt idx="76">
                  <c:v>44229</c:v>
                </c:pt>
                <c:pt idx="77">
                  <c:v>44245</c:v>
                </c:pt>
                <c:pt idx="78">
                  <c:v>44273</c:v>
                </c:pt>
                <c:pt idx="79">
                  <c:v>44287</c:v>
                </c:pt>
                <c:pt idx="80">
                  <c:v>44308</c:v>
                </c:pt>
                <c:pt idx="81">
                  <c:v>44322</c:v>
                </c:pt>
                <c:pt idx="82">
                  <c:v>44337</c:v>
                </c:pt>
                <c:pt idx="83">
                  <c:v>44351</c:v>
                </c:pt>
                <c:pt idx="84">
                  <c:v>44357</c:v>
                </c:pt>
                <c:pt idx="85">
                  <c:v>44362</c:v>
                </c:pt>
                <c:pt idx="86">
                  <c:v>44364</c:v>
                </c:pt>
                <c:pt idx="87">
                  <c:v>44369</c:v>
                </c:pt>
                <c:pt idx="88">
                  <c:v>44376</c:v>
                </c:pt>
                <c:pt idx="89">
                  <c:v>44378</c:v>
                </c:pt>
                <c:pt idx="90">
                  <c:v>44392</c:v>
                </c:pt>
                <c:pt idx="91">
                  <c:v>44400</c:v>
                </c:pt>
                <c:pt idx="92">
                  <c:v>44410</c:v>
                </c:pt>
                <c:pt idx="93">
                  <c:v>44453</c:v>
                </c:pt>
                <c:pt idx="94">
                  <c:v>44470</c:v>
                </c:pt>
                <c:pt idx="95">
                  <c:v>44489</c:v>
                </c:pt>
                <c:pt idx="96">
                  <c:v>44502</c:v>
                </c:pt>
                <c:pt idx="97">
                  <c:v>44915</c:v>
                </c:pt>
              </c:numCache>
            </c:numRef>
          </c:xVal>
          <c:yVal>
            <c:numRef>
              <c:f>Déplacements!$G$10:$G$132</c:f>
              <c:numCache>
                <c:formatCode>\+\ 0.0;\-\ 0.0;\±\ 0.0</c:formatCode>
                <c:ptCount val="123"/>
                <c:pt idx="0">
                  <c:v>0</c:v>
                </c:pt>
                <c:pt idx="1">
                  <c:v>0.59999999999149622</c:v>
                </c:pt>
                <c:pt idx="2">
                  <c:v>0.99999999997635314</c:v>
                </c:pt>
                <c:pt idx="3">
                  <c:v>0</c:v>
                </c:pt>
                <c:pt idx="5">
                  <c:v>-1.6999999999995907</c:v>
                </c:pt>
                <c:pt idx="6">
                  <c:v>-1.3102000000060343</c:v>
                </c:pt>
                <c:pt idx="7">
                  <c:v>-2.6814397401437873</c:v>
                </c:pt>
                <c:pt idx="8">
                  <c:v>-1.6906000000176391</c:v>
                </c:pt>
                <c:pt idx="9">
                  <c:v>-1.8897000000208664</c:v>
                </c:pt>
                <c:pt idx="10">
                  <c:v>-3.3882000000176049</c:v>
                </c:pt>
                <c:pt idx="11">
                  <c:v>-3.9921000000049389</c:v>
                </c:pt>
                <c:pt idx="12">
                  <c:v>-3.1000000000176442</c:v>
                </c:pt>
                <c:pt idx="13">
                  <c:v>-3.6000000000058208</c:v>
                </c:pt>
                <c:pt idx="14">
                  <c:v>-4.7000000000139153</c:v>
                </c:pt>
                <c:pt idx="15">
                  <c:v>-4.8000000000172349</c:v>
                </c:pt>
                <c:pt idx="16">
                  <c:v>-4.9000000000205546</c:v>
                </c:pt>
                <c:pt idx="17">
                  <c:v>-5.5000000000120508</c:v>
                </c:pt>
                <c:pt idx="18">
                  <c:v>-5.0674402060622015</c:v>
                </c:pt>
                <c:pt idx="19">
                  <c:v>-5.5000000000120508</c:v>
                </c:pt>
                <c:pt idx="20">
                  <c:v>-5.8000000000220098</c:v>
                </c:pt>
                <c:pt idx="21">
                  <c:v>-5.6000000000153705</c:v>
                </c:pt>
                <c:pt idx="22">
                  <c:v>-6.700000000023465</c:v>
                </c:pt>
                <c:pt idx="23">
                  <c:v>-6.5000000000168257</c:v>
                </c:pt>
                <c:pt idx="24">
                  <c:v>-6.9039931065901783</c:v>
                </c:pt>
                <c:pt idx="25">
                  <c:v>-7.3000000000149612</c:v>
                </c:pt>
                <c:pt idx="26">
                  <c:v>-7.0490850970372776</c:v>
                </c:pt>
                <c:pt idx="27">
                  <c:v>-6.7480751112327653</c:v>
                </c:pt>
                <c:pt idx="28">
                  <c:v>-7.1941770875127986</c:v>
                </c:pt>
                <c:pt idx="29">
                  <c:v>-7.3571390999234154</c:v>
                </c:pt>
                <c:pt idx="30">
                  <c:v>-6.8377590573618363</c:v>
                </c:pt>
                <c:pt idx="32">
                  <c:v>-7.8102850932850743</c:v>
                </c:pt>
                <c:pt idx="33">
                  <c:v>-7.5806627459940046</c:v>
                </c:pt>
                <c:pt idx="34">
                  <c:v>-8.0000000000097771</c:v>
                </c:pt>
                <c:pt idx="35">
                  <c:v>-8.300000000019736</c:v>
                </c:pt>
                <c:pt idx="37">
                  <c:v>-8.4999999999979536</c:v>
                </c:pt>
                <c:pt idx="38">
                  <c:v>-8.4999999999979536</c:v>
                </c:pt>
                <c:pt idx="39">
                  <c:v>-8.2000000000164164</c:v>
                </c:pt>
                <c:pt idx="40">
                  <c:v>-9.0000000000145519</c:v>
                </c:pt>
                <c:pt idx="41">
                  <c:v>-8.8000000000079126</c:v>
                </c:pt>
                <c:pt idx="42">
                  <c:v>-8.2000000000164164</c:v>
                </c:pt>
                <c:pt idx="43">
                  <c:v>-9.0607976092655917</c:v>
                </c:pt>
                <c:pt idx="44">
                  <c:v>-9.1000000000178716</c:v>
                </c:pt>
                <c:pt idx="45">
                  <c:v>-9.2000000000211912</c:v>
                </c:pt>
                <c:pt idx="46">
                  <c:v>-8.9000000000112323</c:v>
                </c:pt>
                <c:pt idx="47">
                  <c:v>-9.6000000000060481</c:v>
                </c:pt>
                <c:pt idx="48">
                  <c:v>-10.000000000019327</c:v>
                </c:pt>
                <c:pt idx="49">
                  <c:v>-9.6000000000060481</c:v>
                </c:pt>
                <c:pt idx="50">
                  <c:v>-9.8000000000126875</c:v>
                </c:pt>
                <c:pt idx="51">
                  <c:v>-9.3999999999994088</c:v>
                </c:pt>
                <c:pt idx="52">
                  <c:v>-9.3999999999994088</c:v>
                </c:pt>
                <c:pt idx="53">
                  <c:v>-9.5000000000027285</c:v>
                </c:pt>
                <c:pt idx="54">
                  <c:v>-10.300000000000864</c:v>
                </c:pt>
                <c:pt idx="55">
                  <c:v>-11.099999999999</c:v>
                </c:pt>
                <c:pt idx="56">
                  <c:v>-10.600000000010823</c:v>
                </c:pt>
                <c:pt idx="57">
                  <c:v>-10.69169687858107</c:v>
                </c:pt>
                <c:pt idx="58">
                  <c:v>-11.301706084708485</c:v>
                </c:pt>
                <c:pt idx="59">
                  <c:v>-11.217175727892936</c:v>
                </c:pt>
                <c:pt idx="60">
                  <c:v>-11.313903789499591</c:v>
                </c:pt>
                <c:pt idx="61">
                  <c:v>-11.712586948846138</c:v>
                </c:pt>
                <c:pt idx="62">
                  <c:v>-12.080776095814372</c:v>
                </c:pt>
                <c:pt idx="63">
                  <c:v>-11.652025315243009</c:v>
                </c:pt>
                <c:pt idx="64">
                  <c:v>-12.280330920276583</c:v>
                </c:pt>
                <c:pt idx="65">
                  <c:v>-12.195800465036655</c:v>
                </c:pt>
                <c:pt idx="66">
                  <c:v>-12.147436536167788</c:v>
                </c:pt>
                <c:pt idx="67">
                  <c:v>-12.020640951760697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389-4B8E-B1F3-ED080CF4A12E}"/>
            </c:ext>
          </c:extLst>
        </c:ser>
        <c:ser>
          <c:idx val="4"/>
          <c:order val="2"/>
          <c:tx>
            <c:strRef>
              <c:f>Déplacements!$O$9</c:f>
              <c:strCache>
                <c:ptCount val="1"/>
                <c:pt idx="0">
                  <c:v>DPM haut droit</c:v>
                </c:pt>
              </c:strCache>
            </c:strRef>
          </c:tx>
          <c:spPr>
            <a:ln w="15875" cap="rnd">
              <a:solidFill>
                <a:schemeClr val="accent5"/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5">
                      <a:tint val="50000"/>
                      <a:satMod val="300000"/>
                    </a:schemeClr>
                  </a:gs>
                  <a:gs pos="35000">
                    <a:schemeClr val="accent5">
                      <a:tint val="37000"/>
                      <a:satMod val="300000"/>
                    </a:schemeClr>
                  </a:gs>
                  <a:gs pos="100000">
                    <a:schemeClr val="accent5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5"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marker>
          <c:xVal>
            <c:numRef>
              <c:f>Déplacements!$B$10:$B$333</c:f>
              <c:numCache>
                <c:formatCode>dd\ /\ mm\ /\ yy</c:formatCode>
                <c:ptCount val="324"/>
                <c:pt idx="0">
                  <c:v>43655</c:v>
                </c:pt>
                <c:pt idx="1">
                  <c:v>43657</c:v>
                </c:pt>
                <c:pt idx="2">
                  <c:v>43661</c:v>
                </c:pt>
                <c:pt idx="3">
                  <c:v>43663</c:v>
                </c:pt>
                <c:pt idx="4">
                  <c:v>43669</c:v>
                </c:pt>
                <c:pt idx="5">
                  <c:v>43675</c:v>
                </c:pt>
                <c:pt idx="6">
                  <c:v>43679</c:v>
                </c:pt>
                <c:pt idx="7">
                  <c:v>43682</c:v>
                </c:pt>
                <c:pt idx="8">
                  <c:v>43684</c:v>
                </c:pt>
                <c:pt idx="9">
                  <c:v>43685</c:v>
                </c:pt>
                <c:pt idx="10">
                  <c:v>43689</c:v>
                </c:pt>
                <c:pt idx="11">
                  <c:v>43690</c:v>
                </c:pt>
                <c:pt idx="12">
                  <c:v>43696</c:v>
                </c:pt>
                <c:pt idx="13">
                  <c:v>43699</c:v>
                </c:pt>
                <c:pt idx="14">
                  <c:v>43703</c:v>
                </c:pt>
                <c:pt idx="15">
                  <c:v>43706</c:v>
                </c:pt>
                <c:pt idx="16">
                  <c:v>43710</c:v>
                </c:pt>
                <c:pt idx="17">
                  <c:v>43713</c:v>
                </c:pt>
                <c:pt idx="18">
                  <c:v>43718</c:v>
                </c:pt>
                <c:pt idx="19">
                  <c:v>43720</c:v>
                </c:pt>
                <c:pt idx="20">
                  <c:v>43724</c:v>
                </c:pt>
                <c:pt idx="21">
                  <c:v>43727</c:v>
                </c:pt>
                <c:pt idx="22">
                  <c:v>43731</c:v>
                </c:pt>
                <c:pt idx="23">
                  <c:v>43734</c:v>
                </c:pt>
                <c:pt idx="24">
                  <c:v>43738</c:v>
                </c:pt>
                <c:pt idx="25">
                  <c:v>43741</c:v>
                </c:pt>
                <c:pt idx="26">
                  <c:v>43746</c:v>
                </c:pt>
                <c:pt idx="27">
                  <c:v>43753</c:v>
                </c:pt>
                <c:pt idx="28">
                  <c:v>43756</c:v>
                </c:pt>
                <c:pt idx="29">
                  <c:v>43760</c:v>
                </c:pt>
                <c:pt idx="30">
                  <c:v>43762</c:v>
                </c:pt>
                <c:pt idx="31">
                  <c:v>43766</c:v>
                </c:pt>
                <c:pt idx="32">
                  <c:v>43769</c:v>
                </c:pt>
                <c:pt idx="33">
                  <c:v>43774</c:v>
                </c:pt>
                <c:pt idx="34">
                  <c:v>43776</c:v>
                </c:pt>
                <c:pt idx="35">
                  <c:v>43781</c:v>
                </c:pt>
                <c:pt idx="36">
                  <c:v>43783</c:v>
                </c:pt>
                <c:pt idx="37">
                  <c:v>43787</c:v>
                </c:pt>
                <c:pt idx="38">
                  <c:v>43790</c:v>
                </c:pt>
                <c:pt idx="39">
                  <c:v>43795</c:v>
                </c:pt>
                <c:pt idx="40">
                  <c:v>43797</c:v>
                </c:pt>
                <c:pt idx="41">
                  <c:v>43801</c:v>
                </c:pt>
                <c:pt idx="42">
                  <c:v>43803</c:v>
                </c:pt>
                <c:pt idx="43">
                  <c:v>43808</c:v>
                </c:pt>
                <c:pt idx="44">
                  <c:v>43811</c:v>
                </c:pt>
                <c:pt idx="45">
                  <c:v>43815</c:v>
                </c:pt>
                <c:pt idx="46">
                  <c:v>43818</c:v>
                </c:pt>
                <c:pt idx="47">
                  <c:v>43837</c:v>
                </c:pt>
                <c:pt idx="48">
                  <c:v>43843</c:v>
                </c:pt>
                <c:pt idx="49">
                  <c:v>43850</c:v>
                </c:pt>
                <c:pt idx="50">
                  <c:v>43857</c:v>
                </c:pt>
                <c:pt idx="51">
                  <c:v>43865</c:v>
                </c:pt>
                <c:pt idx="52">
                  <c:v>43878</c:v>
                </c:pt>
                <c:pt idx="53">
                  <c:v>43886</c:v>
                </c:pt>
                <c:pt idx="54">
                  <c:v>43896</c:v>
                </c:pt>
                <c:pt idx="55">
                  <c:v>43970</c:v>
                </c:pt>
                <c:pt idx="56">
                  <c:v>43977</c:v>
                </c:pt>
                <c:pt idx="57">
                  <c:v>43984</c:v>
                </c:pt>
                <c:pt idx="58">
                  <c:v>43990</c:v>
                </c:pt>
                <c:pt idx="59">
                  <c:v>43997</c:v>
                </c:pt>
                <c:pt idx="60">
                  <c:v>44004</c:v>
                </c:pt>
                <c:pt idx="61">
                  <c:v>44018</c:v>
                </c:pt>
                <c:pt idx="62">
                  <c:v>44027</c:v>
                </c:pt>
                <c:pt idx="63">
                  <c:v>44039</c:v>
                </c:pt>
                <c:pt idx="64">
                  <c:v>44053</c:v>
                </c:pt>
                <c:pt idx="65">
                  <c:v>44075</c:v>
                </c:pt>
                <c:pt idx="66">
                  <c:v>44082</c:v>
                </c:pt>
                <c:pt idx="67">
                  <c:v>44112</c:v>
                </c:pt>
                <c:pt idx="68">
                  <c:v>44134</c:v>
                </c:pt>
                <c:pt idx="70">
                  <c:v>44134</c:v>
                </c:pt>
                <c:pt idx="72">
                  <c:v>44140</c:v>
                </c:pt>
                <c:pt idx="73">
                  <c:v>44172</c:v>
                </c:pt>
                <c:pt idx="74">
                  <c:v>44186</c:v>
                </c:pt>
                <c:pt idx="75">
                  <c:v>44203</c:v>
                </c:pt>
                <c:pt idx="76">
                  <c:v>44229</c:v>
                </c:pt>
                <c:pt idx="77">
                  <c:v>44245</c:v>
                </c:pt>
                <c:pt idx="78">
                  <c:v>44273</c:v>
                </c:pt>
                <c:pt idx="79">
                  <c:v>44287</c:v>
                </c:pt>
                <c:pt idx="80">
                  <c:v>44308</c:v>
                </c:pt>
                <c:pt idx="81">
                  <c:v>44322</c:v>
                </c:pt>
                <c:pt idx="82">
                  <c:v>44337</c:v>
                </c:pt>
                <c:pt idx="83">
                  <c:v>44351</c:v>
                </c:pt>
                <c:pt idx="84">
                  <c:v>44357</c:v>
                </c:pt>
                <c:pt idx="85">
                  <c:v>44362</c:v>
                </c:pt>
                <c:pt idx="86">
                  <c:v>44364</c:v>
                </c:pt>
                <c:pt idx="87">
                  <c:v>44369</c:v>
                </c:pt>
                <c:pt idx="88">
                  <c:v>44376</c:v>
                </c:pt>
                <c:pt idx="89">
                  <c:v>44378</c:v>
                </c:pt>
                <c:pt idx="90">
                  <c:v>44392</c:v>
                </c:pt>
                <c:pt idx="91">
                  <c:v>44400</c:v>
                </c:pt>
                <c:pt idx="92">
                  <c:v>44410</c:v>
                </c:pt>
                <c:pt idx="93">
                  <c:v>44453</c:v>
                </c:pt>
                <c:pt idx="94">
                  <c:v>44470</c:v>
                </c:pt>
                <c:pt idx="95">
                  <c:v>44489</c:v>
                </c:pt>
                <c:pt idx="96">
                  <c:v>44502</c:v>
                </c:pt>
                <c:pt idx="97">
                  <c:v>44915</c:v>
                </c:pt>
              </c:numCache>
            </c:numRef>
          </c:xVal>
          <c:yVal>
            <c:numRef>
              <c:f>Déplacements!$O$10:$O$333</c:f>
              <c:numCache>
                <c:formatCode>\+\ 0.0;\-\ 0.0;\±\ 0.0</c:formatCode>
                <c:ptCount val="324"/>
                <c:pt idx="0">
                  <c:v>0</c:v>
                </c:pt>
                <c:pt idx="1">
                  <c:v>0.69999999999481588</c:v>
                </c:pt>
                <c:pt idx="2">
                  <c:v>0.69999999999481588</c:v>
                </c:pt>
                <c:pt idx="3">
                  <c:v>0.69999999999481588</c:v>
                </c:pt>
                <c:pt idx="4">
                  <c:v>0.20000000000663931</c:v>
                </c:pt>
                <c:pt idx="5">
                  <c:v>-1.6999999999995907</c:v>
                </c:pt>
                <c:pt idx="6">
                  <c:v>-1.5841000000023087</c:v>
                </c:pt>
                <c:pt idx="7">
                  <c:v>-2.1940717712993774</c:v>
                </c:pt>
                <c:pt idx="8">
                  <c:v>-1.4328999999975167</c:v>
                </c:pt>
                <c:pt idx="9">
                  <c:v>-1.4506999999923664</c:v>
                </c:pt>
                <c:pt idx="10">
                  <c:v>-2.9913999999848784</c:v>
                </c:pt>
                <c:pt idx="11">
                  <c:v>-3.2812000000035368</c:v>
                </c:pt>
                <c:pt idx="12">
                  <c:v>-2.299999999991087</c:v>
                </c:pt>
                <c:pt idx="13">
                  <c:v>-2.7000000000043656</c:v>
                </c:pt>
                <c:pt idx="14">
                  <c:v>-4.199999999997317</c:v>
                </c:pt>
                <c:pt idx="15">
                  <c:v>-3.899999999987358</c:v>
                </c:pt>
                <c:pt idx="16">
                  <c:v>-3.9999999999906777</c:v>
                </c:pt>
                <c:pt idx="17">
                  <c:v>-4.0999999999939973</c:v>
                </c:pt>
                <c:pt idx="18">
                  <c:v>-4.253721926744447</c:v>
                </c:pt>
                <c:pt idx="19">
                  <c:v>-4.0999999999939973</c:v>
                </c:pt>
                <c:pt idx="20">
                  <c:v>-4.5999999999821739</c:v>
                </c:pt>
                <c:pt idx="21">
                  <c:v>-4.0999999999939973</c:v>
                </c:pt>
                <c:pt idx="22">
                  <c:v>-5.4999999999836291</c:v>
                </c:pt>
                <c:pt idx="23">
                  <c:v>-5.2000000000020918</c:v>
                </c:pt>
                <c:pt idx="24">
                  <c:v>-5.1478163070726168</c:v>
                </c:pt>
                <c:pt idx="25">
                  <c:v>-5.5999999999869488</c:v>
                </c:pt>
                <c:pt idx="26">
                  <c:v>-5.4227533908317582</c:v>
                </c:pt>
                <c:pt idx="27">
                  <c:v>-4.9123083977917759</c:v>
                </c:pt>
                <c:pt idx="28">
                  <c:v>-5.4319014883503769</c:v>
                </c:pt>
                <c:pt idx="29">
                  <c:v>-5.2746118915365514</c:v>
                </c:pt>
                <c:pt idx="30">
                  <c:v>-5.951281530911956</c:v>
                </c:pt>
                <c:pt idx="31">
                  <c:v>-6.120342244571475</c:v>
                </c:pt>
                <c:pt idx="32">
                  <c:v>-5.7399554912365147</c:v>
                </c:pt>
                <c:pt idx="33">
                  <c:v>-5.9935466601643839</c:v>
                </c:pt>
                <c:pt idx="34">
                  <c:v>-5.8999999999969077</c:v>
                </c:pt>
                <c:pt idx="35">
                  <c:v>-6.2000000000068667</c:v>
                </c:pt>
                <c:pt idx="36">
                  <c:v>-5.8999999999969077</c:v>
                </c:pt>
                <c:pt idx="37">
                  <c:v>-6.0000000000002274</c:v>
                </c:pt>
                <c:pt idx="38">
                  <c:v>-6.100000000003547</c:v>
                </c:pt>
                <c:pt idx="39">
                  <c:v>-5.5999999999869488</c:v>
                </c:pt>
                <c:pt idx="40">
                  <c:v>-6.6999999999950433</c:v>
                </c:pt>
                <c:pt idx="41">
                  <c:v>-6.3999999999850843</c:v>
                </c:pt>
                <c:pt idx="42">
                  <c:v>-6.3999999999850843</c:v>
                </c:pt>
                <c:pt idx="43">
                  <c:v>-6.6218523706993437</c:v>
                </c:pt>
                <c:pt idx="44">
                  <c:v>-6.7999999999983629</c:v>
                </c:pt>
                <c:pt idx="45">
                  <c:v>-6.7999999999983629</c:v>
                </c:pt>
                <c:pt idx="46">
                  <c:v>-6.5999999999917236</c:v>
                </c:pt>
                <c:pt idx="47">
                  <c:v>-7.0000000000050022</c:v>
                </c:pt>
                <c:pt idx="48">
                  <c:v>-7.3999999999898591</c:v>
                </c:pt>
                <c:pt idx="49">
                  <c:v>-6.7999999999983629</c:v>
                </c:pt>
                <c:pt idx="50">
                  <c:v>-7.0000000000050022</c:v>
                </c:pt>
                <c:pt idx="51">
                  <c:v>-7.0999999999799002</c:v>
                </c:pt>
                <c:pt idx="52">
                  <c:v>-7.0000000000050022</c:v>
                </c:pt>
                <c:pt idx="53">
                  <c:v>-6.6999999999950433</c:v>
                </c:pt>
                <c:pt idx="54">
                  <c:v>-7.0999999999799002</c:v>
                </c:pt>
                <c:pt idx="55">
                  <c:v>-7.9000000000064574</c:v>
                </c:pt>
                <c:pt idx="56">
                  <c:v>-7.4999999999931788</c:v>
                </c:pt>
                <c:pt idx="57">
                  <c:v>-7.8357719691553029</c:v>
                </c:pt>
                <c:pt idx="58">
                  <c:v>-8.3128867840969178</c:v>
                </c:pt>
                <c:pt idx="59">
                  <c:v>-7.8719383971304069</c:v>
                </c:pt>
                <c:pt idx="60">
                  <c:v>-8.0592956151974704</c:v>
                </c:pt>
                <c:pt idx="61">
                  <c:v>-8.1438259720414408</c:v>
                </c:pt>
                <c:pt idx="62">
                  <c:v>-8.6087431806163295</c:v>
                </c:pt>
                <c:pt idx="63">
                  <c:v>-7.9503700526970533</c:v>
                </c:pt>
                <c:pt idx="64">
                  <c:v>-8.2222576276080872</c:v>
                </c:pt>
                <c:pt idx="65">
                  <c:v>-7.9987339815659197</c:v>
                </c:pt>
                <c:pt idx="66">
                  <c:v>-7.9503700526970533</c:v>
                </c:pt>
                <c:pt idx="67">
                  <c:v>-7.7207475999045982</c:v>
                </c:pt>
                <c:pt idx="68">
                  <c:v>-8.6815024277200337</c:v>
                </c:pt>
                <c:pt idx="72">
                  <c:v>-7.6126748197111738</c:v>
                </c:pt>
                <c:pt idx="73">
                  <c:v>-9.0867108833379007</c:v>
                </c:pt>
                <c:pt idx="74">
                  <c:v>-7.0738488475967642</c:v>
                </c:pt>
                <c:pt idx="75">
                  <c:v>-7.8666924781600756</c:v>
                </c:pt>
                <c:pt idx="76">
                  <c:v>-7.6738488475882605</c:v>
                </c:pt>
                <c:pt idx="77">
                  <c:v>-7.5464408759842172</c:v>
                </c:pt>
                <c:pt idx="78">
                  <c:v>-8.7603604744401764</c:v>
                </c:pt>
                <c:pt idx="79">
                  <c:v>-8.1747464810462134</c:v>
                </c:pt>
                <c:pt idx="80">
                  <c:v>-7.5159468565288989</c:v>
                </c:pt>
                <c:pt idx="81">
                  <c:v>-7.7033040817013898</c:v>
                </c:pt>
                <c:pt idx="82">
                  <c:v>-8.5730033547974926</c:v>
                </c:pt>
                <c:pt idx="83">
                  <c:v>-8.5791020560179732</c:v>
                </c:pt>
                <c:pt idx="84">
                  <c:v>-8.6392372984960275</c:v>
                </c:pt>
                <c:pt idx="85">
                  <c:v>-8.3250844959366077</c:v>
                </c:pt>
                <c:pt idx="86">
                  <c:v>-8.7782304892982665</c:v>
                </c:pt>
                <c:pt idx="87">
                  <c:v>-8.7420641668529697</c:v>
                </c:pt>
                <c:pt idx="88">
                  <c:v>-8.4762752931624163</c:v>
                </c:pt>
                <c:pt idx="89">
                  <c:v>-8.2344552339748134</c:v>
                </c:pt>
                <c:pt idx="90">
                  <c:v>-7.8963336098354375</c:v>
                </c:pt>
                <c:pt idx="91">
                  <c:v>-9.35817206712386</c:v>
                </c:pt>
                <c:pt idx="92">
                  <c:v>-8.0592957206988558</c:v>
                </c:pt>
                <c:pt idx="93">
                  <c:v>-8.8928284673954749</c:v>
                </c:pt>
                <c:pt idx="94">
                  <c:v>-8.6632061200759836</c:v>
                </c:pt>
                <c:pt idx="95">
                  <c:v>-9.1102533138212038</c:v>
                </c:pt>
                <c:pt idx="96">
                  <c:v>-8.8021993109066443</c:v>
                </c:pt>
                <c:pt idx="97">
                  <c:v>-9.7629541316166524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389-4B8E-B1F3-ED080CF4A12E}"/>
            </c:ext>
          </c:extLst>
        </c:ser>
        <c:ser>
          <c:idx val="5"/>
          <c:order val="3"/>
          <c:tx>
            <c:strRef>
              <c:f>Déplacements!$C$9</c:f>
              <c:strCache>
                <c:ptCount val="1"/>
                <c:pt idx="0">
                  <c:v>DPM inter gauche</c:v>
                </c:pt>
              </c:strCache>
            </c:strRef>
          </c:tx>
          <c:spPr>
            <a:ln w="15875" cap="rnd">
              <a:solidFill>
                <a:schemeClr val="accent6"/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6">
                      <a:tint val="50000"/>
                      <a:satMod val="300000"/>
                    </a:schemeClr>
                  </a:gs>
                  <a:gs pos="35000">
                    <a:schemeClr val="accent6">
                      <a:tint val="37000"/>
                      <a:satMod val="300000"/>
                    </a:schemeClr>
                  </a:gs>
                  <a:gs pos="100000">
                    <a:schemeClr val="accent6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6"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marker>
          <c:xVal>
            <c:numRef>
              <c:f>Déplacements!$B$10:$B$111</c:f>
              <c:numCache>
                <c:formatCode>dd\ /\ mm\ /\ yy</c:formatCode>
                <c:ptCount val="102"/>
                <c:pt idx="0">
                  <c:v>43655</c:v>
                </c:pt>
                <c:pt idx="1">
                  <c:v>43657</c:v>
                </c:pt>
                <c:pt idx="2">
                  <c:v>43661</c:v>
                </c:pt>
                <c:pt idx="3">
                  <c:v>43663</c:v>
                </c:pt>
                <c:pt idx="4">
                  <c:v>43669</c:v>
                </c:pt>
                <c:pt idx="5">
                  <c:v>43675</c:v>
                </c:pt>
                <c:pt idx="6">
                  <c:v>43679</c:v>
                </c:pt>
                <c:pt idx="7">
                  <c:v>43682</c:v>
                </c:pt>
                <c:pt idx="8">
                  <c:v>43684</c:v>
                </c:pt>
                <c:pt idx="9">
                  <c:v>43685</c:v>
                </c:pt>
                <c:pt idx="10">
                  <c:v>43689</c:v>
                </c:pt>
                <c:pt idx="11">
                  <c:v>43690</c:v>
                </c:pt>
                <c:pt idx="12">
                  <c:v>43696</c:v>
                </c:pt>
                <c:pt idx="13">
                  <c:v>43699</c:v>
                </c:pt>
                <c:pt idx="14">
                  <c:v>43703</c:v>
                </c:pt>
                <c:pt idx="15">
                  <c:v>43706</c:v>
                </c:pt>
                <c:pt idx="16">
                  <c:v>43710</c:v>
                </c:pt>
                <c:pt idx="17">
                  <c:v>43713</c:v>
                </c:pt>
                <c:pt idx="18">
                  <c:v>43718</c:v>
                </c:pt>
                <c:pt idx="19">
                  <c:v>43720</c:v>
                </c:pt>
                <c:pt idx="20">
                  <c:v>43724</c:v>
                </c:pt>
                <c:pt idx="21">
                  <c:v>43727</c:v>
                </c:pt>
                <c:pt idx="22">
                  <c:v>43731</c:v>
                </c:pt>
                <c:pt idx="23">
                  <c:v>43734</c:v>
                </c:pt>
                <c:pt idx="24">
                  <c:v>43738</c:v>
                </c:pt>
                <c:pt idx="25">
                  <c:v>43741</c:v>
                </c:pt>
                <c:pt idx="26">
                  <c:v>43746</c:v>
                </c:pt>
                <c:pt idx="27">
                  <c:v>43753</c:v>
                </c:pt>
                <c:pt idx="28">
                  <c:v>43756</c:v>
                </c:pt>
                <c:pt idx="29">
                  <c:v>43760</c:v>
                </c:pt>
                <c:pt idx="30">
                  <c:v>43762</c:v>
                </c:pt>
                <c:pt idx="31">
                  <c:v>43766</c:v>
                </c:pt>
                <c:pt idx="32">
                  <c:v>43769</c:v>
                </c:pt>
                <c:pt idx="33">
                  <c:v>43774</c:v>
                </c:pt>
                <c:pt idx="34">
                  <c:v>43776</c:v>
                </c:pt>
                <c:pt idx="35">
                  <c:v>43781</c:v>
                </c:pt>
                <c:pt idx="36">
                  <c:v>43783</c:v>
                </c:pt>
                <c:pt idx="37">
                  <c:v>43787</c:v>
                </c:pt>
                <c:pt idx="38">
                  <c:v>43790</c:v>
                </c:pt>
                <c:pt idx="39">
                  <c:v>43795</c:v>
                </c:pt>
                <c:pt idx="40">
                  <c:v>43797</c:v>
                </c:pt>
                <c:pt idx="41">
                  <c:v>43801</c:v>
                </c:pt>
                <c:pt idx="42">
                  <c:v>43803</c:v>
                </c:pt>
                <c:pt idx="43">
                  <c:v>43808</c:v>
                </c:pt>
                <c:pt idx="44">
                  <c:v>43811</c:v>
                </c:pt>
                <c:pt idx="45">
                  <c:v>43815</c:v>
                </c:pt>
                <c:pt idx="46">
                  <c:v>43818</c:v>
                </c:pt>
                <c:pt idx="47">
                  <c:v>43837</c:v>
                </c:pt>
                <c:pt idx="48">
                  <c:v>43843</c:v>
                </c:pt>
                <c:pt idx="49">
                  <c:v>43850</c:v>
                </c:pt>
                <c:pt idx="50">
                  <c:v>43857</c:v>
                </c:pt>
                <c:pt idx="51">
                  <c:v>43865</c:v>
                </c:pt>
                <c:pt idx="52">
                  <c:v>43878</c:v>
                </c:pt>
                <c:pt idx="53">
                  <c:v>43886</c:v>
                </c:pt>
                <c:pt idx="54">
                  <c:v>43896</c:v>
                </c:pt>
                <c:pt idx="55">
                  <c:v>43970</c:v>
                </c:pt>
                <c:pt idx="56">
                  <c:v>43977</c:v>
                </c:pt>
                <c:pt idx="57">
                  <c:v>43984</c:v>
                </c:pt>
                <c:pt idx="58">
                  <c:v>43990</c:v>
                </c:pt>
                <c:pt idx="59">
                  <c:v>43997</c:v>
                </c:pt>
                <c:pt idx="60">
                  <c:v>44004</c:v>
                </c:pt>
                <c:pt idx="61">
                  <c:v>44018</c:v>
                </c:pt>
                <c:pt idx="62">
                  <c:v>44027</c:v>
                </c:pt>
                <c:pt idx="63">
                  <c:v>44039</c:v>
                </c:pt>
                <c:pt idx="64">
                  <c:v>44053</c:v>
                </c:pt>
                <c:pt idx="65">
                  <c:v>44075</c:v>
                </c:pt>
                <c:pt idx="66">
                  <c:v>44082</c:v>
                </c:pt>
                <c:pt idx="67">
                  <c:v>44112</c:v>
                </c:pt>
                <c:pt idx="68">
                  <c:v>44134</c:v>
                </c:pt>
                <c:pt idx="70">
                  <c:v>44134</c:v>
                </c:pt>
                <c:pt idx="72">
                  <c:v>44140</c:v>
                </c:pt>
                <c:pt idx="73">
                  <c:v>44172</c:v>
                </c:pt>
                <c:pt idx="74">
                  <c:v>44186</c:v>
                </c:pt>
                <c:pt idx="75">
                  <c:v>44203</c:v>
                </c:pt>
                <c:pt idx="76">
                  <c:v>44229</c:v>
                </c:pt>
                <c:pt idx="77">
                  <c:v>44245</c:v>
                </c:pt>
                <c:pt idx="78">
                  <c:v>44273</c:v>
                </c:pt>
                <c:pt idx="79">
                  <c:v>44287</c:v>
                </c:pt>
                <c:pt idx="80">
                  <c:v>44308</c:v>
                </c:pt>
                <c:pt idx="81">
                  <c:v>44322</c:v>
                </c:pt>
                <c:pt idx="82">
                  <c:v>44337</c:v>
                </c:pt>
                <c:pt idx="83">
                  <c:v>44351</c:v>
                </c:pt>
                <c:pt idx="84">
                  <c:v>44357</c:v>
                </c:pt>
                <c:pt idx="85">
                  <c:v>44362</c:v>
                </c:pt>
                <c:pt idx="86">
                  <c:v>44364</c:v>
                </c:pt>
                <c:pt idx="87">
                  <c:v>44369</c:v>
                </c:pt>
                <c:pt idx="88">
                  <c:v>44376</c:v>
                </c:pt>
                <c:pt idx="89">
                  <c:v>44378</c:v>
                </c:pt>
                <c:pt idx="90">
                  <c:v>44392</c:v>
                </c:pt>
                <c:pt idx="91">
                  <c:v>44400</c:v>
                </c:pt>
                <c:pt idx="92">
                  <c:v>44410</c:v>
                </c:pt>
                <c:pt idx="93">
                  <c:v>44453</c:v>
                </c:pt>
                <c:pt idx="94">
                  <c:v>44470</c:v>
                </c:pt>
                <c:pt idx="95">
                  <c:v>44489</c:v>
                </c:pt>
                <c:pt idx="96">
                  <c:v>44502</c:v>
                </c:pt>
                <c:pt idx="97">
                  <c:v>44915</c:v>
                </c:pt>
              </c:numCache>
            </c:numRef>
          </c:xVal>
          <c:yVal>
            <c:numRef>
              <c:f>Déplacements!$C$10:$C$111</c:f>
              <c:numCache>
                <c:formatCode>\+\ 0.0;\-\ 0.0;\±\ 0.0</c:formatCode>
                <c:ptCount val="102"/>
                <c:pt idx="0">
                  <c:v>0</c:v>
                </c:pt>
                <c:pt idx="1">
                  <c:v>0.49999999998817657</c:v>
                </c:pt>
                <c:pt idx="2">
                  <c:v>1.1999999999829924</c:v>
                </c:pt>
                <c:pt idx="3">
                  <c:v>0.49999999998817657</c:v>
                </c:pt>
                <c:pt idx="4">
                  <c:v>-0.50000000001659828</c:v>
                </c:pt>
                <c:pt idx="5">
                  <c:v>0.10000000000331966</c:v>
                </c:pt>
                <c:pt idx="6">
                  <c:v>-0.32269999999812171</c:v>
                </c:pt>
                <c:pt idx="7">
                  <c:v>-1.0656118906240408</c:v>
                </c:pt>
                <c:pt idx="8">
                  <c:v>3.5999999852265319E-3</c:v>
                </c:pt>
                <c:pt idx="9">
                  <c:v>7.6399999983323141E-2</c:v>
                </c:pt>
                <c:pt idx="10">
                  <c:v>-1.3375000000053205</c:v>
                </c:pt>
                <c:pt idx="11">
                  <c:v>-1.4520999999945161</c:v>
                </c:pt>
                <c:pt idx="12">
                  <c:v>-1.5999999999962711</c:v>
                </c:pt>
                <c:pt idx="13">
                  <c:v>-1.90000000000623</c:v>
                </c:pt>
                <c:pt idx="14">
                  <c:v>-3.0000000000143245</c:v>
                </c:pt>
                <c:pt idx="15">
                  <c:v>-3.1999999999925421</c:v>
                </c:pt>
                <c:pt idx="16">
                  <c:v>-3.1999999999925421</c:v>
                </c:pt>
                <c:pt idx="17">
                  <c:v>-3.6000000000058208</c:v>
                </c:pt>
                <c:pt idx="18">
                  <c:v>-3.4520387476675296</c:v>
                </c:pt>
                <c:pt idx="19">
                  <c:v>-3.8000000000124601</c:v>
                </c:pt>
                <c:pt idx="20">
                  <c:v>-4.0999999999939973</c:v>
                </c:pt>
                <c:pt idx="21">
                  <c:v>-3.7000000000091404</c:v>
                </c:pt>
                <c:pt idx="22">
                  <c:v>-5.2000000000020918</c:v>
                </c:pt>
                <c:pt idx="23">
                  <c:v>-4.7000000000139153</c:v>
                </c:pt>
                <c:pt idx="24">
                  <c:v>-5.0833644081365037</c:v>
                </c:pt>
                <c:pt idx="25">
                  <c:v>-4.9999999999954525</c:v>
                </c:pt>
                <c:pt idx="26">
                  <c:v>-5.3040517971965073</c:v>
                </c:pt>
                <c:pt idx="27">
                  <c:v>-4.959831471836651</c:v>
                </c:pt>
                <c:pt idx="28">
                  <c:v>-5.3434808733356931</c:v>
                </c:pt>
                <c:pt idx="29">
                  <c:v>-5.1922900761383062</c:v>
                </c:pt>
                <c:pt idx="30">
                  <c:v>-5.6938001038417951</c:v>
                </c:pt>
                <c:pt idx="31">
                  <c:v>-5.7722316539070562</c:v>
                </c:pt>
                <c:pt idx="32">
                  <c:v>-5.8811573218804369</c:v>
                </c:pt>
                <c:pt idx="33">
                  <c:v>-5.8689597155421325</c:v>
                </c:pt>
                <c:pt idx="34">
                  <c:v>-6.0000000000002274</c:v>
                </c:pt>
                <c:pt idx="35">
                  <c:v>-6.3000000000101863</c:v>
                </c:pt>
                <c:pt idx="36">
                  <c:v>-6.100000000003547</c:v>
                </c:pt>
                <c:pt idx="37">
                  <c:v>-6.100000000003547</c:v>
                </c:pt>
                <c:pt idx="38">
                  <c:v>-6.2000000000068667</c:v>
                </c:pt>
                <c:pt idx="39">
                  <c:v>-6.2000000000068667</c:v>
                </c:pt>
                <c:pt idx="40">
                  <c:v>-6.9000000000016826</c:v>
                </c:pt>
                <c:pt idx="41">
                  <c:v>-6.400000000013506</c:v>
                </c:pt>
                <c:pt idx="42">
                  <c:v>-6.3000000000101863</c:v>
                </c:pt>
                <c:pt idx="43">
                  <c:v>-6.9203436997895551</c:v>
                </c:pt>
                <c:pt idx="44">
                  <c:v>-6.5999999999917236</c:v>
                </c:pt>
                <c:pt idx="45">
                  <c:v>-7.0000000000050022</c:v>
                </c:pt>
                <c:pt idx="46">
                  <c:v>-6.5999999999917236</c:v>
                </c:pt>
                <c:pt idx="47">
                  <c:v>-7.1000000000083219</c:v>
                </c:pt>
                <c:pt idx="48">
                  <c:v>-6.7999999999983629</c:v>
                </c:pt>
                <c:pt idx="49">
                  <c:v>-6.9000000000016826</c:v>
                </c:pt>
                <c:pt idx="50">
                  <c:v>-6.7999999999983629</c:v>
                </c:pt>
                <c:pt idx="51">
                  <c:v>-7.1000000000083219</c:v>
                </c:pt>
                <c:pt idx="52">
                  <c:v>-6.6999999999950433</c:v>
                </c:pt>
                <c:pt idx="53">
                  <c:v>-6.7999999999983629</c:v>
                </c:pt>
                <c:pt idx="54">
                  <c:v>-7.2000000000116415</c:v>
                </c:pt>
                <c:pt idx="55">
                  <c:v>-7.9000000000064574</c:v>
                </c:pt>
                <c:pt idx="56">
                  <c:v>-7.2000000000116415</c:v>
                </c:pt>
                <c:pt idx="57">
                  <c:v>-7.6693460896706256</c:v>
                </c:pt>
                <c:pt idx="58">
                  <c:v>-7.608784554435033</c:v>
                </c:pt>
                <c:pt idx="59">
                  <c:v>-7.3913598135391112</c:v>
                </c:pt>
                <c:pt idx="60">
                  <c:v>-7.6693460896706256</c:v>
                </c:pt>
                <c:pt idx="61">
                  <c:v>-7.6632473884217234</c:v>
                </c:pt>
                <c:pt idx="62">
                  <c:v>-7.9830726065495128</c:v>
                </c:pt>
                <c:pt idx="63">
                  <c:v>-7.6449509824101369</c:v>
                </c:pt>
                <c:pt idx="64">
                  <c:v>-7.8684745229793407</c:v>
                </c:pt>
                <c:pt idx="65">
                  <c:v>-7.8262092953309548</c:v>
                </c:pt>
                <c:pt idx="66">
                  <c:v>-7.288532945182169</c:v>
                </c:pt>
                <c:pt idx="68">
                  <c:v>-8.2370902649984146</c:v>
                </c:pt>
                <c:pt idx="71">
                  <c:v>0</c:v>
                </c:pt>
                <c:pt idx="72">
                  <c:v>-6.8963749766055571</c:v>
                </c:pt>
                <c:pt idx="73">
                  <c:v>-9.3973998117178326</c:v>
                </c:pt>
                <c:pt idx="74">
                  <c:v>-6.951448749617839</c:v>
                </c:pt>
                <c:pt idx="75">
                  <c:v>-8.4793366098381284</c:v>
                </c:pt>
                <c:pt idx="76">
                  <c:v>-8.6514487496174297</c:v>
                </c:pt>
                <c:pt idx="77">
                  <c:v>-7.9839254872240417</c:v>
                </c:pt>
                <c:pt idx="78">
                  <c:v>-6.9926765486627573</c:v>
                </c:pt>
                <c:pt idx="79">
                  <c:v>-8.6841373532138277</c:v>
                </c:pt>
                <c:pt idx="80">
                  <c:v>-7.5970133392218031</c:v>
                </c:pt>
                <c:pt idx="81">
                  <c:v>-7.3434221703223557</c:v>
                </c:pt>
                <c:pt idx="82">
                  <c:v>-7.9834990960989671</c:v>
                </c:pt>
                <c:pt idx="83">
                  <c:v>-8.0318630249394118</c:v>
                </c:pt>
                <c:pt idx="84">
                  <c:v>-7.971301489732241</c:v>
                </c:pt>
                <c:pt idx="85">
                  <c:v>-7.790043071281616</c:v>
                </c:pt>
                <c:pt idx="86">
                  <c:v>-8.6841373532138277</c:v>
                </c:pt>
                <c:pt idx="87">
                  <c:v>-8.3699846490787877</c:v>
                </c:pt>
                <c:pt idx="88">
                  <c:v>-8.6357734243449613</c:v>
                </c:pt>
                <c:pt idx="89">
                  <c:v>-8.3216206218423849</c:v>
                </c:pt>
                <c:pt idx="90">
                  <c:v>-8.5451442679129741</c:v>
                </c:pt>
                <c:pt idx="91">
                  <c:v>-9.2035173957754068</c:v>
                </c:pt>
                <c:pt idx="93">
                  <c:v>-9.3725782078308839</c:v>
                </c:pt>
                <c:pt idx="94">
                  <c:v>-9.7712614727072378</c:v>
                </c:pt>
                <c:pt idx="95">
                  <c:v>-9.5599355314277545</c:v>
                </c:pt>
                <c:pt idx="96">
                  <c:v>-8.9738950484843372</c:v>
                </c:pt>
                <c:pt idx="97">
                  <c:v>-10.925472318206175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389-4B8E-B1F3-ED080CF4A12E}"/>
            </c:ext>
          </c:extLst>
        </c:ser>
        <c:ser>
          <c:idx val="6"/>
          <c:order val="4"/>
          <c:tx>
            <c:strRef>
              <c:f>Déplacements!$S$9</c:f>
              <c:strCache>
                <c:ptCount val="1"/>
                <c:pt idx="0">
                  <c:v>DPM inter droit</c:v>
                </c:pt>
              </c:strCache>
            </c:strRef>
          </c:tx>
          <c:spPr>
            <a:ln w="15875" cap="rnd">
              <a:solidFill>
                <a:schemeClr val="accent1">
                  <a:lumMod val="60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lumMod val="60000"/>
                      <a:tint val="50000"/>
                      <a:satMod val="300000"/>
                    </a:schemeClr>
                  </a:gs>
                  <a:gs pos="35000">
                    <a:schemeClr val="accent1">
                      <a:lumMod val="60000"/>
                      <a:tint val="37000"/>
                      <a:satMod val="300000"/>
                    </a:schemeClr>
                  </a:gs>
                  <a:gs pos="100000">
                    <a:schemeClr val="accent1">
                      <a:lumMod val="60000"/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1">
                    <a:lumMod val="60000"/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marker>
          <c:xVal>
            <c:numRef>
              <c:f>Déplacements!$B$10:$B$133</c:f>
              <c:numCache>
                <c:formatCode>dd\ /\ mm\ /\ yy</c:formatCode>
                <c:ptCount val="124"/>
                <c:pt idx="0">
                  <c:v>43655</c:v>
                </c:pt>
                <c:pt idx="1">
                  <c:v>43657</c:v>
                </c:pt>
                <c:pt idx="2">
                  <c:v>43661</c:v>
                </c:pt>
                <c:pt idx="3">
                  <c:v>43663</c:v>
                </c:pt>
                <c:pt idx="4">
                  <c:v>43669</c:v>
                </c:pt>
                <c:pt idx="5">
                  <c:v>43675</c:v>
                </c:pt>
                <c:pt idx="6">
                  <c:v>43679</c:v>
                </c:pt>
                <c:pt idx="7">
                  <c:v>43682</c:v>
                </c:pt>
                <c:pt idx="8">
                  <c:v>43684</c:v>
                </c:pt>
                <c:pt idx="9">
                  <c:v>43685</c:v>
                </c:pt>
                <c:pt idx="10">
                  <c:v>43689</c:v>
                </c:pt>
                <c:pt idx="11">
                  <c:v>43690</c:v>
                </c:pt>
                <c:pt idx="12">
                  <c:v>43696</c:v>
                </c:pt>
                <c:pt idx="13">
                  <c:v>43699</c:v>
                </c:pt>
                <c:pt idx="14">
                  <c:v>43703</c:v>
                </c:pt>
                <c:pt idx="15">
                  <c:v>43706</c:v>
                </c:pt>
                <c:pt idx="16">
                  <c:v>43710</c:v>
                </c:pt>
                <c:pt idx="17">
                  <c:v>43713</c:v>
                </c:pt>
                <c:pt idx="18">
                  <c:v>43718</c:v>
                </c:pt>
                <c:pt idx="19">
                  <c:v>43720</c:v>
                </c:pt>
                <c:pt idx="20">
                  <c:v>43724</c:v>
                </c:pt>
                <c:pt idx="21">
                  <c:v>43727</c:v>
                </c:pt>
                <c:pt idx="22">
                  <c:v>43731</c:v>
                </c:pt>
                <c:pt idx="23">
                  <c:v>43734</c:v>
                </c:pt>
                <c:pt idx="24">
                  <c:v>43738</c:v>
                </c:pt>
                <c:pt idx="25">
                  <c:v>43741</c:v>
                </c:pt>
                <c:pt idx="26">
                  <c:v>43746</c:v>
                </c:pt>
                <c:pt idx="27">
                  <c:v>43753</c:v>
                </c:pt>
                <c:pt idx="28">
                  <c:v>43756</c:v>
                </c:pt>
                <c:pt idx="29">
                  <c:v>43760</c:v>
                </c:pt>
                <c:pt idx="30">
                  <c:v>43762</c:v>
                </c:pt>
                <c:pt idx="31">
                  <c:v>43766</c:v>
                </c:pt>
                <c:pt idx="32">
                  <c:v>43769</c:v>
                </c:pt>
                <c:pt idx="33">
                  <c:v>43774</c:v>
                </c:pt>
                <c:pt idx="34">
                  <c:v>43776</c:v>
                </c:pt>
                <c:pt idx="35">
                  <c:v>43781</c:v>
                </c:pt>
                <c:pt idx="36">
                  <c:v>43783</c:v>
                </c:pt>
                <c:pt idx="37">
                  <c:v>43787</c:v>
                </c:pt>
                <c:pt idx="38">
                  <c:v>43790</c:v>
                </c:pt>
                <c:pt idx="39">
                  <c:v>43795</c:v>
                </c:pt>
                <c:pt idx="40">
                  <c:v>43797</c:v>
                </c:pt>
                <c:pt idx="41">
                  <c:v>43801</c:v>
                </c:pt>
                <c:pt idx="42">
                  <c:v>43803</c:v>
                </c:pt>
                <c:pt idx="43">
                  <c:v>43808</c:v>
                </c:pt>
                <c:pt idx="44">
                  <c:v>43811</c:v>
                </c:pt>
                <c:pt idx="45">
                  <c:v>43815</c:v>
                </c:pt>
                <c:pt idx="46">
                  <c:v>43818</c:v>
                </c:pt>
                <c:pt idx="47">
                  <c:v>43837</c:v>
                </c:pt>
                <c:pt idx="48">
                  <c:v>43843</c:v>
                </c:pt>
                <c:pt idx="49">
                  <c:v>43850</c:v>
                </c:pt>
                <c:pt idx="50">
                  <c:v>43857</c:v>
                </c:pt>
                <c:pt idx="51">
                  <c:v>43865</c:v>
                </c:pt>
                <c:pt idx="52">
                  <c:v>43878</c:v>
                </c:pt>
                <c:pt idx="53">
                  <c:v>43886</c:v>
                </c:pt>
                <c:pt idx="54">
                  <c:v>43896</c:v>
                </c:pt>
                <c:pt idx="55">
                  <c:v>43970</c:v>
                </c:pt>
                <c:pt idx="56">
                  <c:v>43977</c:v>
                </c:pt>
                <c:pt idx="57">
                  <c:v>43984</c:v>
                </c:pt>
                <c:pt idx="58">
                  <c:v>43990</c:v>
                </c:pt>
                <c:pt idx="59">
                  <c:v>43997</c:v>
                </c:pt>
                <c:pt idx="60">
                  <c:v>44004</c:v>
                </c:pt>
                <c:pt idx="61">
                  <c:v>44018</c:v>
                </c:pt>
                <c:pt idx="62">
                  <c:v>44027</c:v>
                </c:pt>
                <c:pt idx="63">
                  <c:v>44039</c:v>
                </c:pt>
                <c:pt idx="64">
                  <c:v>44053</c:v>
                </c:pt>
                <c:pt idx="65">
                  <c:v>44075</c:v>
                </c:pt>
                <c:pt idx="66">
                  <c:v>44082</c:v>
                </c:pt>
                <c:pt idx="67">
                  <c:v>44112</c:v>
                </c:pt>
                <c:pt idx="68">
                  <c:v>44134</c:v>
                </c:pt>
                <c:pt idx="70">
                  <c:v>44134</c:v>
                </c:pt>
                <c:pt idx="72">
                  <c:v>44140</c:v>
                </c:pt>
                <c:pt idx="73">
                  <c:v>44172</c:v>
                </c:pt>
                <c:pt idx="74">
                  <c:v>44186</c:v>
                </c:pt>
                <c:pt idx="75">
                  <c:v>44203</c:v>
                </c:pt>
                <c:pt idx="76">
                  <c:v>44229</c:v>
                </c:pt>
                <c:pt idx="77">
                  <c:v>44245</c:v>
                </c:pt>
                <c:pt idx="78">
                  <c:v>44273</c:v>
                </c:pt>
                <c:pt idx="79">
                  <c:v>44287</c:v>
                </c:pt>
                <c:pt idx="80">
                  <c:v>44308</c:v>
                </c:pt>
                <c:pt idx="81">
                  <c:v>44322</c:v>
                </c:pt>
                <c:pt idx="82">
                  <c:v>44337</c:v>
                </c:pt>
                <c:pt idx="83">
                  <c:v>44351</c:v>
                </c:pt>
                <c:pt idx="84">
                  <c:v>44357</c:v>
                </c:pt>
                <c:pt idx="85">
                  <c:v>44362</c:v>
                </c:pt>
                <c:pt idx="86">
                  <c:v>44364</c:v>
                </c:pt>
                <c:pt idx="87">
                  <c:v>44369</c:v>
                </c:pt>
                <c:pt idx="88">
                  <c:v>44376</c:v>
                </c:pt>
                <c:pt idx="89">
                  <c:v>44378</c:v>
                </c:pt>
                <c:pt idx="90">
                  <c:v>44392</c:v>
                </c:pt>
                <c:pt idx="91">
                  <c:v>44400</c:v>
                </c:pt>
                <c:pt idx="92">
                  <c:v>44410</c:v>
                </c:pt>
                <c:pt idx="93">
                  <c:v>44453</c:v>
                </c:pt>
                <c:pt idx="94">
                  <c:v>44470</c:v>
                </c:pt>
                <c:pt idx="95">
                  <c:v>44489</c:v>
                </c:pt>
                <c:pt idx="96">
                  <c:v>44502</c:v>
                </c:pt>
                <c:pt idx="97">
                  <c:v>44915</c:v>
                </c:pt>
              </c:numCache>
            </c:numRef>
          </c:xVal>
          <c:yVal>
            <c:numRef>
              <c:f>Déplacements!$S$10:$S$132</c:f>
              <c:numCache>
                <c:formatCode>\+\ 0.0;\-\ 0.0;\±\ 0.0</c:formatCode>
                <c:ptCount val="123"/>
                <c:pt idx="0">
                  <c:v>0</c:v>
                </c:pt>
                <c:pt idx="1">
                  <c:v>1.0000000000047748</c:v>
                </c:pt>
                <c:pt idx="2">
                  <c:v>0.20000000000663931</c:v>
                </c:pt>
                <c:pt idx="3">
                  <c:v>2.4999999999977263</c:v>
                </c:pt>
                <c:pt idx="4">
                  <c:v>0.49999999998817657</c:v>
                </c:pt>
                <c:pt idx="5">
                  <c:v>-0.20000000000663931</c:v>
                </c:pt>
                <c:pt idx="6">
                  <c:v>-0.10499999999069587</c:v>
                </c:pt>
                <c:pt idx="7">
                  <c:v>0</c:v>
                </c:pt>
                <c:pt idx="8">
                  <c:v>0.44479999999680331</c:v>
                </c:pt>
                <c:pt idx="9">
                  <c:v>0.24569999999357606</c:v>
                </c:pt>
                <c:pt idx="10">
                  <c:v>-0.99299999999402644</c:v>
                </c:pt>
                <c:pt idx="11">
                  <c:v>-0.92029999998999301</c:v>
                </c:pt>
                <c:pt idx="12">
                  <c:v>0.20000000000663931</c:v>
                </c:pt>
                <c:pt idx="13">
                  <c:v>0.10000000000331966</c:v>
                </c:pt>
                <c:pt idx="14">
                  <c:v>-1.1000000000080945</c:v>
                </c:pt>
                <c:pt idx="15">
                  <c:v>-0.90000000000145519</c:v>
                </c:pt>
                <c:pt idx="16">
                  <c:v>-1.0000000000047748</c:v>
                </c:pt>
                <c:pt idx="17">
                  <c:v>-1.0000000000047748</c:v>
                </c:pt>
                <c:pt idx="18">
                  <c:v>-0.84795030460327325</c:v>
                </c:pt>
                <c:pt idx="19">
                  <c:v>-0.79999999999813554</c:v>
                </c:pt>
                <c:pt idx="20">
                  <c:v>-1.2000000000114142</c:v>
                </c:pt>
                <c:pt idx="21">
                  <c:v>-0.20000000000663931</c:v>
                </c:pt>
                <c:pt idx="22">
                  <c:v>-1.90000000000623</c:v>
                </c:pt>
                <c:pt idx="23">
                  <c:v>-1.5999999999962711</c:v>
                </c:pt>
                <c:pt idx="24">
                  <c:v>-1.3555591319516225</c:v>
                </c:pt>
                <c:pt idx="25">
                  <c:v>-1.6999999999995907</c:v>
                </c:pt>
                <c:pt idx="26">
                  <c:v>-1.4755238385930625</c:v>
                </c:pt>
                <c:pt idx="27">
                  <c:v>-0.71432363844792235</c:v>
                </c:pt>
                <c:pt idx="28">
                  <c:v>-1.0658014366526913</c:v>
                </c:pt>
                <c:pt idx="29">
                  <c:v>-1.0836714515392032</c:v>
                </c:pt>
                <c:pt idx="30">
                  <c:v>-1.8570690541821477</c:v>
                </c:pt>
                <c:pt idx="31">
                  <c:v>-1.9838646385892389</c:v>
                </c:pt>
                <c:pt idx="32">
                  <c:v>-1.3860531443583568</c:v>
                </c:pt>
                <c:pt idx="33">
                  <c:v>-1.5006511223987218</c:v>
                </c:pt>
                <c:pt idx="34">
                  <c:v>-1.4999999999929514</c:v>
                </c:pt>
                <c:pt idx="35">
                  <c:v>-1.90000000000623</c:v>
                </c:pt>
                <c:pt idx="36">
                  <c:v>-1.5999999999962711</c:v>
                </c:pt>
                <c:pt idx="37">
                  <c:v>-1.5999999999962711</c:v>
                </c:pt>
                <c:pt idx="38">
                  <c:v>-1.6999999999995907</c:v>
                </c:pt>
                <c:pt idx="39">
                  <c:v>-1.3000000000147338</c:v>
                </c:pt>
                <c:pt idx="40">
                  <c:v>-2.299999999991087</c:v>
                </c:pt>
                <c:pt idx="41">
                  <c:v>-1.6999999999995907</c:v>
                </c:pt>
                <c:pt idx="42">
                  <c:v>-1.3999999999896318</c:v>
                </c:pt>
                <c:pt idx="43">
                  <c:v>-2.008259949747071</c:v>
                </c:pt>
                <c:pt idx="44">
                  <c:v>-2.1000000000128694</c:v>
                </c:pt>
                <c:pt idx="45">
                  <c:v>-2.0000000000095497</c:v>
                </c:pt>
                <c:pt idx="46">
                  <c:v>-2.0000000000095497</c:v>
                </c:pt>
                <c:pt idx="47">
                  <c:v>-2.0000000000095497</c:v>
                </c:pt>
                <c:pt idx="48">
                  <c:v>-2.7000000000043656</c:v>
                </c:pt>
                <c:pt idx="49">
                  <c:v>-2.1000000000128694</c:v>
                </c:pt>
                <c:pt idx="50">
                  <c:v>-2.1000000000128694</c:v>
                </c:pt>
                <c:pt idx="51">
                  <c:v>-2.0000000000095497</c:v>
                </c:pt>
                <c:pt idx="52">
                  <c:v>-1.90000000000623</c:v>
                </c:pt>
                <c:pt idx="53">
                  <c:v>-1.6999999999995907</c:v>
                </c:pt>
                <c:pt idx="54">
                  <c:v>-2.200000000016189</c:v>
                </c:pt>
                <c:pt idx="55">
                  <c:v>-2.6000000000010459</c:v>
                </c:pt>
                <c:pt idx="56">
                  <c:v>-2.3999999999944066</c:v>
                </c:pt>
                <c:pt idx="57">
                  <c:v>-2.7694600514962531</c:v>
                </c:pt>
                <c:pt idx="58">
                  <c:v>-2.9324219584339062</c:v>
                </c:pt>
                <c:pt idx="59">
                  <c:v>-2.7633611463784291</c:v>
                </c:pt>
                <c:pt idx="60">
                  <c:v>-2.7755587527451553</c:v>
                </c:pt>
                <c:pt idx="61">
                  <c:v>-2.6849295962563247</c:v>
                </c:pt>
                <c:pt idx="62">
                  <c:v>-3.4579008006687673</c:v>
                </c:pt>
                <c:pt idx="63">
                  <c:v>-2.7149972175095627</c:v>
                </c:pt>
                <c:pt idx="64">
                  <c:v>-3.3555003305139053</c:v>
                </c:pt>
                <c:pt idx="65">
                  <c:v>-2.8178239803366978</c:v>
                </c:pt>
                <c:pt idx="66">
                  <c:v>-2.9084531368255284</c:v>
                </c:pt>
                <c:pt idx="67">
                  <c:v>-1.8753655656666979</c:v>
                </c:pt>
                <c:pt idx="68">
                  <c:v>-2.7093247035168133</c:v>
                </c:pt>
                <c:pt idx="72">
                  <c:v>-1.9184834771976966</c:v>
                </c:pt>
                <c:pt idx="73">
                  <c:v>-3.4831486972848325</c:v>
                </c:pt>
                <c:pt idx="74">
                  <c:v>-1.3598891266326518</c:v>
                </c:pt>
                <c:pt idx="75">
                  <c:v>-1.6348246870450112</c:v>
                </c:pt>
                <c:pt idx="76">
                  <c:v>-1.8598891266492501</c:v>
                </c:pt>
                <c:pt idx="77">
                  <c:v>-1.6831886158854559</c:v>
                </c:pt>
                <c:pt idx="78">
                  <c:v>-2.7764115350237262</c:v>
                </c:pt>
                <c:pt idx="79">
                  <c:v>-1.6892875210317015</c:v>
                </c:pt>
                <c:pt idx="80">
                  <c:v>-1.8339531203537263</c:v>
                </c:pt>
                <c:pt idx="81">
                  <c:v>-1.121117052974796</c:v>
                </c:pt>
                <c:pt idx="82">
                  <c:v>-2.3533330645193473</c:v>
                </c:pt>
                <c:pt idx="83">
                  <c:v>-2.6735847721965911</c:v>
                </c:pt>
                <c:pt idx="84">
                  <c:v>-2.3350367569037189</c:v>
                </c:pt>
                <c:pt idx="85">
                  <c:v>-2.3350367569037189</c:v>
                </c:pt>
                <c:pt idx="86">
                  <c:v>-3.0239040026742714</c:v>
                </c:pt>
                <c:pt idx="87">
                  <c:v>-2.4923263537459661</c:v>
                </c:pt>
                <c:pt idx="88">
                  <c:v>-2.2204386733335468</c:v>
                </c:pt>
                <c:pt idx="89">
                  <c:v>-2.6613871658298649</c:v>
                </c:pt>
                <c:pt idx="90">
                  <c:v>-1.7794902863386142</c:v>
                </c:pt>
                <c:pt idx="91">
                  <c:v>-2.7520163222618521</c:v>
                </c:pt>
                <c:pt idx="92">
                  <c:v>-2.2082411724682061</c:v>
                </c:pt>
                <c:pt idx="93">
                  <c:v>-3.2835938728226211</c:v>
                </c:pt>
                <c:pt idx="94">
                  <c:v>-3.1929647163622121</c:v>
                </c:pt>
                <c:pt idx="95">
                  <c:v>-3.1628971935333539</c:v>
                </c:pt>
                <c:pt idx="96">
                  <c:v>-3.0661691319266993</c:v>
                </c:pt>
                <c:pt idx="97">
                  <c:v>-3.4713775875445663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389-4B8E-B1F3-ED080CF4A12E}"/>
            </c:ext>
          </c:extLst>
        </c:ser>
        <c:ser>
          <c:idx val="10"/>
          <c:order val="6"/>
          <c:tx>
            <c:strRef>
              <c:f>Graphiques!#REF!</c:f>
              <c:strCache>
                <c:ptCount val="1"/>
                <c:pt idx="0">
                  <c:v>#REF!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none"/>
          </c:marker>
          <c:xVal>
            <c:numRef>
              <c:f>'Graphiques (100j)'!$AD$35:$AD$36</c:f>
              <c:numCache>
                <c:formatCode>m/d/yyyy</c:formatCode>
                <c:ptCount val="2"/>
              </c:numCache>
            </c:numRef>
          </c:xVal>
          <c:yVal>
            <c:numRef>
              <c:f>'Graphiques (100j)'!$AE$35:$AE$36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3389-4B8E-B1F3-ED080CF4A1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6704168"/>
        <c:axId val="516704560"/>
      </c:scatterChart>
      <c:scatterChart>
        <c:scatterStyle val="lineMarker"/>
        <c:varyColors val="0"/>
        <c:ser>
          <c:idx val="8"/>
          <c:order val="5"/>
          <c:tx>
            <c:v>"PM front"</c:v>
          </c:tx>
          <c:spPr>
            <a:ln w="15875" cap="rnd">
              <a:solidFill>
                <a:schemeClr val="accent3">
                  <a:lumMod val="60000"/>
                </a:schemeClr>
              </a:solidFill>
              <a:prstDash val="sysDot"/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none"/>
          </c:marker>
          <c:xVal>
            <c:numRef>
              <c:f>Déplacements!$B$10:$B$313</c:f>
              <c:numCache>
                <c:formatCode>dd\ /\ mm\ /\ yy</c:formatCode>
                <c:ptCount val="304"/>
                <c:pt idx="0">
                  <c:v>43655</c:v>
                </c:pt>
                <c:pt idx="1">
                  <c:v>43657</c:v>
                </c:pt>
                <c:pt idx="2">
                  <c:v>43661</c:v>
                </c:pt>
                <c:pt idx="3">
                  <c:v>43663</c:v>
                </c:pt>
                <c:pt idx="4">
                  <c:v>43669</c:v>
                </c:pt>
                <c:pt idx="5">
                  <c:v>43675</c:v>
                </c:pt>
                <c:pt idx="6">
                  <c:v>43679</c:v>
                </c:pt>
                <c:pt idx="7">
                  <c:v>43682</c:v>
                </c:pt>
                <c:pt idx="8">
                  <c:v>43684</c:v>
                </c:pt>
                <c:pt idx="9">
                  <c:v>43685</c:v>
                </c:pt>
                <c:pt idx="10">
                  <c:v>43689</c:v>
                </c:pt>
                <c:pt idx="11">
                  <c:v>43690</c:v>
                </c:pt>
                <c:pt idx="12">
                  <c:v>43696</c:v>
                </c:pt>
                <c:pt idx="13">
                  <c:v>43699</c:v>
                </c:pt>
                <c:pt idx="14">
                  <c:v>43703</c:v>
                </c:pt>
                <c:pt idx="15">
                  <c:v>43706</c:v>
                </c:pt>
                <c:pt idx="16">
                  <c:v>43710</c:v>
                </c:pt>
                <c:pt idx="17">
                  <c:v>43713</c:v>
                </c:pt>
                <c:pt idx="18">
                  <c:v>43718</c:v>
                </c:pt>
                <c:pt idx="19">
                  <c:v>43720</c:v>
                </c:pt>
                <c:pt idx="20">
                  <c:v>43724</c:v>
                </c:pt>
                <c:pt idx="21">
                  <c:v>43727</c:v>
                </c:pt>
                <c:pt idx="22">
                  <c:v>43731</c:v>
                </c:pt>
                <c:pt idx="23">
                  <c:v>43734</c:v>
                </c:pt>
                <c:pt idx="24">
                  <c:v>43738</c:v>
                </c:pt>
                <c:pt idx="25">
                  <c:v>43741</c:v>
                </c:pt>
                <c:pt idx="26">
                  <c:v>43746</c:v>
                </c:pt>
                <c:pt idx="27">
                  <c:v>43753</c:v>
                </c:pt>
                <c:pt idx="28">
                  <c:v>43756</c:v>
                </c:pt>
                <c:pt idx="29">
                  <c:v>43760</c:v>
                </c:pt>
                <c:pt idx="30">
                  <c:v>43762</c:v>
                </c:pt>
                <c:pt idx="31">
                  <c:v>43766</c:v>
                </c:pt>
                <c:pt idx="32">
                  <c:v>43769</c:v>
                </c:pt>
                <c:pt idx="33">
                  <c:v>43774</c:v>
                </c:pt>
                <c:pt idx="34">
                  <c:v>43776</c:v>
                </c:pt>
                <c:pt idx="35">
                  <c:v>43781</c:v>
                </c:pt>
                <c:pt idx="36">
                  <c:v>43783</c:v>
                </c:pt>
                <c:pt idx="37">
                  <c:v>43787</c:v>
                </c:pt>
                <c:pt idx="38">
                  <c:v>43790</c:v>
                </c:pt>
                <c:pt idx="39">
                  <c:v>43795</c:v>
                </c:pt>
                <c:pt idx="40">
                  <c:v>43797</c:v>
                </c:pt>
                <c:pt idx="41">
                  <c:v>43801</c:v>
                </c:pt>
                <c:pt idx="42">
                  <c:v>43803</c:v>
                </c:pt>
                <c:pt idx="43">
                  <c:v>43808</c:v>
                </c:pt>
                <c:pt idx="44">
                  <c:v>43811</c:v>
                </c:pt>
                <c:pt idx="45">
                  <c:v>43815</c:v>
                </c:pt>
                <c:pt idx="46">
                  <c:v>43818</c:v>
                </c:pt>
                <c:pt idx="47">
                  <c:v>43837</c:v>
                </c:pt>
                <c:pt idx="48">
                  <c:v>43843</c:v>
                </c:pt>
                <c:pt idx="49">
                  <c:v>43850</c:v>
                </c:pt>
                <c:pt idx="50">
                  <c:v>43857</c:v>
                </c:pt>
                <c:pt idx="51">
                  <c:v>43865</c:v>
                </c:pt>
                <c:pt idx="52">
                  <c:v>43878</c:v>
                </c:pt>
                <c:pt idx="53">
                  <c:v>43886</c:v>
                </c:pt>
                <c:pt idx="54">
                  <c:v>43896</c:v>
                </c:pt>
                <c:pt idx="55">
                  <c:v>43970</c:v>
                </c:pt>
                <c:pt idx="56">
                  <c:v>43977</c:v>
                </c:pt>
                <c:pt idx="57">
                  <c:v>43984</c:v>
                </c:pt>
                <c:pt idx="58">
                  <c:v>43990</c:v>
                </c:pt>
                <c:pt idx="59">
                  <c:v>43997</c:v>
                </c:pt>
                <c:pt idx="60">
                  <c:v>44004</c:v>
                </c:pt>
                <c:pt idx="61">
                  <c:v>44018</c:v>
                </c:pt>
                <c:pt idx="62">
                  <c:v>44027</c:v>
                </c:pt>
                <c:pt idx="63">
                  <c:v>44039</c:v>
                </c:pt>
                <c:pt idx="64">
                  <c:v>44053</c:v>
                </c:pt>
                <c:pt idx="65">
                  <c:v>44075</c:v>
                </c:pt>
                <c:pt idx="66">
                  <c:v>44082</c:v>
                </c:pt>
                <c:pt idx="67">
                  <c:v>44112</c:v>
                </c:pt>
                <c:pt idx="68">
                  <c:v>44134</c:v>
                </c:pt>
                <c:pt idx="70">
                  <c:v>44134</c:v>
                </c:pt>
                <c:pt idx="72">
                  <c:v>44140</c:v>
                </c:pt>
                <c:pt idx="73">
                  <c:v>44172</c:v>
                </c:pt>
                <c:pt idx="74">
                  <c:v>44186</c:v>
                </c:pt>
                <c:pt idx="75">
                  <c:v>44203</c:v>
                </c:pt>
                <c:pt idx="76">
                  <c:v>44229</c:v>
                </c:pt>
                <c:pt idx="77">
                  <c:v>44245</c:v>
                </c:pt>
                <c:pt idx="78">
                  <c:v>44273</c:v>
                </c:pt>
                <c:pt idx="79">
                  <c:v>44287</c:v>
                </c:pt>
                <c:pt idx="80">
                  <c:v>44308</c:v>
                </c:pt>
                <c:pt idx="81">
                  <c:v>44322</c:v>
                </c:pt>
                <c:pt idx="82">
                  <c:v>44337</c:v>
                </c:pt>
                <c:pt idx="83">
                  <c:v>44351</c:v>
                </c:pt>
                <c:pt idx="84">
                  <c:v>44357</c:v>
                </c:pt>
                <c:pt idx="85">
                  <c:v>44362</c:v>
                </c:pt>
                <c:pt idx="86">
                  <c:v>44364</c:v>
                </c:pt>
                <c:pt idx="87">
                  <c:v>44369</c:v>
                </c:pt>
                <c:pt idx="88">
                  <c:v>44376</c:v>
                </c:pt>
                <c:pt idx="89">
                  <c:v>44378</c:v>
                </c:pt>
                <c:pt idx="90">
                  <c:v>44392</c:v>
                </c:pt>
                <c:pt idx="91">
                  <c:v>44400</c:v>
                </c:pt>
                <c:pt idx="92">
                  <c:v>44410</c:v>
                </c:pt>
                <c:pt idx="93">
                  <c:v>44453</c:v>
                </c:pt>
                <c:pt idx="94">
                  <c:v>44470</c:v>
                </c:pt>
                <c:pt idx="95">
                  <c:v>44489</c:v>
                </c:pt>
                <c:pt idx="96">
                  <c:v>44502</c:v>
                </c:pt>
                <c:pt idx="97">
                  <c:v>44915</c:v>
                </c:pt>
              </c:numCache>
            </c:numRef>
          </c:xVal>
          <c:yVal>
            <c:numRef>
              <c:f>'Résultats observations'!$C$10:$C$311</c:f>
              <c:numCache>
                <c:formatCode>0.0</c:formatCode>
                <c:ptCount val="302"/>
                <c:pt idx="0">
                  <c:v>184.3</c:v>
                </c:pt>
                <c:pt idx="1">
                  <c:v>185.03</c:v>
                </c:pt>
                <c:pt idx="2">
                  <c:v>187.2</c:v>
                </c:pt>
                <c:pt idx="3">
                  <c:v>188.17</c:v>
                </c:pt>
                <c:pt idx="4">
                  <c:v>189.2</c:v>
                </c:pt>
                <c:pt idx="5">
                  <c:v>191.5</c:v>
                </c:pt>
                <c:pt idx="6">
                  <c:v>192.5</c:v>
                </c:pt>
                <c:pt idx="7">
                  <c:v>193.04</c:v>
                </c:pt>
                <c:pt idx="8">
                  <c:v>193.6</c:v>
                </c:pt>
                <c:pt idx="9">
                  <c:v>193.6</c:v>
                </c:pt>
                <c:pt idx="10">
                  <c:v>194.8</c:v>
                </c:pt>
                <c:pt idx="11">
                  <c:v>194.8</c:v>
                </c:pt>
                <c:pt idx="12">
                  <c:v>195.4</c:v>
                </c:pt>
                <c:pt idx="13">
                  <c:v>196.35</c:v>
                </c:pt>
                <c:pt idx="14">
                  <c:v>196.35</c:v>
                </c:pt>
                <c:pt idx="15">
                  <c:v>198.3</c:v>
                </c:pt>
                <c:pt idx="16">
                  <c:v>199.4</c:v>
                </c:pt>
                <c:pt idx="17">
                  <c:v>200.6</c:v>
                </c:pt>
                <c:pt idx="18">
                  <c:v>202.58</c:v>
                </c:pt>
                <c:pt idx="19">
                  <c:v>203.6</c:v>
                </c:pt>
                <c:pt idx="20">
                  <c:v>203.6</c:v>
                </c:pt>
                <c:pt idx="21">
                  <c:v>206.32</c:v>
                </c:pt>
                <c:pt idx="22">
                  <c:v>206.32</c:v>
                </c:pt>
                <c:pt idx="23">
                  <c:v>206.32</c:v>
                </c:pt>
                <c:pt idx="24">
                  <c:v>206.32</c:v>
                </c:pt>
                <c:pt idx="25">
                  <c:v>207.2</c:v>
                </c:pt>
                <c:pt idx="26">
                  <c:v>208.3</c:v>
                </c:pt>
                <c:pt idx="27">
                  <c:v>212.65</c:v>
                </c:pt>
                <c:pt idx="28">
                  <c:v>213.5</c:v>
                </c:pt>
                <c:pt idx="29">
                  <c:v>215</c:v>
                </c:pt>
                <c:pt idx="30">
                  <c:v>215</c:v>
                </c:pt>
                <c:pt idx="31">
                  <c:v>215.55</c:v>
                </c:pt>
                <c:pt idx="32">
                  <c:v>216.87</c:v>
                </c:pt>
                <c:pt idx="33">
                  <c:v>217.7</c:v>
                </c:pt>
                <c:pt idx="34">
                  <c:v>218.7</c:v>
                </c:pt>
                <c:pt idx="35">
                  <c:v>218.7</c:v>
                </c:pt>
                <c:pt idx="36">
                  <c:v>220.5</c:v>
                </c:pt>
                <c:pt idx="37">
                  <c:v>221.7</c:v>
                </c:pt>
                <c:pt idx="38">
                  <c:v>222.9</c:v>
                </c:pt>
                <c:pt idx="39">
                  <c:v>222.9</c:v>
                </c:pt>
                <c:pt idx="40">
                  <c:v>222.9</c:v>
                </c:pt>
                <c:pt idx="41">
                  <c:v>222.9</c:v>
                </c:pt>
                <c:pt idx="42">
                  <c:v>222.9</c:v>
                </c:pt>
                <c:pt idx="43">
                  <c:v>222.9</c:v>
                </c:pt>
                <c:pt idx="44">
                  <c:v>222.9</c:v>
                </c:pt>
                <c:pt idx="45">
                  <c:v>222.9</c:v>
                </c:pt>
                <c:pt idx="46">
                  <c:v>222.9</c:v>
                </c:pt>
                <c:pt idx="47">
                  <c:v>222.9</c:v>
                </c:pt>
                <c:pt idx="48">
                  <c:v>222.9</c:v>
                </c:pt>
                <c:pt idx="49">
                  <c:v>222.9</c:v>
                </c:pt>
                <c:pt idx="50">
                  <c:v>222.9</c:v>
                </c:pt>
                <c:pt idx="51">
                  <c:v>222.9</c:v>
                </c:pt>
                <c:pt idx="52">
                  <c:v>222.9</c:v>
                </c:pt>
                <c:pt idx="53">
                  <c:v>222.9</c:v>
                </c:pt>
                <c:pt idx="54">
                  <c:v>222.9</c:v>
                </c:pt>
                <c:pt idx="55">
                  <c:v>222.9</c:v>
                </c:pt>
                <c:pt idx="56">
                  <c:v>222.9</c:v>
                </c:pt>
                <c:pt idx="57">
                  <c:v>222.9</c:v>
                </c:pt>
                <c:pt idx="58">
                  <c:v>222.9</c:v>
                </c:pt>
                <c:pt idx="59">
                  <c:v>223.9</c:v>
                </c:pt>
                <c:pt idx="60">
                  <c:v>223.9</c:v>
                </c:pt>
                <c:pt idx="61">
                  <c:v>223.9</c:v>
                </c:pt>
                <c:pt idx="62">
                  <c:v>223.9</c:v>
                </c:pt>
                <c:pt idx="63">
                  <c:v>223.9</c:v>
                </c:pt>
                <c:pt idx="64">
                  <c:v>223.9</c:v>
                </c:pt>
                <c:pt idx="65">
                  <c:v>223.9</c:v>
                </c:pt>
                <c:pt idx="66">
                  <c:v>223.9</c:v>
                </c:pt>
                <c:pt idx="67">
                  <c:v>223.9</c:v>
                </c:pt>
                <c:pt idx="68">
                  <c:v>223.9</c:v>
                </c:pt>
                <c:pt idx="70">
                  <c:v>223.9</c:v>
                </c:pt>
                <c:pt idx="72">
                  <c:v>223.9</c:v>
                </c:pt>
                <c:pt idx="73">
                  <c:v>223.9</c:v>
                </c:pt>
                <c:pt idx="74">
                  <c:v>223.9</c:v>
                </c:pt>
                <c:pt idx="75">
                  <c:v>223.9</c:v>
                </c:pt>
                <c:pt idx="76">
                  <c:v>223.9</c:v>
                </c:pt>
                <c:pt idx="77">
                  <c:v>223.9</c:v>
                </c:pt>
                <c:pt idx="78">
                  <c:v>223.9</c:v>
                </c:pt>
                <c:pt idx="79">
                  <c:v>223.9</c:v>
                </c:pt>
                <c:pt idx="80">
                  <c:v>223.9</c:v>
                </c:pt>
                <c:pt idx="81">
                  <c:v>223.9</c:v>
                </c:pt>
                <c:pt idx="82">
                  <c:v>223.9</c:v>
                </c:pt>
                <c:pt idx="83">
                  <c:v>223.9</c:v>
                </c:pt>
                <c:pt idx="84">
                  <c:v>223.9</c:v>
                </c:pt>
                <c:pt idx="85">
                  <c:v>223.9</c:v>
                </c:pt>
                <c:pt idx="86">
                  <c:v>223.9</c:v>
                </c:pt>
                <c:pt idx="87">
                  <c:v>223.9</c:v>
                </c:pt>
                <c:pt idx="88">
                  <c:v>223.9</c:v>
                </c:pt>
                <c:pt idx="89">
                  <c:v>223.9</c:v>
                </c:pt>
                <c:pt idx="90">
                  <c:v>223.9</c:v>
                </c:pt>
                <c:pt idx="91">
                  <c:v>223.9</c:v>
                </c:pt>
                <c:pt idx="92">
                  <c:v>223.9</c:v>
                </c:pt>
                <c:pt idx="93">
                  <c:v>223.9</c:v>
                </c:pt>
                <c:pt idx="94">
                  <c:v>223.9</c:v>
                </c:pt>
                <c:pt idx="95">
                  <c:v>223.9</c:v>
                </c:pt>
                <c:pt idx="96">
                  <c:v>223.9</c:v>
                </c:pt>
                <c:pt idx="97">
                  <c:v>223.9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389-4B8E-B1F3-ED080CF4A1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6705344"/>
        <c:axId val="516704952"/>
      </c:scatterChart>
      <c:valAx>
        <c:axId val="516704168"/>
        <c:scaling>
          <c:orientation val="minMax"/>
          <c:max val="44917"/>
          <c:min val="4428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Date</a:t>
                </a:r>
              </a:p>
            </c:rich>
          </c:tx>
          <c:layout>
            <c:manualLayout>
              <c:xMode val="edge"/>
              <c:yMode val="edge"/>
              <c:x val="0.91973714230941661"/>
              <c:y val="0.8566652473436303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dd/mm/yyyy" sourceLinked="0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16704560"/>
        <c:crossesAt val="0"/>
        <c:crossBetween val="midCat"/>
        <c:majorUnit val="50"/>
      </c:valAx>
      <c:valAx>
        <c:axId val="516704560"/>
        <c:scaling>
          <c:orientation val="minMax"/>
          <c:max val="10"/>
          <c:min val="-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Déplacement [mm]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\+\ 0.0;\-\ 0.0;\±\ 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16704168"/>
        <c:crosses val="autoZero"/>
        <c:crossBetween val="midCat"/>
        <c:majorUnit val="5"/>
        <c:minorUnit val="1"/>
      </c:valAx>
      <c:valAx>
        <c:axId val="516704952"/>
        <c:scaling>
          <c:orientation val="minMax"/>
          <c:min val="180"/>
        </c:scaling>
        <c:delete val="0"/>
        <c:axPos val="r"/>
        <c:numFmt formatCode="0.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16705344"/>
        <c:crosses val="max"/>
        <c:crossBetween val="midCat"/>
      </c:valAx>
      <c:valAx>
        <c:axId val="516705344"/>
        <c:scaling>
          <c:orientation val="minMax"/>
        </c:scaling>
        <c:delete val="1"/>
        <c:axPos val="b"/>
        <c:numFmt formatCode="dd\ /\ mm\ /\ yy" sourceLinked="1"/>
        <c:majorTickMark val="out"/>
        <c:minorTickMark val="none"/>
        <c:tickLblPos val="nextTo"/>
        <c:crossAx val="5167049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5"/>
        <c:delete val="1"/>
      </c:legendEntry>
      <c:layout>
        <c:manualLayout>
          <c:xMode val="edge"/>
          <c:yMode val="edge"/>
          <c:x val="0.30048168027196703"/>
          <c:y val="0.64213789912077746"/>
          <c:w val="0.57563509729027706"/>
          <c:h val="0.1199872193208611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span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 alignWithMargins="0"/>
    <c:pageMargins b="0.98425196899999956" l="0.78740157499999996" r="0.78740157499999996" t="0.98425196899999956" header="0.49212598450000455" footer="0.49212598450000455"/>
    <c:pageSetup paperSize="9" orientation="landscape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Déplacement en déport</a:t>
            </a:r>
          </a:p>
        </c:rich>
      </c:tx>
      <c:layout>
        <c:manualLayout>
          <c:xMode val="edge"/>
          <c:yMode val="edge"/>
          <c:x val="0.36971851188837201"/>
          <c:y val="1.574107849133844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9.3062159500593863E-2"/>
          <c:y val="6.6119187074636515E-2"/>
          <c:w val="0.81798471935900274"/>
          <c:h val="0.7454041903779145"/>
        </c:manualLayout>
      </c:layout>
      <c:scatterChart>
        <c:scatterStyle val="lineMarker"/>
        <c:varyColors val="0"/>
        <c:ser>
          <c:idx val="1"/>
          <c:order val="0"/>
          <c:tx>
            <c:strRef>
              <c:f>Déplacements!$L$9</c:f>
              <c:strCache>
                <c:ptCount val="1"/>
                <c:pt idx="0">
                  <c:v>DH centre haut</c:v>
                </c:pt>
              </c:strCache>
            </c:strRef>
          </c:tx>
          <c:spPr>
            <a:ln w="15875" cap="rnd">
              <a:solidFill>
                <a:schemeClr val="accent2"/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2">
                      <a:tint val="50000"/>
                      <a:satMod val="300000"/>
                    </a:schemeClr>
                  </a:gs>
                  <a:gs pos="35000">
                    <a:schemeClr val="accent2">
                      <a:tint val="37000"/>
                      <a:satMod val="300000"/>
                    </a:schemeClr>
                  </a:gs>
                  <a:gs pos="100000">
                    <a:schemeClr val="accent2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marker>
          <c:xVal>
            <c:numRef>
              <c:f>Déplacements!$B$10:$B$133</c:f>
              <c:numCache>
                <c:formatCode>dd\ /\ mm\ /\ yy</c:formatCode>
                <c:ptCount val="124"/>
                <c:pt idx="0">
                  <c:v>43655</c:v>
                </c:pt>
                <c:pt idx="1">
                  <c:v>43657</c:v>
                </c:pt>
                <c:pt idx="2">
                  <c:v>43661</c:v>
                </c:pt>
                <c:pt idx="3">
                  <c:v>43663</c:v>
                </c:pt>
                <c:pt idx="4">
                  <c:v>43669</c:v>
                </c:pt>
                <c:pt idx="5">
                  <c:v>43675</c:v>
                </c:pt>
                <c:pt idx="6">
                  <c:v>43679</c:v>
                </c:pt>
                <c:pt idx="7">
                  <c:v>43682</c:v>
                </c:pt>
                <c:pt idx="8">
                  <c:v>43684</c:v>
                </c:pt>
                <c:pt idx="9">
                  <c:v>43685</c:v>
                </c:pt>
                <c:pt idx="10">
                  <c:v>43689</c:v>
                </c:pt>
                <c:pt idx="11">
                  <c:v>43690</c:v>
                </c:pt>
                <c:pt idx="12">
                  <c:v>43696</c:v>
                </c:pt>
                <c:pt idx="13">
                  <c:v>43699</c:v>
                </c:pt>
                <c:pt idx="14">
                  <c:v>43703</c:v>
                </c:pt>
                <c:pt idx="15">
                  <c:v>43706</c:v>
                </c:pt>
                <c:pt idx="16">
                  <c:v>43710</c:v>
                </c:pt>
                <c:pt idx="17">
                  <c:v>43713</c:v>
                </c:pt>
                <c:pt idx="18">
                  <c:v>43718</c:v>
                </c:pt>
                <c:pt idx="19">
                  <c:v>43720</c:v>
                </c:pt>
                <c:pt idx="20">
                  <c:v>43724</c:v>
                </c:pt>
                <c:pt idx="21">
                  <c:v>43727</c:v>
                </c:pt>
                <c:pt idx="22">
                  <c:v>43731</c:v>
                </c:pt>
                <c:pt idx="23">
                  <c:v>43734</c:v>
                </c:pt>
                <c:pt idx="24">
                  <c:v>43738</c:v>
                </c:pt>
                <c:pt idx="25">
                  <c:v>43741</c:v>
                </c:pt>
                <c:pt idx="26">
                  <c:v>43746</c:v>
                </c:pt>
                <c:pt idx="27">
                  <c:v>43753</c:v>
                </c:pt>
                <c:pt idx="28">
                  <c:v>43756</c:v>
                </c:pt>
                <c:pt idx="29">
                  <c:v>43760</c:v>
                </c:pt>
                <c:pt idx="30">
                  <c:v>43762</c:v>
                </c:pt>
                <c:pt idx="31">
                  <c:v>43766</c:v>
                </c:pt>
                <c:pt idx="32">
                  <c:v>43769</c:v>
                </c:pt>
                <c:pt idx="33">
                  <c:v>43774</c:v>
                </c:pt>
                <c:pt idx="34">
                  <c:v>43776</c:v>
                </c:pt>
                <c:pt idx="35">
                  <c:v>43781</c:v>
                </c:pt>
                <c:pt idx="36">
                  <c:v>43783</c:v>
                </c:pt>
                <c:pt idx="37">
                  <c:v>43787</c:v>
                </c:pt>
                <c:pt idx="38">
                  <c:v>43790</c:v>
                </c:pt>
                <c:pt idx="39">
                  <c:v>43795</c:v>
                </c:pt>
                <c:pt idx="40">
                  <c:v>43797</c:v>
                </c:pt>
                <c:pt idx="41">
                  <c:v>43801</c:v>
                </c:pt>
                <c:pt idx="42">
                  <c:v>43803</c:v>
                </c:pt>
                <c:pt idx="43">
                  <c:v>43808</c:v>
                </c:pt>
                <c:pt idx="44">
                  <c:v>43811</c:v>
                </c:pt>
                <c:pt idx="45">
                  <c:v>43815</c:v>
                </c:pt>
                <c:pt idx="46">
                  <c:v>43818</c:v>
                </c:pt>
                <c:pt idx="47">
                  <c:v>43837</c:v>
                </c:pt>
                <c:pt idx="48">
                  <c:v>43843</c:v>
                </c:pt>
                <c:pt idx="49">
                  <c:v>43850</c:v>
                </c:pt>
                <c:pt idx="50">
                  <c:v>43857</c:v>
                </c:pt>
                <c:pt idx="51">
                  <c:v>43865</c:v>
                </c:pt>
                <c:pt idx="52">
                  <c:v>43878</c:v>
                </c:pt>
                <c:pt idx="53">
                  <c:v>43886</c:v>
                </c:pt>
                <c:pt idx="54">
                  <c:v>43896</c:v>
                </c:pt>
                <c:pt idx="55">
                  <c:v>43970</c:v>
                </c:pt>
                <c:pt idx="56">
                  <c:v>43977</c:v>
                </c:pt>
                <c:pt idx="57">
                  <c:v>43984</c:v>
                </c:pt>
                <c:pt idx="58">
                  <c:v>43990</c:v>
                </c:pt>
                <c:pt idx="59">
                  <c:v>43997</c:v>
                </c:pt>
                <c:pt idx="60">
                  <c:v>44004</c:v>
                </c:pt>
                <c:pt idx="61">
                  <c:v>44018</c:v>
                </c:pt>
                <c:pt idx="62">
                  <c:v>44027</c:v>
                </c:pt>
                <c:pt idx="63">
                  <c:v>44039</c:v>
                </c:pt>
                <c:pt idx="64">
                  <c:v>44053</c:v>
                </c:pt>
                <c:pt idx="65">
                  <c:v>44075</c:v>
                </c:pt>
                <c:pt idx="66">
                  <c:v>44082</c:v>
                </c:pt>
                <c:pt idx="67">
                  <c:v>44112</c:v>
                </c:pt>
                <c:pt idx="68">
                  <c:v>44134</c:v>
                </c:pt>
                <c:pt idx="70">
                  <c:v>44134</c:v>
                </c:pt>
                <c:pt idx="72">
                  <c:v>44140</c:v>
                </c:pt>
                <c:pt idx="73">
                  <c:v>44172</c:v>
                </c:pt>
                <c:pt idx="74">
                  <c:v>44186</c:v>
                </c:pt>
                <c:pt idx="75">
                  <c:v>44203</c:v>
                </c:pt>
                <c:pt idx="76">
                  <c:v>44229</c:v>
                </c:pt>
                <c:pt idx="77">
                  <c:v>44245</c:v>
                </c:pt>
                <c:pt idx="78">
                  <c:v>44273</c:v>
                </c:pt>
                <c:pt idx="79">
                  <c:v>44287</c:v>
                </c:pt>
                <c:pt idx="80">
                  <c:v>44308</c:v>
                </c:pt>
                <c:pt idx="81">
                  <c:v>44322</c:v>
                </c:pt>
                <c:pt idx="82">
                  <c:v>44337</c:v>
                </c:pt>
                <c:pt idx="83">
                  <c:v>44351</c:v>
                </c:pt>
                <c:pt idx="84">
                  <c:v>44357</c:v>
                </c:pt>
                <c:pt idx="85">
                  <c:v>44362</c:v>
                </c:pt>
                <c:pt idx="86">
                  <c:v>44364</c:v>
                </c:pt>
                <c:pt idx="87">
                  <c:v>44369</c:v>
                </c:pt>
                <c:pt idx="88">
                  <c:v>44376</c:v>
                </c:pt>
                <c:pt idx="89">
                  <c:v>44378</c:v>
                </c:pt>
                <c:pt idx="90">
                  <c:v>44392</c:v>
                </c:pt>
                <c:pt idx="91">
                  <c:v>44400</c:v>
                </c:pt>
                <c:pt idx="92">
                  <c:v>44410</c:v>
                </c:pt>
                <c:pt idx="93">
                  <c:v>44453</c:v>
                </c:pt>
                <c:pt idx="94">
                  <c:v>44470</c:v>
                </c:pt>
                <c:pt idx="95">
                  <c:v>44489</c:v>
                </c:pt>
                <c:pt idx="96">
                  <c:v>44502</c:v>
                </c:pt>
                <c:pt idx="97">
                  <c:v>44915</c:v>
                </c:pt>
              </c:numCache>
            </c:numRef>
          </c:xVal>
          <c:yVal>
            <c:numRef>
              <c:f>Déplacements!$L$10:$L$312</c:f>
              <c:numCache>
                <c:formatCode>\+\ 0.0;\-\ 0.0;\±\ 0.0</c:formatCode>
                <c:ptCount val="303"/>
                <c:pt idx="0">
                  <c:v>0</c:v>
                </c:pt>
                <c:pt idx="1">
                  <c:v>0.59999999999998943</c:v>
                </c:pt>
                <c:pt idx="2">
                  <c:v>0.40000000000001146</c:v>
                </c:pt>
                <c:pt idx="3">
                  <c:v>0.9000000000000119</c:v>
                </c:pt>
                <c:pt idx="4">
                  <c:v>-0.40000000000001146</c:v>
                </c:pt>
                <c:pt idx="5">
                  <c:v>2.0999999999999908</c:v>
                </c:pt>
                <c:pt idx="6">
                  <c:v>0.65322899999997741</c:v>
                </c:pt>
                <c:pt idx="7">
                  <c:v>1.3420960832648543</c:v>
                </c:pt>
                <c:pt idx="8">
                  <c:v>1.1848059999999827</c:v>
                </c:pt>
                <c:pt idx="9">
                  <c:v>2.0789010000000219</c:v>
                </c:pt>
                <c:pt idx="10">
                  <c:v>1.4026580000000011</c:v>
                </c:pt>
                <c:pt idx="11">
                  <c:v>2.2000240000000226</c:v>
                </c:pt>
                <c:pt idx="12">
                  <c:v>0.40000000000001146</c:v>
                </c:pt>
                <c:pt idx="13">
                  <c:v>0.69999999999997842</c:v>
                </c:pt>
                <c:pt idx="14">
                  <c:v>1.8000000000000238</c:v>
                </c:pt>
                <c:pt idx="15">
                  <c:v>1.6999999999999793</c:v>
                </c:pt>
                <c:pt idx="16">
                  <c:v>1.5999999999999903</c:v>
                </c:pt>
                <c:pt idx="17">
                  <c:v>1.6999999999999793</c:v>
                </c:pt>
                <c:pt idx="18">
                  <c:v>2.1398890533373405</c:v>
                </c:pt>
                <c:pt idx="19">
                  <c:v>1.9000000000000128</c:v>
                </c:pt>
                <c:pt idx="20">
                  <c:v>1.5999999999999903</c:v>
                </c:pt>
                <c:pt idx="21">
                  <c:v>2.3000000000000242</c:v>
                </c:pt>
                <c:pt idx="22">
                  <c:v>1.3000000000000234</c:v>
                </c:pt>
                <c:pt idx="23">
                  <c:v>1.5999999999999903</c:v>
                </c:pt>
                <c:pt idx="24">
                  <c:v>2.0013221481431365</c:v>
                </c:pt>
                <c:pt idx="25">
                  <c:v>2.0999999999999908</c:v>
                </c:pt>
                <c:pt idx="26">
                  <c:v>1.5995893814840234</c:v>
                </c:pt>
                <c:pt idx="27">
                  <c:v>1.3356915544688319</c:v>
                </c:pt>
                <c:pt idx="28">
                  <c:v>1.2401221026775433</c:v>
                </c:pt>
                <c:pt idx="29">
                  <c:v>1.9529582755826169</c:v>
                </c:pt>
                <c:pt idx="30">
                  <c:v>1.2945850421979266</c:v>
                </c:pt>
                <c:pt idx="31">
                  <c:v>1.9350880989065233</c:v>
                </c:pt>
                <c:pt idx="32">
                  <c:v>1.2884861862586527</c:v>
                </c:pt>
                <c:pt idx="33">
                  <c:v>1.9228905980473998</c:v>
                </c:pt>
                <c:pt idx="34">
                  <c:v>1.5999999999999903</c:v>
                </c:pt>
                <c:pt idx="35">
                  <c:v>1.6999999999999793</c:v>
                </c:pt>
                <c:pt idx="36">
                  <c:v>2.1999999999999797</c:v>
                </c:pt>
                <c:pt idx="37">
                  <c:v>1.6999999999999793</c:v>
                </c:pt>
                <c:pt idx="38">
                  <c:v>1.9000000000000128</c:v>
                </c:pt>
                <c:pt idx="39">
                  <c:v>1.5999999999999903</c:v>
                </c:pt>
                <c:pt idx="40">
                  <c:v>2.5000000000000022</c:v>
                </c:pt>
                <c:pt idx="41">
                  <c:v>1.9000000000000128</c:v>
                </c:pt>
                <c:pt idx="42">
                  <c:v>1.9000000000000128</c:v>
                </c:pt>
                <c:pt idx="43">
                  <c:v>1.7298609643722207</c:v>
                </c:pt>
                <c:pt idx="44">
                  <c:v>1.5999999999999903</c:v>
                </c:pt>
                <c:pt idx="45">
                  <c:v>1.6999999999999793</c:v>
                </c:pt>
                <c:pt idx="46">
                  <c:v>1.9000000000000128</c:v>
                </c:pt>
                <c:pt idx="47">
                  <c:v>2.0000000000000018</c:v>
                </c:pt>
                <c:pt idx="48">
                  <c:v>2.0999999999999908</c:v>
                </c:pt>
                <c:pt idx="49">
                  <c:v>1.6999999999999793</c:v>
                </c:pt>
                <c:pt idx="50">
                  <c:v>2.0000000000000018</c:v>
                </c:pt>
                <c:pt idx="51">
                  <c:v>1.8000000000000238</c:v>
                </c:pt>
                <c:pt idx="52">
                  <c:v>2.6999999999999802</c:v>
                </c:pt>
                <c:pt idx="53">
                  <c:v>1.8000000000000238</c:v>
                </c:pt>
                <c:pt idx="54">
                  <c:v>2.4000000000000132</c:v>
                </c:pt>
                <c:pt idx="55">
                  <c:v>2.5000000000000022</c:v>
                </c:pt>
                <c:pt idx="56">
                  <c:v>2.5999999999999912</c:v>
                </c:pt>
                <c:pt idx="57">
                  <c:v>2.2858338260651201</c:v>
                </c:pt>
                <c:pt idx="58">
                  <c:v>2.9747011281501257</c:v>
                </c:pt>
                <c:pt idx="59">
                  <c:v>2.8779730102427847</c:v>
                </c:pt>
                <c:pt idx="60">
                  <c:v>2.3402965053574976</c:v>
                </c:pt>
                <c:pt idx="61">
                  <c:v>2.3463954104793738</c:v>
                </c:pt>
                <c:pt idx="62">
                  <c:v>3.5184762779759682</c:v>
                </c:pt>
                <c:pt idx="63">
                  <c:v>2.8418066877772818</c:v>
                </c:pt>
                <c:pt idx="64">
                  <c:v>2.8479055437019007</c:v>
                </c:pt>
                <c:pt idx="68">
                  <c:v>1.9660085587208664</c:v>
                </c:pt>
                <c:pt idx="72">
                  <c:v>-3.3932843762962683E-2</c:v>
                </c:pt>
                <c:pt idx="73">
                  <c:v>0.22618362140192083</c:v>
                </c:pt>
                <c:pt idx="74">
                  <c:v>-0.77758617875478553</c:v>
                </c:pt>
                <c:pt idx="75">
                  <c:v>-1.0064588304940503</c:v>
                </c:pt>
                <c:pt idx="76">
                  <c:v>-0.47758617875476306</c:v>
                </c:pt>
                <c:pt idx="77">
                  <c:v>-0.65613970550487677</c:v>
                </c:pt>
                <c:pt idx="78">
                  <c:v>0.47977483949507294</c:v>
                </c:pt>
                <c:pt idx="79">
                  <c:v>-0.84916933918555149</c:v>
                </c:pt>
                <c:pt idx="80">
                  <c:v>0.10506029074897061</c:v>
                </c:pt>
                <c:pt idx="81">
                  <c:v>-0.25745654611347701</c:v>
                </c:pt>
                <c:pt idx="82">
                  <c:v>0.66103315243176697</c:v>
                </c:pt>
                <c:pt idx="83">
                  <c:v>0.33468289826155129</c:v>
                </c:pt>
                <c:pt idx="84">
                  <c:v>1.3799679702833356</c:v>
                </c:pt>
                <c:pt idx="85">
                  <c:v>1.3738693253533274</c:v>
                </c:pt>
                <c:pt idx="86">
                  <c:v>1.259271241764004</c:v>
                </c:pt>
                <c:pt idx="87">
                  <c:v>0.88455690402089449</c:v>
                </c:pt>
                <c:pt idx="88">
                  <c:v>0.97518595497514404</c:v>
                </c:pt>
                <c:pt idx="89">
                  <c:v>1.4705972322309746</c:v>
                </c:pt>
                <c:pt idx="90">
                  <c:v>0.84229167640342828</c:v>
                </c:pt>
                <c:pt idx="91">
                  <c:v>1.4827947331300662</c:v>
                </c:pt>
                <c:pt idx="92">
                  <c:v>1.0597163610214233</c:v>
                </c:pt>
                <c:pt idx="93">
                  <c:v>1.4527272665605384</c:v>
                </c:pt>
                <c:pt idx="94">
                  <c:v>1.8392129250497935</c:v>
                </c:pt>
                <c:pt idx="95">
                  <c:v>1.579522851019366</c:v>
                </c:pt>
                <c:pt idx="96">
                  <c:v>1.6278869345703328</c:v>
                </c:pt>
                <c:pt idx="97">
                  <c:v>0.232708917675295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960-488A-B4E5-F6C696EC9CE8}"/>
            </c:ext>
          </c:extLst>
        </c:ser>
        <c:ser>
          <c:idx val="3"/>
          <c:order val="1"/>
          <c:tx>
            <c:strRef>
              <c:f>Déplacements!$H$9</c:f>
              <c:strCache>
                <c:ptCount val="1"/>
                <c:pt idx="0">
                  <c:v>DH haut gauche</c:v>
                </c:pt>
              </c:strCache>
            </c:strRef>
          </c:tx>
          <c:spPr>
            <a:ln w="15875" cap="rnd">
              <a:solidFill>
                <a:schemeClr val="accent4"/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4">
                      <a:tint val="50000"/>
                      <a:satMod val="300000"/>
                    </a:schemeClr>
                  </a:gs>
                  <a:gs pos="35000">
                    <a:schemeClr val="accent4">
                      <a:tint val="37000"/>
                      <a:satMod val="300000"/>
                    </a:schemeClr>
                  </a:gs>
                  <a:gs pos="100000">
                    <a:schemeClr val="accent4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marker>
          <c:xVal>
            <c:numRef>
              <c:f>Déplacements!$B$10:$B$133</c:f>
              <c:numCache>
                <c:formatCode>dd\ /\ mm\ /\ yy</c:formatCode>
                <c:ptCount val="124"/>
                <c:pt idx="0">
                  <c:v>43655</c:v>
                </c:pt>
                <c:pt idx="1">
                  <c:v>43657</c:v>
                </c:pt>
                <c:pt idx="2">
                  <c:v>43661</c:v>
                </c:pt>
                <c:pt idx="3">
                  <c:v>43663</c:v>
                </c:pt>
                <c:pt idx="4">
                  <c:v>43669</c:v>
                </c:pt>
                <c:pt idx="5">
                  <c:v>43675</c:v>
                </c:pt>
                <c:pt idx="6">
                  <c:v>43679</c:v>
                </c:pt>
                <c:pt idx="7">
                  <c:v>43682</c:v>
                </c:pt>
                <c:pt idx="8">
                  <c:v>43684</c:v>
                </c:pt>
                <c:pt idx="9">
                  <c:v>43685</c:v>
                </c:pt>
                <c:pt idx="10">
                  <c:v>43689</c:v>
                </c:pt>
                <c:pt idx="11">
                  <c:v>43690</c:v>
                </c:pt>
                <c:pt idx="12">
                  <c:v>43696</c:v>
                </c:pt>
                <c:pt idx="13">
                  <c:v>43699</c:v>
                </c:pt>
                <c:pt idx="14">
                  <c:v>43703</c:v>
                </c:pt>
                <c:pt idx="15">
                  <c:v>43706</c:v>
                </c:pt>
                <c:pt idx="16">
                  <c:v>43710</c:v>
                </c:pt>
                <c:pt idx="17">
                  <c:v>43713</c:v>
                </c:pt>
                <c:pt idx="18">
                  <c:v>43718</c:v>
                </c:pt>
                <c:pt idx="19">
                  <c:v>43720</c:v>
                </c:pt>
                <c:pt idx="20">
                  <c:v>43724</c:v>
                </c:pt>
                <c:pt idx="21">
                  <c:v>43727</c:v>
                </c:pt>
                <c:pt idx="22">
                  <c:v>43731</c:v>
                </c:pt>
                <c:pt idx="23">
                  <c:v>43734</c:v>
                </c:pt>
                <c:pt idx="24">
                  <c:v>43738</c:v>
                </c:pt>
                <c:pt idx="25">
                  <c:v>43741</c:v>
                </c:pt>
                <c:pt idx="26">
                  <c:v>43746</c:v>
                </c:pt>
                <c:pt idx="27">
                  <c:v>43753</c:v>
                </c:pt>
                <c:pt idx="28">
                  <c:v>43756</c:v>
                </c:pt>
                <c:pt idx="29">
                  <c:v>43760</c:v>
                </c:pt>
                <c:pt idx="30">
                  <c:v>43762</c:v>
                </c:pt>
                <c:pt idx="31">
                  <c:v>43766</c:v>
                </c:pt>
                <c:pt idx="32">
                  <c:v>43769</c:v>
                </c:pt>
                <c:pt idx="33">
                  <c:v>43774</c:v>
                </c:pt>
                <c:pt idx="34">
                  <c:v>43776</c:v>
                </c:pt>
                <c:pt idx="35">
                  <c:v>43781</c:v>
                </c:pt>
                <c:pt idx="36">
                  <c:v>43783</c:v>
                </c:pt>
                <c:pt idx="37">
                  <c:v>43787</c:v>
                </c:pt>
                <c:pt idx="38">
                  <c:v>43790</c:v>
                </c:pt>
                <c:pt idx="39">
                  <c:v>43795</c:v>
                </c:pt>
                <c:pt idx="40">
                  <c:v>43797</c:v>
                </c:pt>
                <c:pt idx="41">
                  <c:v>43801</c:v>
                </c:pt>
                <c:pt idx="42">
                  <c:v>43803</c:v>
                </c:pt>
                <c:pt idx="43">
                  <c:v>43808</c:v>
                </c:pt>
                <c:pt idx="44">
                  <c:v>43811</c:v>
                </c:pt>
                <c:pt idx="45">
                  <c:v>43815</c:v>
                </c:pt>
                <c:pt idx="46">
                  <c:v>43818</c:v>
                </c:pt>
                <c:pt idx="47">
                  <c:v>43837</c:v>
                </c:pt>
                <c:pt idx="48">
                  <c:v>43843</c:v>
                </c:pt>
                <c:pt idx="49">
                  <c:v>43850</c:v>
                </c:pt>
                <c:pt idx="50">
                  <c:v>43857</c:v>
                </c:pt>
                <c:pt idx="51">
                  <c:v>43865</c:v>
                </c:pt>
                <c:pt idx="52">
                  <c:v>43878</c:v>
                </c:pt>
                <c:pt idx="53">
                  <c:v>43886</c:v>
                </c:pt>
                <c:pt idx="54">
                  <c:v>43896</c:v>
                </c:pt>
                <c:pt idx="55">
                  <c:v>43970</c:v>
                </c:pt>
                <c:pt idx="56">
                  <c:v>43977</c:v>
                </c:pt>
                <c:pt idx="57">
                  <c:v>43984</c:v>
                </c:pt>
                <c:pt idx="58">
                  <c:v>43990</c:v>
                </c:pt>
                <c:pt idx="59">
                  <c:v>43997</c:v>
                </c:pt>
                <c:pt idx="60">
                  <c:v>44004</c:v>
                </c:pt>
                <c:pt idx="61">
                  <c:v>44018</c:v>
                </c:pt>
                <c:pt idx="62">
                  <c:v>44027</c:v>
                </c:pt>
                <c:pt idx="63">
                  <c:v>44039</c:v>
                </c:pt>
                <c:pt idx="64">
                  <c:v>44053</c:v>
                </c:pt>
                <c:pt idx="65">
                  <c:v>44075</c:v>
                </c:pt>
                <c:pt idx="66">
                  <c:v>44082</c:v>
                </c:pt>
                <c:pt idx="67">
                  <c:v>44112</c:v>
                </c:pt>
                <c:pt idx="68">
                  <c:v>44134</c:v>
                </c:pt>
                <c:pt idx="70">
                  <c:v>44134</c:v>
                </c:pt>
                <c:pt idx="72">
                  <c:v>44140</c:v>
                </c:pt>
                <c:pt idx="73">
                  <c:v>44172</c:v>
                </c:pt>
                <c:pt idx="74">
                  <c:v>44186</c:v>
                </c:pt>
                <c:pt idx="75">
                  <c:v>44203</c:v>
                </c:pt>
                <c:pt idx="76">
                  <c:v>44229</c:v>
                </c:pt>
                <c:pt idx="77">
                  <c:v>44245</c:v>
                </c:pt>
                <c:pt idx="78">
                  <c:v>44273</c:v>
                </c:pt>
                <c:pt idx="79">
                  <c:v>44287</c:v>
                </c:pt>
                <c:pt idx="80">
                  <c:v>44308</c:v>
                </c:pt>
                <c:pt idx="81">
                  <c:v>44322</c:v>
                </c:pt>
                <c:pt idx="82">
                  <c:v>44337</c:v>
                </c:pt>
                <c:pt idx="83">
                  <c:v>44351</c:v>
                </c:pt>
                <c:pt idx="84">
                  <c:v>44357</c:v>
                </c:pt>
                <c:pt idx="85">
                  <c:v>44362</c:v>
                </c:pt>
                <c:pt idx="86">
                  <c:v>44364</c:v>
                </c:pt>
                <c:pt idx="87">
                  <c:v>44369</c:v>
                </c:pt>
                <c:pt idx="88">
                  <c:v>44376</c:v>
                </c:pt>
                <c:pt idx="89">
                  <c:v>44378</c:v>
                </c:pt>
                <c:pt idx="90">
                  <c:v>44392</c:v>
                </c:pt>
                <c:pt idx="91">
                  <c:v>44400</c:v>
                </c:pt>
                <c:pt idx="92">
                  <c:v>44410</c:v>
                </c:pt>
                <c:pt idx="93">
                  <c:v>44453</c:v>
                </c:pt>
                <c:pt idx="94">
                  <c:v>44470</c:v>
                </c:pt>
                <c:pt idx="95">
                  <c:v>44489</c:v>
                </c:pt>
                <c:pt idx="96">
                  <c:v>44502</c:v>
                </c:pt>
                <c:pt idx="97">
                  <c:v>44915</c:v>
                </c:pt>
              </c:numCache>
            </c:numRef>
          </c:xVal>
          <c:yVal>
            <c:numRef>
              <c:f>Déplacements!$H$10:$H$132</c:f>
              <c:numCache>
                <c:formatCode>\+\ 0.0;\-\ 0.0;\±\ 0.0</c:formatCode>
                <c:ptCount val="123"/>
                <c:pt idx="0">
                  <c:v>0</c:v>
                </c:pt>
                <c:pt idx="1">
                  <c:v>0.50000000000016698</c:v>
                </c:pt>
                <c:pt idx="2">
                  <c:v>0.40000000000017799</c:v>
                </c:pt>
                <c:pt idx="3">
                  <c:v>1.3000000000000789</c:v>
                </c:pt>
                <c:pt idx="4">
                  <c:v>0</c:v>
                </c:pt>
                <c:pt idx="5">
                  <c:v>2.6000000000001577</c:v>
                </c:pt>
                <c:pt idx="6">
                  <c:v>1.1352790000001001</c:v>
                </c:pt>
                <c:pt idx="7">
                  <c:v>1.7095482365681036</c:v>
                </c:pt>
                <c:pt idx="8">
                  <c:v>1.9509420000001221</c:v>
                </c:pt>
                <c:pt idx="9">
                  <c:v>2.8511350000000046</c:v>
                </c:pt>
                <c:pt idx="10">
                  <c:v>2.0419970000000731</c:v>
                </c:pt>
                <c:pt idx="11">
                  <c:v>2.8637590000000213</c:v>
                </c:pt>
                <c:pt idx="12">
                  <c:v>1.1000000000001009</c:v>
                </c:pt>
                <c:pt idx="13">
                  <c:v>1.4000000000000679</c:v>
                </c:pt>
                <c:pt idx="14">
                  <c:v>2.5000000000001688</c:v>
                </c:pt>
                <c:pt idx="15">
                  <c:v>2.5000000000001688</c:v>
                </c:pt>
                <c:pt idx="16">
                  <c:v>2.4000000000001798</c:v>
                </c:pt>
                <c:pt idx="17">
                  <c:v>2.5000000000001688</c:v>
                </c:pt>
                <c:pt idx="18">
                  <c:v>2.8036237832764765</c:v>
                </c:pt>
                <c:pt idx="19">
                  <c:v>2.7000000000001467</c:v>
                </c:pt>
                <c:pt idx="20">
                  <c:v>2.3000000000001908</c:v>
                </c:pt>
                <c:pt idx="21">
                  <c:v>3.0000000000001137</c:v>
                </c:pt>
                <c:pt idx="22">
                  <c:v>2.4000000000001798</c:v>
                </c:pt>
                <c:pt idx="23">
                  <c:v>2.6000000000001577</c:v>
                </c:pt>
                <c:pt idx="24">
                  <c:v>2.7195197683571593</c:v>
                </c:pt>
                <c:pt idx="25">
                  <c:v>3.0000000000001137</c:v>
                </c:pt>
                <c:pt idx="26">
                  <c:v>2.3208366090183841</c:v>
                </c:pt>
                <c:pt idx="27">
                  <c:v>2.1485841905193315</c:v>
                </c:pt>
                <c:pt idx="28">
                  <c:v>1.9221534496816073</c:v>
                </c:pt>
                <c:pt idx="29">
                  <c:v>2.5081937779016794</c:v>
                </c:pt>
                <c:pt idx="30">
                  <c:v>1.8676905101535635</c:v>
                </c:pt>
                <c:pt idx="32">
                  <c:v>2.296867787413337</c:v>
                </c:pt>
                <c:pt idx="33">
                  <c:v>2.5142926338492799</c:v>
                </c:pt>
                <c:pt idx="34">
                  <c:v>2.3000000000001908</c:v>
                </c:pt>
                <c:pt idx="35">
                  <c:v>2.4000000000001798</c:v>
                </c:pt>
                <c:pt idx="37">
                  <c:v>2.6000000000001577</c:v>
                </c:pt>
                <c:pt idx="38">
                  <c:v>2.8000000000001357</c:v>
                </c:pt>
                <c:pt idx="39">
                  <c:v>2.2000000000002018</c:v>
                </c:pt>
                <c:pt idx="40">
                  <c:v>3.3000000000000806</c:v>
                </c:pt>
                <c:pt idx="41">
                  <c:v>2.7000000000001467</c:v>
                </c:pt>
                <c:pt idx="42">
                  <c:v>2.6000000000001577</c:v>
                </c:pt>
                <c:pt idx="43">
                  <c:v>2.3757259396497421</c:v>
                </c:pt>
                <c:pt idx="44">
                  <c:v>2.6000000000001577</c:v>
                </c:pt>
                <c:pt idx="45">
                  <c:v>2.6000000000001577</c:v>
                </c:pt>
                <c:pt idx="46">
                  <c:v>2.8000000000001357</c:v>
                </c:pt>
                <c:pt idx="47">
                  <c:v>2.9000000000001247</c:v>
                </c:pt>
                <c:pt idx="48">
                  <c:v>2.9000000000001247</c:v>
                </c:pt>
                <c:pt idx="49">
                  <c:v>2.7000000000001467</c:v>
                </c:pt>
                <c:pt idx="50">
                  <c:v>2.9000000000001247</c:v>
                </c:pt>
                <c:pt idx="51">
                  <c:v>2.8000000000001357</c:v>
                </c:pt>
                <c:pt idx="52">
                  <c:v>3.6000000000000476</c:v>
                </c:pt>
                <c:pt idx="53">
                  <c:v>2.7000000000001467</c:v>
                </c:pt>
                <c:pt idx="54">
                  <c:v>3.0000000000001137</c:v>
                </c:pt>
                <c:pt idx="55">
                  <c:v>3.5000000000000586</c:v>
                </c:pt>
                <c:pt idx="56">
                  <c:v>3.5000000000000586</c:v>
                </c:pt>
                <c:pt idx="57">
                  <c:v>3.2702468166321275</c:v>
                </c:pt>
                <c:pt idx="58">
                  <c:v>3.8684846457339717</c:v>
                </c:pt>
                <c:pt idx="59">
                  <c:v>3.6872263327971666</c:v>
                </c:pt>
                <c:pt idx="60">
                  <c:v>3.4214376138248515</c:v>
                </c:pt>
                <c:pt idx="61">
                  <c:v>3.5665296042910466</c:v>
                </c:pt>
                <c:pt idx="62">
                  <c:v>4.829239571904953</c:v>
                </c:pt>
                <c:pt idx="63">
                  <c:v>4.1464710765852786</c:v>
                </c:pt>
                <c:pt idx="64">
                  <c:v>4.0741384316114182</c:v>
                </c:pt>
                <c:pt idx="65">
                  <c:v>3.892879907674951</c:v>
                </c:pt>
                <c:pt idx="66">
                  <c:v>4.0257743480645036</c:v>
                </c:pt>
                <c:pt idx="67">
                  <c:v>3.7538867731501391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960-488A-B4E5-F6C696EC9CE8}"/>
            </c:ext>
          </c:extLst>
        </c:ser>
        <c:ser>
          <c:idx val="4"/>
          <c:order val="2"/>
          <c:tx>
            <c:strRef>
              <c:f>Déplacements!$P$9</c:f>
              <c:strCache>
                <c:ptCount val="1"/>
                <c:pt idx="0">
                  <c:v>DH haut droit</c:v>
                </c:pt>
              </c:strCache>
            </c:strRef>
          </c:tx>
          <c:spPr>
            <a:ln w="15875" cap="rnd">
              <a:solidFill>
                <a:schemeClr val="accent5"/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5">
                      <a:tint val="50000"/>
                      <a:satMod val="300000"/>
                    </a:schemeClr>
                  </a:gs>
                  <a:gs pos="35000">
                    <a:schemeClr val="accent5">
                      <a:tint val="37000"/>
                      <a:satMod val="300000"/>
                    </a:schemeClr>
                  </a:gs>
                  <a:gs pos="100000">
                    <a:schemeClr val="accent5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5"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marker>
          <c:xVal>
            <c:numRef>
              <c:f>Déplacements!$B$10:$B$300</c:f>
              <c:numCache>
                <c:formatCode>dd\ /\ mm\ /\ yy</c:formatCode>
                <c:ptCount val="291"/>
                <c:pt idx="0">
                  <c:v>43655</c:v>
                </c:pt>
                <c:pt idx="1">
                  <c:v>43657</c:v>
                </c:pt>
                <c:pt idx="2">
                  <c:v>43661</c:v>
                </c:pt>
                <c:pt idx="3">
                  <c:v>43663</c:v>
                </c:pt>
                <c:pt idx="4">
                  <c:v>43669</c:v>
                </c:pt>
                <c:pt idx="5">
                  <c:v>43675</c:v>
                </c:pt>
                <c:pt idx="6">
                  <c:v>43679</c:v>
                </c:pt>
                <c:pt idx="7">
                  <c:v>43682</c:v>
                </c:pt>
                <c:pt idx="8">
                  <c:v>43684</c:v>
                </c:pt>
                <c:pt idx="9">
                  <c:v>43685</c:v>
                </c:pt>
                <c:pt idx="10">
                  <c:v>43689</c:v>
                </c:pt>
                <c:pt idx="11">
                  <c:v>43690</c:v>
                </c:pt>
                <c:pt idx="12">
                  <c:v>43696</c:v>
                </c:pt>
                <c:pt idx="13">
                  <c:v>43699</c:v>
                </c:pt>
                <c:pt idx="14">
                  <c:v>43703</c:v>
                </c:pt>
                <c:pt idx="15">
                  <c:v>43706</c:v>
                </c:pt>
                <c:pt idx="16">
                  <c:v>43710</c:v>
                </c:pt>
                <c:pt idx="17">
                  <c:v>43713</c:v>
                </c:pt>
                <c:pt idx="18">
                  <c:v>43718</c:v>
                </c:pt>
                <c:pt idx="19">
                  <c:v>43720</c:v>
                </c:pt>
                <c:pt idx="20">
                  <c:v>43724</c:v>
                </c:pt>
                <c:pt idx="21">
                  <c:v>43727</c:v>
                </c:pt>
                <c:pt idx="22">
                  <c:v>43731</c:v>
                </c:pt>
                <c:pt idx="23">
                  <c:v>43734</c:v>
                </c:pt>
                <c:pt idx="24">
                  <c:v>43738</c:v>
                </c:pt>
                <c:pt idx="25">
                  <c:v>43741</c:v>
                </c:pt>
                <c:pt idx="26">
                  <c:v>43746</c:v>
                </c:pt>
                <c:pt idx="27">
                  <c:v>43753</c:v>
                </c:pt>
                <c:pt idx="28">
                  <c:v>43756</c:v>
                </c:pt>
                <c:pt idx="29">
                  <c:v>43760</c:v>
                </c:pt>
                <c:pt idx="30">
                  <c:v>43762</c:v>
                </c:pt>
                <c:pt idx="31">
                  <c:v>43766</c:v>
                </c:pt>
                <c:pt idx="32">
                  <c:v>43769</c:v>
                </c:pt>
                <c:pt idx="33">
                  <c:v>43774</c:v>
                </c:pt>
                <c:pt idx="34">
                  <c:v>43776</c:v>
                </c:pt>
                <c:pt idx="35">
                  <c:v>43781</c:v>
                </c:pt>
                <c:pt idx="36">
                  <c:v>43783</c:v>
                </c:pt>
                <c:pt idx="37">
                  <c:v>43787</c:v>
                </c:pt>
                <c:pt idx="38">
                  <c:v>43790</c:v>
                </c:pt>
                <c:pt idx="39">
                  <c:v>43795</c:v>
                </c:pt>
                <c:pt idx="40">
                  <c:v>43797</c:v>
                </c:pt>
                <c:pt idx="41">
                  <c:v>43801</c:v>
                </c:pt>
                <c:pt idx="42">
                  <c:v>43803</c:v>
                </c:pt>
                <c:pt idx="43">
                  <c:v>43808</c:v>
                </c:pt>
                <c:pt idx="44">
                  <c:v>43811</c:v>
                </c:pt>
                <c:pt idx="45">
                  <c:v>43815</c:v>
                </c:pt>
                <c:pt idx="46">
                  <c:v>43818</c:v>
                </c:pt>
                <c:pt idx="47">
                  <c:v>43837</c:v>
                </c:pt>
                <c:pt idx="48">
                  <c:v>43843</c:v>
                </c:pt>
                <c:pt idx="49">
                  <c:v>43850</c:v>
                </c:pt>
                <c:pt idx="50">
                  <c:v>43857</c:v>
                </c:pt>
                <c:pt idx="51">
                  <c:v>43865</c:v>
                </c:pt>
                <c:pt idx="52">
                  <c:v>43878</c:v>
                </c:pt>
                <c:pt idx="53">
                  <c:v>43886</c:v>
                </c:pt>
                <c:pt idx="54">
                  <c:v>43896</c:v>
                </c:pt>
                <c:pt idx="55">
                  <c:v>43970</c:v>
                </c:pt>
                <c:pt idx="56">
                  <c:v>43977</c:v>
                </c:pt>
                <c:pt idx="57">
                  <c:v>43984</c:v>
                </c:pt>
                <c:pt idx="58">
                  <c:v>43990</c:v>
                </c:pt>
                <c:pt idx="59">
                  <c:v>43997</c:v>
                </c:pt>
                <c:pt idx="60">
                  <c:v>44004</c:v>
                </c:pt>
                <c:pt idx="61">
                  <c:v>44018</c:v>
                </c:pt>
                <c:pt idx="62">
                  <c:v>44027</c:v>
                </c:pt>
                <c:pt idx="63">
                  <c:v>44039</c:v>
                </c:pt>
                <c:pt idx="64">
                  <c:v>44053</c:v>
                </c:pt>
                <c:pt idx="65">
                  <c:v>44075</c:v>
                </c:pt>
                <c:pt idx="66">
                  <c:v>44082</c:v>
                </c:pt>
                <c:pt idx="67">
                  <c:v>44112</c:v>
                </c:pt>
                <c:pt idx="68">
                  <c:v>44134</c:v>
                </c:pt>
                <c:pt idx="70">
                  <c:v>44134</c:v>
                </c:pt>
                <c:pt idx="72">
                  <c:v>44140</c:v>
                </c:pt>
                <c:pt idx="73">
                  <c:v>44172</c:v>
                </c:pt>
                <c:pt idx="74">
                  <c:v>44186</c:v>
                </c:pt>
                <c:pt idx="75">
                  <c:v>44203</c:v>
                </c:pt>
                <c:pt idx="76">
                  <c:v>44229</c:v>
                </c:pt>
                <c:pt idx="77">
                  <c:v>44245</c:v>
                </c:pt>
                <c:pt idx="78">
                  <c:v>44273</c:v>
                </c:pt>
                <c:pt idx="79">
                  <c:v>44287</c:v>
                </c:pt>
                <c:pt idx="80">
                  <c:v>44308</c:v>
                </c:pt>
                <c:pt idx="81">
                  <c:v>44322</c:v>
                </c:pt>
                <c:pt idx="82">
                  <c:v>44337</c:v>
                </c:pt>
                <c:pt idx="83">
                  <c:v>44351</c:v>
                </c:pt>
                <c:pt idx="84">
                  <c:v>44357</c:v>
                </c:pt>
                <c:pt idx="85">
                  <c:v>44362</c:v>
                </c:pt>
                <c:pt idx="86">
                  <c:v>44364</c:v>
                </c:pt>
                <c:pt idx="87">
                  <c:v>44369</c:v>
                </c:pt>
                <c:pt idx="88">
                  <c:v>44376</c:v>
                </c:pt>
                <c:pt idx="89">
                  <c:v>44378</c:v>
                </c:pt>
                <c:pt idx="90">
                  <c:v>44392</c:v>
                </c:pt>
                <c:pt idx="91">
                  <c:v>44400</c:v>
                </c:pt>
                <c:pt idx="92">
                  <c:v>44410</c:v>
                </c:pt>
                <c:pt idx="93">
                  <c:v>44453</c:v>
                </c:pt>
                <c:pt idx="94">
                  <c:v>44470</c:v>
                </c:pt>
                <c:pt idx="95">
                  <c:v>44489</c:v>
                </c:pt>
                <c:pt idx="96">
                  <c:v>44502</c:v>
                </c:pt>
                <c:pt idx="97">
                  <c:v>44915</c:v>
                </c:pt>
              </c:numCache>
            </c:numRef>
          </c:xVal>
          <c:yVal>
            <c:numRef>
              <c:f>Déplacements!$P$10:$P$300</c:f>
              <c:numCache>
                <c:formatCode>\+\ 0.0;\-\ 0.0;\±\ 0.0</c:formatCode>
                <c:ptCount val="291"/>
                <c:pt idx="0">
                  <c:v>0</c:v>
                </c:pt>
                <c:pt idx="1">
                  <c:v>0.59999999999993392</c:v>
                </c:pt>
                <c:pt idx="2">
                  <c:v>0.79999999999991189</c:v>
                </c:pt>
                <c:pt idx="3">
                  <c:v>1.3999999999998458</c:v>
                </c:pt>
                <c:pt idx="4">
                  <c:v>9.9999999999988987E-2</c:v>
                </c:pt>
                <c:pt idx="5">
                  <c:v>2.4999999999999467</c:v>
                </c:pt>
                <c:pt idx="6">
                  <c:v>1.1550139999998432</c:v>
                </c:pt>
                <c:pt idx="7">
                  <c:v>1.753251604003303</c:v>
                </c:pt>
                <c:pt idx="8">
                  <c:v>1.7772199999999128</c:v>
                </c:pt>
                <c:pt idx="9">
                  <c:v>2.7619439999999607</c:v>
                </c:pt>
                <c:pt idx="10">
                  <c:v>2.0434359999998986</c:v>
                </c:pt>
                <c:pt idx="11">
                  <c:v>2.9013639999999619</c:v>
                </c:pt>
                <c:pt idx="12">
                  <c:v>1.3999999999998458</c:v>
                </c:pt>
                <c:pt idx="13">
                  <c:v>1.4999999999998348</c:v>
                </c:pt>
                <c:pt idx="14">
                  <c:v>2.7999999999999137</c:v>
                </c:pt>
                <c:pt idx="15">
                  <c:v>2.6999999999999247</c:v>
                </c:pt>
                <c:pt idx="16">
                  <c:v>2.6999999999999247</c:v>
                </c:pt>
                <c:pt idx="17">
                  <c:v>2.7999999999999137</c:v>
                </c:pt>
                <c:pt idx="18">
                  <c:v>3.3305409271253694</c:v>
                </c:pt>
                <c:pt idx="19">
                  <c:v>3.2999999999998586</c:v>
                </c:pt>
                <c:pt idx="20">
                  <c:v>2.8999999999999027</c:v>
                </c:pt>
                <c:pt idx="21">
                  <c:v>3.7000000000000366</c:v>
                </c:pt>
                <c:pt idx="22">
                  <c:v>3.0999999999998806</c:v>
                </c:pt>
                <c:pt idx="23">
                  <c:v>2.9999999999998916</c:v>
                </c:pt>
                <c:pt idx="24">
                  <c:v>3.3549361890670149</c:v>
                </c:pt>
                <c:pt idx="25">
                  <c:v>3.6000000000000476</c:v>
                </c:pt>
                <c:pt idx="26">
                  <c:v>3.1163786796530868</c:v>
                </c:pt>
                <c:pt idx="27">
                  <c:v>2.9682376515474118</c:v>
                </c:pt>
                <c:pt idx="28">
                  <c:v>2.7810933616936317</c:v>
                </c:pt>
                <c:pt idx="29">
                  <c:v>3.6268237639767165</c:v>
                </c:pt>
                <c:pt idx="30">
                  <c:v>3.4215966294248723</c:v>
                </c:pt>
                <c:pt idx="31">
                  <c:v>3.7841132552960399</c:v>
                </c:pt>
                <c:pt idx="32">
                  <c:v>2.9684505305975772</c:v>
                </c:pt>
                <c:pt idx="33">
                  <c:v>3.5122256804120955</c:v>
                </c:pt>
                <c:pt idx="34">
                  <c:v>3.1999999999998696</c:v>
                </c:pt>
                <c:pt idx="35">
                  <c:v>3.3999999999998476</c:v>
                </c:pt>
                <c:pt idx="36">
                  <c:v>3.6000000000000476</c:v>
                </c:pt>
                <c:pt idx="37">
                  <c:v>3.3999999999998476</c:v>
                </c:pt>
                <c:pt idx="38">
                  <c:v>3.7000000000000366</c:v>
                </c:pt>
                <c:pt idx="39">
                  <c:v>3.4999999999998366</c:v>
                </c:pt>
                <c:pt idx="40">
                  <c:v>4.3999999999999595</c:v>
                </c:pt>
                <c:pt idx="41">
                  <c:v>3.9000000000000146</c:v>
                </c:pt>
                <c:pt idx="42">
                  <c:v>3.7000000000000366</c:v>
                </c:pt>
                <c:pt idx="43">
                  <c:v>3.439892986264681</c:v>
                </c:pt>
                <c:pt idx="44">
                  <c:v>3.4999999999998366</c:v>
                </c:pt>
                <c:pt idx="45">
                  <c:v>3.8000000000000256</c:v>
                </c:pt>
                <c:pt idx="46">
                  <c:v>3.9000000000000146</c:v>
                </c:pt>
                <c:pt idx="47">
                  <c:v>3.9000000000000146</c:v>
                </c:pt>
                <c:pt idx="48">
                  <c:v>4.0999999999999925</c:v>
                </c:pt>
                <c:pt idx="49">
                  <c:v>3.9000000000000146</c:v>
                </c:pt>
                <c:pt idx="50">
                  <c:v>4.2999999999999705</c:v>
                </c:pt>
                <c:pt idx="51">
                  <c:v>3.9000000000000146</c:v>
                </c:pt>
                <c:pt idx="52">
                  <c:v>4.8999999999999044</c:v>
                </c:pt>
                <c:pt idx="53">
                  <c:v>4.0999999999999925</c:v>
                </c:pt>
                <c:pt idx="54">
                  <c:v>4.7999999999999154</c:v>
                </c:pt>
                <c:pt idx="55">
                  <c:v>5.1999999999998714</c:v>
                </c:pt>
                <c:pt idx="56">
                  <c:v>5.0999999999998824</c:v>
                </c:pt>
                <c:pt idx="57">
                  <c:v>4.8598926562080091</c:v>
                </c:pt>
                <c:pt idx="58">
                  <c:v>5.4097666619785656</c:v>
                </c:pt>
                <c:pt idx="59">
                  <c:v>5.1740454095634547</c:v>
                </c:pt>
                <c:pt idx="60">
                  <c:v>4.8659915121509467</c:v>
                </c:pt>
                <c:pt idx="61">
                  <c:v>5.0472498251166176</c:v>
                </c:pt>
                <c:pt idx="62">
                  <c:v>6.0441710737813015</c:v>
                </c:pt>
                <c:pt idx="63">
                  <c:v>5.5788274248622649</c:v>
                </c:pt>
                <c:pt idx="64">
                  <c:v>5.4520318404069901</c:v>
                </c:pt>
                <c:pt idx="65">
                  <c:v>5.4459329844591675</c:v>
                </c:pt>
                <c:pt idx="66">
                  <c:v>5.5788274248622649</c:v>
                </c:pt>
                <c:pt idx="67">
                  <c:v>5.7962523204733163</c:v>
                </c:pt>
                <c:pt idx="68">
                  <c:v>5.0171820983442306</c:v>
                </c:pt>
                <c:pt idx="72">
                  <c:v>3.1984992690405889</c:v>
                </c:pt>
                <c:pt idx="73">
                  <c:v>3.2834560661947343</c:v>
                </c:pt>
                <c:pt idx="74">
                  <c:v>2.3768767607723618</c:v>
                </c:pt>
                <c:pt idx="75">
                  <c:v>2.0869801477936267</c:v>
                </c:pt>
                <c:pt idx="76">
                  <c:v>2.3768767607723618</c:v>
                </c:pt>
                <c:pt idx="77">
                  <c:v>2.3466699616141451</c:v>
                </c:pt>
                <c:pt idx="78">
                  <c:v>3.7666696316056569</c:v>
                </c:pt>
                <c:pt idx="79">
                  <c:v>2.2743373166536074</c:v>
                </c:pt>
                <c:pt idx="80">
                  <c:v>3.4642881989839225</c:v>
                </c:pt>
                <c:pt idx="81">
                  <c:v>3.1562340413830992</c:v>
                </c:pt>
                <c:pt idx="82">
                  <c:v>4.0747237399949565</c:v>
                </c:pt>
                <c:pt idx="83">
                  <c:v>3.8512000376129674</c:v>
                </c:pt>
                <c:pt idx="84">
                  <c:v>4.9265530473994179</c:v>
                </c:pt>
                <c:pt idx="85">
                  <c:v>4.9627193698622563</c:v>
                </c:pt>
                <c:pt idx="86">
                  <c:v>4.7513933793954521</c:v>
                </c:pt>
                <c:pt idx="87">
                  <c:v>4.4372405768697831</c:v>
                </c:pt>
                <c:pt idx="88">
                  <c:v>4.3405124589577238</c:v>
                </c:pt>
                <c:pt idx="89">
                  <c:v>5.0049845974633467</c:v>
                </c:pt>
                <c:pt idx="90">
                  <c:v>4.2799509237194666</c:v>
                </c:pt>
                <c:pt idx="91">
                  <c:v>4.8119549638230286</c:v>
                </c:pt>
                <c:pt idx="92">
                  <c:v>4.8659914629560763</c:v>
                </c:pt>
                <c:pt idx="93">
                  <c:v>5.4703281971875128</c:v>
                </c:pt>
                <c:pt idx="94">
                  <c:v>5.6877530436254542</c:v>
                </c:pt>
                <c:pt idx="95">
                  <c:v>5.6999505444943477</c:v>
                </c:pt>
                <c:pt idx="96">
                  <c:v>5.5125933756206003</c:v>
                </c:pt>
                <c:pt idx="97">
                  <c:v>4.7335234136991478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960-488A-B4E5-F6C696EC9CE8}"/>
            </c:ext>
          </c:extLst>
        </c:ser>
        <c:ser>
          <c:idx val="5"/>
          <c:order val="3"/>
          <c:tx>
            <c:strRef>
              <c:f>Déplacements!$D$9</c:f>
              <c:strCache>
                <c:ptCount val="1"/>
                <c:pt idx="0">
                  <c:v>DH inter gauche</c:v>
                </c:pt>
              </c:strCache>
            </c:strRef>
          </c:tx>
          <c:spPr>
            <a:ln w="15875" cap="rnd">
              <a:solidFill>
                <a:schemeClr val="accent6"/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6">
                      <a:tint val="50000"/>
                      <a:satMod val="300000"/>
                    </a:schemeClr>
                  </a:gs>
                  <a:gs pos="35000">
                    <a:schemeClr val="accent6">
                      <a:tint val="37000"/>
                      <a:satMod val="300000"/>
                    </a:schemeClr>
                  </a:gs>
                  <a:gs pos="100000">
                    <a:schemeClr val="accent6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6"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marker>
          <c:xVal>
            <c:numRef>
              <c:f>Déplacements!$B$10:$B$300</c:f>
              <c:numCache>
                <c:formatCode>dd\ /\ mm\ /\ yy</c:formatCode>
                <c:ptCount val="291"/>
                <c:pt idx="0">
                  <c:v>43655</c:v>
                </c:pt>
                <c:pt idx="1">
                  <c:v>43657</c:v>
                </c:pt>
                <c:pt idx="2">
                  <c:v>43661</c:v>
                </c:pt>
                <c:pt idx="3">
                  <c:v>43663</c:v>
                </c:pt>
                <c:pt idx="4">
                  <c:v>43669</c:v>
                </c:pt>
                <c:pt idx="5">
                  <c:v>43675</c:v>
                </c:pt>
                <c:pt idx="6">
                  <c:v>43679</c:v>
                </c:pt>
                <c:pt idx="7">
                  <c:v>43682</c:v>
                </c:pt>
                <c:pt idx="8">
                  <c:v>43684</c:v>
                </c:pt>
                <c:pt idx="9">
                  <c:v>43685</c:v>
                </c:pt>
                <c:pt idx="10">
                  <c:v>43689</c:v>
                </c:pt>
                <c:pt idx="11">
                  <c:v>43690</c:v>
                </c:pt>
                <c:pt idx="12">
                  <c:v>43696</c:v>
                </c:pt>
                <c:pt idx="13">
                  <c:v>43699</c:v>
                </c:pt>
                <c:pt idx="14">
                  <c:v>43703</c:v>
                </c:pt>
                <c:pt idx="15">
                  <c:v>43706</c:v>
                </c:pt>
                <c:pt idx="16">
                  <c:v>43710</c:v>
                </c:pt>
                <c:pt idx="17">
                  <c:v>43713</c:v>
                </c:pt>
                <c:pt idx="18">
                  <c:v>43718</c:v>
                </c:pt>
                <c:pt idx="19">
                  <c:v>43720</c:v>
                </c:pt>
                <c:pt idx="20">
                  <c:v>43724</c:v>
                </c:pt>
                <c:pt idx="21">
                  <c:v>43727</c:v>
                </c:pt>
                <c:pt idx="22">
                  <c:v>43731</c:v>
                </c:pt>
                <c:pt idx="23">
                  <c:v>43734</c:v>
                </c:pt>
                <c:pt idx="24">
                  <c:v>43738</c:v>
                </c:pt>
                <c:pt idx="25">
                  <c:v>43741</c:v>
                </c:pt>
                <c:pt idx="26">
                  <c:v>43746</c:v>
                </c:pt>
                <c:pt idx="27">
                  <c:v>43753</c:v>
                </c:pt>
                <c:pt idx="28">
                  <c:v>43756</c:v>
                </c:pt>
                <c:pt idx="29">
                  <c:v>43760</c:v>
                </c:pt>
                <c:pt idx="30">
                  <c:v>43762</c:v>
                </c:pt>
                <c:pt idx="31">
                  <c:v>43766</c:v>
                </c:pt>
                <c:pt idx="32">
                  <c:v>43769</c:v>
                </c:pt>
                <c:pt idx="33">
                  <c:v>43774</c:v>
                </c:pt>
                <c:pt idx="34">
                  <c:v>43776</c:v>
                </c:pt>
                <c:pt idx="35">
                  <c:v>43781</c:v>
                </c:pt>
                <c:pt idx="36">
                  <c:v>43783</c:v>
                </c:pt>
                <c:pt idx="37">
                  <c:v>43787</c:v>
                </c:pt>
                <c:pt idx="38">
                  <c:v>43790</c:v>
                </c:pt>
                <c:pt idx="39">
                  <c:v>43795</c:v>
                </c:pt>
                <c:pt idx="40">
                  <c:v>43797</c:v>
                </c:pt>
                <c:pt idx="41">
                  <c:v>43801</c:v>
                </c:pt>
                <c:pt idx="42">
                  <c:v>43803</c:v>
                </c:pt>
                <c:pt idx="43">
                  <c:v>43808</c:v>
                </c:pt>
                <c:pt idx="44">
                  <c:v>43811</c:v>
                </c:pt>
                <c:pt idx="45">
                  <c:v>43815</c:v>
                </c:pt>
                <c:pt idx="46">
                  <c:v>43818</c:v>
                </c:pt>
                <c:pt idx="47">
                  <c:v>43837</c:v>
                </c:pt>
                <c:pt idx="48">
                  <c:v>43843</c:v>
                </c:pt>
                <c:pt idx="49">
                  <c:v>43850</c:v>
                </c:pt>
                <c:pt idx="50">
                  <c:v>43857</c:v>
                </c:pt>
                <c:pt idx="51">
                  <c:v>43865</c:v>
                </c:pt>
                <c:pt idx="52">
                  <c:v>43878</c:v>
                </c:pt>
                <c:pt idx="53">
                  <c:v>43886</c:v>
                </c:pt>
                <c:pt idx="54">
                  <c:v>43896</c:v>
                </c:pt>
                <c:pt idx="55">
                  <c:v>43970</c:v>
                </c:pt>
                <c:pt idx="56">
                  <c:v>43977</c:v>
                </c:pt>
                <c:pt idx="57">
                  <c:v>43984</c:v>
                </c:pt>
                <c:pt idx="58">
                  <c:v>43990</c:v>
                </c:pt>
                <c:pt idx="59">
                  <c:v>43997</c:v>
                </c:pt>
                <c:pt idx="60">
                  <c:v>44004</c:v>
                </c:pt>
                <c:pt idx="61">
                  <c:v>44018</c:v>
                </c:pt>
                <c:pt idx="62">
                  <c:v>44027</c:v>
                </c:pt>
                <c:pt idx="63">
                  <c:v>44039</c:v>
                </c:pt>
                <c:pt idx="64">
                  <c:v>44053</c:v>
                </c:pt>
                <c:pt idx="65">
                  <c:v>44075</c:v>
                </c:pt>
                <c:pt idx="66">
                  <c:v>44082</c:v>
                </c:pt>
                <c:pt idx="67">
                  <c:v>44112</c:v>
                </c:pt>
                <c:pt idx="68">
                  <c:v>44134</c:v>
                </c:pt>
                <c:pt idx="70">
                  <c:v>44134</c:v>
                </c:pt>
                <c:pt idx="72">
                  <c:v>44140</c:v>
                </c:pt>
                <c:pt idx="73">
                  <c:v>44172</c:v>
                </c:pt>
                <c:pt idx="74">
                  <c:v>44186</c:v>
                </c:pt>
                <c:pt idx="75">
                  <c:v>44203</c:v>
                </c:pt>
                <c:pt idx="76">
                  <c:v>44229</c:v>
                </c:pt>
                <c:pt idx="77">
                  <c:v>44245</c:v>
                </c:pt>
                <c:pt idx="78">
                  <c:v>44273</c:v>
                </c:pt>
                <c:pt idx="79">
                  <c:v>44287</c:v>
                </c:pt>
                <c:pt idx="80">
                  <c:v>44308</c:v>
                </c:pt>
                <c:pt idx="81">
                  <c:v>44322</c:v>
                </c:pt>
                <c:pt idx="82">
                  <c:v>44337</c:v>
                </c:pt>
                <c:pt idx="83">
                  <c:v>44351</c:v>
                </c:pt>
                <c:pt idx="84">
                  <c:v>44357</c:v>
                </c:pt>
                <c:pt idx="85">
                  <c:v>44362</c:v>
                </c:pt>
                <c:pt idx="86">
                  <c:v>44364</c:v>
                </c:pt>
                <c:pt idx="87">
                  <c:v>44369</c:v>
                </c:pt>
                <c:pt idx="88">
                  <c:v>44376</c:v>
                </c:pt>
                <c:pt idx="89">
                  <c:v>44378</c:v>
                </c:pt>
                <c:pt idx="90">
                  <c:v>44392</c:v>
                </c:pt>
                <c:pt idx="91">
                  <c:v>44400</c:v>
                </c:pt>
                <c:pt idx="92">
                  <c:v>44410</c:v>
                </c:pt>
                <c:pt idx="93">
                  <c:v>44453</c:v>
                </c:pt>
                <c:pt idx="94">
                  <c:v>44470</c:v>
                </c:pt>
                <c:pt idx="95">
                  <c:v>44489</c:v>
                </c:pt>
                <c:pt idx="96">
                  <c:v>44502</c:v>
                </c:pt>
                <c:pt idx="97">
                  <c:v>44915</c:v>
                </c:pt>
              </c:numCache>
            </c:numRef>
          </c:xVal>
          <c:yVal>
            <c:numRef>
              <c:f>Déplacements!$D$10:$D$300</c:f>
              <c:numCache>
                <c:formatCode>\+\ 0.0;\-\ 0.0;\±\ 0.0</c:formatCode>
                <c:ptCount val="291"/>
                <c:pt idx="0">
                  <c:v>0</c:v>
                </c:pt>
                <c:pt idx="1">
                  <c:v>0.50000000000016698</c:v>
                </c:pt>
                <c:pt idx="2">
                  <c:v>0.60000000000037801</c:v>
                </c:pt>
                <c:pt idx="3">
                  <c:v>1.8000000000002458</c:v>
                </c:pt>
                <c:pt idx="4">
                  <c:v>0.50000000000016698</c:v>
                </c:pt>
                <c:pt idx="5">
                  <c:v>2.8000000000001357</c:v>
                </c:pt>
                <c:pt idx="6">
                  <c:v>1.2842800000001375</c:v>
                </c:pt>
                <c:pt idx="7">
                  <c:v>1.9308821512047381</c:v>
                </c:pt>
                <c:pt idx="8">
                  <c:v>1.7674940000000916</c:v>
                </c:pt>
                <c:pt idx="9">
                  <c:v>2.7944830000001808</c:v>
                </c:pt>
                <c:pt idx="10">
                  <c:v>1.8040870000000098</c:v>
                </c:pt>
                <c:pt idx="11">
                  <c:v>2.5230210000000142</c:v>
                </c:pt>
                <c:pt idx="12">
                  <c:v>0.50000000000016698</c:v>
                </c:pt>
                <c:pt idx="13">
                  <c:v>0.70000000000014495</c:v>
                </c:pt>
                <c:pt idx="14">
                  <c:v>1.7000000000000348</c:v>
                </c:pt>
                <c:pt idx="15">
                  <c:v>1.5000000000000568</c:v>
                </c:pt>
                <c:pt idx="16">
                  <c:v>1.3000000000000789</c:v>
                </c:pt>
                <c:pt idx="17">
                  <c:v>1.3000000000000789</c:v>
                </c:pt>
                <c:pt idx="18">
                  <c:v>1.3696632158577415</c:v>
                </c:pt>
                <c:pt idx="19">
                  <c:v>1.1000000000001009</c:v>
                </c:pt>
                <c:pt idx="20">
                  <c:v>0.300000000000189</c:v>
                </c:pt>
                <c:pt idx="21">
                  <c:v>1.2000000000003119</c:v>
                </c:pt>
                <c:pt idx="22">
                  <c:v>0.40000000000040004</c:v>
                </c:pt>
                <c:pt idx="23">
                  <c:v>0.300000000000189</c:v>
                </c:pt>
                <c:pt idx="24">
                  <c:v>0.60888961075011849</c:v>
                </c:pt>
                <c:pt idx="25">
                  <c:v>0.50000000000016698</c:v>
                </c:pt>
                <c:pt idx="26">
                  <c:v>-0.10089700403081991</c:v>
                </c:pt>
                <c:pt idx="27">
                  <c:v>-0.60240697545577149</c:v>
                </c:pt>
                <c:pt idx="28">
                  <c:v>-0.72615326202551955</c:v>
                </c:pt>
                <c:pt idx="29">
                  <c:v>-0.10394635110522188</c:v>
                </c:pt>
                <c:pt idx="30">
                  <c:v>-0.44816683119375256</c:v>
                </c:pt>
                <c:pt idx="31">
                  <c:v>-4.3384766677423414E-2</c:v>
                </c:pt>
                <c:pt idx="32">
                  <c:v>-0.75622072858072542</c:v>
                </c:pt>
                <c:pt idx="33">
                  <c:v>-0.30917348565306924</c:v>
                </c:pt>
                <c:pt idx="34">
                  <c:v>-0.69999999999970086</c:v>
                </c:pt>
                <c:pt idx="35">
                  <c:v>-0.69999999999970086</c:v>
                </c:pt>
                <c:pt idx="36">
                  <c:v>-0.29999999999974492</c:v>
                </c:pt>
                <c:pt idx="37">
                  <c:v>-0.99999999999988987</c:v>
                </c:pt>
                <c:pt idx="38">
                  <c:v>-0.59999999999993392</c:v>
                </c:pt>
                <c:pt idx="39">
                  <c:v>-0.99999999999988987</c:v>
                </c:pt>
                <c:pt idx="40">
                  <c:v>-9.9999999999766942E-2</c:v>
                </c:pt>
                <c:pt idx="41">
                  <c:v>-0.89999999999967883</c:v>
                </c:pt>
                <c:pt idx="42">
                  <c:v>-0.79999999999991189</c:v>
                </c:pt>
                <c:pt idx="43">
                  <c:v>-1.1305088862005874</c:v>
                </c:pt>
                <c:pt idx="44">
                  <c:v>-1.0999999999996568</c:v>
                </c:pt>
                <c:pt idx="45">
                  <c:v>-0.89999999999967883</c:v>
                </c:pt>
                <c:pt idx="46">
                  <c:v>-0.99999999999988987</c:v>
                </c:pt>
                <c:pt idx="47">
                  <c:v>-0.89999999999967883</c:v>
                </c:pt>
                <c:pt idx="48">
                  <c:v>-0.99999999999988987</c:v>
                </c:pt>
                <c:pt idx="49">
                  <c:v>-1.0999999999996568</c:v>
                </c:pt>
                <c:pt idx="50">
                  <c:v>-0.89999999999967883</c:v>
                </c:pt>
                <c:pt idx="51">
                  <c:v>-1.0999999999996568</c:v>
                </c:pt>
                <c:pt idx="52">
                  <c:v>-0.19999999999997797</c:v>
                </c:pt>
                <c:pt idx="53">
                  <c:v>-1.2999999999996348</c:v>
                </c:pt>
                <c:pt idx="54">
                  <c:v>-0.99999999999988987</c:v>
                </c:pt>
                <c:pt idx="55">
                  <c:v>-0.29999999999974492</c:v>
                </c:pt>
                <c:pt idx="56">
                  <c:v>-0.59999999999993392</c:v>
                </c:pt>
                <c:pt idx="57">
                  <c:v>-0.70743046488264127</c:v>
                </c:pt>
                <c:pt idx="58">
                  <c:v>-0.12748878156543242</c:v>
                </c:pt>
                <c:pt idx="59">
                  <c:v>-0.3571111780962255</c:v>
                </c:pt>
                <c:pt idx="60">
                  <c:v>-0.70743046488264127</c:v>
                </c:pt>
                <c:pt idx="61">
                  <c:v>-0.48390676249976394</c:v>
                </c:pt>
                <c:pt idx="62">
                  <c:v>0.91169764551457533</c:v>
                </c:pt>
                <c:pt idx="63">
                  <c:v>0.18666397175826077</c:v>
                </c:pt>
                <c:pt idx="64">
                  <c:v>0.19276287689162785</c:v>
                </c:pt>
                <c:pt idx="65">
                  <c:v>0.10213361490452044</c:v>
                </c:pt>
                <c:pt idx="66">
                  <c:v>0.13220129246382939</c:v>
                </c:pt>
                <c:pt idx="68">
                  <c:v>-0.19982147572861209</c:v>
                </c:pt>
                <c:pt idx="71">
                  <c:v>0</c:v>
                </c:pt>
                <c:pt idx="72">
                  <c:v>-1.8917086713998721</c:v>
                </c:pt>
                <c:pt idx="73">
                  <c:v>-1.7339927889414852</c:v>
                </c:pt>
                <c:pt idx="74">
                  <c:v>-2.1751855467933012</c:v>
                </c:pt>
                <c:pt idx="75">
                  <c:v>-2.5195880471060583</c:v>
                </c:pt>
                <c:pt idx="76">
                  <c:v>-1.9751855467933233</c:v>
                </c:pt>
                <c:pt idx="77">
                  <c:v>-2.3988911076155972</c:v>
                </c:pt>
                <c:pt idx="78">
                  <c:v>-0.50220311931203909</c:v>
                </c:pt>
                <c:pt idx="79">
                  <c:v>-0.18762392563376196</c:v>
                </c:pt>
                <c:pt idx="80">
                  <c:v>-1.3357360207169044</c:v>
                </c:pt>
                <c:pt idx="81">
                  <c:v>-1.8795111705265377</c:v>
                </c:pt>
                <c:pt idx="82">
                  <c:v>-0.74359662554579486</c:v>
                </c:pt>
                <c:pt idx="83">
                  <c:v>-0.87649106590959036</c:v>
                </c:pt>
                <c:pt idx="84">
                  <c:v>-0.29654938263012909</c:v>
                </c:pt>
                <c:pt idx="85">
                  <c:v>-0.21201897657352475</c:v>
                </c:pt>
                <c:pt idx="86">
                  <c:v>-0.18762392563376196</c:v>
                </c:pt>
                <c:pt idx="87">
                  <c:v>-0.15145739216748666</c:v>
                </c:pt>
                <c:pt idx="88">
                  <c:v>-5.4729485252202892E-2</c:v>
                </c:pt>
                <c:pt idx="89">
                  <c:v>-1.8563162762941232E-2</c:v>
                </c:pt>
                <c:pt idx="90">
                  <c:v>-1.246430683510269E-2</c:v>
                </c:pt>
                <c:pt idx="91">
                  <c:v>0.45287934209525815</c:v>
                </c:pt>
                <c:pt idx="93">
                  <c:v>0.81539617897607997</c:v>
                </c:pt>
                <c:pt idx="94">
                  <c:v>0.96048812024829289</c:v>
                </c:pt>
                <c:pt idx="95">
                  <c:v>0.50734223236226228</c:v>
                </c:pt>
                <c:pt idx="96">
                  <c:v>0.67030418851121709</c:v>
                </c:pt>
                <c:pt idx="97">
                  <c:v>-0.35015949062433549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960-488A-B4E5-F6C696EC9CE8}"/>
            </c:ext>
          </c:extLst>
        </c:ser>
        <c:ser>
          <c:idx val="6"/>
          <c:order val="4"/>
          <c:tx>
            <c:strRef>
              <c:f>Déplacements!$T$9</c:f>
              <c:strCache>
                <c:ptCount val="1"/>
                <c:pt idx="0">
                  <c:v>DH inter droit</c:v>
                </c:pt>
              </c:strCache>
            </c:strRef>
          </c:tx>
          <c:spPr>
            <a:ln w="15875" cap="rnd">
              <a:solidFill>
                <a:schemeClr val="accent1">
                  <a:lumMod val="60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lumMod val="60000"/>
                      <a:tint val="50000"/>
                      <a:satMod val="300000"/>
                    </a:schemeClr>
                  </a:gs>
                  <a:gs pos="35000">
                    <a:schemeClr val="accent1">
                      <a:lumMod val="60000"/>
                      <a:tint val="37000"/>
                      <a:satMod val="300000"/>
                    </a:schemeClr>
                  </a:gs>
                  <a:gs pos="100000">
                    <a:schemeClr val="accent1">
                      <a:lumMod val="60000"/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1">
                    <a:lumMod val="60000"/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marker>
          <c:xVal>
            <c:numRef>
              <c:f>Déplacements!$B$10:$B$133</c:f>
              <c:numCache>
                <c:formatCode>dd\ /\ mm\ /\ yy</c:formatCode>
                <c:ptCount val="124"/>
                <c:pt idx="0">
                  <c:v>43655</c:v>
                </c:pt>
                <c:pt idx="1">
                  <c:v>43657</c:v>
                </c:pt>
                <c:pt idx="2">
                  <c:v>43661</c:v>
                </c:pt>
                <c:pt idx="3">
                  <c:v>43663</c:v>
                </c:pt>
                <c:pt idx="4">
                  <c:v>43669</c:v>
                </c:pt>
                <c:pt idx="5">
                  <c:v>43675</c:v>
                </c:pt>
                <c:pt idx="6">
                  <c:v>43679</c:v>
                </c:pt>
                <c:pt idx="7">
                  <c:v>43682</c:v>
                </c:pt>
                <c:pt idx="8">
                  <c:v>43684</c:v>
                </c:pt>
                <c:pt idx="9">
                  <c:v>43685</c:v>
                </c:pt>
                <c:pt idx="10">
                  <c:v>43689</c:v>
                </c:pt>
                <c:pt idx="11">
                  <c:v>43690</c:v>
                </c:pt>
                <c:pt idx="12">
                  <c:v>43696</c:v>
                </c:pt>
                <c:pt idx="13">
                  <c:v>43699</c:v>
                </c:pt>
                <c:pt idx="14">
                  <c:v>43703</c:v>
                </c:pt>
                <c:pt idx="15">
                  <c:v>43706</c:v>
                </c:pt>
                <c:pt idx="16">
                  <c:v>43710</c:v>
                </c:pt>
                <c:pt idx="17">
                  <c:v>43713</c:v>
                </c:pt>
                <c:pt idx="18">
                  <c:v>43718</c:v>
                </c:pt>
                <c:pt idx="19">
                  <c:v>43720</c:v>
                </c:pt>
                <c:pt idx="20">
                  <c:v>43724</c:v>
                </c:pt>
                <c:pt idx="21">
                  <c:v>43727</c:v>
                </c:pt>
                <c:pt idx="22">
                  <c:v>43731</c:v>
                </c:pt>
                <c:pt idx="23">
                  <c:v>43734</c:v>
                </c:pt>
                <c:pt idx="24">
                  <c:v>43738</c:v>
                </c:pt>
                <c:pt idx="25">
                  <c:v>43741</c:v>
                </c:pt>
                <c:pt idx="26">
                  <c:v>43746</c:v>
                </c:pt>
                <c:pt idx="27">
                  <c:v>43753</c:v>
                </c:pt>
                <c:pt idx="28">
                  <c:v>43756</c:v>
                </c:pt>
                <c:pt idx="29">
                  <c:v>43760</c:v>
                </c:pt>
                <c:pt idx="30">
                  <c:v>43762</c:v>
                </c:pt>
                <c:pt idx="31">
                  <c:v>43766</c:v>
                </c:pt>
                <c:pt idx="32">
                  <c:v>43769</c:v>
                </c:pt>
                <c:pt idx="33">
                  <c:v>43774</c:v>
                </c:pt>
                <c:pt idx="34">
                  <c:v>43776</c:v>
                </c:pt>
                <c:pt idx="35">
                  <c:v>43781</c:v>
                </c:pt>
                <c:pt idx="36">
                  <c:v>43783</c:v>
                </c:pt>
                <c:pt idx="37">
                  <c:v>43787</c:v>
                </c:pt>
                <c:pt idx="38">
                  <c:v>43790</c:v>
                </c:pt>
                <c:pt idx="39">
                  <c:v>43795</c:v>
                </c:pt>
                <c:pt idx="40">
                  <c:v>43797</c:v>
                </c:pt>
                <c:pt idx="41">
                  <c:v>43801</c:v>
                </c:pt>
                <c:pt idx="42">
                  <c:v>43803</c:v>
                </c:pt>
                <c:pt idx="43">
                  <c:v>43808</c:v>
                </c:pt>
                <c:pt idx="44">
                  <c:v>43811</c:v>
                </c:pt>
                <c:pt idx="45">
                  <c:v>43815</c:v>
                </c:pt>
                <c:pt idx="46">
                  <c:v>43818</c:v>
                </c:pt>
                <c:pt idx="47">
                  <c:v>43837</c:v>
                </c:pt>
                <c:pt idx="48">
                  <c:v>43843</c:v>
                </c:pt>
                <c:pt idx="49">
                  <c:v>43850</c:v>
                </c:pt>
                <c:pt idx="50">
                  <c:v>43857</c:v>
                </c:pt>
                <c:pt idx="51">
                  <c:v>43865</c:v>
                </c:pt>
                <c:pt idx="52">
                  <c:v>43878</c:v>
                </c:pt>
                <c:pt idx="53">
                  <c:v>43886</c:v>
                </c:pt>
                <c:pt idx="54">
                  <c:v>43896</c:v>
                </c:pt>
                <c:pt idx="55">
                  <c:v>43970</c:v>
                </c:pt>
                <c:pt idx="56">
                  <c:v>43977</c:v>
                </c:pt>
                <c:pt idx="57">
                  <c:v>43984</c:v>
                </c:pt>
                <c:pt idx="58">
                  <c:v>43990</c:v>
                </c:pt>
                <c:pt idx="59">
                  <c:v>43997</c:v>
                </c:pt>
                <c:pt idx="60">
                  <c:v>44004</c:v>
                </c:pt>
                <c:pt idx="61">
                  <c:v>44018</c:v>
                </c:pt>
                <c:pt idx="62">
                  <c:v>44027</c:v>
                </c:pt>
                <c:pt idx="63">
                  <c:v>44039</c:v>
                </c:pt>
                <c:pt idx="64">
                  <c:v>44053</c:v>
                </c:pt>
                <c:pt idx="65">
                  <c:v>44075</c:v>
                </c:pt>
                <c:pt idx="66">
                  <c:v>44082</c:v>
                </c:pt>
                <c:pt idx="67">
                  <c:v>44112</c:v>
                </c:pt>
                <c:pt idx="68">
                  <c:v>44134</c:v>
                </c:pt>
                <c:pt idx="70">
                  <c:v>44134</c:v>
                </c:pt>
                <c:pt idx="72">
                  <c:v>44140</c:v>
                </c:pt>
                <c:pt idx="73">
                  <c:v>44172</c:v>
                </c:pt>
                <c:pt idx="74">
                  <c:v>44186</c:v>
                </c:pt>
                <c:pt idx="75">
                  <c:v>44203</c:v>
                </c:pt>
                <c:pt idx="76">
                  <c:v>44229</c:v>
                </c:pt>
                <c:pt idx="77">
                  <c:v>44245</c:v>
                </c:pt>
                <c:pt idx="78">
                  <c:v>44273</c:v>
                </c:pt>
                <c:pt idx="79">
                  <c:v>44287</c:v>
                </c:pt>
                <c:pt idx="80">
                  <c:v>44308</c:v>
                </c:pt>
                <c:pt idx="81">
                  <c:v>44322</c:v>
                </c:pt>
                <c:pt idx="82">
                  <c:v>44337</c:v>
                </c:pt>
                <c:pt idx="83">
                  <c:v>44351</c:v>
                </c:pt>
                <c:pt idx="84">
                  <c:v>44357</c:v>
                </c:pt>
                <c:pt idx="85">
                  <c:v>44362</c:v>
                </c:pt>
                <c:pt idx="86">
                  <c:v>44364</c:v>
                </c:pt>
                <c:pt idx="87">
                  <c:v>44369</c:v>
                </c:pt>
                <c:pt idx="88">
                  <c:v>44376</c:v>
                </c:pt>
                <c:pt idx="89">
                  <c:v>44378</c:v>
                </c:pt>
                <c:pt idx="90">
                  <c:v>44392</c:v>
                </c:pt>
                <c:pt idx="91">
                  <c:v>44400</c:v>
                </c:pt>
                <c:pt idx="92">
                  <c:v>44410</c:v>
                </c:pt>
                <c:pt idx="93">
                  <c:v>44453</c:v>
                </c:pt>
                <c:pt idx="94">
                  <c:v>44470</c:v>
                </c:pt>
                <c:pt idx="95">
                  <c:v>44489</c:v>
                </c:pt>
                <c:pt idx="96">
                  <c:v>44502</c:v>
                </c:pt>
                <c:pt idx="97">
                  <c:v>44915</c:v>
                </c:pt>
              </c:numCache>
            </c:numRef>
          </c:xVal>
          <c:yVal>
            <c:numRef>
              <c:f>Déplacements!$T$10:$T$132</c:f>
              <c:numCache>
                <c:formatCode>\+\ 0.0;\-\ 0.0;\±\ 0.0</c:formatCode>
                <c:ptCount val="123"/>
                <c:pt idx="0">
                  <c:v>0</c:v>
                </c:pt>
                <c:pt idx="1">
                  <c:v>0.60000000000037801</c:v>
                </c:pt>
                <c:pt idx="2">
                  <c:v>-0.29999999999974492</c:v>
                </c:pt>
                <c:pt idx="3">
                  <c:v>1.5000000000000568</c:v>
                </c:pt>
                <c:pt idx="4">
                  <c:v>-1.3999999999998458</c:v>
                </c:pt>
                <c:pt idx="5">
                  <c:v>1.2000000000003119</c:v>
                </c:pt>
                <c:pt idx="6">
                  <c:v>-0.5295369999998023</c:v>
                </c:pt>
                <c:pt idx="7">
                  <c:v>0</c:v>
                </c:pt>
                <c:pt idx="8">
                  <c:v>-5.2421999999996416E-2</c:v>
                </c:pt>
                <c:pt idx="9">
                  <c:v>0.84777100000010819</c:v>
                </c:pt>
                <c:pt idx="10">
                  <c:v>-0.28161799999981696</c:v>
                </c:pt>
                <c:pt idx="11">
                  <c:v>0.74537100000027223</c:v>
                </c:pt>
                <c:pt idx="12">
                  <c:v>-1.1999999999998678</c:v>
                </c:pt>
                <c:pt idx="13">
                  <c:v>-0.99999999999988987</c:v>
                </c:pt>
                <c:pt idx="14">
                  <c:v>0</c:v>
                </c:pt>
                <c:pt idx="15">
                  <c:v>-0.19999999999997797</c:v>
                </c:pt>
                <c:pt idx="16">
                  <c:v>-0.49999999999972289</c:v>
                </c:pt>
                <c:pt idx="17">
                  <c:v>-0.39999999999995595</c:v>
                </c:pt>
                <c:pt idx="18">
                  <c:v>0.11706527372989939</c:v>
                </c:pt>
                <c:pt idx="19">
                  <c:v>-9.9999999999766942E-2</c:v>
                </c:pt>
                <c:pt idx="20">
                  <c:v>-0.59999999999993392</c:v>
                </c:pt>
                <c:pt idx="21">
                  <c:v>0.40000000000040004</c:v>
                </c:pt>
                <c:pt idx="22">
                  <c:v>-0.79999999999991189</c:v>
                </c:pt>
                <c:pt idx="23">
                  <c:v>-0.69999999999970086</c:v>
                </c:pt>
                <c:pt idx="24">
                  <c:v>-0.45067869768944391</c:v>
                </c:pt>
                <c:pt idx="25">
                  <c:v>-9.9999999999766942E-2</c:v>
                </c:pt>
                <c:pt idx="26">
                  <c:v>-1.0215429594477854</c:v>
                </c:pt>
                <c:pt idx="27">
                  <c:v>-0.99757429965841027</c:v>
                </c:pt>
                <c:pt idx="28">
                  <c:v>-1.3086068118322025</c:v>
                </c:pt>
                <c:pt idx="29">
                  <c:v>-0.32388306406350154</c:v>
                </c:pt>
                <c:pt idx="30">
                  <c:v>-0.79489912854358025</c:v>
                </c:pt>
                <c:pt idx="31">
                  <c:v>-0.52301155365652718</c:v>
                </c:pt>
                <c:pt idx="32">
                  <c:v>-1.5682966748675753</c:v>
                </c:pt>
                <c:pt idx="33">
                  <c:v>-0.84936185704709288</c:v>
                </c:pt>
                <c:pt idx="34">
                  <c:v>-1.1999999999998678</c:v>
                </c:pt>
                <c:pt idx="35">
                  <c:v>-1.1999999999998678</c:v>
                </c:pt>
                <c:pt idx="36">
                  <c:v>-0.69999999999970086</c:v>
                </c:pt>
                <c:pt idx="37">
                  <c:v>-1.0999999999996568</c:v>
                </c:pt>
                <c:pt idx="38">
                  <c:v>-0.89999999999967883</c:v>
                </c:pt>
                <c:pt idx="39">
                  <c:v>-1.1999999999998678</c:v>
                </c:pt>
                <c:pt idx="40">
                  <c:v>-0.19999999999997797</c:v>
                </c:pt>
                <c:pt idx="41">
                  <c:v>-1.1999999999998678</c:v>
                </c:pt>
                <c:pt idx="42">
                  <c:v>-1.2999999999996348</c:v>
                </c:pt>
                <c:pt idx="43">
                  <c:v>-1.4171058284730975</c:v>
                </c:pt>
                <c:pt idx="44">
                  <c:v>-1.1999999999998678</c:v>
                </c:pt>
                <c:pt idx="45">
                  <c:v>-0.99999999999988987</c:v>
                </c:pt>
                <c:pt idx="46">
                  <c:v>-1.0999999999996568</c:v>
                </c:pt>
                <c:pt idx="47">
                  <c:v>-1.1999999999998678</c:v>
                </c:pt>
                <c:pt idx="48">
                  <c:v>-1.2999999999996348</c:v>
                </c:pt>
                <c:pt idx="49">
                  <c:v>-1.2999999999996348</c:v>
                </c:pt>
                <c:pt idx="50">
                  <c:v>-1.3999999999998458</c:v>
                </c:pt>
                <c:pt idx="51">
                  <c:v>-1.3999999999998458</c:v>
                </c:pt>
                <c:pt idx="52">
                  <c:v>-0.39999999999995595</c:v>
                </c:pt>
                <c:pt idx="53">
                  <c:v>-1.4999999999996128</c:v>
                </c:pt>
                <c:pt idx="54">
                  <c:v>-1.0999999999996568</c:v>
                </c:pt>
                <c:pt idx="55">
                  <c:v>-0.89999999999967883</c:v>
                </c:pt>
                <c:pt idx="56">
                  <c:v>-0.99999999999988987</c:v>
                </c:pt>
                <c:pt idx="57">
                  <c:v>-1.4410746992723489</c:v>
                </c:pt>
                <c:pt idx="58">
                  <c:v>-0.85503432185474182</c:v>
                </c:pt>
                <c:pt idx="59">
                  <c:v>-1.217551158732455</c:v>
                </c:pt>
                <c:pt idx="60">
                  <c:v>-1.6645984016561144</c:v>
                </c:pt>
                <c:pt idx="61">
                  <c:v>-1.6223332232399024</c:v>
                </c:pt>
                <c:pt idx="62">
                  <c:v>-0.43805454547740652</c:v>
                </c:pt>
                <c:pt idx="63">
                  <c:v>-1.0846567183291356</c:v>
                </c:pt>
                <c:pt idx="64">
                  <c:v>-1.6040368172407504</c:v>
                </c:pt>
                <c:pt idx="65">
                  <c:v>-1.5739691396601252</c:v>
                </c:pt>
                <c:pt idx="66">
                  <c:v>-1.6162343180896599</c:v>
                </c:pt>
                <c:pt idx="67">
                  <c:v>-1.4654699120186798</c:v>
                </c:pt>
                <c:pt idx="68">
                  <c:v>-2.5164276598692581</c:v>
                </c:pt>
                <c:pt idx="72">
                  <c:v>-4.6854298251934878</c:v>
                </c:pt>
                <c:pt idx="73">
                  <c:v>-4.6427382064617717</c:v>
                </c:pt>
                <c:pt idx="74">
                  <c:v>-5.6860853571696346</c:v>
                </c:pt>
                <c:pt idx="75">
                  <c:v>-5.7668814799347601</c:v>
                </c:pt>
                <c:pt idx="76">
                  <c:v>-6.1860853571698016</c:v>
                </c:pt>
                <c:pt idx="77">
                  <c:v>-5.899775920315431</c:v>
                </c:pt>
                <c:pt idx="78">
                  <c:v>-4.9751873657788437</c:v>
                </c:pt>
                <c:pt idx="79">
                  <c:v>-6.1232994608619862</c:v>
                </c:pt>
                <c:pt idx="80">
                  <c:v>-4.8666881381334015</c:v>
                </c:pt>
                <c:pt idx="81">
                  <c:v>-4.9756137569088033</c:v>
                </c:pt>
                <c:pt idx="82">
                  <c:v>-4.2261850814222512</c:v>
                </c:pt>
                <c:pt idx="83">
                  <c:v>-4.4858749444416368</c:v>
                </c:pt>
                <c:pt idx="84">
                  <c:v>-3.5556141361419158</c:v>
                </c:pt>
                <c:pt idx="85">
                  <c:v>-3.5556141361419158</c:v>
                </c:pt>
                <c:pt idx="86">
                  <c:v>-4.2078885136032085</c:v>
                </c:pt>
                <c:pt idx="87">
                  <c:v>-4.4013445384365468</c:v>
                </c:pt>
                <c:pt idx="88">
                  <c:v>-4.2745489047808505</c:v>
                </c:pt>
                <c:pt idx="89">
                  <c:v>-4.0388277015210861</c:v>
                </c:pt>
                <c:pt idx="90">
                  <c:v>-4.5102701571861914</c:v>
                </c:pt>
                <c:pt idx="91">
                  <c:v>-4.0810928799399626</c:v>
                </c:pt>
                <c:pt idx="92">
                  <c:v>-3.8275017110476206</c:v>
                </c:pt>
                <c:pt idx="93">
                  <c:v>-3.8876370661529158</c:v>
                </c:pt>
                <c:pt idx="94">
                  <c:v>-3.8453718877180521</c:v>
                </c:pt>
                <c:pt idx="95">
                  <c:v>-4.3830481816149458</c:v>
                </c:pt>
                <c:pt idx="96">
                  <c:v>-4.1172594626370795</c:v>
                </c:pt>
                <c:pt idx="97">
                  <c:v>-5.8509854947921269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960-488A-B4E5-F6C696EC9CE8}"/>
            </c:ext>
          </c:extLst>
        </c:ser>
        <c:ser>
          <c:idx val="10"/>
          <c:order val="6"/>
          <c:tx>
            <c:strRef>
              <c:f>Graphiques!#REF!</c:f>
              <c:strCache>
                <c:ptCount val="1"/>
                <c:pt idx="0">
                  <c:v>#REF!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none"/>
          </c:marker>
          <c:xVal>
            <c:numRef>
              <c:f>'Graphiques (100j)'!$AD$35:$AD$36</c:f>
              <c:numCache>
                <c:formatCode>m/d/yyyy</c:formatCode>
                <c:ptCount val="2"/>
              </c:numCache>
            </c:numRef>
          </c:xVal>
          <c:yVal>
            <c:numRef>
              <c:f>'Graphiques (100j)'!$AE$35:$AE$36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960-488A-B4E5-F6C696EC9C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7447784"/>
        <c:axId val="517448176"/>
      </c:scatterChart>
      <c:scatterChart>
        <c:scatterStyle val="lineMarker"/>
        <c:varyColors val="0"/>
        <c:ser>
          <c:idx val="7"/>
          <c:order val="5"/>
          <c:tx>
            <c:v>"PM front"</c:v>
          </c:tx>
          <c:spPr>
            <a:ln w="15875" cap="rnd">
              <a:solidFill>
                <a:schemeClr val="accent2">
                  <a:lumMod val="60000"/>
                </a:schemeClr>
              </a:solidFill>
              <a:prstDash val="sysDot"/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none"/>
          </c:marker>
          <c:xVal>
            <c:numRef>
              <c:f>Déplacements!$B$10:$B$313</c:f>
              <c:numCache>
                <c:formatCode>dd\ /\ mm\ /\ yy</c:formatCode>
                <c:ptCount val="304"/>
                <c:pt idx="0">
                  <c:v>43655</c:v>
                </c:pt>
                <c:pt idx="1">
                  <c:v>43657</c:v>
                </c:pt>
                <c:pt idx="2">
                  <c:v>43661</c:v>
                </c:pt>
                <c:pt idx="3">
                  <c:v>43663</c:v>
                </c:pt>
                <c:pt idx="4">
                  <c:v>43669</c:v>
                </c:pt>
                <c:pt idx="5">
                  <c:v>43675</c:v>
                </c:pt>
                <c:pt idx="6">
                  <c:v>43679</c:v>
                </c:pt>
                <c:pt idx="7">
                  <c:v>43682</c:v>
                </c:pt>
                <c:pt idx="8">
                  <c:v>43684</c:v>
                </c:pt>
                <c:pt idx="9">
                  <c:v>43685</c:v>
                </c:pt>
                <c:pt idx="10">
                  <c:v>43689</c:v>
                </c:pt>
                <c:pt idx="11">
                  <c:v>43690</c:v>
                </c:pt>
                <c:pt idx="12">
                  <c:v>43696</c:v>
                </c:pt>
                <c:pt idx="13">
                  <c:v>43699</c:v>
                </c:pt>
                <c:pt idx="14">
                  <c:v>43703</c:v>
                </c:pt>
                <c:pt idx="15">
                  <c:v>43706</c:v>
                </c:pt>
                <c:pt idx="16">
                  <c:v>43710</c:v>
                </c:pt>
                <c:pt idx="17">
                  <c:v>43713</c:v>
                </c:pt>
                <c:pt idx="18">
                  <c:v>43718</c:v>
                </c:pt>
                <c:pt idx="19">
                  <c:v>43720</c:v>
                </c:pt>
                <c:pt idx="20">
                  <c:v>43724</c:v>
                </c:pt>
                <c:pt idx="21">
                  <c:v>43727</c:v>
                </c:pt>
                <c:pt idx="22">
                  <c:v>43731</c:v>
                </c:pt>
                <c:pt idx="23">
                  <c:v>43734</c:v>
                </c:pt>
                <c:pt idx="24">
                  <c:v>43738</c:v>
                </c:pt>
                <c:pt idx="25">
                  <c:v>43741</c:v>
                </c:pt>
                <c:pt idx="26">
                  <c:v>43746</c:v>
                </c:pt>
                <c:pt idx="27">
                  <c:v>43753</c:v>
                </c:pt>
                <c:pt idx="28">
                  <c:v>43756</c:v>
                </c:pt>
                <c:pt idx="29">
                  <c:v>43760</c:v>
                </c:pt>
                <c:pt idx="30">
                  <c:v>43762</c:v>
                </c:pt>
                <c:pt idx="31">
                  <c:v>43766</c:v>
                </c:pt>
                <c:pt idx="32">
                  <c:v>43769</c:v>
                </c:pt>
                <c:pt idx="33">
                  <c:v>43774</c:v>
                </c:pt>
                <c:pt idx="34">
                  <c:v>43776</c:v>
                </c:pt>
                <c:pt idx="35">
                  <c:v>43781</c:v>
                </c:pt>
                <c:pt idx="36">
                  <c:v>43783</c:v>
                </c:pt>
                <c:pt idx="37">
                  <c:v>43787</c:v>
                </c:pt>
                <c:pt idx="38">
                  <c:v>43790</c:v>
                </c:pt>
                <c:pt idx="39">
                  <c:v>43795</c:v>
                </c:pt>
                <c:pt idx="40">
                  <c:v>43797</c:v>
                </c:pt>
                <c:pt idx="41">
                  <c:v>43801</c:v>
                </c:pt>
                <c:pt idx="42">
                  <c:v>43803</c:v>
                </c:pt>
                <c:pt idx="43">
                  <c:v>43808</c:v>
                </c:pt>
                <c:pt idx="44">
                  <c:v>43811</c:v>
                </c:pt>
                <c:pt idx="45">
                  <c:v>43815</c:v>
                </c:pt>
                <c:pt idx="46">
                  <c:v>43818</c:v>
                </c:pt>
                <c:pt idx="47">
                  <c:v>43837</c:v>
                </c:pt>
                <c:pt idx="48">
                  <c:v>43843</c:v>
                </c:pt>
                <c:pt idx="49">
                  <c:v>43850</c:v>
                </c:pt>
                <c:pt idx="50">
                  <c:v>43857</c:v>
                </c:pt>
                <c:pt idx="51">
                  <c:v>43865</c:v>
                </c:pt>
                <c:pt idx="52">
                  <c:v>43878</c:v>
                </c:pt>
                <c:pt idx="53">
                  <c:v>43886</c:v>
                </c:pt>
                <c:pt idx="54">
                  <c:v>43896</c:v>
                </c:pt>
                <c:pt idx="55">
                  <c:v>43970</c:v>
                </c:pt>
                <c:pt idx="56">
                  <c:v>43977</c:v>
                </c:pt>
                <c:pt idx="57">
                  <c:v>43984</c:v>
                </c:pt>
                <c:pt idx="58">
                  <c:v>43990</c:v>
                </c:pt>
                <c:pt idx="59">
                  <c:v>43997</c:v>
                </c:pt>
                <c:pt idx="60">
                  <c:v>44004</c:v>
                </c:pt>
                <c:pt idx="61">
                  <c:v>44018</c:v>
                </c:pt>
                <c:pt idx="62">
                  <c:v>44027</c:v>
                </c:pt>
                <c:pt idx="63">
                  <c:v>44039</c:v>
                </c:pt>
                <c:pt idx="64">
                  <c:v>44053</c:v>
                </c:pt>
                <c:pt idx="65">
                  <c:v>44075</c:v>
                </c:pt>
                <c:pt idx="66">
                  <c:v>44082</c:v>
                </c:pt>
                <c:pt idx="67">
                  <c:v>44112</c:v>
                </c:pt>
                <c:pt idx="68">
                  <c:v>44134</c:v>
                </c:pt>
                <c:pt idx="70">
                  <c:v>44134</c:v>
                </c:pt>
                <c:pt idx="72">
                  <c:v>44140</c:v>
                </c:pt>
                <c:pt idx="73">
                  <c:v>44172</c:v>
                </c:pt>
                <c:pt idx="74">
                  <c:v>44186</c:v>
                </c:pt>
                <c:pt idx="75">
                  <c:v>44203</c:v>
                </c:pt>
                <c:pt idx="76">
                  <c:v>44229</c:v>
                </c:pt>
                <c:pt idx="77">
                  <c:v>44245</c:v>
                </c:pt>
                <c:pt idx="78">
                  <c:v>44273</c:v>
                </c:pt>
                <c:pt idx="79">
                  <c:v>44287</c:v>
                </c:pt>
                <c:pt idx="80">
                  <c:v>44308</c:v>
                </c:pt>
                <c:pt idx="81">
                  <c:v>44322</c:v>
                </c:pt>
                <c:pt idx="82">
                  <c:v>44337</c:v>
                </c:pt>
                <c:pt idx="83">
                  <c:v>44351</c:v>
                </c:pt>
                <c:pt idx="84">
                  <c:v>44357</c:v>
                </c:pt>
                <c:pt idx="85">
                  <c:v>44362</c:v>
                </c:pt>
                <c:pt idx="86">
                  <c:v>44364</c:v>
                </c:pt>
                <c:pt idx="87">
                  <c:v>44369</c:v>
                </c:pt>
                <c:pt idx="88">
                  <c:v>44376</c:v>
                </c:pt>
                <c:pt idx="89">
                  <c:v>44378</c:v>
                </c:pt>
                <c:pt idx="90">
                  <c:v>44392</c:v>
                </c:pt>
                <c:pt idx="91">
                  <c:v>44400</c:v>
                </c:pt>
                <c:pt idx="92">
                  <c:v>44410</c:v>
                </c:pt>
                <c:pt idx="93">
                  <c:v>44453</c:v>
                </c:pt>
                <c:pt idx="94">
                  <c:v>44470</c:v>
                </c:pt>
                <c:pt idx="95">
                  <c:v>44489</c:v>
                </c:pt>
                <c:pt idx="96">
                  <c:v>44502</c:v>
                </c:pt>
                <c:pt idx="97">
                  <c:v>44915</c:v>
                </c:pt>
              </c:numCache>
            </c:numRef>
          </c:xVal>
          <c:yVal>
            <c:numRef>
              <c:f>'Résultats observations'!$C$10:$C$311</c:f>
              <c:numCache>
                <c:formatCode>0.0</c:formatCode>
                <c:ptCount val="302"/>
                <c:pt idx="0">
                  <c:v>184.3</c:v>
                </c:pt>
                <c:pt idx="1">
                  <c:v>185.03</c:v>
                </c:pt>
                <c:pt idx="2">
                  <c:v>187.2</c:v>
                </c:pt>
                <c:pt idx="3">
                  <c:v>188.17</c:v>
                </c:pt>
                <c:pt idx="4">
                  <c:v>189.2</c:v>
                </c:pt>
                <c:pt idx="5">
                  <c:v>191.5</c:v>
                </c:pt>
                <c:pt idx="6">
                  <c:v>192.5</c:v>
                </c:pt>
                <c:pt idx="7">
                  <c:v>193.04</c:v>
                </c:pt>
                <c:pt idx="8">
                  <c:v>193.6</c:v>
                </c:pt>
                <c:pt idx="9">
                  <c:v>193.6</c:v>
                </c:pt>
                <c:pt idx="10">
                  <c:v>194.8</c:v>
                </c:pt>
                <c:pt idx="11">
                  <c:v>194.8</c:v>
                </c:pt>
                <c:pt idx="12">
                  <c:v>195.4</c:v>
                </c:pt>
                <c:pt idx="13">
                  <c:v>196.35</c:v>
                </c:pt>
                <c:pt idx="14">
                  <c:v>196.35</c:v>
                </c:pt>
                <c:pt idx="15">
                  <c:v>198.3</c:v>
                </c:pt>
                <c:pt idx="16">
                  <c:v>199.4</c:v>
                </c:pt>
                <c:pt idx="17">
                  <c:v>200.6</c:v>
                </c:pt>
                <c:pt idx="18">
                  <c:v>202.58</c:v>
                </c:pt>
                <c:pt idx="19">
                  <c:v>203.6</c:v>
                </c:pt>
                <c:pt idx="20">
                  <c:v>203.6</c:v>
                </c:pt>
                <c:pt idx="21">
                  <c:v>206.32</c:v>
                </c:pt>
                <c:pt idx="22">
                  <c:v>206.32</c:v>
                </c:pt>
                <c:pt idx="23">
                  <c:v>206.32</c:v>
                </c:pt>
                <c:pt idx="24">
                  <c:v>206.32</c:v>
                </c:pt>
                <c:pt idx="25">
                  <c:v>207.2</c:v>
                </c:pt>
                <c:pt idx="26">
                  <c:v>208.3</c:v>
                </c:pt>
                <c:pt idx="27">
                  <c:v>212.65</c:v>
                </c:pt>
                <c:pt idx="28">
                  <c:v>213.5</c:v>
                </c:pt>
                <c:pt idx="29">
                  <c:v>215</c:v>
                </c:pt>
                <c:pt idx="30">
                  <c:v>215</c:v>
                </c:pt>
                <c:pt idx="31">
                  <c:v>215.55</c:v>
                </c:pt>
                <c:pt idx="32">
                  <c:v>216.87</c:v>
                </c:pt>
                <c:pt idx="33">
                  <c:v>217.7</c:v>
                </c:pt>
                <c:pt idx="34">
                  <c:v>218.7</c:v>
                </c:pt>
                <c:pt idx="35">
                  <c:v>218.7</c:v>
                </c:pt>
                <c:pt idx="36">
                  <c:v>220.5</c:v>
                </c:pt>
                <c:pt idx="37">
                  <c:v>221.7</c:v>
                </c:pt>
                <c:pt idx="38">
                  <c:v>222.9</c:v>
                </c:pt>
                <c:pt idx="39">
                  <c:v>222.9</c:v>
                </c:pt>
                <c:pt idx="40">
                  <c:v>222.9</c:v>
                </c:pt>
                <c:pt idx="41">
                  <c:v>222.9</c:v>
                </c:pt>
                <c:pt idx="42">
                  <c:v>222.9</c:v>
                </c:pt>
                <c:pt idx="43">
                  <c:v>222.9</c:v>
                </c:pt>
                <c:pt idx="44">
                  <c:v>222.9</c:v>
                </c:pt>
                <c:pt idx="45">
                  <c:v>222.9</c:v>
                </c:pt>
                <c:pt idx="46">
                  <c:v>222.9</c:v>
                </c:pt>
                <c:pt idx="47">
                  <c:v>222.9</c:v>
                </c:pt>
                <c:pt idx="48">
                  <c:v>222.9</c:v>
                </c:pt>
                <c:pt idx="49">
                  <c:v>222.9</c:v>
                </c:pt>
                <c:pt idx="50">
                  <c:v>222.9</c:v>
                </c:pt>
                <c:pt idx="51">
                  <c:v>222.9</c:v>
                </c:pt>
                <c:pt idx="52">
                  <c:v>222.9</c:v>
                </c:pt>
                <c:pt idx="53">
                  <c:v>222.9</c:v>
                </c:pt>
                <c:pt idx="54">
                  <c:v>222.9</c:v>
                </c:pt>
                <c:pt idx="55">
                  <c:v>222.9</c:v>
                </c:pt>
                <c:pt idx="56">
                  <c:v>222.9</c:v>
                </c:pt>
                <c:pt idx="57">
                  <c:v>222.9</c:v>
                </c:pt>
                <c:pt idx="58">
                  <c:v>222.9</c:v>
                </c:pt>
                <c:pt idx="59">
                  <c:v>223.9</c:v>
                </c:pt>
                <c:pt idx="60">
                  <c:v>223.9</c:v>
                </c:pt>
                <c:pt idx="61">
                  <c:v>223.9</c:v>
                </c:pt>
                <c:pt idx="62">
                  <c:v>223.9</c:v>
                </c:pt>
                <c:pt idx="63">
                  <c:v>223.9</c:v>
                </c:pt>
                <c:pt idx="64">
                  <c:v>223.9</c:v>
                </c:pt>
                <c:pt idx="65">
                  <c:v>223.9</c:v>
                </c:pt>
                <c:pt idx="66">
                  <c:v>223.9</c:v>
                </c:pt>
                <c:pt idx="67">
                  <c:v>223.9</c:v>
                </c:pt>
                <c:pt idx="68">
                  <c:v>223.9</c:v>
                </c:pt>
                <c:pt idx="70">
                  <c:v>223.9</c:v>
                </c:pt>
                <c:pt idx="72">
                  <c:v>223.9</c:v>
                </c:pt>
                <c:pt idx="73">
                  <c:v>223.9</c:v>
                </c:pt>
                <c:pt idx="74">
                  <c:v>223.9</c:v>
                </c:pt>
                <c:pt idx="75">
                  <c:v>223.9</c:v>
                </c:pt>
                <c:pt idx="76">
                  <c:v>223.9</c:v>
                </c:pt>
                <c:pt idx="77">
                  <c:v>223.9</c:v>
                </c:pt>
                <c:pt idx="78">
                  <c:v>223.9</c:v>
                </c:pt>
                <c:pt idx="79">
                  <c:v>223.9</c:v>
                </c:pt>
                <c:pt idx="80">
                  <c:v>223.9</c:v>
                </c:pt>
                <c:pt idx="81">
                  <c:v>223.9</c:v>
                </c:pt>
                <c:pt idx="82">
                  <c:v>223.9</c:v>
                </c:pt>
                <c:pt idx="83">
                  <c:v>223.9</c:v>
                </c:pt>
                <c:pt idx="84">
                  <c:v>223.9</c:v>
                </c:pt>
                <c:pt idx="85">
                  <c:v>223.9</c:v>
                </c:pt>
                <c:pt idx="86">
                  <c:v>223.9</c:v>
                </c:pt>
                <c:pt idx="87">
                  <c:v>223.9</c:v>
                </c:pt>
                <c:pt idx="88">
                  <c:v>223.9</c:v>
                </c:pt>
                <c:pt idx="89">
                  <c:v>223.9</c:v>
                </c:pt>
                <c:pt idx="90">
                  <c:v>223.9</c:v>
                </c:pt>
                <c:pt idx="91">
                  <c:v>223.9</c:v>
                </c:pt>
                <c:pt idx="92">
                  <c:v>223.9</c:v>
                </c:pt>
                <c:pt idx="93">
                  <c:v>223.9</c:v>
                </c:pt>
                <c:pt idx="94">
                  <c:v>223.9</c:v>
                </c:pt>
                <c:pt idx="95">
                  <c:v>223.9</c:v>
                </c:pt>
                <c:pt idx="96">
                  <c:v>223.9</c:v>
                </c:pt>
                <c:pt idx="97">
                  <c:v>223.9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960-488A-B4E5-F6C696EC9C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7448960"/>
        <c:axId val="517448568"/>
      </c:scatterChart>
      <c:valAx>
        <c:axId val="517447784"/>
        <c:scaling>
          <c:orientation val="minMax"/>
          <c:max val="44917"/>
          <c:min val="4428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Date</a:t>
                </a:r>
              </a:p>
            </c:rich>
          </c:tx>
          <c:layout>
            <c:manualLayout>
              <c:xMode val="edge"/>
              <c:yMode val="edge"/>
              <c:x val="0.9056782620787297"/>
              <c:y val="0.8730688306951132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dd/mm/yyyy" sourceLinked="0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17448176"/>
        <c:crossesAt val="0"/>
        <c:crossBetween val="midCat"/>
        <c:majorUnit val="50"/>
      </c:valAx>
      <c:valAx>
        <c:axId val="517448176"/>
        <c:scaling>
          <c:orientation val="minMax"/>
          <c:max val="10"/>
          <c:min val="-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>
              <a:solidFill>
                <a:schemeClr val="tx1">
                  <a:lumMod val="5000"/>
                  <a:lumOff val="95000"/>
                </a:schemeClr>
              </a:solidFill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Déplacement [mm]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\+\ 0.0;\-\ 0.0;\±\ 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17447784"/>
        <c:crosses val="autoZero"/>
        <c:crossBetween val="midCat"/>
        <c:majorUnit val="5"/>
        <c:minorUnit val="1"/>
      </c:valAx>
      <c:valAx>
        <c:axId val="517448568"/>
        <c:scaling>
          <c:orientation val="minMax"/>
          <c:min val="180"/>
        </c:scaling>
        <c:delete val="0"/>
        <c:axPos val="r"/>
        <c:numFmt formatCode="0.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17448960"/>
        <c:crosses val="max"/>
        <c:crossBetween val="midCat"/>
      </c:valAx>
      <c:valAx>
        <c:axId val="517448960"/>
        <c:scaling>
          <c:orientation val="minMax"/>
        </c:scaling>
        <c:delete val="1"/>
        <c:axPos val="b"/>
        <c:numFmt formatCode="dd\ /\ mm\ /\ yy" sourceLinked="1"/>
        <c:majorTickMark val="out"/>
        <c:minorTickMark val="none"/>
        <c:tickLblPos val="nextTo"/>
        <c:crossAx val="5174485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5"/>
        <c:delete val="1"/>
      </c:legendEntry>
      <c:layout>
        <c:manualLayout>
          <c:xMode val="edge"/>
          <c:yMode val="edge"/>
          <c:x val="0.2734512435542088"/>
          <c:y val="0.62814525902910912"/>
          <c:w val="0.5990614990418045"/>
          <c:h val="0.1171886913025274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span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 alignWithMargins="0"/>
    <c:pageMargins b="0.98425196899999956" l="0.78740157499999996" r="0.78740157499999996" t="0.98425196899999956" header="0.49212598450000467" footer="0.49212598450000467"/>
    <c:pageSetup paperSize="9" orientation="landscape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Norme des déplacements</a:t>
            </a:r>
          </a:p>
        </c:rich>
      </c:tx>
      <c:layout>
        <c:manualLayout>
          <c:xMode val="edge"/>
          <c:yMode val="edge"/>
          <c:x val="0.36971851188837201"/>
          <c:y val="1.574107849133844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9.3062159500593863E-2"/>
          <c:y val="6.6119187074636515E-2"/>
          <c:w val="0.81798471935900274"/>
          <c:h val="0.7454041903779145"/>
        </c:manualLayout>
      </c:layout>
      <c:scatterChart>
        <c:scatterStyle val="lineMarker"/>
        <c:varyColors val="0"/>
        <c:ser>
          <c:idx val="1"/>
          <c:order val="0"/>
          <c:tx>
            <c:strRef>
              <c:f>Déplacements!$N$9</c:f>
              <c:strCache>
                <c:ptCount val="1"/>
                <c:pt idx="0">
                  <c:v>Norme CH</c:v>
                </c:pt>
              </c:strCache>
            </c:strRef>
          </c:tx>
          <c:spPr>
            <a:ln w="15875" cap="rnd">
              <a:solidFill>
                <a:schemeClr val="accent2"/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2">
                      <a:tint val="50000"/>
                      <a:satMod val="300000"/>
                    </a:schemeClr>
                  </a:gs>
                  <a:gs pos="35000">
                    <a:schemeClr val="accent2">
                      <a:tint val="37000"/>
                      <a:satMod val="300000"/>
                    </a:schemeClr>
                  </a:gs>
                  <a:gs pos="100000">
                    <a:schemeClr val="accent2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marker>
          <c:xVal>
            <c:numRef>
              <c:f>Déplacements!$B$10:$B$200</c:f>
              <c:numCache>
                <c:formatCode>dd\ /\ mm\ /\ yy</c:formatCode>
                <c:ptCount val="191"/>
                <c:pt idx="0">
                  <c:v>43655</c:v>
                </c:pt>
                <c:pt idx="1">
                  <c:v>43657</c:v>
                </c:pt>
                <c:pt idx="2">
                  <c:v>43661</c:v>
                </c:pt>
                <c:pt idx="3">
                  <c:v>43663</c:v>
                </c:pt>
                <c:pt idx="4">
                  <c:v>43669</c:v>
                </c:pt>
                <c:pt idx="5">
                  <c:v>43675</c:v>
                </c:pt>
                <c:pt idx="6">
                  <c:v>43679</c:v>
                </c:pt>
                <c:pt idx="7">
                  <c:v>43682</c:v>
                </c:pt>
                <c:pt idx="8">
                  <c:v>43684</c:v>
                </c:pt>
                <c:pt idx="9">
                  <c:v>43685</c:v>
                </c:pt>
                <c:pt idx="10">
                  <c:v>43689</c:v>
                </c:pt>
                <c:pt idx="11">
                  <c:v>43690</c:v>
                </c:pt>
                <c:pt idx="12">
                  <c:v>43696</c:v>
                </c:pt>
                <c:pt idx="13">
                  <c:v>43699</c:v>
                </c:pt>
                <c:pt idx="14">
                  <c:v>43703</c:v>
                </c:pt>
                <c:pt idx="15">
                  <c:v>43706</c:v>
                </c:pt>
                <c:pt idx="16">
                  <c:v>43710</c:v>
                </c:pt>
                <c:pt idx="17">
                  <c:v>43713</c:v>
                </c:pt>
                <c:pt idx="18">
                  <c:v>43718</c:v>
                </c:pt>
                <c:pt idx="19">
                  <c:v>43720</c:v>
                </c:pt>
                <c:pt idx="20">
                  <c:v>43724</c:v>
                </c:pt>
                <c:pt idx="21">
                  <c:v>43727</c:v>
                </c:pt>
                <c:pt idx="22">
                  <c:v>43731</c:v>
                </c:pt>
                <c:pt idx="23">
                  <c:v>43734</c:v>
                </c:pt>
                <c:pt idx="24">
                  <c:v>43738</c:v>
                </c:pt>
                <c:pt idx="25">
                  <c:v>43741</c:v>
                </c:pt>
                <c:pt idx="26">
                  <c:v>43746</c:v>
                </c:pt>
                <c:pt idx="27">
                  <c:v>43753</c:v>
                </c:pt>
                <c:pt idx="28">
                  <c:v>43756</c:v>
                </c:pt>
                <c:pt idx="29">
                  <c:v>43760</c:v>
                </c:pt>
                <c:pt idx="30">
                  <c:v>43762</c:v>
                </c:pt>
                <c:pt idx="31">
                  <c:v>43766</c:v>
                </c:pt>
                <c:pt idx="32">
                  <c:v>43769</c:v>
                </c:pt>
                <c:pt idx="33">
                  <c:v>43774</c:v>
                </c:pt>
                <c:pt idx="34">
                  <c:v>43776</c:v>
                </c:pt>
                <c:pt idx="35">
                  <c:v>43781</c:v>
                </c:pt>
                <c:pt idx="36">
                  <c:v>43783</c:v>
                </c:pt>
                <c:pt idx="37">
                  <c:v>43787</c:v>
                </c:pt>
                <c:pt idx="38">
                  <c:v>43790</c:v>
                </c:pt>
                <c:pt idx="39">
                  <c:v>43795</c:v>
                </c:pt>
                <c:pt idx="40">
                  <c:v>43797</c:v>
                </c:pt>
                <c:pt idx="41">
                  <c:v>43801</c:v>
                </c:pt>
                <c:pt idx="42">
                  <c:v>43803</c:v>
                </c:pt>
                <c:pt idx="43">
                  <c:v>43808</c:v>
                </c:pt>
                <c:pt idx="44">
                  <c:v>43811</c:v>
                </c:pt>
                <c:pt idx="45">
                  <c:v>43815</c:v>
                </c:pt>
                <c:pt idx="46">
                  <c:v>43818</c:v>
                </c:pt>
                <c:pt idx="47">
                  <c:v>43837</c:v>
                </c:pt>
                <c:pt idx="48">
                  <c:v>43843</c:v>
                </c:pt>
                <c:pt idx="49">
                  <c:v>43850</c:v>
                </c:pt>
                <c:pt idx="50">
                  <c:v>43857</c:v>
                </c:pt>
                <c:pt idx="51">
                  <c:v>43865</c:v>
                </c:pt>
                <c:pt idx="52">
                  <c:v>43878</c:v>
                </c:pt>
                <c:pt idx="53">
                  <c:v>43886</c:v>
                </c:pt>
                <c:pt idx="54">
                  <c:v>43896</c:v>
                </c:pt>
                <c:pt idx="55">
                  <c:v>43970</c:v>
                </c:pt>
                <c:pt idx="56">
                  <c:v>43977</c:v>
                </c:pt>
                <c:pt idx="57">
                  <c:v>43984</c:v>
                </c:pt>
                <c:pt idx="58">
                  <c:v>43990</c:v>
                </c:pt>
                <c:pt idx="59">
                  <c:v>43997</c:v>
                </c:pt>
                <c:pt idx="60">
                  <c:v>44004</c:v>
                </c:pt>
                <c:pt idx="61">
                  <c:v>44018</c:v>
                </c:pt>
                <c:pt idx="62">
                  <c:v>44027</c:v>
                </c:pt>
                <c:pt idx="63">
                  <c:v>44039</c:v>
                </c:pt>
                <c:pt idx="64">
                  <c:v>44053</c:v>
                </c:pt>
                <c:pt idx="65">
                  <c:v>44075</c:v>
                </c:pt>
                <c:pt idx="66">
                  <c:v>44082</c:v>
                </c:pt>
                <c:pt idx="67">
                  <c:v>44112</c:v>
                </c:pt>
                <c:pt idx="68">
                  <c:v>44134</c:v>
                </c:pt>
                <c:pt idx="70">
                  <c:v>44134</c:v>
                </c:pt>
                <c:pt idx="72">
                  <c:v>44140</c:v>
                </c:pt>
                <c:pt idx="73">
                  <c:v>44172</c:v>
                </c:pt>
                <c:pt idx="74">
                  <c:v>44186</c:v>
                </c:pt>
                <c:pt idx="75">
                  <c:v>44203</c:v>
                </c:pt>
                <c:pt idx="76">
                  <c:v>44229</c:v>
                </c:pt>
                <c:pt idx="77">
                  <c:v>44245</c:v>
                </c:pt>
                <c:pt idx="78">
                  <c:v>44273</c:v>
                </c:pt>
                <c:pt idx="79">
                  <c:v>44287</c:v>
                </c:pt>
                <c:pt idx="80">
                  <c:v>44308</c:v>
                </c:pt>
                <c:pt idx="81">
                  <c:v>44322</c:v>
                </c:pt>
                <c:pt idx="82">
                  <c:v>44337</c:v>
                </c:pt>
                <c:pt idx="83">
                  <c:v>44351</c:v>
                </c:pt>
                <c:pt idx="84">
                  <c:v>44357</c:v>
                </c:pt>
                <c:pt idx="85">
                  <c:v>44362</c:v>
                </c:pt>
                <c:pt idx="86">
                  <c:v>44364</c:v>
                </c:pt>
                <c:pt idx="87">
                  <c:v>44369</c:v>
                </c:pt>
                <c:pt idx="88">
                  <c:v>44376</c:v>
                </c:pt>
                <c:pt idx="89">
                  <c:v>44378</c:v>
                </c:pt>
                <c:pt idx="90">
                  <c:v>44392</c:v>
                </c:pt>
                <c:pt idx="91">
                  <c:v>44400</c:v>
                </c:pt>
                <c:pt idx="92">
                  <c:v>44410</c:v>
                </c:pt>
                <c:pt idx="93">
                  <c:v>44453</c:v>
                </c:pt>
                <c:pt idx="94">
                  <c:v>44470</c:v>
                </c:pt>
                <c:pt idx="95">
                  <c:v>44489</c:v>
                </c:pt>
                <c:pt idx="96">
                  <c:v>44502</c:v>
                </c:pt>
                <c:pt idx="97">
                  <c:v>44915</c:v>
                </c:pt>
              </c:numCache>
            </c:numRef>
          </c:xVal>
          <c:yVal>
            <c:numRef>
              <c:f>Déplacements!$N$10:$N$200</c:f>
              <c:numCache>
                <c:formatCode>\+\ 0.0;\-\ 0.0;\±\ 0.0</c:formatCode>
                <c:ptCount val="191"/>
                <c:pt idx="0">
                  <c:v>0</c:v>
                </c:pt>
                <c:pt idx="1">
                  <c:v>0.82462112512951324</c:v>
                </c:pt>
                <c:pt idx="2">
                  <c:v>1.3341664064145999</c:v>
                </c:pt>
                <c:pt idx="3">
                  <c:v>1.8841443681341454</c:v>
                </c:pt>
                <c:pt idx="4">
                  <c:v>2.2203603311138873</c:v>
                </c:pt>
                <c:pt idx="5">
                  <c:v>3.8535697736031764</c:v>
                </c:pt>
                <c:pt idx="6">
                  <c:v>2.8859708620195863</c:v>
                </c:pt>
                <c:pt idx="7">
                  <c:v>4.0401682370879826</c:v>
                </c:pt>
                <c:pt idx="8">
                  <c:v>4.0755049132120309</c:v>
                </c:pt>
                <c:pt idx="9">
                  <c:v>4.0750079764077647</c:v>
                </c:pt>
                <c:pt idx="10">
                  <c:v>5.1596114461239724</c:v>
                </c:pt>
                <c:pt idx="11">
                  <c:v>4.8293912753639185</c:v>
                </c:pt>
                <c:pt idx="12">
                  <c:v>4.6989360497907278</c:v>
                </c:pt>
                <c:pt idx="13">
                  <c:v>5.301886456732718</c:v>
                </c:pt>
                <c:pt idx="14">
                  <c:v>6.4730209330760049</c:v>
                </c:pt>
                <c:pt idx="15">
                  <c:v>6.7904344485479919</c:v>
                </c:pt>
                <c:pt idx="16">
                  <c:v>7.3763134423615453</c:v>
                </c:pt>
                <c:pt idx="17">
                  <c:v>7.9214897588799964</c:v>
                </c:pt>
                <c:pt idx="18">
                  <c:v>7.5936168932481909</c:v>
                </c:pt>
                <c:pt idx="19">
                  <c:v>7.5332595866601286</c:v>
                </c:pt>
                <c:pt idx="20">
                  <c:v>8.6029064856020838</c:v>
                </c:pt>
                <c:pt idx="21">
                  <c:v>8.9543285622039726</c:v>
                </c:pt>
                <c:pt idx="22">
                  <c:v>9.578100020368824</c:v>
                </c:pt>
                <c:pt idx="23">
                  <c:v>9.5268042910457282</c:v>
                </c:pt>
                <c:pt idx="24">
                  <c:v>9.8542179526317266</c:v>
                </c:pt>
                <c:pt idx="25">
                  <c:v>9.8442876837296183</c:v>
                </c:pt>
                <c:pt idx="26">
                  <c:v>10.853778357950759</c:v>
                </c:pt>
                <c:pt idx="27">
                  <c:v>10.555778079726998</c:v>
                </c:pt>
                <c:pt idx="28">
                  <c:v>10.157258774657132</c:v>
                </c:pt>
                <c:pt idx="29">
                  <c:v>11.563666383296001</c:v>
                </c:pt>
                <c:pt idx="30">
                  <c:v>11.121279796306739</c:v>
                </c:pt>
                <c:pt idx="31">
                  <c:v>11.450317530169686</c:v>
                </c:pt>
                <c:pt idx="32">
                  <c:v>11.023934807933028</c:v>
                </c:pt>
                <c:pt idx="33">
                  <c:v>11.775326828082484</c:v>
                </c:pt>
                <c:pt idx="34">
                  <c:v>11.517812292268905</c:v>
                </c:pt>
                <c:pt idx="35">
                  <c:v>11.884022887890969</c:v>
                </c:pt>
                <c:pt idx="36">
                  <c:v>12.098346994528642</c:v>
                </c:pt>
                <c:pt idx="37">
                  <c:v>12.503999360209129</c:v>
                </c:pt>
                <c:pt idx="38">
                  <c:v>12.621410380784889</c:v>
                </c:pt>
                <c:pt idx="39">
                  <c:v>12.812493902439677</c:v>
                </c:pt>
                <c:pt idx="40">
                  <c:v>13.077461527370049</c:v>
                </c:pt>
                <c:pt idx="41">
                  <c:v>12.624975247507809</c:v>
                </c:pt>
                <c:pt idx="42">
                  <c:v>12.894184735767112</c:v>
                </c:pt>
                <c:pt idx="43">
                  <c:v>13.74692542742614</c:v>
                </c:pt>
                <c:pt idx="44">
                  <c:v>13.156367279763655</c:v>
                </c:pt>
                <c:pt idx="45">
                  <c:v>13.926593266123431</c:v>
                </c:pt>
                <c:pt idx="46">
                  <c:v>13.730986854550268</c:v>
                </c:pt>
                <c:pt idx="47">
                  <c:v>14.230249470755007</c:v>
                </c:pt>
                <c:pt idx="48">
                  <c:v>14.641379716417056</c:v>
                </c:pt>
                <c:pt idx="49">
                  <c:v>14.370455803491151</c:v>
                </c:pt>
                <c:pt idx="50">
                  <c:v>14.989663104950262</c:v>
                </c:pt>
                <c:pt idx="51">
                  <c:v>15.195064988348561</c:v>
                </c:pt>
                <c:pt idx="52">
                  <c:v>15.999374987793502</c:v>
                </c:pt>
                <c:pt idx="53">
                  <c:v>15.352198539619682</c:v>
                </c:pt>
                <c:pt idx="54">
                  <c:v>15.931415505222859</c:v>
                </c:pt>
                <c:pt idx="55">
                  <c:v>17.501428513126502</c:v>
                </c:pt>
                <c:pt idx="56">
                  <c:v>17.085081211396837</c:v>
                </c:pt>
                <c:pt idx="57">
                  <c:v>17.259543808432824</c:v>
                </c:pt>
                <c:pt idx="58">
                  <c:v>18.166067154590383</c:v>
                </c:pt>
                <c:pt idx="59">
                  <c:v>16.966777201696804</c:v>
                </c:pt>
                <c:pt idx="60">
                  <c:v>17.590759226866357</c:v>
                </c:pt>
                <c:pt idx="61">
                  <c:v>18.134512257102788</c:v>
                </c:pt>
                <c:pt idx="62">
                  <c:v>18.013840172876705</c:v>
                </c:pt>
                <c:pt idx="63">
                  <c:v>19.339745251554938</c:v>
                </c:pt>
                <c:pt idx="64">
                  <c:v>19.337824914685935</c:v>
                </c:pt>
                <c:pt idx="68">
                  <c:v>20.692195803458219</c:v>
                </c:pt>
                <c:pt idx="72">
                  <c:v>20.825199939628792</c:v>
                </c:pt>
                <c:pt idx="73">
                  <c:v>21.314602802530896</c:v>
                </c:pt>
                <c:pt idx="74">
                  <c:v>21.560950173841295</c:v>
                </c:pt>
                <c:pt idx="75">
                  <c:v>22.216563804174147</c:v>
                </c:pt>
                <c:pt idx="76">
                  <c:v>23.000280048870884</c:v>
                </c:pt>
                <c:pt idx="77">
                  <c:v>22.017021096824394</c:v>
                </c:pt>
                <c:pt idx="78">
                  <c:v>23.074040347786649</c:v>
                </c:pt>
                <c:pt idx="79">
                  <c:v>22.973438030655192</c:v>
                </c:pt>
                <c:pt idx="80">
                  <c:v>23.057426666336628</c:v>
                </c:pt>
                <c:pt idx="81">
                  <c:v>23.387388964635132</c:v>
                </c:pt>
                <c:pt idx="82">
                  <c:v>24.332258795251569</c:v>
                </c:pt>
                <c:pt idx="83">
                  <c:v>23.033880237093147</c:v>
                </c:pt>
                <c:pt idx="84">
                  <c:v>23.647262339535786</c:v>
                </c:pt>
                <c:pt idx="85">
                  <c:v>24.137880859481658</c:v>
                </c:pt>
                <c:pt idx="86">
                  <c:v>25.217537916208798</c:v>
                </c:pt>
                <c:pt idx="87">
                  <c:v>23.959712160279352</c:v>
                </c:pt>
                <c:pt idx="88">
                  <c:v>24.354600096101485</c:v>
                </c:pt>
                <c:pt idx="89">
                  <c:v>24.230801827445667</c:v>
                </c:pt>
                <c:pt idx="90">
                  <c:v>24.838001127918009</c:v>
                </c:pt>
                <c:pt idx="91">
                  <c:v>24.946005828915357</c:v>
                </c:pt>
                <c:pt idx="92">
                  <c:v>24.773363941887204</c:v>
                </c:pt>
                <c:pt idx="93">
                  <c:v>26.06651396596093</c:v>
                </c:pt>
                <c:pt idx="94">
                  <c:v>25.891358505105316</c:v>
                </c:pt>
                <c:pt idx="95">
                  <c:v>26.827740752403923</c:v>
                </c:pt>
                <c:pt idx="96">
                  <c:v>26.404259250913825</c:v>
                </c:pt>
                <c:pt idx="97">
                  <c:v>31.704046831143675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960-488A-B4E5-F6C696EC9CE8}"/>
            </c:ext>
          </c:extLst>
        </c:ser>
        <c:ser>
          <c:idx val="3"/>
          <c:order val="1"/>
          <c:tx>
            <c:strRef>
              <c:f>Déplacements!$J$9</c:f>
              <c:strCache>
                <c:ptCount val="1"/>
                <c:pt idx="0">
                  <c:v>Norme HG</c:v>
                </c:pt>
              </c:strCache>
            </c:strRef>
          </c:tx>
          <c:spPr>
            <a:ln w="15875" cap="rnd">
              <a:solidFill>
                <a:schemeClr val="accent4"/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4">
                      <a:tint val="50000"/>
                      <a:satMod val="300000"/>
                    </a:schemeClr>
                  </a:gs>
                  <a:gs pos="35000">
                    <a:schemeClr val="accent4">
                      <a:tint val="37000"/>
                      <a:satMod val="300000"/>
                    </a:schemeClr>
                  </a:gs>
                  <a:gs pos="100000">
                    <a:schemeClr val="accent4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marker>
          <c:xVal>
            <c:numRef>
              <c:f>Déplacements!$B$10:$B$200</c:f>
              <c:numCache>
                <c:formatCode>dd\ /\ mm\ /\ yy</c:formatCode>
                <c:ptCount val="191"/>
                <c:pt idx="0">
                  <c:v>43655</c:v>
                </c:pt>
                <c:pt idx="1">
                  <c:v>43657</c:v>
                </c:pt>
                <c:pt idx="2">
                  <c:v>43661</c:v>
                </c:pt>
                <c:pt idx="3">
                  <c:v>43663</c:v>
                </c:pt>
                <c:pt idx="4">
                  <c:v>43669</c:v>
                </c:pt>
                <c:pt idx="5">
                  <c:v>43675</c:v>
                </c:pt>
                <c:pt idx="6">
                  <c:v>43679</c:v>
                </c:pt>
                <c:pt idx="7">
                  <c:v>43682</c:v>
                </c:pt>
                <c:pt idx="8">
                  <c:v>43684</c:v>
                </c:pt>
                <c:pt idx="9">
                  <c:v>43685</c:v>
                </c:pt>
                <c:pt idx="10">
                  <c:v>43689</c:v>
                </c:pt>
                <c:pt idx="11">
                  <c:v>43690</c:v>
                </c:pt>
                <c:pt idx="12">
                  <c:v>43696</c:v>
                </c:pt>
                <c:pt idx="13">
                  <c:v>43699</c:v>
                </c:pt>
                <c:pt idx="14">
                  <c:v>43703</c:v>
                </c:pt>
                <c:pt idx="15">
                  <c:v>43706</c:v>
                </c:pt>
                <c:pt idx="16">
                  <c:v>43710</c:v>
                </c:pt>
                <c:pt idx="17">
                  <c:v>43713</c:v>
                </c:pt>
                <c:pt idx="18">
                  <c:v>43718</c:v>
                </c:pt>
                <c:pt idx="19">
                  <c:v>43720</c:v>
                </c:pt>
                <c:pt idx="20">
                  <c:v>43724</c:v>
                </c:pt>
                <c:pt idx="21">
                  <c:v>43727</c:v>
                </c:pt>
                <c:pt idx="22">
                  <c:v>43731</c:v>
                </c:pt>
                <c:pt idx="23">
                  <c:v>43734</c:v>
                </c:pt>
                <c:pt idx="24">
                  <c:v>43738</c:v>
                </c:pt>
                <c:pt idx="25">
                  <c:v>43741</c:v>
                </c:pt>
                <c:pt idx="26">
                  <c:v>43746</c:v>
                </c:pt>
                <c:pt idx="27">
                  <c:v>43753</c:v>
                </c:pt>
                <c:pt idx="28">
                  <c:v>43756</c:v>
                </c:pt>
                <c:pt idx="29">
                  <c:v>43760</c:v>
                </c:pt>
                <c:pt idx="30">
                  <c:v>43762</c:v>
                </c:pt>
                <c:pt idx="31">
                  <c:v>43766</c:v>
                </c:pt>
                <c:pt idx="32">
                  <c:v>43769</c:v>
                </c:pt>
                <c:pt idx="33">
                  <c:v>43774</c:v>
                </c:pt>
                <c:pt idx="34">
                  <c:v>43776</c:v>
                </c:pt>
                <c:pt idx="35">
                  <c:v>43781</c:v>
                </c:pt>
                <c:pt idx="36">
                  <c:v>43783</c:v>
                </c:pt>
                <c:pt idx="37">
                  <c:v>43787</c:v>
                </c:pt>
                <c:pt idx="38">
                  <c:v>43790</c:v>
                </c:pt>
                <c:pt idx="39">
                  <c:v>43795</c:v>
                </c:pt>
                <c:pt idx="40">
                  <c:v>43797</c:v>
                </c:pt>
                <c:pt idx="41">
                  <c:v>43801</c:v>
                </c:pt>
                <c:pt idx="42">
                  <c:v>43803</c:v>
                </c:pt>
                <c:pt idx="43">
                  <c:v>43808</c:v>
                </c:pt>
                <c:pt idx="44">
                  <c:v>43811</c:v>
                </c:pt>
                <c:pt idx="45">
                  <c:v>43815</c:v>
                </c:pt>
                <c:pt idx="46">
                  <c:v>43818</c:v>
                </c:pt>
                <c:pt idx="47">
                  <c:v>43837</c:v>
                </c:pt>
                <c:pt idx="48">
                  <c:v>43843</c:v>
                </c:pt>
                <c:pt idx="49">
                  <c:v>43850</c:v>
                </c:pt>
                <c:pt idx="50">
                  <c:v>43857</c:v>
                </c:pt>
                <c:pt idx="51">
                  <c:v>43865</c:v>
                </c:pt>
                <c:pt idx="52">
                  <c:v>43878</c:v>
                </c:pt>
                <c:pt idx="53">
                  <c:v>43886</c:v>
                </c:pt>
                <c:pt idx="54">
                  <c:v>43896</c:v>
                </c:pt>
                <c:pt idx="55">
                  <c:v>43970</c:v>
                </c:pt>
                <c:pt idx="56">
                  <c:v>43977</c:v>
                </c:pt>
                <c:pt idx="57">
                  <c:v>43984</c:v>
                </c:pt>
                <c:pt idx="58">
                  <c:v>43990</c:v>
                </c:pt>
                <c:pt idx="59">
                  <c:v>43997</c:v>
                </c:pt>
                <c:pt idx="60">
                  <c:v>44004</c:v>
                </c:pt>
                <c:pt idx="61">
                  <c:v>44018</c:v>
                </c:pt>
                <c:pt idx="62">
                  <c:v>44027</c:v>
                </c:pt>
                <c:pt idx="63">
                  <c:v>44039</c:v>
                </c:pt>
                <c:pt idx="64">
                  <c:v>44053</c:v>
                </c:pt>
                <c:pt idx="65">
                  <c:v>44075</c:v>
                </c:pt>
                <c:pt idx="66">
                  <c:v>44082</c:v>
                </c:pt>
                <c:pt idx="67">
                  <c:v>44112</c:v>
                </c:pt>
                <c:pt idx="68">
                  <c:v>44134</c:v>
                </c:pt>
                <c:pt idx="70">
                  <c:v>44134</c:v>
                </c:pt>
                <c:pt idx="72">
                  <c:v>44140</c:v>
                </c:pt>
                <c:pt idx="73">
                  <c:v>44172</c:v>
                </c:pt>
                <c:pt idx="74">
                  <c:v>44186</c:v>
                </c:pt>
                <c:pt idx="75">
                  <c:v>44203</c:v>
                </c:pt>
                <c:pt idx="76">
                  <c:v>44229</c:v>
                </c:pt>
                <c:pt idx="77">
                  <c:v>44245</c:v>
                </c:pt>
                <c:pt idx="78">
                  <c:v>44273</c:v>
                </c:pt>
                <c:pt idx="79">
                  <c:v>44287</c:v>
                </c:pt>
                <c:pt idx="80">
                  <c:v>44308</c:v>
                </c:pt>
                <c:pt idx="81">
                  <c:v>44322</c:v>
                </c:pt>
                <c:pt idx="82">
                  <c:v>44337</c:v>
                </c:pt>
                <c:pt idx="83">
                  <c:v>44351</c:v>
                </c:pt>
                <c:pt idx="84">
                  <c:v>44357</c:v>
                </c:pt>
                <c:pt idx="85">
                  <c:v>44362</c:v>
                </c:pt>
                <c:pt idx="86">
                  <c:v>44364</c:v>
                </c:pt>
                <c:pt idx="87">
                  <c:v>44369</c:v>
                </c:pt>
                <c:pt idx="88">
                  <c:v>44376</c:v>
                </c:pt>
                <c:pt idx="89">
                  <c:v>44378</c:v>
                </c:pt>
                <c:pt idx="90">
                  <c:v>44392</c:v>
                </c:pt>
                <c:pt idx="91">
                  <c:v>44400</c:v>
                </c:pt>
                <c:pt idx="92">
                  <c:v>44410</c:v>
                </c:pt>
                <c:pt idx="93">
                  <c:v>44453</c:v>
                </c:pt>
                <c:pt idx="94">
                  <c:v>44470</c:v>
                </c:pt>
                <c:pt idx="95">
                  <c:v>44489</c:v>
                </c:pt>
                <c:pt idx="96">
                  <c:v>44502</c:v>
                </c:pt>
                <c:pt idx="97">
                  <c:v>44915</c:v>
                </c:pt>
              </c:numCache>
            </c:numRef>
          </c:xVal>
          <c:yVal>
            <c:numRef>
              <c:f>Déplacements!$J$10:$J$200</c:f>
              <c:numCache>
                <c:formatCode>\+\ 0.0;\-\ 0.0;\±\ 0.0</c:formatCode>
                <c:ptCount val="191"/>
                <c:pt idx="0">
                  <c:v>0</c:v>
                </c:pt>
                <c:pt idx="1">
                  <c:v>0.85586213842426051</c:v>
                </c:pt>
                <c:pt idx="2">
                  <c:v>1.2579745625186352</c:v>
                </c:pt>
                <c:pt idx="3">
                  <c:v>2.022992832410313</c:v>
                </c:pt>
                <c:pt idx="5">
                  <c:v>4.019017292821256</c:v>
                </c:pt>
                <c:pt idx="6">
                  <c:v>2.7618802377833855</c:v>
                </c:pt>
                <c:pt idx="7">
                  <c:v>4.3376461650492395</c:v>
                </c:pt>
                <c:pt idx="8">
                  <c:v>4.3089213322396498</c:v>
                </c:pt>
                <c:pt idx="9">
                  <c:v>4.5828415724556768</c:v>
                </c:pt>
                <c:pt idx="10">
                  <c:v>5.7334240195621806</c:v>
                </c:pt>
                <c:pt idx="11">
                  <c:v>6.1806535269415468</c:v>
                </c:pt>
                <c:pt idx="12">
                  <c:v>5.2955169719370714</c:v>
                </c:pt>
                <c:pt idx="13">
                  <c:v>6.2787339488132989</c:v>
                </c:pt>
                <c:pt idx="14">
                  <c:v>7.618562856608194</c:v>
                </c:pt>
                <c:pt idx="15">
                  <c:v>7.9694730064233674</c:v>
                </c:pt>
                <c:pt idx="16">
                  <c:v>8.4482246655859363</c:v>
                </c:pt>
                <c:pt idx="17">
                  <c:v>9.2845301442790831</c:v>
                </c:pt>
                <c:pt idx="18">
                  <c:v>8.8939168289412702</c:v>
                </c:pt>
                <c:pt idx="19">
                  <c:v>9.1903481979810575</c:v>
                </c:pt>
                <c:pt idx="20">
                  <c:v>10.027586948020367</c:v>
                </c:pt>
                <c:pt idx="21">
                  <c:v>10.492020777717489</c:v>
                </c:pt>
                <c:pt idx="22">
                  <c:v>11.278851891933684</c:v>
                </c:pt>
                <c:pt idx="23">
                  <c:v>11.362768148659725</c:v>
                </c:pt>
                <c:pt idx="24">
                  <c:v>11.549173502300846</c:v>
                </c:pt>
                <c:pt idx="25">
                  <c:v>12.15946133675814</c:v>
                </c:pt>
                <c:pt idx="26">
                  <c:v>12.452946770578082</c:v>
                </c:pt>
                <c:pt idx="27">
                  <c:v>12.335433990346063</c:v>
                </c:pt>
                <c:pt idx="28">
                  <c:v>12.268388559650163</c:v>
                </c:pt>
                <c:pt idx="29">
                  <c:v>13.510034484155391</c:v>
                </c:pt>
                <c:pt idx="30">
                  <c:v>12.462171430703206</c:v>
                </c:pt>
                <c:pt idx="32">
                  <c:v>13.484756389011141</c:v>
                </c:pt>
                <c:pt idx="33">
                  <c:v>13.878422645134179</c:v>
                </c:pt>
                <c:pt idx="34">
                  <c:v>13.914470884664354</c:v>
                </c:pt>
                <c:pt idx="35">
                  <c:v>14.424025097049789</c:v>
                </c:pt>
                <c:pt idx="37">
                  <c:v>14.813254200203909</c:v>
                </c:pt>
                <c:pt idx="38">
                  <c:v>14.929584722956536</c:v>
                </c:pt>
                <c:pt idx="39">
                  <c:v>14.986744142748861</c:v>
                </c:pt>
                <c:pt idx="40">
                  <c:v>15.633697579274381</c:v>
                </c:pt>
                <c:pt idx="41">
                  <c:v>15.644567747303803</c:v>
                </c:pt>
                <c:pt idx="42">
                  <c:v>14.968717379927259</c:v>
                </c:pt>
                <c:pt idx="43">
                  <c:v>16.063767523722653</c:v>
                </c:pt>
                <c:pt idx="44">
                  <c:v>15.878680675681082</c:v>
                </c:pt>
                <c:pt idx="45">
                  <c:v>16.747014659336955</c:v>
                </c:pt>
                <c:pt idx="46">
                  <c:v>16.287188216505992</c:v>
                </c:pt>
                <c:pt idx="47">
                  <c:v>17.180584972577424</c:v>
                </c:pt>
                <c:pt idx="48">
                  <c:v>17.567939549087967</c:v>
                </c:pt>
                <c:pt idx="49">
                  <c:v>17.392886476943055</c:v>
                </c:pt>
                <c:pt idx="50">
                  <c:v>18.026993648418429</c:v>
                </c:pt>
                <c:pt idx="51">
                  <c:v>17.963922177509815</c:v>
                </c:pt>
                <c:pt idx="52">
                  <c:v>18.691776266580341</c:v>
                </c:pt>
                <c:pt idx="53">
                  <c:v>18.33691631654823</c:v>
                </c:pt>
                <c:pt idx="54">
                  <c:v>19.056560550107811</c:v>
                </c:pt>
                <c:pt idx="55">
                  <c:v>20.97528307317593</c:v>
                </c:pt>
                <c:pt idx="56">
                  <c:v>20.295627607936513</c:v>
                </c:pt>
                <c:pt idx="57">
                  <c:v>20.640479558017077</c:v>
                </c:pt>
                <c:pt idx="58">
                  <c:v>21.395238579626678</c:v>
                </c:pt>
                <c:pt idx="59">
                  <c:v>20.739411017182245</c:v>
                </c:pt>
                <c:pt idx="60">
                  <c:v>21.242249275982115</c:v>
                </c:pt>
                <c:pt idx="61">
                  <c:v>21.976517614316752</c:v>
                </c:pt>
                <c:pt idx="62">
                  <c:v>22.007480680890811</c:v>
                </c:pt>
                <c:pt idx="63">
                  <c:v>22.964873531887417</c:v>
                </c:pt>
                <c:pt idx="64">
                  <c:v>23.443711981494104</c:v>
                </c:pt>
                <c:pt idx="65">
                  <c:v>24.211455201176371</c:v>
                </c:pt>
                <c:pt idx="66">
                  <c:v>24.124045545920055</c:v>
                </c:pt>
                <c:pt idx="67">
                  <c:v>24.016452169224429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960-488A-B4E5-F6C696EC9CE8}"/>
            </c:ext>
          </c:extLst>
        </c:ser>
        <c:ser>
          <c:idx val="4"/>
          <c:order val="2"/>
          <c:tx>
            <c:strRef>
              <c:f>Déplacements!$R$9</c:f>
              <c:strCache>
                <c:ptCount val="1"/>
                <c:pt idx="0">
                  <c:v>Norme HD</c:v>
                </c:pt>
              </c:strCache>
            </c:strRef>
          </c:tx>
          <c:spPr>
            <a:ln w="15875" cap="rnd">
              <a:solidFill>
                <a:schemeClr val="accent5"/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5">
                      <a:tint val="50000"/>
                      <a:satMod val="300000"/>
                    </a:schemeClr>
                  </a:gs>
                  <a:gs pos="35000">
                    <a:schemeClr val="accent5">
                      <a:tint val="37000"/>
                      <a:satMod val="300000"/>
                    </a:schemeClr>
                  </a:gs>
                  <a:gs pos="100000">
                    <a:schemeClr val="accent5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5"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marker>
          <c:xVal>
            <c:numRef>
              <c:f>Déplacements!$B$10:$B$200</c:f>
              <c:numCache>
                <c:formatCode>dd\ /\ mm\ /\ yy</c:formatCode>
                <c:ptCount val="191"/>
                <c:pt idx="0">
                  <c:v>43655</c:v>
                </c:pt>
                <c:pt idx="1">
                  <c:v>43657</c:v>
                </c:pt>
                <c:pt idx="2">
                  <c:v>43661</c:v>
                </c:pt>
                <c:pt idx="3">
                  <c:v>43663</c:v>
                </c:pt>
                <c:pt idx="4">
                  <c:v>43669</c:v>
                </c:pt>
                <c:pt idx="5">
                  <c:v>43675</c:v>
                </c:pt>
                <c:pt idx="6">
                  <c:v>43679</c:v>
                </c:pt>
                <c:pt idx="7">
                  <c:v>43682</c:v>
                </c:pt>
                <c:pt idx="8">
                  <c:v>43684</c:v>
                </c:pt>
                <c:pt idx="9">
                  <c:v>43685</c:v>
                </c:pt>
                <c:pt idx="10">
                  <c:v>43689</c:v>
                </c:pt>
                <c:pt idx="11">
                  <c:v>43690</c:v>
                </c:pt>
                <c:pt idx="12">
                  <c:v>43696</c:v>
                </c:pt>
                <c:pt idx="13">
                  <c:v>43699</c:v>
                </c:pt>
                <c:pt idx="14">
                  <c:v>43703</c:v>
                </c:pt>
                <c:pt idx="15">
                  <c:v>43706</c:v>
                </c:pt>
                <c:pt idx="16">
                  <c:v>43710</c:v>
                </c:pt>
                <c:pt idx="17">
                  <c:v>43713</c:v>
                </c:pt>
                <c:pt idx="18">
                  <c:v>43718</c:v>
                </c:pt>
                <c:pt idx="19">
                  <c:v>43720</c:v>
                </c:pt>
                <c:pt idx="20">
                  <c:v>43724</c:v>
                </c:pt>
                <c:pt idx="21">
                  <c:v>43727</c:v>
                </c:pt>
                <c:pt idx="22">
                  <c:v>43731</c:v>
                </c:pt>
                <c:pt idx="23">
                  <c:v>43734</c:v>
                </c:pt>
                <c:pt idx="24">
                  <c:v>43738</c:v>
                </c:pt>
                <c:pt idx="25">
                  <c:v>43741</c:v>
                </c:pt>
                <c:pt idx="26">
                  <c:v>43746</c:v>
                </c:pt>
                <c:pt idx="27">
                  <c:v>43753</c:v>
                </c:pt>
                <c:pt idx="28">
                  <c:v>43756</c:v>
                </c:pt>
                <c:pt idx="29">
                  <c:v>43760</c:v>
                </c:pt>
                <c:pt idx="30">
                  <c:v>43762</c:v>
                </c:pt>
                <c:pt idx="31">
                  <c:v>43766</c:v>
                </c:pt>
                <c:pt idx="32">
                  <c:v>43769</c:v>
                </c:pt>
                <c:pt idx="33">
                  <c:v>43774</c:v>
                </c:pt>
                <c:pt idx="34">
                  <c:v>43776</c:v>
                </c:pt>
                <c:pt idx="35">
                  <c:v>43781</c:v>
                </c:pt>
                <c:pt idx="36">
                  <c:v>43783</c:v>
                </c:pt>
                <c:pt idx="37">
                  <c:v>43787</c:v>
                </c:pt>
                <c:pt idx="38">
                  <c:v>43790</c:v>
                </c:pt>
                <c:pt idx="39">
                  <c:v>43795</c:v>
                </c:pt>
                <c:pt idx="40">
                  <c:v>43797</c:v>
                </c:pt>
                <c:pt idx="41">
                  <c:v>43801</c:v>
                </c:pt>
                <c:pt idx="42">
                  <c:v>43803</c:v>
                </c:pt>
                <c:pt idx="43">
                  <c:v>43808</c:v>
                </c:pt>
                <c:pt idx="44">
                  <c:v>43811</c:v>
                </c:pt>
                <c:pt idx="45">
                  <c:v>43815</c:v>
                </c:pt>
                <c:pt idx="46">
                  <c:v>43818</c:v>
                </c:pt>
                <c:pt idx="47">
                  <c:v>43837</c:v>
                </c:pt>
                <c:pt idx="48">
                  <c:v>43843</c:v>
                </c:pt>
                <c:pt idx="49">
                  <c:v>43850</c:v>
                </c:pt>
                <c:pt idx="50">
                  <c:v>43857</c:v>
                </c:pt>
                <c:pt idx="51">
                  <c:v>43865</c:v>
                </c:pt>
                <c:pt idx="52">
                  <c:v>43878</c:v>
                </c:pt>
                <c:pt idx="53">
                  <c:v>43886</c:v>
                </c:pt>
                <c:pt idx="54">
                  <c:v>43896</c:v>
                </c:pt>
                <c:pt idx="55">
                  <c:v>43970</c:v>
                </c:pt>
                <c:pt idx="56">
                  <c:v>43977</c:v>
                </c:pt>
                <c:pt idx="57">
                  <c:v>43984</c:v>
                </c:pt>
                <c:pt idx="58">
                  <c:v>43990</c:v>
                </c:pt>
                <c:pt idx="59">
                  <c:v>43997</c:v>
                </c:pt>
                <c:pt idx="60">
                  <c:v>44004</c:v>
                </c:pt>
                <c:pt idx="61">
                  <c:v>44018</c:v>
                </c:pt>
                <c:pt idx="62">
                  <c:v>44027</c:v>
                </c:pt>
                <c:pt idx="63">
                  <c:v>44039</c:v>
                </c:pt>
                <c:pt idx="64">
                  <c:v>44053</c:v>
                </c:pt>
                <c:pt idx="65">
                  <c:v>44075</c:v>
                </c:pt>
                <c:pt idx="66">
                  <c:v>44082</c:v>
                </c:pt>
                <c:pt idx="67">
                  <c:v>44112</c:v>
                </c:pt>
                <c:pt idx="68">
                  <c:v>44134</c:v>
                </c:pt>
                <c:pt idx="70">
                  <c:v>44134</c:v>
                </c:pt>
                <c:pt idx="72">
                  <c:v>44140</c:v>
                </c:pt>
                <c:pt idx="73">
                  <c:v>44172</c:v>
                </c:pt>
                <c:pt idx="74">
                  <c:v>44186</c:v>
                </c:pt>
                <c:pt idx="75">
                  <c:v>44203</c:v>
                </c:pt>
                <c:pt idx="76">
                  <c:v>44229</c:v>
                </c:pt>
                <c:pt idx="77">
                  <c:v>44245</c:v>
                </c:pt>
                <c:pt idx="78">
                  <c:v>44273</c:v>
                </c:pt>
                <c:pt idx="79">
                  <c:v>44287</c:v>
                </c:pt>
                <c:pt idx="80">
                  <c:v>44308</c:v>
                </c:pt>
                <c:pt idx="81">
                  <c:v>44322</c:v>
                </c:pt>
                <c:pt idx="82">
                  <c:v>44337</c:v>
                </c:pt>
                <c:pt idx="83">
                  <c:v>44351</c:v>
                </c:pt>
                <c:pt idx="84">
                  <c:v>44357</c:v>
                </c:pt>
                <c:pt idx="85">
                  <c:v>44362</c:v>
                </c:pt>
                <c:pt idx="86">
                  <c:v>44364</c:v>
                </c:pt>
                <c:pt idx="87">
                  <c:v>44369</c:v>
                </c:pt>
                <c:pt idx="88">
                  <c:v>44376</c:v>
                </c:pt>
                <c:pt idx="89">
                  <c:v>44378</c:v>
                </c:pt>
                <c:pt idx="90">
                  <c:v>44392</c:v>
                </c:pt>
                <c:pt idx="91">
                  <c:v>44400</c:v>
                </c:pt>
                <c:pt idx="92">
                  <c:v>44410</c:v>
                </c:pt>
                <c:pt idx="93">
                  <c:v>44453</c:v>
                </c:pt>
                <c:pt idx="94">
                  <c:v>44470</c:v>
                </c:pt>
                <c:pt idx="95">
                  <c:v>44489</c:v>
                </c:pt>
                <c:pt idx="96">
                  <c:v>44502</c:v>
                </c:pt>
                <c:pt idx="97">
                  <c:v>44915</c:v>
                </c:pt>
              </c:numCache>
            </c:numRef>
          </c:xVal>
          <c:yVal>
            <c:numRef>
              <c:f>Déplacements!$R$10:$R$200</c:f>
              <c:numCache>
                <c:formatCode>\+\ 0.0;\-\ 0.0;\±\ 0.0</c:formatCode>
                <c:ptCount val="191"/>
                <c:pt idx="0">
                  <c:v>0</c:v>
                </c:pt>
                <c:pt idx="1">
                  <c:v>0.95524865872175246</c:v>
                </c:pt>
                <c:pt idx="2">
                  <c:v>1.3009611831208934</c:v>
                </c:pt>
                <c:pt idx="3">
                  <c:v>1.7811513130534313</c:v>
                </c:pt>
                <c:pt idx="4">
                  <c:v>1.1715374513827561</c:v>
                </c:pt>
                <c:pt idx="5">
                  <c:v>3.8291643997044904</c:v>
                </c:pt>
                <c:pt idx="6">
                  <c:v>2.836534884359903</c:v>
                </c:pt>
                <c:pt idx="7">
                  <c:v>3.7934604419381799</c:v>
                </c:pt>
                <c:pt idx="8">
                  <c:v>3.8902716278346339</c:v>
                </c:pt>
                <c:pt idx="9">
                  <c:v>3.9667827201769397</c:v>
                </c:pt>
                <c:pt idx="10">
                  <c:v>5.0721400459800652</c:v>
                </c:pt>
                <c:pt idx="11">
                  <c:v>5.2807846481853309</c:v>
                </c:pt>
                <c:pt idx="12">
                  <c:v>4.2204857540241596</c:v>
                </c:pt>
                <c:pt idx="13">
                  <c:v>5.0142297514223042</c:v>
                </c:pt>
                <c:pt idx="14">
                  <c:v>6.7292272959011044</c:v>
                </c:pt>
                <c:pt idx="15">
                  <c:v>6.7128607910423668</c:v>
                </c:pt>
                <c:pt idx="16">
                  <c:v>6.9132119886391132</c:v>
                </c:pt>
                <c:pt idx="17">
                  <c:v>7.3724148011291835</c:v>
                </c:pt>
                <c:pt idx="18">
                  <c:v>7.6739268368470892</c:v>
                </c:pt>
                <c:pt idx="19">
                  <c:v>7.3635928730446727</c:v>
                </c:pt>
                <c:pt idx="20">
                  <c:v>8.1346481177650372</c:v>
                </c:pt>
                <c:pt idx="21">
                  <c:v>8.3404136587989441</c:v>
                </c:pt>
                <c:pt idx="22">
                  <c:v>9.1696510293320976</c:v>
                </c:pt>
                <c:pt idx="23">
                  <c:v>9.2597246179308517</c:v>
                </c:pt>
                <c:pt idx="24">
                  <c:v>9.1278754134809343</c:v>
                </c:pt>
                <c:pt idx="25">
                  <c:v>9.6240583954951475</c:v>
                </c:pt>
                <c:pt idx="26">
                  <c:v>9.920084193834791</c:v>
                </c:pt>
                <c:pt idx="27">
                  <c:v>9.7243873098079874</c:v>
                </c:pt>
                <c:pt idx="28">
                  <c:v>9.5531426277238669</c:v>
                </c:pt>
                <c:pt idx="29">
                  <c:v>10.36329490178167</c:v>
                </c:pt>
                <c:pt idx="30">
                  <c:v>10.579582948047657</c:v>
                </c:pt>
                <c:pt idx="31">
                  <c:v>10.648971890265685</c:v>
                </c:pt>
                <c:pt idx="32">
                  <c:v>10.47956523878949</c:v>
                </c:pt>
                <c:pt idx="33">
                  <c:v>11.094180041704956</c:v>
                </c:pt>
                <c:pt idx="34">
                  <c:v>10.791315953112486</c:v>
                </c:pt>
                <c:pt idx="35">
                  <c:v>11.172399026177629</c:v>
                </c:pt>
                <c:pt idx="36">
                  <c:v>11.229091681871768</c:v>
                </c:pt>
                <c:pt idx="37">
                  <c:v>11.298783120317784</c:v>
                </c:pt>
                <c:pt idx="38">
                  <c:v>11.445632354746502</c:v>
                </c:pt>
                <c:pt idx="39">
                  <c:v>11.446942823296123</c:v>
                </c:pt>
                <c:pt idx="40">
                  <c:v>12.391630239801115</c:v>
                </c:pt>
                <c:pt idx="41">
                  <c:v>12.061198116266452</c:v>
                </c:pt>
                <c:pt idx="42">
                  <c:v>12.076940837807113</c:v>
                </c:pt>
                <c:pt idx="43">
                  <c:v>12.437214019882356</c:v>
                </c:pt>
                <c:pt idx="44">
                  <c:v>12.23488863864565</c:v>
                </c:pt>
                <c:pt idx="45">
                  <c:v>13.114209850382577</c:v>
                </c:pt>
                <c:pt idx="46">
                  <c:v>12.719768079639161</c:v>
                </c:pt>
                <c:pt idx="47">
                  <c:v>13.327884303220573</c:v>
                </c:pt>
                <c:pt idx="48">
                  <c:v>13.601194800450916</c:v>
                </c:pt>
                <c:pt idx="49">
                  <c:v>13.143534532228054</c:v>
                </c:pt>
                <c:pt idx="50">
                  <c:v>13.769259239334954</c:v>
                </c:pt>
                <c:pt idx="51">
                  <c:v>14.189520781188689</c:v>
                </c:pt>
                <c:pt idx="52">
                  <c:v>14.772017465468963</c:v>
                </c:pt>
                <c:pt idx="53">
                  <c:v>14.300437056254774</c:v>
                </c:pt>
                <c:pt idx="54">
                  <c:v>14.624380328738942</c:v>
                </c:pt>
                <c:pt idx="55">
                  <c:v>16.279204526022841</c:v>
                </c:pt>
                <c:pt idx="56">
                  <c:v>15.728397884079069</c:v>
                </c:pt>
                <c:pt idx="57">
                  <c:v>16.060522375762229</c:v>
                </c:pt>
                <c:pt idx="58">
                  <c:v>16.953824406968323</c:v>
                </c:pt>
                <c:pt idx="59">
                  <c:v>15.852465424291655</c:v>
                </c:pt>
                <c:pt idx="60">
                  <c:v>16.499473300967292</c:v>
                </c:pt>
                <c:pt idx="61">
                  <c:v>16.758852355101268</c:v>
                </c:pt>
                <c:pt idx="62">
                  <c:v>17.074687789787571</c:v>
                </c:pt>
                <c:pt idx="63">
                  <c:v>17.660526589289159</c:v>
                </c:pt>
                <c:pt idx="64">
                  <c:v>17.662181962703919</c:v>
                </c:pt>
                <c:pt idx="65">
                  <c:v>18.230206564356802</c:v>
                </c:pt>
                <c:pt idx="66">
                  <c:v>18.249224624932904</c:v>
                </c:pt>
                <c:pt idx="67">
                  <c:v>17.79631940778745</c:v>
                </c:pt>
                <c:pt idx="68">
                  <c:v>18.670915901753762</c:v>
                </c:pt>
                <c:pt idx="72">
                  <c:v>18.406132550998251</c:v>
                </c:pt>
                <c:pt idx="73">
                  <c:v>18.819455316663042</c:v>
                </c:pt>
                <c:pt idx="74">
                  <c:v>18.794982858589975</c:v>
                </c:pt>
                <c:pt idx="75">
                  <c:v>19.073616245572577</c:v>
                </c:pt>
                <c:pt idx="76">
                  <c:v>20.214846011575425</c:v>
                </c:pt>
                <c:pt idx="77">
                  <c:v>19.156151226260199</c:v>
                </c:pt>
                <c:pt idx="78">
                  <c:v>20.679802120806762</c:v>
                </c:pt>
                <c:pt idx="79">
                  <c:v>19.764149115485523</c:v>
                </c:pt>
                <c:pt idx="80">
                  <c:v>20.038793623259735</c:v>
                </c:pt>
                <c:pt idx="81">
                  <c:v>20.697951760966269</c:v>
                </c:pt>
                <c:pt idx="82">
                  <c:v>21.642602895190034</c:v>
                </c:pt>
                <c:pt idx="83">
                  <c:v>20.619292757444708</c:v>
                </c:pt>
                <c:pt idx="84">
                  <c:v>21.224274923503483</c:v>
                </c:pt>
                <c:pt idx="85">
                  <c:v>21.552218340775795</c:v>
                </c:pt>
                <c:pt idx="86">
                  <c:v>22.30774685101083</c:v>
                </c:pt>
                <c:pt idx="87">
                  <c:v>21.33577488244892</c:v>
                </c:pt>
                <c:pt idx="88">
                  <c:v>21.566404226294974</c:v>
                </c:pt>
                <c:pt idx="89">
                  <c:v>21.527160142972019</c:v>
                </c:pt>
                <c:pt idx="90">
                  <c:v>21.51447336996841</c:v>
                </c:pt>
                <c:pt idx="91">
                  <c:v>22.37840018883912</c:v>
                </c:pt>
                <c:pt idx="92">
                  <c:v>21.879045235825824</c:v>
                </c:pt>
                <c:pt idx="93">
                  <c:v>22.96104067187137</c:v>
                </c:pt>
                <c:pt idx="94">
                  <c:v>22.926058862439913</c:v>
                </c:pt>
                <c:pt idx="95">
                  <c:v>23.812783366323522</c:v>
                </c:pt>
                <c:pt idx="96">
                  <c:v>23.02541852896195</c:v>
                </c:pt>
                <c:pt idx="97">
                  <c:v>27.482431065756849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960-488A-B4E5-F6C696EC9CE8}"/>
            </c:ext>
          </c:extLst>
        </c:ser>
        <c:ser>
          <c:idx val="5"/>
          <c:order val="3"/>
          <c:tx>
            <c:strRef>
              <c:f>Déplacements!$F$9</c:f>
              <c:strCache>
                <c:ptCount val="1"/>
                <c:pt idx="0">
                  <c:v>Norme IG</c:v>
                </c:pt>
              </c:strCache>
            </c:strRef>
          </c:tx>
          <c:spPr>
            <a:ln w="15875" cap="rnd">
              <a:solidFill>
                <a:schemeClr val="accent6"/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6">
                      <a:tint val="50000"/>
                      <a:satMod val="300000"/>
                    </a:schemeClr>
                  </a:gs>
                  <a:gs pos="35000">
                    <a:schemeClr val="accent6">
                      <a:tint val="37000"/>
                      <a:satMod val="300000"/>
                    </a:schemeClr>
                  </a:gs>
                  <a:gs pos="100000">
                    <a:schemeClr val="accent6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6"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marker>
          <c:xVal>
            <c:numRef>
              <c:f>Déplacements!$B$10:$B$200</c:f>
              <c:numCache>
                <c:formatCode>dd\ /\ mm\ /\ yy</c:formatCode>
                <c:ptCount val="191"/>
                <c:pt idx="0">
                  <c:v>43655</c:v>
                </c:pt>
                <c:pt idx="1">
                  <c:v>43657</c:v>
                </c:pt>
                <c:pt idx="2">
                  <c:v>43661</c:v>
                </c:pt>
                <c:pt idx="3">
                  <c:v>43663</c:v>
                </c:pt>
                <c:pt idx="4">
                  <c:v>43669</c:v>
                </c:pt>
                <c:pt idx="5">
                  <c:v>43675</c:v>
                </c:pt>
                <c:pt idx="6">
                  <c:v>43679</c:v>
                </c:pt>
                <c:pt idx="7">
                  <c:v>43682</c:v>
                </c:pt>
                <c:pt idx="8">
                  <c:v>43684</c:v>
                </c:pt>
                <c:pt idx="9">
                  <c:v>43685</c:v>
                </c:pt>
                <c:pt idx="10">
                  <c:v>43689</c:v>
                </c:pt>
                <c:pt idx="11">
                  <c:v>43690</c:v>
                </c:pt>
                <c:pt idx="12">
                  <c:v>43696</c:v>
                </c:pt>
                <c:pt idx="13">
                  <c:v>43699</c:v>
                </c:pt>
                <c:pt idx="14">
                  <c:v>43703</c:v>
                </c:pt>
                <c:pt idx="15">
                  <c:v>43706</c:v>
                </c:pt>
                <c:pt idx="16">
                  <c:v>43710</c:v>
                </c:pt>
                <c:pt idx="17">
                  <c:v>43713</c:v>
                </c:pt>
                <c:pt idx="18">
                  <c:v>43718</c:v>
                </c:pt>
                <c:pt idx="19">
                  <c:v>43720</c:v>
                </c:pt>
                <c:pt idx="20">
                  <c:v>43724</c:v>
                </c:pt>
                <c:pt idx="21">
                  <c:v>43727</c:v>
                </c:pt>
                <c:pt idx="22">
                  <c:v>43731</c:v>
                </c:pt>
                <c:pt idx="23">
                  <c:v>43734</c:v>
                </c:pt>
                <c:pt idx="24">
                  <c:v>43738</c:v>
                </c:pt>
                <c:pt idx="25">
                  <c:v>43741</c:v>
                </c:pt>
                <c:pt idx="26">
                  <c:v>43746</c:v>
                </c:pt>
                <c:pt idx="27">
                  <c:v>43753</c:v>
                </c:pt>
                <c:pt idx="28">
                  <c:v>43756</c:v>
                </c:pt>
                <c:pt idx="29">
                  <c:v>43760</c:v>
                </c:pt>
                <c:pt idx="30">
                  <c:v>43762</c:v>
                </c:pt>
                <c:pt idx="31">
                  <c:v>43766</c:v>
                </c:pt>
                <c:pt idx="32">
                  <c:v>43769</c:v>
                </c:pt>
                <c:pt idx="33">
                  <c:v>43774</c:v>
                </c:pt>
                <c:pt idx="34">
                  <c:v>43776</c:v>
                </c:pt>
                <c:pt idx="35">
                  <c:v>43781</c:v>
                </c:pt>
                <c:pt idx="36">
                  <c:v>43783</c:v>
                </c:pt>
                <c:pt idx="37">
                  <c:v>43787</c:v>
                </c:pt>
                <c:pt idx="38">
                  <c:v>43790</c:v>
                </c:pt>
                <c:pt idx="39">
                  <c:v>43795</c:v>
                </c:pt>
                <c:pt idx="40">
                  <c:v>43797</c:v>
                </c:pt>
                <c:pt idx="41">
                  <c:v>43801</c:v>
                </c:pt>
                <c:pt idx="42">
                  <c:v>43803</c:v>
                </c:pt>
                <c:pt idx="43">
                  <c:v>43808</c:v>
                </c:pt>
                <c:pt idx="44">
                  <c:v>43811</c:v>
                </c:pt>
                <c:pt idx="45">
                  <c:v>43815</c:v>
                </c:pt>
                <c:pt idx="46">
                  <c:v>43818</c:v>
                </c:pt>
                <c:pt idx="47">
                  <c:v>43837</c:v>
                </c:pt>
                <c:pt idx="48">
                  <c:v>43843</c:v>
                </c:pt>
                <c:pt idx="49">
                  <c:v>43850</c:v>
                </c:pt>
                <c:pt idx="50">
                  <c:v>43857</c:v>
                </c:pt>
                <c:pt idx="51">
                  <c:v>43865</c:v>
                </c:pt>
                <c:pt idx="52">
                  <c:v>43878</c:v>
                </c:pt>
                <c:pt idx="53">
                  <c:v>43886</c:v>
                </c:pt>
                <c:pt idx="54">
                  <c:v>43896</c:v>
                </c:pt>
                <c:pt idx="55">
                  <c:v>43970</c:v>
                </c:pt>
                <c:pt idx="56">
                  <c:v>43977</c:v>
                </c:pt>
                <c:pt idx="57">
                  <c:v>43984</c:v>
                </c:pt>
                <c:pt idx="58">
                  <c:v>43990</c:v>
                </c:pt>
                <c:pt idx="59">
                  <c:v>43997</c:v>
                </c:pt>
                <c:pt idx="60">
                  <c:v>44004</c:v>
                </c:pt>
                <c:pt idx="61">
                  <c:v>44018</c:v>
                </c:pt>
                <c:pt idx="62">
                  <c:v>44027</c:v>
                </c:pt>
                <c:pt idx="63">
                  <c:v>44039</c:v>
                </c:pt>
                <c:pt idx="64">
                  <c:v>44053</c:v>
                </c:pt>
                <c:pt idx="65">
                  <c:v>44075</c:v>
                </c:pt>
                <c:pt idx="66">
                  <c:v>44082</c:v>
                </c:pt>
                <c:pt idx="67">
                  <c:v>44112</c:v>
                </c:pt>
                <c:pt idx="68">
                  <c:v>44134</c:v>
                </c:pt>
                <c:pt idx="70">
                  <c:v>44134</c:v>
                </c:pt>
                <c:pt idx="72">
                  <c:v>44140</c:v>
                </c:pt>
                <c:pt idx="73">
                  <c:v>44172</c:v>
                </c:pt>
                <c:pt idx="74">
                  <c:v>44186</c:v>
                </c:pt>
                <c:pt idx="75">
                  <c:v>44203</c:v>
                </c:pt>
                <c:pt idx="76">
                  <c:v>44229</c:v>
                </c:pt>
                <c:pt idx="77">
                  <c:v>44245</c:v>
                </c:pt>
                <c:pt idx="78">
                  <c:v>44273</c:v>
                </c:pt>
                <c:pt idx="79">
                  <c:v>44287</c:v>
                </c:pt>
                <c:pt idx="80">
                  <c:v>44308</c:v>
                </c:pt>
                <c:pt idx="81">
                  <c:v>44322</c:v>
                </c:pt>
                <c:pt idx="82">
                  <c:v>44337</c:v>
                </c:pt>
                <c:pt idx="83">
                  <c:v>44351</c:v>
                </c:pt>
                <c:pt idx="84">
                  <c:v>44357</c:v>
                </c:pt>
                <c:pt idx="85">
                  <c:v>44362</c:v>
                </c:pt>
                <c:pt idx="86">
                  <c:v>44364</c:v>
                </c:pt>
                <c:pt idx="87">
                  <c:v>44369</c:v>
                </c:pt>
                <c:pt idx="88">
                  <c:v>44376</c:v>
                </c:pt>
                <c:pt idx="89">
                  <c:v>44378</c:v>
                </c:pt>
                <c:pt idx="90">
                  <c:v>44392</c:v>
                </c:pt>
                <c:pt idx="91">
                  <c:v>44400</c:v>
                </c:pt>
                <c:pt idx="92">
                  <c:v>44410</c:v>
                </c:pt>
                <c:pt idx="93">
                  <c:v>44453</c:v>
                </c:pt>
                <c:pt idx="94">
                  <c:v>44470</c:v>
                </c:pt>
                <c:pt idx="95">
                  <c:v>44489</c:v>
                </c:pt>
                <c:pt idx="96">
                  <c:v>44502</c:v>
                </c:pt>
                <c:pt idx="97">
                  <c:v>44915</c:v>
                </c:pt>
              </c:numCache>
            </c:numRef>
          </c:xVal>
          <c:yVal>
            <c:numRef>
              <c:f>Déplacements!$F$10:$F$200</c:f>
              <c:numCache>
                <c:formatCode>\+\ 0.0;\-\ 0.0;\±\ 0.0</c:formatCode>
                <c:ptCount val="191"/>
                <c:pt idx="0">
                  <c:v>0</c:v>
                </c:pt>
                <c:pt idx="1">
                  <c:v>0.72284161473301844</c:v>
                </c:pt>
                <c:pt idx="2">
                  <c:v>1.5370426148860237</c:v>
                </c:pt>
                <c:pt idx="3">
                  <c:v>2.0524375751746295</c:v>
                </c:pt>
                <c:pt idx="4">
                  <c:v>1.3500000000145187</c:v>
                </c:pt>
                <c:pt idx="5">
                  <c:v>3.0679797913282583</c:v>
                </c:pt>
                <c:pt idx="6">
                  <c:v>1.6899734934053414</c:v>
                </c:pt>
                <c:pt idx="7">
                  <c:v>2.6393814774102542</c:v>
                </c:pt>
                <c:pt idx="8">
                  <c:v>2.558622285538279</c:v>
                </c:pt>
                <c:pt idx="9">
                  <c:v>3.1492018349580926</c:v>
                </c:pt>
                <c:pt idx="10">
                  <c:v>3.1090410344002599</c:v>
                </c:pt>
                <c:pt idx="11">
                  <c:v>3.3965761255166242</c:v>
                </c:pt>
                <c:pt idx="12">
                  <c:v>2.4964975465650161</c:v>
                </c:pt>
                <c:pt idx="13">
                  <c:v>3.1020154738583394</c:v>
                </c:pt>
                <c:pt idx="14">
                  <c:v>4.3488504228244507</c:v>
                </c:pt>
                <c:pt idx="15">
                  <c:v>4.6682437811197541</c:v>
                </c:pt>
                <c:pt idx="16">
                  <c:v>4.6746657634513893</c:v>
                </c:pt>
                <c:pt idx="17">
                  <c:v>5.2203927055415722</c:v>
                </c:pt>
                <c:pt idx="18">
                  <c:v>5.0690283921356745</c:v>
                </c:pt>
                <c:pt idx="19">
                  <c:v>5.1198144497774143</c:v>
                </c:pt>
                <c:pt idx="20">
                  <c:v>5.7708318291216845</c:v>
                </c:pt>
                <c:pt idx="21">
                  <c:v>5.9103722387103819</c:v>
                </c:pt>
                <c:pt idx="22">
                  <c:v>6.7913547985686957</c:v>
                </c:pt>
                <c:pt idx="23">
                  <c:v>6.6183457147623175</c:v>
                </c:pt>
                <c:pt idx="24">
                  <c:v>6.8493678733201167</c:v>
                </c:pt>
                <c:pt idx="25">
                  <c:v>6.7788273322187527</c:v>
                </c:pt>
                <c:pt idx="26">
                  <c:v>7.4636214851072467</c:v>
                </c:pt>
                <c:pt idx="27">
                  <c:v>7.2837368426726599</c:v>
                </c:pt>
                <c:pt idx="28">
                  <c:v>7.1205748646887006</c:v>
                </c:pt>
                <c:pt idx="29">
                  <c:v>7.6008671267603987</c:v>
                </c:pt>
                <c:pt idx="30">
                  <c:v>8.0338479653975874</c:v>
                </c:pt>
                <c:pt idx="31">
                  <c:v>7.7358283657505416</c:v>
                </c:pt>
                <c:pt idx="32">
                  <c:v>7.9197462860297758</c:v>
                </c:pt>
                <c:pt idx="33">
                  <c:v>8.2220907552129248</c:v>
                </c:pt>
                <c:pt idx="34">
                  <c:v>8.2032005948895801</c:v>
                </c:pt>
                <c:pt idx="35">
                  <c:v>8.5581832184289279</c:v>
                </c:pt>
                <c:pt idx="36">
                  <c:v>8.4570976108919194</c:v>
                </c:pt>
                <c:pt idx="37">
                  <c:v>8.4423041878454992</c:v>
                </c:pt>
                <c:pt idx="38">
                  <c:v>8.4771752370796065</c:v>
                </c:pt>
                <c:pt idx="39">
                  <c:v>8.8601636553842216</c:v>
                </c:pt>
                <c:pt idx="40">
                  <c:v>9.2435112376243271</c:v>
                </c:pt>
                <c:pt idx="41">
                  <c:v>8.8528244080742464</c:v>
                </c:pt>
                <c:pt idx="42">
                  <c:v>8.7711173746650459</c:v>
                </c:pt>
                <c:pt idx="43">
                  <c:v>9.663938496549763</c:v>
                </c:pt>
                <c:pt idx="44">
                  <c:v>8.9539097605388527</c:v>
                </c:pt>
                <c:pt idx="45">
                  <c:v>9.9051754149089106</c:v>
                </c:pt>
                <c:pt idx="46">
                  <c:v>9.3521387928081197</c:v>
                </c:pt>
                <c:pt idx="47">
                  <c:v>9.8378097155954851</c:v>
                </c:pt>
                <c:pt idx="48">
                  <c:v>9.6334054207286872</c:v>
                </c:pt>
                <c:pt idx="49">
                  <c:v>9.715065619962111</c:v>
                </c:pt>
                <c:pt idx="50">
                  <c:v>9.9806061940126654</c:v>
                </c:pt>
                <c:pt idx="51">
                  <c:v>10.49487970393607</c:v>
                </c:pt>
                <c:pt idx="52">
                  <c:v>10.322427040188218</c:v>
                </c:pt>
                <c:pt idx="53">
                  <c:v>10.391943995230136</c:v>
                </c:pt>
                <c:pt idx="54">
                  <c:v>10.625558808843435</c:v>
                </c:pt>
                <c:pt idx="55">
                  <c:v>11.64484864650869</c:v>
                </c:pt>
                <c:pt idx="56">
                  <c:v>10.891395686512196</c:v>
                </c:pt>
                <c:pt idx="57">
                  <c:v>11.286355802731631</c:v>
                </c:pt>
                <c:pt idx="58">
                  <c:v>11.520952902658916</c:v>
                </c:pt>
                <c:pt idx="59">
                  <c:v>10.571765618233259</c:v>
                </c:pt>
                <c:pt idx="60">
                  <c:v>11.213466337658444</c:v>
                </c:pt>
                <c:pt idx="61">
                  <c:v>11.343810042973454</c:v>
                </c:pt>
                <c:pt idx="62">
                  <c:v>11.163473511336019</c:v>
                </c:pt>
                <c:pt idx="63">
                  <c:v>11.848317136278995</c:v>
                </c:pt>
                <c:pt idx="64">
                  <c:v>11.621211160867695</c:v>
                </c:pt>
                <c:pt idx="65">
                  <c:v>12.040867211696817</c:v>
                </c:pt>
                <c:pt idx="66">
                  <c:v>11.388708867770939</c:v>
                </c:pt>
                <c:pt idx="68">
                  <c:v>11.730817731770195</c:v>
                </c:pt>
                <c:pt idx="72">
                  <c:v>11.612969022411889</c:v>
                </c:pt>
                <c:pt idx="73">
                  <c:v>13.092759610319215</c:v>
                </c:pt>
                <c:pt idx="74">
                  <c:v>11.931327331099029</c:v>
                </c:pt>
                <c:pt idx="75">
                  <c:v>12.726742445345481</c:v>
                </c:pt>
                <c:pt idx="76">
                  <c:v>12.746427868686018</c:v>
                </c:pt>
                <c:pt idx="77">
                  <c:v>12.378216540836576</c:v>
                </c:pt>
                <c:pt idx="78">
                  <c:v>12.090170937068983</c:v>
                </c:pt>
                <c:pt idx="79">
                  <c:v>12.472046516397567</c:v>
                </c:pt>
                <c:pt idx="80">
                  <c:v>12.044139753154415</c:v>
                </c:pt>
                <c:pt idx="81">
                  <c:v>12.349935684526093</c:v>
                </c:pt>
                <c:pt idx="82">
                  <c:v>12.778563837900082</c:v>
                </c:pt>
                <c:pt idx="83">
                  <c:v>12.057427596309212</c:v>
                </c:pt>
                <c:pt idx="84">
                  <c:v>12.138866873668363</c:v>
                </c:pt>
                <c:pt idx="85">
                  <c:v>12.326078983153312</c:v>
                </c:pt>
                <c:pt idx="86">
                  <c:v>13.743068955194097</c:v>
                </c:pt>
                <c:pt idx="87">
                  <c:v>12.549983361251137</c:v>
                </c:pt>
                <c:pt idx="88">
                  <c:v>12.949983704751425</c:v>
                </c:pt>
                <c:pt idx="89">
                  <c:v>12.742535633265184</c:v>
                </c:pt>
                <c:pt idx="90">
                  <c:v>12.964649857154102</c:v>
                </c:pt>
                <c:pt idx="91">
                  <c:v>13.415376705596165</c:v>
                </c:pt>
                <c:pt idx="93">
                  <c:v>13.693523768225136</c:v>
                </c:pt>
                <c:pt idx="94">
                  <c:v>14.193751730864744</c:v>
                </c:pt>
                <c:pt idx="95">
                  <c:v>14.320344392020015</c:v>
                </c:pt>
                <c:pt idx="96">
                  <c:v>13.268104613944013</c:v>
                </c:pt>
                <c:pt idx="97">
                  <c:v>15.401657607052245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960-488A-B4E5-F6C696EC9CE8}"/>
            </c:ext>
          </c:extLst>
        </c:ser>
        <c:ser>
          <c:idx val="6"/>
          <c:order val="4"/>
          <c:tx>
            <c:strRef>
              <c:f>Déplacements!$V$9</c:f>
              <c:strCache>
                <c:ptCount val="1"/>
                <c:pt idx="0">
                  <c:v>Norme ID</c:v>
                </c:pt>
              </c:strCache>
            </c:strRef>
          </c:tx>
          <c:spPr>
            <a:ln w="15875" cap="rnd">
              <a:solidFill>
                <a:schemeClr val="accent1">
                  <a:lumMod val="60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lumMod val="60000"/>
                      <a:tint val="50000"/>
                      <a:satMod val="300000"/>
                    </a:schemeClr>
                  </a:gs>
                  <a:gs pos="35000">
                    <a:schemeClr val="accent1">
                      <a:lumMod val="60000"/>
                      <a:tint val="37000"/>
                      <a:satMod val="300000"/>
                    </a:schemeClr>
                  </a:gs>
                  <a:gs pos="100000">
                    <a:schemeClr val="accent1">
                      <a:lumMod val="60000"/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1">
                    <a:lumMod val="60000"/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marker>
          <c:xVal>
            <c:numRef>
              <c:f>Déplacements!$B$10:$B$200</c:f>
              <c:numCache>
                <c:formatCode>dd\ /\ mm\ /\ yy</c:formatCode>
                <c:ptCount val="191"/>
                <c:pt idx="0">
                  <c:v>43655</c:v>
                </c:pt>
                <c:pt idx="1">
                  <c:v>43657</c:v>
                </c:pt>
                <c:pt idx="2">
                  <c:v>43661</c:v>
                </c:pt>
                <c:pt idx="3">
                  <c:v>43663</c:v>
                </c:pt>
                <c:pt idx="4">
                  <c:v>43669</c:v>
                </c:pt>
                <c:pt idx="5">
                  <c:v>43675</c:v>
                </c:pt>
                <c:pt idx="6">
                  <c:v>43679</c:v>
                </c:pt>
                <c:pt idx="7">
                  <c:v>43682</c:v>
                </c:pt>
                <c:pt idx="8">
                  <c:v>43684</c:v>
                </c:pt>
                <c:pt idx="9">
                  <c:v>43685</c:v>
                </c:pt>
                <c:pt idx="10">
                  <c:v>43689</c:v>
                </c:pt>
                <c:pt idx="11">
                  <c:v>43690</c:v>
                </c:pt>
                <c:pt idx="12">
                  <c:v>43696</c:v>
                </c:pt>
                <c:pt idx="13">
                  <c:v>43699</c:v>
                </c:pt>
                <c:pt idx="14">
                  <c:v>43703</c:v>
                </c:pt>
                <c:pt idx="15">
                  <c:v>43706</c:v>
                </c:pt>
                <c:pt idx="16">
                  <c:v>43710</c:v>
                </c:pt>
                <c:pt idx="17">
                  <c:v>43713</c:v>
                </c:pt>
                <c:pt idx="18">
                  <c:v>43718</c:v>
                </c:pt>
                <c:pt idx="19">
                  <c:v>43720</c:v>
                </c:pt>
                <c:pt idx="20">
                  <c:v>43724</c:v>
                </c:pt>
                <c:pt idx="21">
                  <c:v>43727</c:v>
                </c:pt>
                <c:pt idx="22">
                  <c:v>43731</c:v>
                </c:pt>
                <c:pt idx="23">
                  <c:v>43734</c:v>
                </c:pt>
                <c:pt idx="24">
                  <c:v>43738</c:v>
                </c:pt>
                <c:pt idx="25">
                  <c:v>43741</c:v>
                </c:pt>
                <c:pt idx="26">
                  <c:v>43746</c:v>
                </c:pt>
                <c:pt idx="27">
                  <c:v>43753</c:v>
                </c:pt>
                <c:pt idx="28">
                  <c:v>43756</c:v>
                </c:pt>
                <c:pt idx="29">
                  <c:v>43760</c:v>
                </c:pt>
                <c:pt idx="30">
                  <c:v>43762</c:v>
                </c:pt>
                <c:pt idx="31">
                  <c:v>43766</c:v>
                </c:pt>
                <c:pt idx="32">
                  <c:v>43769</c:v>
                </c:pt>
                <c:pt idx="33">
                  <c:v>43774</c:v>
                </c:pt>
                <c:pt idx="34">
                  <c:v>43776</c:v>
                </c:pt>
                <c:pt idx="35">
                  <c:v>43781</c:v>
                </c:pt>
                <c:pt idx="36">
                  <c:v>43783</c:v>
                </c:pt>
                <c:pt idx="37">
                  <c:v>43787</c:v>
                </c:pt>
                <c:pt idx="38">
                  <c:v>43790</c:v>
                </c:pt>
                <c:pt idx="39">
                  <c:v>43795</c:v>
                </c:pt>
                <c:pt idx="40">
                  <c:v>43797</c:v>
                </c:pt>
                <c:pt idx="41">
                  <c:v>43801</c:v>
                </c:pt>
                <c:pt idx="42">
                  <c:v>43803</c:v>
                </c:pt>
                <c:pt idx="43">
                  <c:v>43808</c:v>
                </c:pt>
                <c:pt idx="44">
                  <c:v>43811</c:v>
                </c:pt>
                <c:pt idx="45">
                  <c:v>43815</c:v>
                </c:pt>
                <c:pt idx="46">
                  <c:v>43818</c:v>
                </c:pt>
                <c:pt idx="47">
                  <c:v>43837</c:v>
                </c:pt>
                <c:pt idx="48">
                  <c:v>43843</c:v>
                </c:pt>
                <c:pt idx="49">
                  <c:v>43850</c:v>
                </c:pt>
                <c:pt idx="50">
                  <c:v>43857</c:v>
                </c:pt>
                <c:pt idx="51">
                  <c:v>43865</c:v>
                </c:pt>
                <c:pt idx="52">
                  <c:v>43878</c:v>
                </c:pt>
                <c:pt idx="53">
                  <c:v>43886</c:v>
                </c:pt>
                <c:pt idx="54">
                  <c:v>43896</c:v>
                </c:pt>
                <c:pt idx="55">
                  <c:v>43970</c:v>
                </c:pt>
                <c:pt idx="56">
                  <c:v>43977</c:v>
                </c:pt>
                <c:pt idx="57">
                  <c:v>43984</c:v>
                </c:pt>
                <c:pt idx="58">
                  <c:v>43990</c:v>
                </c:pt>
                <c:pt idx="59">
                  <c:v>43997</c:v>
                </c:pt>
                <c:pt idx="60">
                  <c:v>44004</c:v>
                </c:pt>
                <c:pt idx="61">
                  <c:v>44018</c:v>
                </c:pt>
                <c:pt idx="62">
                  <c:v>44027</c:v>
                </c:pt>
                <c:pt idx="63">
                  <c:v>44039</c:v>
                </c:pt>
                <c:pt idx="64">
                  <c:v>44053</c:v>
                </c:pt>
                <c:pt idx="65">
                  <c:v>44075</c:v>
                </c:pt>
                <c:pt idx="66">
                  <c:v>44082</c:v>
                </c:pt>
                <c:pt idx="67">
                  <c:v>44112</c:v>
                </c:pt>
                <c:pt idx="68">
                  <c:v>44134</c:v>
                </c:pt>
                <c:pt idx="70">
                  <c:v>44134</c:v>
                </c:pt>
                <c:pt idx="72">
                  <c:v>44140</c:v>
                </c:pt>
                <c:pt idx="73">
                  <c:v>44172</c:v>
                </c:pt>
                <c:pt idx="74">
                  <c:v>44186</c:v>
                </c:pt>
                <c:pt idx="75">
                  <c:v>44203</c:v>
                </c:pt>
                <c:pt idx="76">
                  <c:v>44229</c:v>
                </c:pt>
                <c:pt idx="77">
                  <c:v>44245</c:v>
                </c:pt>
                <c:pt idx="78">
                  <c:v>44273</c:v>
                </c:pt>
                <c:pt idx="79">
                  <c:v>44287</c:v>
                </c:pt>
                <c:pt idx="80">
                  <c:v>44308</c:v>
                </c:pt>
                <c:pt idx="81">
                  <c:v>44322</c:v>
                </c:pt>
                <c:pt idx="82">
                  <c:v>44337</c:v>
                </c:pt>
                <c:pt idx="83">
                  <c:v>44351</c:v>
                </c:pt>
                <c:pt idx="84">
                  <c:v>44357</c:v>
                </c:pt>
                <c:pt idx="85">
                  <c:v>44362</c:v>
                </c:pt>
                <c:pt idx="86">
                  <c:v>44364</c:v>
                </c:pt>
                <c:pt idx="87">
                  <c:v>44369</c:v>
                </c:pt>
                <c:pt idx="88">
                  <c:v>44376</c:v>
                </c:pt>
                <c:pt idx="89">
                  <c:v>44378</c:v>
                </c:pt>
                <c:pt idx="90">
                  <c:v>44392</c:v>
                </c:pt>
                <c:pt idx="91">
                  <c:v>44400</c:v>
                </c:pt>
                <c:pt idx="92">
                  <c:v>44410</c:v>
                </c:pt>
                <c:pt idx="93">
                  <c:v>44453</c:v>
                </c:pt>
                <c:pt idx="94">
                  <c:v>44470</c:v>
                </c:pt>
                <c:pt idx="95">
                  <c:v>44489</c:v>
                </c:pt>
                <c:pt idx="96">
                  <c:v>44502</c:v>
                </c:pt>
                <c:pt idx="97">
                  <c:v>44915</c:v>
                </c:pt>
              </c:numCache>
            </c:numRef>
          </c:xVal>
          <c:yVal>
            <c:numRef>
              <c:f>Déplacements!$V$10:$V$200</c:f>
              <c:numCache>
                <c:formatCode>\+\ 0.0;\-\ 0.0;\±\ 0.0</c:formatCode>
                <c:ptCount val="191"/>
                <c:pt idx="0">
                  <c:v>0</c:v>
                </c:pt>
                <c:pt idx="1">
                  <c:v>1.1757976016353739</c:v>
                </c:pt>
                <c:pt idx="2">
                  <c:v>1.0161200716492227</c:v>
                </c:pt>
                <c:pt idx="3">
                  <c:v>2.926174977678702</c:v>
                </c:pt>
                <c:pt idx="4">
                  <c:v>1.712454378950691</c:v>
                </c:pt>
                <c:pt idx="5">
                  <c:v>1.5435349040463333</c:v>
                </c:pt>
                <c:pt idx="6">
                  <c:v>0.64337736545123336</c:v>
                </c:pt>
                <c:pt idx="8">
                  <c:v>1.2341373935277995</c:v>
                </c:pt>
                <c:pt idx="9">
                  <c:v>1.0399923838386889</c:v>
                </c:pt>
                <c:pt idx="10">
                  <c:v>1.4723646620065107</c:v>
                </c:pt>
                <c:pt idx="11">
                  <c:v>1.3509367185892032</c:v>
                </c:pt>
                <c:pt idx="12">
                  <c:v>1.2658988901213524</c:v>
                </c:pt>
                <c:pt idx="13">
                  <c:v>1.2539936204050137</c:v>
                </c:pt>
                <c:pt idx="14">
                  <c:v>1.3901438774520642</c:v>
                </c:pt>
                <c:pt idx="15">
                  <c:v>1.3238202294905941</c:v>
                </c:pt>
                <c:pt idx="16">
                  <c:v>1.5337861650252245</c:v>
                </c:pt>
                <c:pt idx="17">
                  <c:v>1.7269916039215154</c:v>
                </c:pt>
                <c:pt idx="18">
                  <c:v>1.1380790822285902</c:v>
                </c:pt>
                <c:pt idx="19">
                  <c:v>0.9233092656296833</c:v>
                </c:pt>
                <c:pt idx="20">
                  <c:v>1.7670597047213064</c:v>
                </c:pt>
                <c:pt idx="21">
                  <c:v>1.2338962679356036</c:v>
                </c:pt>
                <c:pt idx="22">
                  <c:v>2.3606143268323119</c:v>
                </c:pt>
                <c:pt idx="23">
                  <c:v>2.1476731594961871</c:v>
                </c:pt>
                <c:pt idx="24">
                  <c:v>1.6622730969272592</c:v>
                </c:pt>
                <c:pt idx="25">
                  <c:v>1.9500000000011488</c:v>
                </c:pt>
                <c:pt idx="26">
                  <c:v>2.4043129197843225</c:v>
                </c:pt>
                <c:pt idx="27">
                  <c:v>1.8490602626375756</c:v>
                </c:pt>
                <c:pt idx="28">
                  <c:v>1.8468580049263701</c:v>
                </c:pt>
                <c:pt idx="29">
                  <c:v>2.1683505376403409</c:v>
                </c:pt>
                <c:pt idx="30">
                  <c:v>2.2766356969383206</c:v>
                </c:pt>
                <c:pt idx="31">
                  <c:v>2.4024487485762753</c:v>
                </c:pt>
                <c:pt idx="32">
                  <c:v>2.3416228943619197</c:v>
                </c:pt>
                <c:pt idx="33">
                  <c:v>2.2529690089699383</c:v>
                </c:pt>
                <c:pt idx="34">
                  <c:v>2.1891779278971479</c:v>
                </c:pt>
                <c:pt idx="35">
                  <c:v>2.5243811122819375</c:v>
                </c:pt>
                <c:pt idx="36">
                  <c:v>2.1476731594961871</c:v>
                </c:pt>
                <c:pt idx="37">
                  <c:v>2.3092206477554278</c:v>
                </c:pt>
                <c:pt idx="38">
                  <c:v>2.2410934831060629</c:v>
                </c:pt>
                <c:pt idx="39">
                  <c:v>2.2254213084366485</c:v>
                </c:pt>
                <c:pt idx="40">
                  <c:v>2.6253571185634299</c:v>
                </c:pt>
                <c:pt idx="41">
                  <c:v>2.4804233509633362</c:v>
                </c:pt>
                <c:pt idx="42">
                  <c:v>2.2299103120960839</c:v>
                </c:pt>
                <c:pt idx="43">
                  <c:v>2.9603710839843371</c:v>
                </c:pt>
                <c:pt idx="44">
                  <c:v>2.5985572920487345</c:v>
                </c:pt>
                <c:pt idx="45">
                  <c:v>2.9021543721957466</c:v>
                </c:pt>
                <c:pt idx="46">
                  <c:v>2.6518861212433951</c:v>
                </c:pt>
                <c:pt idx="47">
                  <c:v>2.7463612289816939</c:v>
                </c:pt>
                <c:pt idx="48">
                  <c:v>3.3290389003492558</c:v>
                </c:pt>
                <c:pt idx="49">
                  <c:v>2.7681221071487774</c:v>
                </c:pt>
                <c:pt idx="50">
                  <c:v>2.9107559155775284</c:v>
                </c:pt>
                <c:pt idx="51">
                  <c:v>3.1244999600045666</c:v>
                </c:pt>
                <c:pt idx="52">
                  <c:v>2.7518175811732886</c:v>
                </c:pt>
                <c:pt idx="53">
                  <c:v>2.8640006983242556</c:v>
                </c:pt>
                <c:pt idx="54">
                  <c:v>2.9618406439426384</c:v>
                </c:pt>
                <c:pt idx="55">
                  <c:v>3.2607514471374901</c:v>
                </c:pt>
                <c:pt idx="56">
                  <c:v>3.0793668180346749</c:v>
                </c:pt>
                <c:pt idx="57">
                  <c:v>3.5789810373513991</c:v>
                </c:pt>
                <c:pt idx="58">
                  <c:v>3.7353289324845691</c:v>
                </c:pt>
                <c:pt idx="59">
                  <c:v>3.1370520635533454</c:v>
                </c:pt>
                <c:pt idx="60">
                  <c:v>3.5884696221040637</c:v>
                </c:pt>
                <c:pt idx="61">
                  <c:v>3.54447626936917</c:v>
                </c:pt>
                <c:pt idx="62">
                  <c:v>3.6126817922542029</c:v>
                </c:pt>
                <c:pt idx="63">
                  <c:v>3.6891991119642169</c:v>
                </c:pt>
                <c:pt idx="64">
                  <c:v>4.1993828807544489</c:v>
                </c:pt>
                <c:pt idx="65">
                  <c:v>3.9924943126816959</c:v>
                </c:pt>
                <c:pt idx="66">
                  <c:v>3.8566582711087811</c:v>
                </c:pt>
                <c:pt idx="67">
                  <c:v>2.467204504683385</c:v>
                </c:pt>
                <c:pt idx="68">
                  <c:v>3.8723827957039543</c:v>
                </c:pt>
                <c:pt idx="72">
                  <c:v>5.3250663375335812</c:v>
                </c:pt>
                <c:pt idx="73">
                  <c:v>5.9169116016009005</c:v>
                </c:pt>
                <c:pt idx="74">
                  <c:v>6.1321582763185534</c:v>
                </c:pt>
                <c:pt idx="75">
                  <c:v>6.2170791985486575</c:v>
                </c:pt>
                <c:pt idx="76">
                  <c:v>6.9820727301932628</c:v>
                </c:pt>
                <c:pt idx="77">
                  <c:v>6.2420333086745563</c:v>
                </c:pt>
                <c:pt idx="78">
                  <c:v>6.0550351226449708</c:v>
                </c:pt>
                <c:pt idx="79">
                  <c:v>6.4939193570716895</c:v>
                </c:pt>
                <c:pt idx="80">
                  <c:v>5.4268349414304904</c:v>
                </c:pt>
                <c:pt idx="81">
                  <c:v>5.4255078752574422</c:v>
                </c:pt>
                <c:pt idx="82">
                  <c:v>5.3349148873319754</c:v>
                </c:pt>
                <c:pt idx="83">
                  <c:v>5.3696954803157544</c:v>
                </c:pt>
                <c:pt idx="84">
                  <c:v>4.4628789521191274</c:v>
                </c:pt>
                <c:pt idx="85">
                  <c:v>4.6794538721152517</c:v>
                </c:pt>
                <c:pt idx="86">
                  <c:v>5.820036182051874</c:v>
                </c:pt>
                <c:pt idx="87">
                  <c:v>5.2901818871971908</c:v>
                </c:pt>
                <c:pt idx="88">
                  <c:v>5.1599046736803089</c:v>
                </c:pt>
                <c:pt idx="89">
                  <c:v>5.2151328697405965</c:v>
                </c:pt>
                <c:pt idx="90">
                  <c:v>5.189568630440041</c:v>
                </c:pt>
                <c:pt idx="91">
                  <c:v>5.2584610802745129</c:v>
                </c:pt>
                <c:pt idx="92">
                  <c:v>4.7904695410706575</c:v>
                </c:pt>
                <c:pt idx="93">
                  <c:v>5.4861836170338183</c:v>
                </c:pt>
                <c:pt idx="94">
                  <c:v>5.3651103096597259</c:v>
                </c:pt>
                <c:pt idx="95">
                  <c:v>5.9344359478613979</c:v>
                </c:pt>
                <c:pt idx="96">
                  <c:v>5.3624358857036274</c:v>
                </c:pt>
                <c:pt idx="97">
                  <c:v>7.0772165160891731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960-488A-B4E5-F6C696EC9CE8}"/>
            </c:ext>
          </c:extLst>
        </c:ser>
        <c:ser>
          <c:idx val="10"/>
          <c:order val="6"/>
          <c:tx>
            <c:strRef>
              <c:f>'Graphiques (100j)'!$AC$20</c:f>
              <c:strCache>
                <c:ptCount val="1"/>
                <c:pt idx="0">
                  <c:v>Seuil d'alerte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none"/>
          </c:marker>
          <c:xVal>
            <c:numRef>
              <c:f>'Graphiques (100j)'!$AE$20:$AE$21</c:f>
              <c:numCache>
                <c:formatCode>m/d/yyyy</c:formatCode>
                <c:ptCount val="2"/>
                <c:pt idx="0">
                  <c:v>43655</c:v>
                </c:pt>
                <c:pt idx="1">
                  <c:v>44197</c:v>
                </c:pt>
              </c:numCache>
            </c:numRef>
          </c:xVal>
          <c:yVal>
            <c:numRef>
              <c:f>'Graphiques (100j)'!$AD$20:$AD$21</c:f>
              <c:numCache>
                <c:formatCode>General</c:formatCode>
                <c:ptCount val="2"/>
                <c:pt idx="0">
                  <c:v>30</c:v>
                </c:pt>
                <c:pt idx="1">
                  <c:v>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960-488A-B4E5-F6C696EC9C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7449744"/>
        <c:axId val="517450136"/>
        <c:extLst>
          <c:ext xmlns:c15="http://schemas.microsoft.com/office/drawing/2012/chart" uri="{02D57815-91ED-43cb-92C2-25804820EDAC}">
            <c15:filteredScatterSeries>
              <c15:ser>
                <c:idx val="7"/>
                <c:order val="5"/>
                <c:tx>
                  <c:strRef>
                    <c:extLst>
                      <c:ext uri="{02D57815-91ED-43cb-92C2-25804820EDAC}">
                        <c15:formulaRef>
                          <c15:sqref>'Graphiques (100j)'!$AC$18</c15:sqref>
                        </c15:formulaRef>
                      </c:ext>
                    </c:extLst>
                    <c:strCache>
                      <c:ptCount val="1"/>
                      <c:pt idx="0">
                        <c:v>Seuil de vigilance </c:v>
                      </c:pt>
                    </c:strCache>
                  </c:strRef>
                </c:tx>
                <c:spPr>
                  <a:ln w="158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>
                    <a:outerShdw blurRad="40000" dist="20000" dir="5400000" rotWithShape="0">
                      <a:srgbClr val="000000">
                        <a:alpha val="38000"/>
                      </a:srgbClr>
                    </a:outerShdw>
                  </a:effectLst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'Graphiques (100j)'!$AE$18:$AE$19</c15:sqref>
                        </c15:formulaRef>
                      </c:ext>
                    </c:extLst>
                    <c:numCache>
                      <c:formatCode>m/d/yyyy</c:formatCode>
                      <c:ptCount val="2"/>
                      <c:pt idx="0">
                        <c:v>43655</c:v>
                      </c:pt>
                      <c:pt idx="1">
                        <c:v>44197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'Graphiques (100j)'!$AD$18:$AD$19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15</c:v>
                      </c:pt>
                      <c:pt idx="1">
                        <c:v>15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5-E960-488A-B4E5-F6C696EC9CE8}"/>
                  </c:ext>
                </c:extLst>
              </c15:ser>
            </c15:filteredScatterSeries>
            <c15:filteredScatterSeries>
              <c15:ser>
                <c:idx val="2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Graphiques!#REF!</c15:sqref>
                        </c15:formulaRef>
                      </c:ext>
                    </c:extLst>
                  </c:strRef>
                </c:tx>
                <c:spPr>
                  <a:ln w="12700" cap="rnd">
                    <a:solidFill>
                      <a:srgbClr val="00FFFF"/>
                    </a:solidFill>
                    <a:prstDash val="solid"/>
                    <a:round/>
                  </a:ln>
                  <a:effectLst>
                    <a:outerShdw blurRad="40000" dist="20000" dir="5400000" rotWithShape="0">
                      <a:srgbClr val="000000">
                        <a:alpha val="38000"/>
                      </a:srgbClr>
                    </a:outerShdw>
                  </a:effectLst>
                </c:spPr>
                <c:marker>
                  <c:symbol val="circle"/>
                  <c:size val="5"/>
                  <c:spPr>
                    <a:gradFill rotWithShape="1">
                      <a:gsLst>
                        <a:gs pos="0">
                          <a:schemeClr val="accent3">
                            <a:tint val="50000"/>
                            <a:satMod val="300000"/>
                          </a:schemeClr>
                        </a:gs>
                        <a:gs pos="35000">
                          <a:schemeClr val="accent3">
                            <a:tint val="37000"/>
                            <a:satMod val="300000"/>
                          </a:schemeClr>
                        </a:gs>
                        <a:gs pos="100000">
                          <a:schemeClr val="accent3">
                            <a:tint val="15000"/>
                            <a:satMod val="350000"/>
                          </a:schemeClr>
                        </a:gs>
                      </a:gsLst>
                      <a:lin ang="16200000" scaled="1"/>
                    </a:gradFill>
                    <a:ln w="9525" cap="flat" cmpd="sng" algn="ctr">
                      <a:solidFill>
                        <a:schemeClr val="accent3">
                          <a:shade val="95000"/>
                        </a:schemeClr>
                      </a:solidFill>
                      <a:round/>
                    </a:ln>
                    <a:effectLst>
                      <a:outerShdw blurRad="40000" dist="20000" dir="5400000" rotWithShape="0">
                        <a:srgbClr val="000000">
                          <a:alpha val="38000"/>
                        </a:srgbClr>
                      </a:outerShdw>
                    </a:effectLst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'Graphiques (100j)'!$AD$35:$AD$36</c15:sqref>
                        </c15:formulaRef>
                      </c:ext>
                    </c:extLst>
                    <c:numCache>
                      <c:formatCode>m/d/yyyy</c:formatCode>
                      <c:ptCount val="2"/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'Graphiques (100j)'!$AE$35:$AE$36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6000-455E-9753-46AF8104B4DC}"/>
                  </c:ext>
                </c:extLst>
              </c15:ser>
            </c15:filteredScatterSeries>
          </c:ext>
        </c:extLst>
      </c:scatterChart>
      <c:scatterChart>
        <c:scatterStyle val="lineMarker"/>
        <c:varyColors val="0"/>
        <c:ser>
          <c:idx val="0"/>
          <c:order val="7"/>
          <c:tx>
            <c:v>PM</c:v>
          </c:tx>
          <c:spPr>
            <a:ln w="12700" cap="rnd">
              <a:solidFill>
                <a:srgbClr val="FF00FF"/>
              </a:solidFill>
              <a:prstDash val="sysDot"/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none"/>
          </c:marker>
          <c:xVal>
            <c:numRef>
              <c:f>Déplacements!$B$10:$B$133</c:f>
              <c:numCache>
                <c:formatCode>dd\ /\ mm\ /\ yy</c:formatCode>
                <c:ptCount val="124"/>
                <c:pt idx="0">
                  <c:v>43655</c:v>
                </c:pt>
                <c:pt idx="1">
                  <c:v>43657</c:v>
                </c:pt>
                <c:pt idx="2">
                  <c:v>43661</c:v>
                </c:pt>
                <c:pt idx="3">
                  <c:v>43663</c:v>
                </c:pt>
                <c:pt idx="4">
                  <c:v>43669</c:v>
                </c:pt>
                <c:pt idx="5">
                  <c:v>43675</c:v>
                </c:pt>
                <c:pt idx="6">
                  <c:v>43679</c:v>
                </c:pt>
                <c:pt idx="7">
                  <c:v>43682</c:v>
                </c:pt>
                <c:pt idx="8">
                  <c:v>43684</c:v>
                </c:pt>
                <c:pt idx="9">
                  <c:v>43685</c:v>
                </c:pt>
                <c:pt idx="10">
                  <c:v>43689</c:v>
                </c:pt>
                <c:pt idx="11">
                  <c:v>43690</c:v>
                </c:pt>
                <c:pt idx="12">
                  <c:v>43696</c:v>
                </c:pt>
                <c:pt idx="13">
                  <c:v>43699</c:v>
                </c:pt>
                <c:pt idx="14">
                  <c:v>43703</c:v>
                </c:pt>
                <c:pt idx="15">
                  <c:v>43706</c:v>
                </c:pt>
                <c:pt idx="16">
                  <c:v>43710</c:v>
                </c:pt>
                <c:pt idx="17">
                  <c:v>43713</c:v>
                </c:pt>
                <c:pt idx="18">
                  <c:v>43718</c:v>
                </c:pt>
                <c:pt idx="19">
                  <c:v>43720</c:v>
                </c:pt>
                <c:pt idx="20">
                  <c:v>43724</c:v>
                </c:pt>
                <c:pt idx="21">
                  <c:v>43727</c:v>
                </c:pt>
                <c:pt idx="22">
                  <c:v>43731</c:v>
                </c:pt>
                <c:pt idx="23">
                  <c:v>43734</c:v>
                </c:pt>
                <c:pt idx="24">
                  <c:v>43738</c:v>
                </c:pt>
                <c:pt idx="25">
                  <c:v>43741</c:v>
                </c:pt>
                <c:pt idx="26">
                  <c:v>43746</c:v>
                </c:pt>
                <c:pt idx="27">
                  <c:v>43753</c:v>
                </c:pt>
                <c:pt idx="28">
                  <c:v>43756</c:v>
                </c:pt>
                <c:pt idx="29">
                  <c:v>43760</c:v>
                </c:pt>
                <c:pt idx="30">
                  <c:v>43762</c:v>
                </c:pt>
                <c:pt idx="31">
                  <c:v>43766</c:v>
                </c:pt>
                <c:pt idx="32">
                  <c:v>43769</c:v>
                </c:pt>
                <c:pt idx="33">
                  <c:v>43774</c:v>
                </c:pt>
                <c:pt idx="34">
                  <c:v>43776</c:v>
                </c:pt>
                <c:pt idx="35">
                  <c:v>43781</c:v>
                </c:pt>
                <c:pt idx="36">
                  <c:v>43783</c:v>
                </c:pt>
                <c:pt idx="37">
                  <c:v>43787</c:v>
                </c:pt>
                <c:pt idx="38">
                  <c:v>43790</c:v>
                </c:pt>
                <c:pt idx="39">
                  <c:v>43795</c:v>
                </c:pt>
                <c:pt idx="40">
                  <c:v>43797</c:v>
                </c:pt>
                <c:pt idx="41">
                  <c:v>43801</c:v>
                </c:pt>
                <c:pt idx="42">
                  <c:v>43803</c:v>
                </c:pt>
                <c:pt idx="43">
                  <c:v>43808</c:v>
                </c:pt>
                <c:pt idx="44">
                  <c:v>43811</c:v>
                </c:pt>
                <c:pt idx="45">
                  <c:v>43815</c:v>
                </c:pt>
                <c:pt idx="46">
                  <c:v>43818</c:v>
                </c:pt>
                <c:pt idx="47">
                  <c:v>43837</c:v>
                </c:pt>
                <c:pt idx="48">
                  <c:v>43843</c:v>
                </c:pt>
                <c:pt idx="49">
                  <c:v>43850</c:v>
                </c:pt>
                <c:pt idx="50">
                  <c:v>43857</c:v>
                </c:pt>
                <c:pt idx="51">
                  <c:v>43865</c:v>
                </c:pt>
                <c:pt idx="52">
                  <c:v>43878</c:v>
                </c:pt>
                <c:pt idx="53">
                  <c:v>43886</c:v>
                </c:pt>
                <c:pt idx="54">
                  <c:v>43896</c:v>
                </c:pt>
                <c:pt idx="55">
                  <c:v>43970</c:v>
                </c:pt>
                <c:pt idx="56">
                  <c:v>43977</c:v>
                </c:pt>
                <c:pt idx="57">
                  <c:v>43984</c:v>
                </c:pt>
                <c:pt idx="58">
                  <c:v>43990</c:v>
                </c:pt>
                <c:pt idx="59">
                  <c:v>43997</c:v>
                </c:pt>
                <c:pt idx="60">
                  <c:v>44004</c:v>
                </c:pt>
                <c:pt idx="61">
                  <c:v>44018</c:v>
                </c:pt>
                <c:pt idx="62">
                  <c:v>44027</c:v>
                </c:pt>
                <c:pt idx="63">
                  <c:v>44039</c:v>
                </c:pt>
                <c:pt idx="64">
                  <c:v>44053</c:v>
                </c:pt>
                <c:pt idx="65">
                  <c:v>44075</c:v>
                </c:pt>
                <c:pt idx="66">
                  <c:v>44082</c:v>
                </c:pt>
                <c:pt idx="67">
                  <c:v>44112</c:v>
                </c:pt>
                <c:pt idx="68">
                  <c:v>44134</c:v>
                </c:pt>
                <c:pt idx="70">
                  <c:v>44134</c:v>
                </c:pt>
                <c:pt idx="72">
                  <c:v>44140</c:v>
                </c:pt>
                <c:pt idx="73">
                  <c:v>44172</c:v>
                </c:pt>
                <c:pt idx="74">
                  <c:v>44186</c:v>
                </c:pt>
                <c:pt idx="75">
                  <c:v>44203</c:v>
                </c:pt>
                <c:pt idx="76">
                  <c:v>44229</c:v>
                </c:pt>
                <c:pt idx="77">
                  <c:v>44245</c:v>
                </c:pt>
                <c:pt idx="78">
                  <c:v>44273</c:v>
                </c:pt>
                <c:pt idx="79">
                  <c:v>44287</c:v>
                </c:pt>
                <c:pt idx="80">
                  <c:v>44308</c:v>
                </c:pt>
                <c:pt idx="81">
                  <c:v>44322</c:v>
                </c:pt>
                <c:pt idx="82">
                  <c:v>44337</c:v>
                </c:pt>
                <c:pt idx="83">
                  <c:v>44351</c:v>
                </c:pt>
                <c:pt idx="84">
                  <c:v>44357</c:v>
                </c:pt>
                <c:pt idx="85">
                  <c:v>44362</c:v>
                </c:pt>
                <c:pt idx="86">
                  <c:v>44364</c:v>
                </c:pt>
                <c:pt idx="87">
                  <c:v>44369</c:v>
                </c:pt>
                <c:pt idx="88">
                  <c:v>44376</c:v>
                </c:pt>
                <c:pt idx="89">
                  <c:v>44378</c:v>
                </c:pt>
                <c:pt idx="90">
                  <c:v>44392</c:v>
                </c:pt>
                <c:pt idx="91">
                  <c:v>44400</c:v>
                </c:pt>
                <c:pt idx="92">
                  <c:v>44410</c:v>
                </c:pt>
                <c:pt idx="93">
                  <c:v>44453</c:v>
                </c:pt>
                <c:pt idx="94">
                  <c:v>44470</c:v>
                </c:pt>
                <c:pt idx="95">
                  <c:v>44489</c:v>
                </c:pt>
                <c:pt idx="96">
                  <c:v>44502</c:v>
                </c:pt>
                <c:pt idx="97">
                  <c:v>44915</c:v>
                </c:pt>
              </c:numCache>
            </c:numRef>
          </c:xVal>
          <c:yVal>
            <c:numRef>
              <c:f>'Résultats observations'!$C$10:$C$311</c:f>
              <c:numCache>
                <c:formatCode>0.0</c:formatCode>
                <c:ptCount val="302"/>
                <c:pt idx="0">
                  <c:v>184.3</c:v>
                </c:pt>
                <c:pt idx="1">
                  <c:v>185.03</c:v>
                </c:pt>
                <c:pt idx="2">
                  <c:v>187.2</c:v>
                </c:pt>
                <c:pt idx="3">
                  <c:v>188.17</c:v>
                </c:pt>
                <c:pt idx="4">
                  <c:v>189.2</c:v>
                </c:pt>
                <c:pt idx="5">
                  <c:v>191.5</c:v>
                </c:pt>
                <c:pt idx="6">
                  <c:v>192.5</c:v>
                </c:pt>
                <c:pt idx="7">
                  <c:v>193.04</c:v>
                </c:pt>
                <c:pt idx="8">
                  <c:v>193.6</c:v>
                </c:pt>
                <c:pt idx="9">
                  <c:v>193.6</c:v>
                </c:pt>
                <c:pt idx="10">
                  <c:v>194.8</c:v>
                </c:pt>
                <c:pt idx="11">
                  <c:v>194.8</c:v>
                </c:pt>
                <c:pt idx="12">
                  <c:v>195.4</c:v>
                </c:pt>
                <c:pt idx="13">
                  <c:v>196.35</c:v>
                </c:pt>
                <c:pt idx="14">
                  <c:v>196.35</c:v>
                </c:pt>
                <c:pt idx="15">
                  <c:v>198.3</c:v>
                </c:pt>
                <c:pt idx="16">
                  <c:v>199.4</c:v>
                </c:pt>
                <c:pt idx="17">
                  <c:v>200.6</c:v>
                </c:pt>
                <c:pt idx="18">
                  <c:v>202.58</c:v>
                </c:pt>
                <c:pt idx="19">
                  <c:v>203.6</c:v>
                </c:pt>
                <c:pt idx="20">
                  <c:v>203.6</c:v>
                </c:pt>
                <c:pt idx="21">
                  <c:v>206.32</c:v>
                </c:pt>
                <c:pt idx="22">
                  <c:v>206.32</c:v>
                </c:pt>
                <c:pt idx="23">
                  <c:v>206.32</c:v>
                </c:pt>
                <c:pt idx="24">
                  <c:v>206.32</c:v>
                </c:pt>
                <c:pt idx="25">
                  <c:v>207.2</c:v>
                </c:pt>
                <c:pt idx="26">
                  <c:v>208.3</c:v>
                </c:pt>
                <c:pt idx="27">
                  <c:v>212.65</c:v>
                </c:pt>
                <c:pt idx="28">
                  <c:v>213.5</c:v>
                </c:pt>
                <c:pt idx="29">
                  <c:v>215</c:v>
                </c:pt>
                <c:pt idx="30">
                  <c:v>215</c:v>
                </c:pt>
                <c:pt idx="31">
                  <c:v>215.55</c:v>
                </c:pt>
                <c:pt idx="32">
                  <c:v>216.87</c:v>
                </c:pt>
                <c:pt idx="33">
                  <c:v>217.7</c:v>
                </c:pt>
                <c:pt idx="34">
                  <c:v>218.7</c:v>
                </c:pt>
                <c:pt idx="35">
                  <c:v>218.7</c:v>
                </c:pt>
                <c:pt idx="36">
                  <c:v>220.5</c:v>
                </c:pt>
                <c:pt idx="37">
                  <c:v>221.7</c:v>
                </c:pt>
                <c:pt idx="38">
                  <c:v>222.9</c:v>
                </c:pt>
                <c:pt idx="39">
                  <c:v>222.9</c:v>
                </c:pt>
                <c:pt idx="40">
                  <c:v>222.9</c:v>
                </c:pt>
                <c:pt idx="41">
                  <c:v>222.9</c:v>
                </c:pt>
                <c:pt idx="42">
                  <c:v>222.9</c:v>
                </c:pt>
                <c:pt idx="43">
                  <c:v>222.9</c:v>
                </c:pt>
                <c:pt idx="44">
                  <c:v>222.9</c:v>
                </c:pt>
                <c:pt idx="45">
                  <c:v>222.9</c:v>
                </c:pt>
                <c:pt idx="46">
                  <c:v>222.9</c:v>
                </c:pt>
                <c:pt idx="47">
                  <c:v>222.9</c:v>
                </c:pt>
                <c:pt idx="48">
                  <c:v>222.9</c:v>
                </c:pt>
                <c:pt idx="49">
                  <c:v>222.9</c:v>
                </c:pt>
                <c:pt idx="50">
                  <c:v>222.9</c:v>
                </c:pt>
                <c:pt idx="51">
                  <c:v>222.9</c:v>
                </c:pt>
                <c:pt idx="52">
                  <c:v>222.9</c:v>
                </c:pt>
                <c:pt idx="53">
                  <c:v>222.9</c:v>
                </c:pt>
                <c:pt idx="54">
                  <c:v>222.9</c:v>
                </c:pt>
                <c:pt idx="55">
                  <c:v>222.9</c:v>
                </c:pt>
                <c:pt idx="56">
                  <c:v>222.9</c:v>
                </c:pt>
                <c:pt idx="57">
                  <c:v>222.9</c:v>
                </c:pt>
                <c:pt idx="58">
                  <c:v>222.9</c:v>
                </c:pt>
                <c:pt idx="59">
                  <c:v>223.9</c:v>
                </c:pt>
                <c:pt idx="60">
                  <c:v>223.9</c:v>
                </c:pt>
                <c:pt idx="61">
                  <c:v>223.9</c:v>
                </c:pt>
                <c:pt idx="62">
                  <c:v>223.9</c:v>
                </c:pt>
                <c:pt idx="63">
                  <c:v>223.9</c:v>
                </c:pt>
                <c:pt idx="64">
                  <c:v>223.9</c:v>
                </c:pt>
                <c:pt idx="65">
                  <c:v>223.9</c:v>
                </c:pt>
                <c:pt idx="66">
                  <c:v>223.9</c:v>
                </c:pt>
                <c:pt idx="67">
                  <c:v>223.9</c:v>
                </c:pt>
                <c:pt idx="68">
                  <c:v>223.9</c:v>
                </c:pt>
                <c:pt idx="70">
                  <c:v>223.9</c:v>
                </c:pt>
                <c:pt idx="72">
                  <c:v>223.9</c:v>
                </c:pt>
                <c:pt idx="73">
                  <c:v>223.9</c:v>
                </c:pt>
                <c:pt idx="74">
                  <c:v>223.9</c:v>
                </c:pt>
                <c:pt idx="75">
                  <c:v>223.9</c:v>
                </c:pt>
                <c:pt idx="76">
                  <c:v>223.9</c:v>
                </c:pt>
                <c:pt idx="77">
                  <c:v>223.9</c:v>
                </c:pt>
                <c:pt idx="78">
                  <c:v>223.9</c:v>
                </c:pt>
                <c:pt idx="79">
                  <c:v>223.9</c:v>
                </c:pt>
                <c:pt idx="80">
                  <c:v>223.9</c:v>
                </c:pt>
                <c:pt idx="81">
                  <c:v>223.9</c:v>
                </c:pt>
                <c:pt idx="82">
                  <c:v>223.9</c:v>
                </c:pt>
                <c:pt idx="83">
                  <c:v>223.9</c:v>
                </c:pt>
                <c:pt idx="84">
                  <c:v>223.9</c:v>
                </c:pt>
                <c:pt idx="85">
                  <c:v>223.9</c:v>
                </c:pt>
                <c:pt idx="86">
                  <c:v>223.9</c:v>
                </c:pt>
                <c:pt idx="87">
                  <c:v>223.9</c:v>
                </c:pt>
                <c:pt idx="88">
                  <c:v>223.9</c:v>
                </c:pt>
                <c:pt idx="89">
                  <c:v>223.9</c:v>
                </c:pt>
                <c:pt idx="90">
                  <c:v>223.9</c:v>
                </c:pt>
                <c:pt idx="91">
                  <c:v>223.9</c:v>
                </c:pt>
                <c:pt idx="92">
                  <c:v>223.9</c:v>
                </c:pt>
                <c:pt idx="93">
                  <c:v>223.9</c:v>
                </c:pt>
                <c:pt idx="94">
                  <c:v>223.9</c:v>
                </c:pt>
                <c:pt idx="95">
                  <c:v>223.9</c:v>
                </c:pt>
                <c:pt idx="96">
                  <c:v>223.9</c:v>
                </c:pt>
                <c:pt idx="97">
                  <c:v>223.9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000-455E-9753-46AF8104B4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7450920"/>
        <c:axId val="517450528"/>
      </c:scatterChart>
      <c:valAx>
        <c:axId val="517449744"/>
        <c:scaling>
          <c:orientation val="minMax"/>
          <c:max val="44917"/>
          <c:min val="4428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Date</a:t>
                </a:r>
              </a:p>
            </c:rich>
          </c:tx>
          <c:layout>
            <c:manualLayout>
              <c:xMode val="edge"/>
              <c:yMode val="edge"/>
              <c:x val="0.9056782620787297"/>
              <c:y val="0.8730688306951132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dd/mm/yyyy" sourceLinked="0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17450136"/>
        <c:crossesAt val="0"/>
        <c:crossBetween val="midCat"/>
        <c:majorUnit val="50"/>
      </c:valAx>
      <c:valAx>
        <c:axId val="517450136"/>
        <c:scaling>
          <c:orientation val="minMax"/>
          <c:max val="40"/>
          <c:min val="-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>
              <a:solidFill>
                <a:schemeClr val="tx1">
                  <a:lumMod val="5000"/>
                  <a:lumOff val="95000"/>
                </a:schemeClr>
              </a:solidFill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Déplacement [mm]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\+\ 0.0;\-\ 0.0;\±\ 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17449744"/>
        <c:crosses val="autoZero"/>
        <c:crossBetween val="midCat"/>
        <c:majorUnit val="5"/>
        <c:minorUnit val="1"/>
      </c:valAx>
      <c:valAx>
        <c:axId val="517450528"/>
        <c:scaling>
          <c:orientation val="minMax"/>
          <c:min val="180"/>
        </c:scaling>
        <c:delete val="0"/>
        <c:axPos val="r"/>
        <c:numFmt formatCode="0.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17450920"/>
        <c:crosses val="max"/>
        <c:crossBetween val="midCat"/>
      </c:valAx>
      <c:valAx>
        <c:axId val="517450920"/>
        <c:scaling>
          <c:orientation val="minMax"/>
        </c:scaling>
        <c:delete val="1"/>
        <c:axPos val="b"/>
        <c:numFmt formatCode="dd\ /\ mm\ /\ yy" sourceLinked="1"/>
        <c:majorTickMark val="out"/>
        <c:minorTickMark val="none"/>
        <c:tickLblPos val="nextTo"/>
        <c:crossAx val="5174505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5"/>
        <c:delete val="1"/>
      </c:legendEntry>
      <c:layout>
        <c:manualLayout>
          <c:xMode val="edge"/>
          <c:yMode val="edge"/>
          <c:x val="0.25002493749309163"/>
          <c:y val="0.58597579201497807"/>
          <c:w val="0.59365536256844686"/>
          <c:h val="0.1831998116791757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span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 alignWithMargins="0"/>
    <c:pageMargins b="0.98425196899999956" l="0.78740157499999996" r="0.78740157499999996" t="0.98425196899999956" header="0.49212598450000467" footer="0.49212598450000467"/>
    <c:pageSetup paperSize="9" orientation="landscape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Déplacement en Z</a:t>
            </a:r>
          </a:p>
        </c:rich>
      </c:tx>
      <c:layout>
        <c:manualLayout>
          <c:xMode val="edge"/>
          <c:yMode val="edge"/>
          <c:x val="0.43183990697710872"/>
          <c:y val="3.03525988787354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8.6758248843572708E-2"/>
          <c:y val="7.5632404057602035E-2"/>
          <c:w val="0.81583642369330522"/>
          <c:h val="0.7252675510155826"/>
        </c:manualLayout>
      </c:layout>
      <c:scatterChart>
        <c:scatterStyle val="lineMarker"/>
        <c:varyColors val="0"/>
        <c:ser>
          <c:idx val="1"/>
          <c:order val="0"/>
          <c:tx>
            <c:strRef>
              <c:f>Déplacements!$M$9</c:f>
              <c:strCache>
                <c:ptCount val="1"/>
                <c:pt idx="0">
                  <c:v>DZ centre haut</c:v>
                </c:pt>
              </c:strCache>
            </c:strRef>
          </c:tx>
          <c:spPr>
            <a:ln w="15875" cap="rnd">
              <a:solidFill>
                <a:schemeClr val="accent2"/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2">
                      <a:tint val="50000"/>
                      <a:satMod val="300000"/>
                    </a:schemeClr>
                  </a:gs>
                  <a:gs pos="35000">
                    <a:schemeClr val="accent2">
                      <a:tint val="37000"/>
                      <a:satMod val="300000"/>
                    </a:schemeClr>
                  </a:gs>
                  <a:gs pos="100000">
                    <a:schemeClr val="accent2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marker>
          <c:xVal>
            <c:numRef>
              <c:f>Déplacements!$B$10:$B$133</c:f>
              <c:numCache>
                <c:formatCode>dd\ /\ mm\ /\ yy</c:formatCode>
                <c:ptCount val="124"/>
                <c:pt idx="0">
                  <c:v>43655</c:v>
                </c:pt>
                <c:pt idx="1">
                  <c:v>43657</c:v>
                </c:pt>
                <c:pt idx="2">
                  <c:v>43661</c:v>
                </c:pt>
                <c:pt idx="3">
                  <c:v>43663</c:v>
                </c:pt>
                <c:pt idx="4">
                  <c:v>43669</c:v>
                </c:pt>
                <c:pt idx="5">
                  <c:v>43675</c:v>
                </c:pt>
                <c:pt idx="6">
                  <c:v>43679</c:v>
                </c:pt>
                <c:pt idx="7">
                  <c:v>43682</c:v>
                </c:pt>
                <c:pt idx="8">
                  <c:v>43684</c:v>
                </c:pt>
                <c:pt idx="9">
                  <c:v>43685</c:v>
                </c:pt>
                <c:pt idx="10">
                  <c:v>43689</c:v>
                </c:pt>
                <c:pt idx="11">
                  <c:v>43690</c:v>
                </c:pt>
                <c:pt idx="12">
                  <c:v>43696</c:v>
                </c:pt>
                <c:pt idx="13">
                  <c:v>43699</c:v>
                </c:pt>
                <c:pt idx="14">
                  <c:v>43703</c:v>
                </c:pt>
                <c:pt idx="15">
                  <c:v>43706</c:v>
                </c:pt>
                <c:pt idx="16">
                  <c:v>43710</c:v>
                </c:pt>
                <c:pt idx="17">
                  <c:v>43713</c:v>
                </c:pt>
                <c:pt idx="18">
                  <c:v>43718</c:v>
                </c:pt>
                <c:pt idx="19">
                  <c:v>43720</c:v>
                </c:pt>
                <c:pt idx="20">
                  <c:v>43724</c:v>
                </c:pt>
                <c:pt idx="21">
                  <c:v>43727</c:v>
                </c:pt>
                <c:pt idx="22">
                  <c:v>43731</c:v>
                </c:pt>
                <c:pt idx="23">
                  <c:v>43734</c:v>
                </c:pt>
                <c:pt idx="24">
                  <c:v>43738</c:v>
                </c:pt>
                <c:pt idx="25">
                  <c:v>43741</c:v>
                </c:pt>
                <c:pt idx="26">
                  <c:v>43746</c:v>
                </c:pt>
                <c:pt idx="27">
                  <c:v>43753</c:v>
                </c:pt>
                <c:pt idx="28">
                  <c:v>43756</c:v>
                </c:pt>
                <c:pt idx="29">
                  <c:v>43760</c:v>
                </c:pt>
                <c:pt idx="30">
                  <c:v>43762</c:v>
                </c:pt>
                <c:pt idx="31">
                  <c:v>43766</c:v>
                </c:pt>
                <c:pt idx="32">
                  <c:v>43769</c:v>
                </c:pt>
                <c:pt idx="33">
                  <c:v>43774</c:v>
                </c:pt>
                <c:pt idx="34">
                  <c:v>43776</c:v>
                </c:pt>
                <c:pt idx="35">
                  <c:v>43781</c:v>
                </c:pt>
                <c:pt idx="36">
                  <c:v>43783</c:v>
                </c:pt>
                <c:pt idx="37">
                  <c:v>43787</c:v>
                </c:pt>
                <c:pt idx="38">
                  <c:v>43790</c:v>
                </c:pt>
                <c:pt idx="39">
                  <c:v>43795</c:v>
                </c:pt>
                <c:pt idx="40">
                  <c:v>43797</c:v>
                </c:pt>
                <c:pt idx="41">
                  <c:v>43801</c:v>
                </c:pt>
                <c:pt idx="42">
                  <c:v>43803</c:v>
                </c:pt>
                <c:pt idx="43">
                  <c:v>43808</c:v>
                </c:pt>
                <c:pt idx="44">
                  <c:v>43811</c:v>
                </c:pt>
                <c:pt idx="45">
                  <c:v>43815</c:v>
                </c:pt>
                <c:pt idx="46">
                  <c:v>43818</c:v>
                </c:pt>
                <c:pt idx="47">
                  <c:v>43837</c:v>
                </c:pt>
                <c:pt idx="48">
                  <c:v>43843</c:v>
                </c:pt>
                <c:pt idx="49">
                  <c:v>43850</c:v>
                </c:pt>
                <c:pt idx="50">
                  <c:v>43857</c:v>
                </c:pt>
                <c:pt idx="51">
                  <c:v>43865</c:v>
                </c:pt>
                <c:pt idx="52">
                  <c:v>43878</c:v>
                </c:pt>
                <c:pt idx="53">
                  <c:v>43886</c:v>
                </c:pt>
                <c:pt idx="54">
                  <c:v>43896</c:v>
                </c:pt>
                <c:pt idx="55">
                  <c:v>43970</c:v>
                </c:pt>
                <c:pt idx="56">
                  <c:v>43977</c:v>
                </c:pt>
                <c:pt idx="57">
                  <c:v>43984</c:v>
                </c:pt>
                <c:pt idx="58">
                  <c:v>43990</c:v>
                </c:pt>
                <c:pt idx="59">
                  <c:v>43997</c:v>
                </c:pt>
                <c:pt idx="60">
                  <c:v>44004</c:v>
                </c:pt>
                <c:pt idx="61">
                  <c:v>44018</c:v>
                </c:pt>
                <c:pt idx="62">
                  <c:v>44027</c:v>
                </c:pt>
                <c:pt idx="63">
                  <c:v>44039</c:v>
                </c:pt>
                <c:pt idx="64">
                  <c:v>44053</c:v>
                </c:pt>
                <c:pt idx="65">
                  <c:v>44075</c:v>
                </c:pt>
                <c:pt idx="66">
                  <c:v>44082</c:v>
                </c:pt>
                <c:pt idx="67">
                  <c:v>44112</c:v>
                </c:pt>
                <c:pt idx="68">
                  <c:v>44134</c:v>
                </c:pt>
                <c:pt idx="70">
                  <c:v>44134</c:v>
                </c:pt>
                <c:pt idx="72">
                  <c:v>44140</c:v>
                </c:pt>
                <c:pt idx="73">
                  <c:v>44172</c:v>
                </c:pt>
                <c:pt idx="74">
                  <c:v>44186</c:v>
                </c:pt>
                <c:pt idx="75">
                  <c:v>44203</c:v>
                </c:pt>
                <c:pt idx="76">
                  <c:v>44229</c:v>
                </c:pt>
                <c:pt idx="77">
                  <c:v>44245</c:v>
                </c:pt>
                <c:pt idx="78">
                  <c:v>44273</c:v>
                </c:pt>
                <c:pt idx="79">
                  <c:v>44287</c:v>
                </c:pt>
                <c:pt idx="80">
                  <c:v>44308</c:v>
                </c:pt>
                <c:pt idx="81">
                  <c:v>44322</c:v>
                </c:pt>
                <c:pt idx="82">
                  <c:v>44337</c:v>
                </c:pt>
                <c:pt idx="83">
                  <c:v>44351</c:v>
                </c:pt>
                <c:pt idx="84">
                  <c:v>44357</c:v>
                </c:pt>
                <c:pt idx="85">
                  <c:v>44362</c:v>
                </c:pt>
                <c:pt idx="86">
                  <c:v>44364</c:v>
                </c:pt>
                <c:pt idx="87">
                  <c:v>44369</c:v>
                </c:pt>
                <c:pt idx="88">
                  <c:v>44376</c:v>
                </c:pt>
                <c:pt idx="89">
                  <c:v>44378</c:v>
                </c:pt>
                <c:pt idx="90">
                  <c:v>44392</c:v>
                </c:pt>
                <c:pt idx="91">
                  <c:v>44400</c:v>
                </c:pt>
                <c:pt idx="92">
                  <c:v>44410</c:v>
                </c:pt>
                <c:pt idx="93">
                  <c:v>44453</c:v>
                </c:pt>
                <c:pt idx="94">
                  <c:v>44470</c:v>
                </c:pt>
                <c:pt idx="95">
                  <c:v>44489</c:v>
                </c:pt>
                <c:pt idx="96">
                  <c:v>44502</c:v>
                </c:pt>
                <c:pt idx="97">
                  <c:v>44915</c:v>
                </c:pt>
              </c:numCache>
            </c:numRef>
          </c:xVal>
          <c:yVal>
            <c:numRef>
              <c:f>Déplacements!$M$10:$M$132</c:f>
              <c:numCache>
                <c:formatCode>\+\ 0.0;\-\ 0.0;\±\ 0.0</c:formatCode>
                <c:ptCount val="123"/>
                <c:pt idx="0">
                  <c:v>0</c:v>
                </c:pt>
                <c:pt idx="1">
                  <c:v>-0.39999999999906777</c:v>
                </c:pt>
                <c:pt idx="2">
                  <c:v>-0.90000000000145519</c:v>
                </c:pt>
                <c:pt idx="3">
                  <c:v>-1.4999999999929514</c:v>
                </c:pt>
                <c:pt idx="4">
                  <c:v>-2.0999999999986585</c:v>
                </c:pt>
                <c:pt idx="5">
                  <c:v>-3.0000000000001137</c:v>
                </c:pt>
                <c:pt idx="6">
                  <c:v>-2.6000000000010459</c:v>
                </c:pt>
                <c:pt idx="7">
                  <c:v>-3.3999999999991815</c:v>
                </c:pt>
                <c:pt idx="8">
                  <c:v>-3.7999999999982492</c:v>
                </c:pt>
                <c:pt idx="9">
                  <c:v>-3.3999999999991815</c:v>
                </c:pt>
                <c:pt idx="10">
                  <c:v>-4.4000000000039563</c:v>
                </c:pt>
                <c:pt idx="11">
                  <c:v>-3.7999999999982492</c:v>
                </c:pt>
                <c:pt idx="12">
                  <c:v>-4.4000000000039563</c:v>
                </c:pt>
                <c:pt idx="13">
                  <c:v>-4.9000000000063437</c:v>
                </c:pt>
                <c:pt idx="14">
                  <c:v>-5.49999999999784</c:v>
                </c:pt>
                <c:pt idx="15">
                  <c:v>-5.8999999999969077</c:v>
                </c:pt>
                <c:pt idx="16">
                  <c:v>-6.3999999999992951</c:v>
                </c:pt>
                <c:pt idx="17">
                  <c:v>-6.9000000000016826</c:v>
                </c:pt>
                <c:pt idx="18">
                  <c:v>-6.6000000000059345</c:v>
                </c:pt>
                <c:pt idx="19">
                  <c:v>-6.5000000000026148</c:v>
                </c:pt>
                <c:pt idx="20">
                  <c:v>-7.5999999999964984</c:v>
                </c:pt>
                <c:pt idx="21">
                  <c:v>-7.9999999999955662</c:v>
                </c:pt>
                <c:pt idx="22">
                  <c:v>-8.3000000000055252</c:v>
                </c:pt>
                <c:pt idx="23">
                  <c:v>-8.399999999994634</c:v>
                </c:pt>
                <c:pt idx="24">
                  <c:v>-8.4999999999979536</c:v>
                </c:pt>
                <c:pt idx="25">
                  <c:v>-8.4999999999979536</c:v>
                </c:pt>
                <c:pt idx="26">
                  <c:v>-9.6999999999951569</c:v>
                </c:pt>
                <c:pt idx="27">
                  <c:v>-9.5833333333388282</c:v>
                </c:pt>
                <c:pt idx="28">
                  <c:v>-9.0000000000003411</c:v>
                </c:pt>
                <c:pt idx="29">
                  <c:v>-10.499999999993292</c:v>
                </c:pt>
                <c:pt idx="30">
                  <c:v>-9.9000000000017963</c:v>
                </c:pt>
                <c:pt idx="31">
                  <c:v>-9.9000000000017963</c:v>
                </c:pt>
                <c:pt idx="32">
                  <c:v>-9.9000000000017963</c:v>
                </c:pt>
                <c:pt idx="33">
                  <c:v>-10.499999999993292</c:v>
                </c:pt>
                <c:pt idx="34">
                  <c:v>-10.300000000000864</c:v>
                </c:pt>
                <c:pt idx="35">
                  <c:v>-10.499999999993292</c:v>
                </c:pt>
                <c:pt idx="36">
                  <c:v>-10.699999999999932</c:v>
                </c:pt>
                <c:pt idx="37">
                  <c:v>-11.099999999999</c:v>
                </c:pt>
                <c:pt idx="38">
                  <c:v>-11.200000000002319</c:v>
                </c:pt>
                <c:pt idx="39">
                  <c:v>-11.600000000001387</c:v>
                </c:pt>
                <c:pt idx="40">
                  <c:v>-11.399999999994748</c:v>
                </c:pt>
                <c:pt idx="41">
                  <c:v>-11.300000000005639</c:v>
                </c:pt>
                <c:pt idx="42">
                  <c:v>-11.600000000001387</c:v>
                </c:pt>
                <c:pt idx="43">
                  <c:v>-12.199999999992883</c:v>
                </c:pt>
                <c:pt idx="44">
                  <c:v>-11.700000000004707</c:v>
                </c:pt>
                <c:pt idx="45">
                  <c:v>-12.500000000002842</c:v>
                </c:pt>
                <c:pt idx="46">
                  <c:v>-12.299999999996203</c:v>
                </c:pt>
                <c:pt idx="47">
                  <c:v>-12.699999999995271</c:v>
                </c:pt>
                <c:pt idx="48">
                  <c:v>-13.00000000000523</c:v>
                </c:pt>
                <c:pt idx="49">
                  <c:v>-12.90000000000191</c:v>
                </c:pt>
                <c:pt idx="50">
                  <c:v>-13.499999999993406</c:v>
                </c:pt>
                <c:pt idx="51">
                  <c:v>-13.800000000003365</c:v>
                </c:pt>
                <c:pt idx="52">
                  <c:v>-14.499999999998181</c:v>
                </c:pt>
                <c:pt idx="53">
                  <c:v>-14.099999999999113</c:v>
                </c:pt>
                <c:pt idx="54">
                  <c:v>-14.300000000005753</c:v>
                </c:pt>
                <c:pt idx="55">
                  <c:v>-15.799999999998704</c:v>
                </c:pt>
                <c:pt idx="56">
                  <c:v>-15.500000000002956</c:v>
                </c:pt>
                <c:pt idx="57">
                  <c:v>-15.699999999995384</c:v>
                </c:pt>
                <c:pt idx="58">
                  <c:v>-16.300000000001091</c:v>
                </c:pt>
                <c:pt idx="59">
                  <c:v>-15.100000000003888</c:v>
                </c:pt>
                <c:pt idx="60">
                  <c:v>-15.900000000002024</c:v>
                </c:pt>
                <c:pt idx="61">
                  <c:v>-16.400000000004411</c:v>
                </c:pt>
                <c:pt idx="62">
                  <c:v>-15.900000000002024</c:v>
                </c:pt>
                <c:pt idx="63">
                  <c:v>-17.600000000001614</c:v>
                </c:pt>
                <c:pt idx="64">
                  <c:v>-17.499999999998295</c:v>
                </c:pt>
                <c:pt idx="68">
                  <c:v>-18.900000000002137</c:v>
                </c:pt>
                <c:pt idx="72">
                  <c:v>-19.599999999996953</c:v>
                </c:pt>
                <c:pt idx="73">
                  <c:v>-19.599999999996953</c:v>
                </c:pt>
                <c:pt idx="74">
                  <c:v>-20.600000000001728</c:v>
                </c:pt>
                <c:pt idx="75">
                  <c:v>-20.899999999997476</c:v>
                </c:pt>
                <c:pt idx="76">
                  <c:v>-21.799999999998931</c:v>
                </c:pt>
                <c:pt idx="77">
                  <c:v>-20.800000000008367</c:v>
                </c:pt>
                <c:pt idx="78">
                  <c:v>-21.699999999995612</c:v>
                </c:pt>
                <c:pt idx="79">
                  <c:v>-21.399999999999864</c:v>
                </c:pt>
                <c:pt idx="80">
                  <c:v>-21.900000000002251</c:v>
                </c:pt>
                <c:pt idx="81">
                  <c:v>-22.300000000001319</c:v>
                </c:pt>
                <c:pt idx="82">
                  <c:v>-22.999999999996135</c:v>
                </c:pt>
                <c:pt idx="83">
                  <c:v>-21.799999999998931</c:v>
                </c:pt>
                <c:pt idx="84">
                  <c:v>-22.199999999997999</c:v>
                </c:pt>
                <c:pt idx="85">
                  <c:v>-22.800000000003706</c:v>
                </c:pt>
                <c:pt idx="86">
                  <c:v>-23.700000000005161</c:v>
                </c:pt>
                <c:pt idx="87">
                  <c:v>-22.599999999997067</c:v>
                </c:pt>
                <c:pt idx="88">
                  <c:v>-22.999999999996135</c:v>
                </c:pt>
                <c:pt idx="89">
                  <c:v>-22.800000000003706</c:v>
                </c:pt>
                <c:pt idx="90">
                  <c:v>-23.499999999998522</c:v>
                </c:pt>
                <c:pt idx="91">
                  <c:v>-23.399999999995202</c:v>
                </c:pt>
                <c:pt idx="92">
                  <c:v>-23.499999999998522</c:v>
                </c:pt>
                <c:pt idx="93">
                  <c:v>-24.399999999999977</c:v>
                </c:pt>
                <c:pt idx="94">
                  <c:v>-24.399999999999977</c:v>
                </c:pt>
                <c:pt idx="95">
                  <c:v>-25.300000000001432</c:v>
                </c:pt>
                <c:pt idx="96">
                  <c:v>-24.799999999999045</c:v>
                </c:pt>
                <c:pt idx="97">
                  <c:v>-30.000000000001137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B02-481E-8C79-4DC4FAD20F8B}"/>
            </c:ext>
          </c:extLst>
        </c:ser>
        <c:ser>
          <c:idx val="3"/>
          <c:order val="1"/>
          <c:tx>
            <c:strRef>
              <c:f>Déplacements!$I$9</c:f>
              <c:strCache>
                <c:ptCount val="1"/>
                <c:pt idx="0">
                  <c:v>DZ haut gauche</c:v>
                </c:pt>
              </c:strCache>
            </c:strRef>
          </c:tx>
          <c:spPr>
            <a:ln w="15875" cap="rnd">
              <a:solidFill>
                <a:schemeClr val="accent4"/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4">
                      <a:tint val="50000"/>
                      <a:satMod val="300000"/>
                    </a:schemeClr>
                  </a:gs>
                  <a:gs pos="35000">
                    <a:schemeClr val="accent4">
                      <a:tint val="37000"/>
                      <a:satMod val="300000"/>
                    </a:schemeClr>
                  </a:gs>
                  <a:gs pos="100000">
                    <a:schemeClr val="accent4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marker>
          <c:xVal>
            <c:numRef>
              <c:f>Déplacements!$B$10:$B$133</c:f>
              <c:numCache>
                <c:formatCode>dd\ /\ mm\ /\ yy</c:formatCode>
                <c:ptCount val="124"/>
                <c:pt idx="0">
                  <c:v>43655</c:v>
                </c:pt>
                <c:pt idx="1">
                  <c:v>43657</c:v>
                </c:pt>
                <c:pt idx="2">
                  <c:v>43661</c:v>
                </c:pt>
                <c:pt idx="3">
                  <c:v>43663</c:v>
                </c:pt>
                <c:pt idx="4">
                  <c:v>43669</c:v>
                </c:pt>
                <c:pt idx="5">
                  <c:v>43675</c:v>
                </c:pt>
                <c:pt idx="6">
                  <c:v>43679</c:v>
                </c:pt>
                <c:pt idx="7">
                  <c:v>43682</c:v>
                </c:pt>
                <c:pt idx="8">
                  <c:v>43684</c:v>
                </c:pt>
                <c:pt idx="9">
                  <c:v>43685</c:v>
                </c:pt>
                <c:pt idx="10">
                  <c:v>43689</c:v>
                </c:pt>
                <c:pt idx="11">
                  <c:v>43690</c:v>
                </c:pt>
                <c:pt idx="12">
                  <c:v>43696</c:v>
                </c:pt>
                <c:pt idx="13">
                  <c:v>43699</c:v>
                </c:pt>
                <c:pt idx="14">
                  <c:v>43703</c:v>
                </c:pt>
                <c:pt idx="15">
                  <c:v>43706</c:v>
                </c:pt>
                <c:pt idx="16">
                  <c:v>43710</c:v>
                </c:pt>
                <c:pt idx="17">
                  <c:v>43713</c:v>
                </c:pt>
                <c:pt idx="18">
                  <c:v>43718</c:v>
                </c:pt>
                <c:pt idx="19">
                  <c:v>43720</c:v>
                </c:pt>
                <c:pt idx="20">
                  <c:v>43724</c:v>
                </c:pt>
                <c:pt idx="21">
                  <c:v>43727</c:v>
                </c:pt>
                <c:pt idx="22">
                  <c:v>43731</c:v>
                </c:pt>
                <c:pt idx="23">
                  <c:v>43734</c:v>
                </c:pt>
                <c:pt idx="24">
                  <c:v>43738</c:v>
                </c:pt>
                <c:pt idx="25">
                  <c:v>43741</c:v>
                </c:pt>
                <c:pt idx="26">
                  <c:v>43746</c:v>
                </c:pt>
                <c:pt idx="27">
                  <c:v>43753</c:v>
                </c:pt>
                <c:pt idx="28">
                  <c:v>43756</c:v>
                </c:pt>
                <c:pt idx="29">
                  <c:v>43760</c:v>
                </c:pt>
                <c:pt idx="30">
                  <c:v>43762</c:v>
                </c:pt>
                <c:pt idx="31">
                  <c:v>43766</c:v>
                </c:pt>
                <c:pt idx="32">
                  <c:v>43769</c:v>
                </c:pt>
                <c:pt idx="33">
                  <c:v>43774</c:v>
                </c:pt>
                <c:pt idx="34">
                  <c:v>43776</c:v>
                </c:pt>
                <c:pt idx="35">
                  <c:v>43781</c:v>
                </c:pt>
                <c:pt idx="36">
                  <c:v>43783</c:v>
                </c:pt>
                <c:pt idx="37">
                  <c:v>43787</c:v>
                </c:pt>
                <c:pt idx="38">
                  <c:v>43790</c:v>
                </c:pt>
                <c:pt idx="39">
                  <c:v>43795</c:v>
                </c:pt>
                <c:pt idx="40">
                  <c:v>43797</c:v>
                </c:pt>
                <c:pt idx="41">
                  <c:v>43801</c:v>
                </c:pt>
                <c:pt idx="42">
                  <c:v>43803</c:v>
                </c:pt>
                <c:pt idx="43">
                  <c:v>43808</c:v>
                </c:pt>
                <c:pt idx="44">
                  <c:v>43811</c:v>
                </c:pt>
                <c:pt idx="45">
                  <c:v>43815</c:v>
                </c:pt>
                <c:pt idx="46">
                  <c:v>43818</c:v>
                </c:pt>
                <c:pt idx="47">
                  <c:v>43837</c:v>
                </c:pt>
                <c:pt idx="48">
                  <c:v>43843</c:v>
                </c:pt>
                <c:pt idx="49">
                  <c:v>43850</c:v>
                </c:pt>
                <c:pt idx="50">
                  <c:v>43857</c:v>
                </c:pt>
                <c:pt idx="51">
                  <c:v>43865</c:v>
                </c:pt>
                <c:pt idx="52">
                  <c:v>43878</c:v>
                </c:pt>
                <c:pt idx="53">
                  <c:v>43886</c:v>
                </c:pt>
                <c:pt idx="54">
                  <c:v>43896</c:v>
                </c:pt>
                <c:pt idx="55">
                  <c:v>43970</c:v>
                </c:pt>
                <c:pt idx="56">
                  <c:v>43977</c:v>
                </c:pt>
                <c:pt idx="57">
                  <c:v>43984</c:v>
                </c:pt>
                <c:pt idx="58">
                  <c:v>43990</c:v>
                </c:pt>
                <c:pt idx="59">
                  <c:v>43997</c:v>
                </c:pt>
                <c:pt idx="60">
                  <c:v>44004</c:v>
                </c:pt>
                <c:pt idx="61">
                  <c:v>44018</c:v>
                </c:pt>
                <c:pt idx="62">
                  <c:v>44027</c:v>
                </c:pt>
                <c:pt idx="63">
                  <c:v>44039</c:v>
                </c:pt>
                <c:pt idx="64">
                  <c:v>44053</c:v>
                </c:pt>
                <c:pt idx="65">
                  <c:v>44075</c:v>
                </c:pt>
                <c:pt idx="66">
                  <c:v>44082</c:v>
                </c:pt>
                <c:pt idx="67">
                  <c:v>44112</c:v>
                </c:pt>
                <c:pt idx="68">
                  <c:v>44134</c:v>
                </c:pt>
                <c:pt idx="70">
                  <c:v>44134</c:v>
                </c:pt>
                <c:pt idx="72">
                  <c:v>44140</c:v>
                </c:pt>
                <c:pt idx="73">
                  <c:v>44172</c:v>
                </c:pt>
                <c:pt idx="74">
                  <c:v>44186</c:v>
                </c:pt>
                <c:pt idx="75">
                  <c:v>44203</c:v>
                </c:pt>
                <c:pt idx="76">
                  <c:v>44229</c:v>
                </c:pt>
                <c:pt idx="77">
                  <c:v>44245</c:v>
                </c:pt>
                <c:pt idx="78">
                  <c:v>44273</c:v>
                </c:pt>
                <c:pt idx="79">
                  <c:v>44287</c:v>
                </c:pt>
                <c:pt idx="80">
                  <c:v>44308</c:v>
                </c:pt>
                <c:pt idx="81">
                  <c:v>44322</c:v>
                </c:pt>
                <c:pt idx="82">
                  <c:v>44337</c:v>
                </c:pt>
                <c:pt idx="83">
                  <c:v>44351</c:v>
                </c:pt>
                <c:pt idx="84">
                  <c:v>44357</c:v>
                </c:pt>
                <c:pt idx="85">
                  <c:v>44362</c:v>
                </c:pt>
                <c:pt idx="86">
                  <c:v>44364</c:v>
                </c:pt>
                <c:pt idx="87">
                  <c:v>44369</c:v>
                </c:pt>
                <c:pt idx="88">
                  <c:v>44376</c:v>
                </c:pt>
                <c:pt idx="89">
                  <c:v>44378</c:v>
                </c:pt>
                <c:pt idx="90">
                  <c:v>44392</c:v>
                </c:pt>
                <c:pt idx="91">
                  <c:v>44400</c:v>
                </c:pt>
                <c:pt idx="92">
                  <c:v>44410</c:v>
                </c:pt>
                <c:pt idx="93">
                  <c:v>44453</c:v>
                </c:pt>
                <c:pt idx="94">
                  <c:v>44470</c:v>
                </c:pt>
                <c:pt idx="95">
                  <c:v>44489</c:v>
                </c:pt>
                <c:pt idx="96">
                  <c:v>44502</c:v>
                </c:pt>
                <c:pt idx="97">
                  <c:v>44915</c:v>
                </c:pt>
              </c:numCache>
            </c:numRef>
          </c:xVal>
          <c:yVal>
            <c:numRef>
              <c:f>Déplacements!$I$10:$I$312</c:f>
              <c:numCache>
                <c:formatCode>\+\ 0.0;\-\ 0.0;\±\ 0.0</c:formatCode>
                <c:ptCount val="303"/>
                <c:pt idx="0">
                  <c:v>0</c:v>
                </c:pt>
                <c:pt idx="1">
                  <c:v>-0.34999999999740794</c:v>
                </c:pt>
                <c:pt idx="2">
                  <c:v>-0.64999999999315605</c:v>
                </c:pt>
                <c:pt idx="3">
                  <c:v>-1.5499999999946112</c:v>
                </c:pt>
                <c:pt idx="4">
                  <c:v>0</c:v>
                </c:pt>
                <c:pt idx="5">
                  <c:v>-2.5499999999993861</c:v>
                </c:pt>
                <c:pt idx="6">
                  <c:v>-2.1500000000003183</c:v>
                </c:pt>
                <c:pt idx="7">
                  <c:v>-2.9499999999984539</c:v>
                </c:pt>
                <c:pt idx="8">
                  <c:v>-3.4500000000008413</c:v>
                </c:pt>
                <c:pt idx="9">
                  <c:v>-3.0499999999875627</c:v>
                </c:pt>
                <c:pt idx="10">
                  <c:v>-4.1499999999956572</c:v>
                </c:pt>
                <c:pt idx="11">
                  <c:v>-3.7499999999965894</c:v>
                </c:pt>
                <c:pt idx="12">
                  <c:v>-4.1499999999956572</c:v>
                </c:pt>
                <c:pt idx="13">
                  <c:v>-4.9499999999937927</c:v>
                </c:pt>
                <c:pt idx="14">
                  <c:v>-5.4499999999961801</c:v>
                </c:pt>
                <c:pt idx="15">
                  <c:v>-5.8499999999952479</c:v>
                </c:pt>
                <c:pt idx="16">
                  <c:v>-6.450000000000955</c:v>
                </c:pt>
                <c:pt idx="17">
                  <c:v>-7.0499999999924512</c:v>
                </c:pt>
                <c:pt idx="18">
                  <c:v>-6.7499999999967031</c:v>
                </c:pt>
                <c:pt idx="19">
                  <c:v>-6.8500000000000227</c:v>
                </c:pt>
                <c:pt idx="20">
                  <c:v>-7.8499999999905867</c:v>
                </c:pt>
                <c:pt idx="21">
                  <c:v>-8.3499999999929742</c:v>
                </c:pt>
                <c:pt idx="22">
                  <c:v>-8.7499999999920419</c:v>
                </c:pt>
                <c:pt idx="23">
                  <c:v>-8.9499999999986812</c:v>
                </c:pt>
                <c:pt idx="24">
                  <c:v>-8.8499999999953616</c:v>
                </c:pt>
                <c:pt idx="25">
                  <c:v>-9.2499999999944293</c:v>
                </c:pt>
                <c:pt idx="26">
                  <c:v>-9.9999999999909051</c:v>
                </c:pt>
                <c:pt idx="27">
                  <c:v>-10.099999999980014</c:v>
                </c:pt>
                <c:pt idx="28">
                  <c:v>-9.7499999999968168</c:v>
                </c:pt>
                <c:pt idx="29">
                  <c:v>-11.04999999999734</c:v>
                </c:pt>
                <c:pt idx="30">
                  <c:v>-10.249999999999204</c:v>
                </c:pt>
                <c:pt idx="32">
                  <c:v>-10.749999999987381</c:v>
                </c:pt>
                <c:pt idx="33">
                  <c:v>-11.349999999993088</c:v>
                </c:pt>
                <c:pt idx="34">
                  <c:v>-11.150000000000659</c:v>
                </c:pt>
                <c:pt idx="35">
                  <c:v>-11.549999999999727</c:v>
                </c:pt>
                <c:pt idx="37">
                  <c:v>-11.849999999995475</c:v>
                </c:pt>
                <c:pt idx="38">
                  <c:v>-11.949999999998795</c:v>
                </c:pt>
                <c:pt idx="39">
                  <c:v>-12.349999999997863</c:v>
                </c:pt>
                <c:pt idx="40">
                  <c:v>-12.349999999997863</c:v>
                </c:pt>
                <c:pt idx="41">
                  <c:v>-12.649999999993611</c:v>
                </c:pt>
                <c:pt idx="42">
                  <c:v>-12.249999999994543</c:v>
                </c:pt>
                <c:pt idx="43">
                  <c:v>-13.049999999992679</c:v>
                </c:pt>
                <c:pt idx="44">
                  <c:v>-12.74999999999693</c:v>
                </c:pt>
                <c:pt idx="45">
                  <c:v>-13.749999999987494</c:v>
                </c:pt>
                <c:pt idx="46">
                  <c:v>-13.349999999988427</c:v>
                </c:pt>
                <c:pt idx="47">
                  <c:v>-13.949999999994134</c:v>
                </c:pt>
                <c:pt idx="48">
                  <c:v>-14.150000000000773</c:v>
                </c:pt>
                <c:pt idx="49">
                  <c:v>-14.249999999989882</c:v>
                </c:pt>
                <c:pt idx="50">
                  <c:v>-14.849999999995589</c:v>
                </c:pt>
                <c:pt idx="51">
                  <c:v>-15.049999999988017</c:v>
                </c:pt>
                <c:pt idx="52">
                  <c:v>-15.749999999997044</c:v>
                </c:pt>
                <c:pt idx="53">
                  <c:v>-15.450000000001296</c:v>
                </c:pt>
                <c:pt idx="54">
                  <c:v>-15.749999999997044</c:v>
                </c:pt>
                <c:pt idx="55">
                  <c:v>-17.449999999996635</c:v>
                </c:pt>
                <c:pt idx="56">
                  <c:v>-16.949999999994247</c:v>
                </c:pt>
                <c:pt idx="57">
                  <c:v>-17.349999999993315</c:v>
                </c:pt>
                <c:pt idx="58">
                  <c:v>-17.749999999992383</c:v>
                </c:pt>
                <c:pt idx="59">
                  <c:v>-17.049999999997567</c:v>
                </c:pt>
                <c:pt idx="60">
                  <c:v>-17.649999999989063</c:v>
                </c:pt>
                <c:pt idx="61">
                  <c:v>-18.24999999999477</c:v>
                </c:pt>
                <c:pt idx="62">
                  <c:v>-17.749999999992383</c:v>
                </c:pt>
                <c:pt idx="63">
                  <c:v>-19.349999999988654</c:v>
                </c:pt>
                <c:pt idx="64">
                  <c:v>-19.549999999995293</c:v>
                </c:pt>
                <c:pt idx="65">
                  <c:v>-20.550000000000068</c:v>
                </c:pt>
                <c:pt idx="66">
                  <c:v>-20.449999999996749</c:v>
                </c:pt>
                <c:pt idx="67">
                  <c:v>-20.449999999996749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B02-481E-8C79-4DC4FAD20F8B}"/>
            </c:ext>
          </c:extLst>
        </c:ser>
        <c:ser>
          <c:idx val="4"/>
          <c:order val="2"/>
          <c:tx>
            <c:strRef>
              <c:f>Déplacements!$Q$9</c:f>
              <c:strCache>
                <c:ptCount val="1"/>
                <c:pt idx="0">
                  <c:v>DZ haut droit</c:v>
                </c:pt>
              </c:strCache>
            </c:strRef>
          </c:tx>
          <c:spPr>
            <a:ln w="15875" cap="rnd">
              <a:solidFill>
                <a:schemeClr val="accent5"/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5">
                      <a:tint val="50000"/>
                      <a:satMod val="300000"/>
                    </a:schemeClr>
                  </a:gs>
                  <a:gs pos="35000">
                    <a:schemeClr val="accent5">
                      <a:tint val="37000"/>
                      <a:satMod val="300000"/>
                    </a:schemeClr>
                  </a:gs>
                  <a:gs pos="100000">
                    <a:schemeClr val="accent5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5"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marker>
          <c:xVal>
            <c:numRef>
              <c:f>Déplacements!$B$10:$B$313</c:f>
              <c:numCache>
                <c:formatCode>dd\ /\ mm\ /\ yy</c:formatCode>
                <c:ptCount val="304"/>
                <c:pt idx="0">
                  <c:v>43655</c:v>
                </c:pt>
                <c:pt idx="1">
                  <c:v>43657</c:v>
                </c:pt>
                <c:pt idx="2">
                  <c:v>43661</c:v>
                </c:pt>
                <c:pt idx="3">
                  <c:v>43663</c:v>
                </c:pt>
                <c:pt idx="4">
                  <c:v>43669</c:v>
                </c:pt>
                <c:pt idx="5">
                  <c:v>43675</c:v>
                </c:pt>
                <c:pt idx="6">
                  <c:v>43679</c:v>
                </c:pt>
                <c:pt idx="7">
                  <c:v>43682</c:v>
                </c:pt>
                <c:pt idx="8">
                  <c:v>43684</c:v>
                </c:pt>
                <c:pt idx="9">
                  <c:v>43685</c:v>
                </c:pt>
                <c:pt idx="10">
                  <c:v>43689</c:v>
                </c:pt>
                <c:pt idx="11">
                  <c:v>43690</c:v>
                </c:pt>
                <c:pt idx="12">
                  <c:v>43696</c:v>
                </c:pt>
                <c:pt idx="13">
                  <c:v>43699</c:v>
                </c:pt>
                <c:pt idx="14">
                  <c:v>43703</c:v>
                </c:pt>
                <c:pt idx="15">
                  <c:v>43706</c:v>
                </c:pt>
                <c:pt idx="16">
                  <c:v>43710</c:v>
                </c:pt>
                <c:pt idx="17">
                  <c:v>43713</c:v>
                </c:pt>
                <c:pt idx="18">
                  <c:v>43718</c:v>
                </c:pt>
                <c:pt idx="19">
                  <c:v>43720</c:v>
                </c:pt>
                <c:pt idx="20">
                  <c:v>43724</c:v>
                </c:pt>
                <c:pt idx="21">
                  <c:v>43727</c:v>
                </c:pt>
                <c:pt idx="22">
                  <c:v>43731</c:v>
                </c:pt>
                <c:pt idx="23">
                  <c:v>43734</c:v>
                </c:pt>
                <c:pt idx="24">
                  <c:v>43738</c:v>
                </c:pt>
                <c:pt idx="25">
                  <c:v>43741</c:v>
                </c:pt>
                <c:pt idx="26">
                  <c:v>43746</c:v>
                </c:pt>
                <c:pt idx="27">
                  <c:v>43753</c:v>
                </c:pt>
                <c:pt idx="28">
                  <c:v>43756</c:v>
                </c:pt>
                <c:pt idx="29">
                  <c:v>43760</c:v>
                </c:pt>
                <c:pt idx="30">
                  <c:v>43762</c:v>
                </c:pt>
                <c:pt idx="31">
                  <c:v>43766</c:v>
                </c:pt>
                <c:pt idx="32">
                  <c:v>43769</c:v>
                </c:pt>
                <c:pt idx="33">
                  <c:v>43774</c:v>
                </c:pt>
                <c:pt idx="34">
                  <c:v>43776</c:v>
                </c:pt>
                <c:pt idx="35">
                  <c:v>43781</c:v>
                </c:pt>
                <c:pt idx="36">
                  <c:v>43783</c:v>
                </c:pt>
                <c:pt idx="37">
                  <c:v>43787</c:v>
                </c:pt>
                <c:pt idx="38">
                  <c:v>43790</c:v>
                </c:pt>
                <c:pt idx="39">
                  <c:v>43795</c:v>
                </c:pt>
                <c:pt idx="40">
                  <c:v>43797</c:v>
                </c:pt>
                <c:pt idx="41">
                  <c:v>43801</c:v>
                </c:pt>
                <c:pt idx="42">
                  <c:v>43803</c:v>
                </c:pt>
                <c:pt idx="43">
                  <c:v>43808</c:v>
                </c:pt>
                <c:pt idx="44">
                  <c:v>43811</c:v>
                </c:pt>
                <c:pt idx="45">
                  <c:v>43815</c:v>
                </c:pt>
                <c:pt idx="46">
                  <c:v>43818</c:v>
                </c:pt>
                <c:pt idx="47">
                  <c:v>43837</c:v>
                </c:pt>
                <c:pt idx="48">
                  <c:v>43843</c:v>
                </c:pt>
                <c:pt idx="49">
                  <c:v>43850</c:v>
                </c:pt>
                <c:pt idx="50">
                  <c:v>43857</c:v>
                </c:pt>
                <c:pt idx="51">
                  <c:v>43865</c:v>
                </c:pt>
                <c:pt idx="52">
                  <c:v>43878</c:v>
                </c:pt>
                <c:pt idx="53">
                  <c:v>43886</c:v>
                </c:pt>
                <c:pt idx="54">
                  <c:v>43896</c:v>
                </c:pt>
                <c:pt idx="55">
                  <c:v>43970</c:v>
                </c:pt>
                <c:pt idx="56">
                  <c:v>43977</c:v>
                </c:pt>
                <c:pt idx="57">
                  <c:v>43984</c:v>
                </c:pt>
                <c:pt idx="58">
                  <c:v>43990</c:v>
                </c:pt>
                <c:pt idx="59">
                  <c:v>43997</c:v>
                </c:pt>
                <c:pt idx="60">
                  <c:v>44004</c:v>
                </c:pt>
                <c:pt idx="61">
                  <c:v>44018</c:v>
                </c:pt>
                <c:pt idx="62">
                  <c:v>44027</c:v>
                </c:pt>
                <c:pt idx="63">
                  <c:v>44039</c:v>
                </c:pt>
                <c:pt idx="64">
                  <c:v>44053</c:v>
                </c:pt>
                <c:pt idx="65">
                  <c:v>44075</c:v>
                </c:pt>
                <c:pt idx="66">
                  <c:v>44082</c:v>
                </c:pt>
                <c:pt idx="67">
                  <c:v>44112</c:v>
                </c:pt>
                <c:pt idx="68">
                  <c:v>44134</c:v>
                </c:pt>
                <c:pt idx="70">
                  <c:v>44134</c:v>
                </c:pt>
                <c:pt idx="72">
                  <c:v>44140</c:v>
                </c:pt>
                <c:pt idx="73">
                  <c:v>44172</c:v>
                </c:pt>
                <c:pt idx="74">
                  <c:v>44186</c:v>
                </c:pt>
                <c:pt idx="75">
                  <c:v>44203</c:v>
                </c:pt>
                <c:pt idx="76">
                  <c:v>44229</c:v>
                </c:pt>
                <c:pt idx="77">
                  <c:v>44245</c:v>
                </c:pt>
                <c:pt idx="78">
                  <c:v>44273</c:v>
                </c:pt>
                <c:pt idx="79">
                  <c:v>44287</c:v>
                </c:pt>
                <c:pt idx="80">
                  <c:v>44308</c:v>
                </c:pt>
                <c:pt idx="81">
                  <c:v>44322</c:v>
                </c:pt>
                <c:pt idx="82">
                  <c:v>44337</c:v>
                </c:pt>
                <c:pt idx="83">
                  <c:v>44351</c:v>
                </c:pt>
                <c:pt idx="84">
                  <c:v>44357</c:v>
                </c:pt>
                <c:pt idx="85">
                  <c:v>44362</c:v>
                </c:pt>
                <c:pt idx="86">
                  <c:v>44364</c:v>
                </c:pt>
                <c:pt idx="87">
                  <c:v>44369</c:v>
                </c:pt>
                <c:pt idx="88">
                  <c:v>44376</c:v>
                </c:pt>
                <c:pt idx="89">
                  <c:v>44378</c:v>
                </c:pt>
                <c:pt idx="90">
                  <c:v>44392</c:v>
                </c:pt>
                <c:pt idx="91">
                  <c:v>44400</c:v>
                </c:pt>
                <c:pt idx="92">
                  <c:v>44410</c:v>
                </c:pt>
                <c:pt idx="93">
                  <c:v>44453</c:v>
                </c:pt>
                <c:pt idx="94">
                  <c:v>44470</c:v>
                </c:pt>
                <c:pt idx="95">
                  <c:v>44489</c:v>
                </c:pt>
                <c:pt idx="96">
                  <c:v>44502</c:v>
                </c:pt>
                <c:pt idx="97">
                  <c:v>44915</c:v>
                </c:pt>
              </c:numCache>
            </c:numRef>
          </c:xVal>
          <c:yVal>
            <c:numRef>
              <c:f>Déplacements!$Q$10:$Q$312</c:f>
              <c:numCache>
                <c:formatCode>\+\ 0.0;\-\ 0.0;\±\ 0.0</c:formatCode>
                <c:ptCount val="303"/>
                <c:pt idx="0">
                  <c:v>0</c:v>
                </c:pt>
                <c:pt idx="1">
                  <c:v>-0.24999999999408828</c:v>
                </c:pt>
                <c:pt idx="2">
                  <c:v>-0.74999999999647571</c:v>
                </c:pt>
                <c:pt idx="3">
                  <c:v>-0.84999999999979536</c:v>
                </c:pt>
                <c:pt idx="4">
                  <c:v>-1.1499999999955435</c:v>
                </c:pt>
                <c:pt idx="5">
                  <c:v>-2.3499999999927468</c:v>
                </c:pt>
                <c:pt idx="6">
                  <c:v>-2.0499999999969987</c:v>
                </c:pt>
                <c:pt idx="7">
                  <c:v>-2.5499999999993861</c:v>
                </c:pt>
                <c:pt idx="8">
                  <c:v>-3.1499999999908823</c:v>
                </c:pt>
                <c:pt idx="9">
                  <c:v>-2.4499999999960664</c:v>
                </c:pt>
                <c:pt idx="10">
                  <c:v>-3.5500000000041609</c:v>
                </c:pt>
                <c:pt idx="11">
                  <c:v>-2.9499999999984539</c:v>
                </c:pt>
                <c:pt idx="12">
                  <c:v>-3.249999999994202</c:v>
                </c:pt>
                <c:pt idx="13">
                  <c:v>-3.9500000000032287</c:v>
                </c:pt>
                <c:pt idx="14">
                  <c:v>-4.4499999999914053</c:v>
                </c:pt>
                <c:pt idx="15">
                  <c:v>-4.7500000000013642</c:v>
                </c:pt>
                <c:pt idx="16">
                  <c:v>-4.9499999999937927</c:v>
                </c:pt>
                <c:pt idx="17">
                  <c:v>-5.4499999999961801</c:v>
                </c:pt>
                <c:pt idx="18">
                  <c:v>-5.4499999999961801</c:v>
                </c:pt>
                <c:pt idx="19">
                  <c:v>-5.150000000000432</c:v>
                </c:pt>
                <c:pt idx="20">
                  <c:v>-6.0500000000018872</c:v>
                </c:pt>
                <c:pt idx="21">
                  <c:v>-6.2499999999943157</c:v>
                </c:pt>
                <c:pt idx="22">
                  <c:v>-6.6499999999933834</c:v>
                </c:pt>
                <c:pt idx="23">
                  <c:v>-7.0499999999924512</c:v>
                </c:pt>
                <c:pt idx="24">
                  <c:v>-6.7499999999967031</c:v>
                </c:pt>
                <c:pt idx="25">
                  <c:v>-6.9500000000033424</c:v>
                </c:pt>
                <c:pt idx="26">
                  <c:v>-7.6999999999998181</c:v>
                </c:pt>
                <c:pt idx="27">
                  <c:v>-7.8500000000047976</c:v>
                </c:pt>
                <c:pt idx="28">
                  <c:v>-7.3500000000024102</c:v>
                </c:pt>
                <c:pt idx="29">
                  <c:v>-8.1500000000005457</c:v>
                </c:pt>
                <c:pt idx="30">
                  <c:v>-8.049999999997226</c:v>
                </c:pt>
                <c:pt idx="31">
                  <c:v>-7.8500000000047976</c:v>
                </c:pt>
                <c:pt idx="32">
                  <c:v>-8.2500000000038654</c:v>
                </c:pt>
                <c:pt idx="33">
                  <c:v>-8.6500000000029331</c:v>
                </c:pt>
                <c:pt idx="34">
                  <c:v>-8.4499999999962938</c:v>
                </c:pt>
                <c:pt idx="35">
                  <c:v>-8.6500000000029331</c:v>
                </c:pt>
                <c:pt idx="36">
                  <c:v>-8.8499999999953616</c:v>
                </c:pt>
                <c:pt idx="37">
                  <c:v>-8.9499999999986812</c:v>
                </c:pt>
                <c:pt idx="38">
                  <c:v>-8.9499999999986812</c:v>
                </c:pt>
                <c:pt idx="39">
                  <c:v>-9.349999999997749</c:v>
                </c:pt>
                <c:pt idx="40">
                  <c:v>-9.4500000000010687</c:v>
                </c:pt>
                <c:pt idx="41">
                  <c:v>-9.4500000000010687</c:v>
                </c:pt>
                <c:pt idx="42">
                  <c:v>-9.5500000000043883</c:v>
                </c:pt>
                <c:pt idx="43">
                  <c:v>-9.9500000000034561</c:v>
                </c:pt>
                <c:pt idx="44">
                  <c:v>-9.5500000000043883</c:v>
                </c:pt>
                <c:pt idx="45">
                  <c:v>-10.549999999994952</c:v>
                </c:pt>
                <c:pt idx="46">
                  <c:v>-10.149999999995885</c:v>
                </c:pt>
                <c:pt idx="47">
                  <c:v>-10.649999999998272</c:v>
                </c:pt>
                <c:pt idx="48">
                  <c:v>-10.649999999998272</c:v>
                </c:pt>
                <c:pt idx="49">
                  <c:v>-10.549999999994952</c:v>
                </c:pt>
                <c:pt idx="50">
                  <c:v>-11.04999999999734</c:v>
                </c:pt>
                <c:pt idx="51">
                  <c:v>-11.650000000003047</c:v>
                </c:pt>
                <c:pt idx="52">
                  <c:v>-12.050000000002115</c:v>
                </c:pt>
                <c:pt idx="53">
                  <c:v>-11.949999999998795</c:v>
                </c:pt>
                <c:pt idx="54">
                  <c:v>-11.849999999995475</c:v>
                </c:pt>
                <c:pt idx="55">
                  <c:v>-13.249999999999318</c:v>
                </c:pt>
                <c:pt idx="56">
                  <c:v>-12.85000000000025</c:v>
                </c:pt>
                <c:pt idx="57">
                  <c:v>-13.149999999995998</c:v>
                </c:pt>
                <c:pt idx="58">
                  <c:v>-13.750000000001705</c:v>
                </c:pt>
                <c:pt idx="59">
                  <c:v>-12.74999999999693</c:v>
                </c:pt>
                <c:pt idx="60">
                  <c:v>-13.549999999995066</c:v>
                </c:pt>
                <c:pt idx="61">
                  <c:v>-13.750000000001705</c:v>
                </c:pt>
                <c:pt idx="62">
                  <c:v>-13.449999999991746</c:v>
                </c:pt>
                <c:pt idx="63">
                  <c:v>-14.749999999992269</c:v>
                </c:pt>
                <c:pt idx="64">
                  <c:v>-14.65000000000316</c:v>
                </c:pt>
                <c:pt idx="65">
                  <c:v>-15.450000000001296</c:v>
                </c:pt>
                <c:pt idx="66">
                  <c:v>-15.450000000001296</c:v>
                </c:pt>
                <c:pt idx="67">
                  <c:v>-14.949999999998909</c:v>
                </c:pt>
                <c:pt idx="68">
                  <c:v>-15.749999999997044</c:v>
                </c:pt>
                <c:pt idx="72">
                  <c:v>-16.450000000006071</c:v>
                </c:pt>
                <c:pt idx="73">
                  <c:v>-16.149999999996112</c:v>
                </c:pt>
                <c:pt idx="74">
                  <c:v>-17.250000000004206</c:v>
                </c:pt>
                <c:pt idx="75">
                  <c:v>-17.250000000004206</c:v>
                </c:pt>
                <c:pt idx="76">
                  <c:v>-18.550000000004729</c:v>
                </c:pt>
                <c:pt idx="77">
                  <c:v>-17.449999999996635</c:v>
                </c:pt>
                <c:pt idx="78">
                  <c:v>-18.34999999999809</c:v>
                </c:pt>
                <c:pt idx="79">
                  <c:v>-17.849999999995703</c:v>
                </c:pt>
                <c:pt idx="80">
                  <c:v>-18.24999999999477</c:v>
                </c:pt>
                <c:pt idx="81">
                  <c:v>-18.950000000003797</c:v>
                </c:pt>
                <c:pt idx="82">
                  <c:v>-19.450000000006185</c:v>
                </c:pt>
                <c:pt idx="83">
                  <c:v>-18.34999999999809</c:v>
                </c:pt>
                <c:pt idx="84">
                  <c:v>-18.749999999997158</c:v>
                </c:pt>
                <c:pt idx="85">
                  <c:v>-19.249999999999545</c:v>
                </c:pt>
                <c:pt idx="86">
                  <c:v>-19.949999999994361</c:v>
                </c:pt>
                <c:pt idx="87">
                  <c:v>-18.950000000003797</c:v>
                </c:pt>
                <c:pt idx="88">
                  <c:v>-19.350000000002865</c:v>
                </c:pt>
                <c:pt idx="89">
                  <c:v>-19.249999999999545</c:v>
                </c:pt>
                <c:pt idx="90">
                  <c:v>-19.549999999995293</c:v>
                </c:pt>
                <c:pt idx="91">
                  <c:v>-19.750000000001933</c:v>
                </c:pt>
                <c:pt idx="92">
                  <c:v>-19.750000000001933</c:v>
                </c:pt>
                <c:pt idx="93">
                  <c:v>-20.449999999996749</c:v>
                </c:pt>
                <c:pt idx="94">
                  <c:v>-20.449999999996749</c:v>
                </c:pt>
                <c:pt idx="95">
                  <c:v>-21.249999999994884</c:v>
                </c:pt>
                <c:pt idx="96">
                  <c:v>-20.550000000000068</c:v>
                </c:pt>
                <c:pt idx="97">
                  <c:v>-25.249999999999773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B02-481E-8C79-4DC4FAD20F8B}"/>
            </c:ext>
          </c:extLst>
        </c:ser>
        <c:ser>
          <c:idx val="5"/>
          <c:order val="3"/>
          <c:tx>
            <c:strRef>
              <c:f>Déplacements!$E$9</c:f>
              <c:strCache>
                <c:ptCount val="1"/>
                <c:pt idx="0">
                  <c:v>DZ inter gauche</c:v>
                </c:pt>
              </c:strCache>
            </c:strRef>
          </c:tx>
          <c:spPr>
            <a:ln w="15875" cap="rnd">
              <a:solidFill>
                <a:schemeClr val="accent6"/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6">
                      <a:tint val="50000"/>
                      <a:satMod val="300000"/>
                    </a:schemeClr>
                  </a:gs>
                  <a:gs pos="35000">
                    <a:schemeClr val="accent6">
                      <a:tint val="37000"/>
                      <a:satMod val="300000"/>
                    </a:schemeClr>
                  </a:gs>
                  <a:gs pos="100000">
                    <a:schemeClr val="accent6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6"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marker>
          <c:xVal>
            <c:numRef>
              <c:f>Déplacements!$B$10:$B$111</c:f>
              <c:numCache>
                <c:formatCode>dd\ /\ mm\ /\ yy</c:formatCode>
                <c:ptCount val="102"/>
                <c:pt idx="0">
                  <c:v>43655</c:v>
                </c:pt>
                <c:pt idx="1">
                  <c:v>43657</c:v>
                </c:pt>
                <c:pt idx="2">
                  <c:v>43661</c:v>
                </c:pt>
                <c:pt idx="3">
                  <c:v>43663</c:v>
                </c:pt>
                <c:pt idx="4">
                  <c:v>43669</c:v>
                </c:pt>
                <c:pt idx="5">
                  <c:v>43675</c:v>
                </c:pt>
                <c:pt idx="6">
                  <c:v>43679</c:v>
                </c:pt>
                <c:pt idx="7">
                  <c:v>43682</c:v>
                </c:pt>
                <c:pt idx="8">
                  <c:v>43684</c:v>
                </c:pt>
                <c:pt idx="9">
                  <c:v>43685</c:v>
                </c:pt>
                <c:pt idx="10">
                  <c:v>43689</c:v>
                </c:pt>
                <c:pt idx="11">
                  <c:v>43690</c:v>
                </c:pt>
                <c:pt idx="12">
                  <c:v>43696</c:v>
                </c:pt>
                <c:pt idx="13">
                  <c:v>43699</c:v>
                </c:pt>
                <c:pt idx="14">
                  <c:v>43703</c:v>
                </c:pt>
                <c:pt idx="15">
                  <c:v>43706</c:v>
                </c:pt>
                <c:pt idx="16">
                  <c:v>43710</c:v>
                </c:pt>
                <c:pt idx="17">
                  <c:v>43713</c:v>
                </c:pt>
                <c:pt idx="18">
                  <c:v>43718</c:v>
                </c:pt>
                <c:pt idx="19">
                  <c:v>43720</c:v>
                </c:pt>
                <c:pt idx="20">
                  <c:v>43724</c:v>
                </c:pt>
                <c:pt idx="21">
                  <c:v>43727</c:v>
                </c:pt>
                <c:pt idx="22">
                  <c:v>43731</c:v>
                </c:pt>
                <c:pt idx="23">
                  <c:v>43734</c:v>
                </c:pt>
                <c:pt idx="24">
                  <c:v>43738</c:v>
                </c:pt>
                <c:pt idx="25">
                  <c:v>43741</c:v>
                </c:pt>
                <c:pt idx="26">
                  <c:v>43746</c:v>
                </c:pt>
                <c:pt idx="27">
                  <c:v>43753</c:v>
                </c:pt>
                <c:pt idx="28">
                  <c:v>43756</c:v>
                </c:pt>
                <c:pt idx="29">
                  <c:v>43760</c:v>
                </c:pt>
                <c:pt idx="30">
                  <c:v>43762</c:v>
                </c:pt>
                <c:pt idx="31">
                  <c:v>43766</c:v>
                </c:pt>
                <c:pt idx="32">
                  <c:v>43769</c:v>
                </c:pt>
                <c:pt idx="33">
                  <c:v>43774</c:v>
                </c:pt>
                <c:pt idx="34">
                  <c:v>43776</c:v>
                </c:pt>
                <c:pt idx="35">
                  <c:v>43781</c:v>
                </c:pt>
                <c:pt idx="36">
                  <c:v>43783</c:v>
                </c:pt>
                <c:pt idx="37">
                  <c:v>43787</c:v>
                </c:pt>
                <c:pt idx="38">
                  <c:v>43790</c:v>
                </c:pt>
                <c:pt idx="39">
                  <c:v>43795</c:v>
                </c:pt>
                <c:pt idx="40">
                  <c:v>43797</c:v>
                </c:pt>
                <c:pt idx="41">
                  <c:v>43801</c:v>
                </c:pt>
                <c:pt idx="42">
                  <c:v>43803</c:v>
                </c:pt>
                <c:pt idx="43">
                  <c:v>43808</c:v>
                </c:pt>
                <c:pt idx="44">
                  <c:v>43811</c:v>
                </c:pt>
                <c:pt idx="45">
                  <c:v>43815</c:v>
                </c:pt>
                <c:pt idx="46">
                  <c:v>43818</c:v>
                </c:pt>
                <c:pt idx="47">
                  <c:v>43837</c:v>
                </c:pt>
                <c:pt idx="48">
                  <c:v>43843</c:v>
                </c:pt>
                <c:pt idx="49">
                  <c:v>43850</c:v>
                </c:pt>
                <c:pt idx="50">
                  <c:v>43857</c:v>
                </c:pt>
                <c:pt idx="51">
                  <c:v>43865</c:v>
                </c:pt>
                <c:pt idx="52">
                  <c:v>43878</c:v>
                </c:pt>
                <c:pt idx="53">
                  <c:v>43886</c:v>
                </c:pt>
                <c:pt idx="54">
                  <c:v>43896</c:v>
                </c:pt>
                <c:pt idx="55">
                  <c:v>43970</c:v>
                </c:pt>
                <c:pt idx="56">
                  <c:v>43977</c:v>
                </c:pt>
                <c:pt idx="57">
                  <c:v>43984</c:v>
                </c:pt>
                <c:pt idx="58">
                  <c:v>43990</c:v>
                </c:pt>
                <c:pt idx="59">
                  <c:v>43997</c:v>
                </c:pt>
                <c:pt idx="60">
                  <c:v>44004</c:v>
                </c:pt>
                <c:pt idx="61">
                  <c:v>44018</c:v>
                </c:pt>
                <c:pt idx="62">
                  <c:v>44027</c:v>
                </c:pt>
                <c:pt idx="63">
                  <c:v>44039</c:v>
                </c:pt>
                <c:pt idx="64">
                  <c:v>44053</c:v>
                </c:pt>
                <c:pt idx="65">
                  <c:v>44075</c:v>
                </c:pt>
                <c:pt idx="66">
                  <c:v>44082</c:v>
                </c:pt>
                <c:pt idx="67">
                  <c:v>44112</c:v>
                </c:pt>
                <c:pt idx="68">
                  <c:v>44134</c:v>
                </c:pt>
                <c:pt idx="70">
                  <c:v>44134</c:v>
                </c:pt>
                <c:pt idx="72">
                  <c:v>44140</c:v>
                </c:pt>
                <c:pt idx="73">
                  <c:v>44172</c:v>
                </c:pt>
                <c:pt idx="74">
                  <c:v>44186</c:v>
                </c:pt>
                <c:pt idx="75">
                  <c:v>44203</c:v>
                </c:pt>
                <c:pt idx="76">
                  <c:v>44229</c:v>
                </c:pt>
                <c:pt idx="77">
                  <c:v>44245</c:v>
                </c:pt>
                <c:pt idx="78">
                  <c:v>44273</c:v>
                </c:pt>
                <c:pt idx="79">
                  <c:v>44287</c:v>
                </c:pt>
                <c:pt idx="80">
                  <c:v>44308</c:v>
                </c:pt>
                <c:pt idx="81">
                  <c:v>44322</c:v>
                </c:pt>
                <c:pt idx="82">
                  <c:v>44337</c:v>
                </c:pt>
                <c:pt idx="83">
                  <c:v>44351</c:v>
                </c:pt>
                <c:pt idx="84">
                  <c:v>44357</c:v>
                </c:pt>
                <c:pt idx="85">
                  <c:v>44362</c:v>
                </c:pt>
                <c:pt idx="86">
                  <c:v>44364</c:v>
                </c:pt>
                <c:pt idx="87">
                  <c:v>44369</c:v>
                </c:pt>
                <c:pt idx="88">
                  <c:v>44376</c:v>
                </c:pt>
                <c:pt idx="89">
                  <c:v>44378</c:v>
                </c:pt>
                <c:pt idx="90">
                  <c:v>44392</c:v>
                </c:pt>
                <c:pt idx="91">
                  <c:v>44400</c:v>
                </c:pt>
                <c:pt idx="92">
                  <c:v>44410</c:v>
                </c:pt>
                <c:pt idx="93">
                  <c:v>44453</c:v>
                </c:pt>
                <c:pt idx="94">
                  <c:v>44470</c:v>
                </c:pt>
                <c:pt idx="95">
                  <c:v>44489</c:v>
                </c:pt>
                <c:pt idx="96">
                  <c:v>44502</c:v>
                </c:pt>
                <c:pt idx="97">
                  <c:v>44915</c:v>
                </c:pt>
              </c:numCache>
            </c:numRef>
          </c:xVal>
          <c:yVal>
            <c:numRef>
              <c:f>Déplacements!$E$10:$E$111</c:f>
              <c:numCache>
                <c:formatCode>\+\ 0.0;\-\ 0.0;\±\ 0.0</c:formatCode>
                <c:ptCount val="102"/>
                <c:pt idx="0">
                  <c:v>0</c:v>
                </c:pt>
                <c:pt idx="1">
                  <c:v>-0.15000000000497948</c:v>
                </c:pt>
                <c:pt idx="2">
                  <c:v>-0.75000000001068656</c:v>
                </c:pt>
                <c:pt idx="3">
                  <c:v>-0.84999999999979536</c:v>
                </c:pt>
                <c:pt idx="4">
                  <c:v>-1.1500000000097543</c:v>
                </c:pt>
                <c:pt idx="5">
                  <c:v>-1.2499999999988631</c:v>
                </c:pt>
                <c:pt idx="6">
                  <c:v>-1.0500000000064347</c:v>
                </c:pt>
                <c:pt idx="7">
                  <c:v>-1.4500000000055024</c:v>
                </c:pt>
                <c:pt idx="8">
                  <c:v>-1.8500000000045702</c:v>
                </c:pt>
                <c:pt idx="9">
                  <c:v>-1.4500000000055024</c:v>
                </c:pt>
                <c:pt idx="10">
                  <c:v>-2.1500000000003183</c:v>
                </c:pt>
                <c:pt idx="11">
                  <c:v>-1.7500000000012506</c:v>
                </c:pt>
                <c:pt idx="12">
                  <c:v>-1.8500000000045702</c:v>
                </c:pt>
                <c:pt idx="13">
                  <c:v>-2.3500000000069576</c:v>
                </c:pt>
                <c:pt idx="14">
                  <c:v>-2.6500000000027057</c:v>
                </c:pt>
                <c:pt idx="15">
                  <c:v>-3.0500000000017735</c:v>
                </c:pt>
                <c:pt idx="16">
                  <c:v>-3.1500000000050932</c:v>
                </c:pt>
                <c:pt idx="17">
                  <c:v>-3.5500000000041609</c:v>
                </c:pt>
                <c:pt idx="18">
                  <c:v>-3.4500000000008413</c:v>
                </c:pt>
                <c:pt idx="19">
                  <c:v>-3.2500000000084128</c:v>
                </c:pt>
                <c:pt idx="20">
                  <c:v>-4.0500000000065484</c:v>
                </c:pt>
                <c:pt idx="21">
                  <c:v>-4.4500000000056161</c:v>
                </c:pt>
                <c:pt idx="22">
                  <c:v>-4.3500000000022965</c:v>
                </c:pt>
                <c:pt idx="23">
                  <c:v>-4.6499999999980446</c:v>
                </c:pt>
                <c:pt idx="24">
                  <c:v>-4.5500000000089358</c:v>
                </c:pt>
                <c:pt idx="25">
                  <c:v>-4.5500000000089358</c:v>
                </c:pt>
                <c:pt idx="26">
                  <c:v>-5.2500000000179625</c:v>
                </c:pt>
                <c:pt idx="27">
                  <c:v>-5.3000000000196223</c:v>
                </c:pt>
                <c:pt idx="28">
                  <c:v>-4.6499999999980446</c:v>
                </c:pt>
                <c:pt idx="29">
                  <c:v>-5.5499999999994998</c:v>
                </c:pt>
                <c:pt idx="30">
                  <c:v>-5.6500000000028194</c:v>
                </c:pt>
                <c:pt idx="31">
                  <c:v>-5.150000000000432</c:v>
                </c:pt>
                <c:pt idx="32">
                  <c:v>-5.2500000000037517</c:v>
                </c:pt>
                <c:pt idx="33">
                  <c:v>-5.7500000000061391</c:v>
                </c:pt>
                <c:pt idx="34">
                  <c:v>-5.5499999999994998</c:v>
                </c:pt>
                <c:pt idx="35">
                  <c:v>-5.7500000000061391</c:v>
                </c:pt>
                <c:pt idx="36">
                  <c:v>-5.8500000000094587</c:v>
                </c:pt>
                <c:pt idx="37">
                  <c:v>-5.7500000000061391</c:v>
                </c:pt>
                <c:pt idx="38">
                  <c:v>-5.7500000000061391</c:v>
                </c:pt>
                <c:pt idx="39">
                  <c:v>-6.2500000000085265</c:v>
                </c:pt>
                <c:pt idx="40">
                  <c:v>-6.1500000000052069</c:v>
                </c:pt>
                <c:pt idx="41">
                  <c:v>-6.0500000000018872</c:v>
                </c:pt>
                <c:pt idx="42">
                  <c:v>-6.0500000000018872</c:v>
                </c:pt>
                <c:pt idx="43">
                  <c:v>-6.6500000000075943</c:v>
                </c:pt>
                <c:pt idx="44">
                  <c:v>-5.9499999999985675</c:v>
                </c:pt>
                <c:pt idx="45">
                  <c:v>-6.9500000000033424</c:v>
                </c:pt>
                <c:pt idx="46">
                  <c:v>-6.5500000000042746</c:v>
                </c:pt>
                <c:pt idx="47">
                  <c:v>-6.7500000000109139</c:v>
                </c:pt>
                <c:pt idx="48">
                  <c:v>-6.7500000000109139</c:v>
                </c:pt>
                <c:pt idx="49">
                  <c:v>-6.7500000000109139</c:v>
                </c:pt>
                <c:pt idx="50">
                  <c:v>-7.2499999999990905</c:v>
                </c:pt>
                <c:pt idx="51">
                  <c:v>-7.6499999999981583</c:v>
                </c:pt>
                <c:pt idx="52">
                  <c:v>-7.8500000000047976</c:v>
                </c:pt>
                <c:pt idx="53">
                  <c:v>-7.7500000000014779</c:v>
                </c:pt>
                <c:pt idx="54">
                  <c:v>-7.7500000000014779</c:v>
                </c:pt>
                <c:pt idx="55">
                  <c:v>-8.5499999999996135</c:v>
                </c:pt>
                <c:pt idx="56">
                  <c:v>-8.1500000000005457</c:v>
                </c:pt>
                <c:pt idx="57">
                  <c:v>-8.2500000000038654</c:v>
                </c:pt>
                <c:pt idx="58">
                  <c:v>-8.6500000000029331</c:v>
                </c:pt>
                <c:pt idx="59">
                  <c:v>-7.5500000000090495</c:v>
                </c:pt>
                <c:pt idx="60">
                  <c:v>-8.1500000000005457</c:v>
                </c:pt>
                <c:pt idx="61">
                  <c:v>-8.350000000007185</c:v>
                </c:pt>
                <c:pt idx="62">
                  <c:v>-7.7500000000014779</c:v>
                </c:pt>
                <c:pt idx="63">
                  <c:v>-9.0500000000020009</c:v>
                </c:pt>
                <c:pt idx="64">
                  <c:v>-8.5499999999996135</c:v>
                </c:pt>
                <c:pt idx="65">
                  <c:v>-9.1500000000053205</c:v>
                </c:pt>
                <c:pt idx="66">
                  <c:v>-8.7500000000062528</c:v>
                </c:pt>
                <c:pt idx="68">
                  <c:v>-8.350000000007185</c:v>
                </c:pt>
                <c:pt idx="71">
                  <c:v>0</c:v>
                </c:pt>
                <c:pt idx="72">
                  <c:v>-9.1500000000053205</c:v>
                </c:pt>
                <c:pt idx="73">
                  <c:v>-8.9500000000128921</c:v>
                </c:pt>
                <c:pt idx="74">
                  <c:v>-9.4500000000152795</c:v>
                </c:pt>
                <c:pt idx="75">
                  <c:v>-9.1500000000053205</c:v>
                </c:pt>
                <c:pt idx="76">
                  <c:v>-9.1500000000053205</c:v>
                </c:pt>
                <c:pt idx="77">
                  <c:v>-9.1500000000053205</c:v>
                </c:pt>
                <c:pt idx="78">
                  <c:v>-9.8500000000143473</c:v>
                </c:pt>
                <c:pt idx="79">
                  <c:v>-8.9500000000128921</c:v>
                </c:pt>
                <c:pt idx="80">
                  <c:v>-9.2500000000086402</c:v>
                </c:pt>
                <c:pt idx="81">
                  <c:v>-9.7500000000110276</c:v>
                </c:pt>
                <c:pt idx="82">
                  <c:v>-9.9500000000176669</c:v>
                </c:pt>
                <c:pt idx="83">
                  <c:v>-8.9500000000128921</c:v>
                </c:pt>
                <c:pt idx="84">
                  <c:v>-9.1500000000053205</c:v>
                </c:pt>
                <c:pt idx="85">
                  <c:v>-9.5500000000043883</c:v>
                </c:pt>
                <c:pt idx="86">
                  <c:v>-10.650000000012483</c:v>
                </c:pt>
                <c:pt idx="87">
                  <c:v>-9.3500000000119599</c:v>
                </c:pt>
                <c:pt idx="88">
                  <c:v>-9.650000000007708</c:v>
                </c:pt>
                <c:pt idx="89">
                  <c:v>-9.650000000007708</c:v>
                </c:pt>
                <c:pt idx="90">
                  <c:v>-9.7500000000110276</c:v>
                </c:pt>
                <c:pt idx="91">
                  <c:v>-9.7500000000110276</c:v>
                </c:pt>
                <c:pt idx="93">
                  <c:v>-9.9500000000176669</c:v>
                </c:pt>
                <c:pt idx="94">
                  <c:v>-10.250000000013415</c:v>
                </c:pt>
                <c:pt idx="95">
                  <c:v>-10.650000000012483</c:v>
                </c:pt>
                <c:pt idx="96">
                  <c:v>-9.7500000000110276</c:v>
                </c:pt>
                <c:pt idx="97">
                  <c:v>-10.850000000004911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B02-481E-8C79-4DC4FAD20F8B}"/>
            </c:ext>
          </c:extLst>
        </c:ser>
        <c:ser>
          <c:idx val="6"/>
          <c:order val="4"/>
          <c:tx>
            <c:strRef>
              <c:f>Déplacements!$U$9</c:f>
              <c:strCache>
                <c:ptCount val="1"/>
                <c:pt idx="0">
                  <c:v>DZ inter droit</c:v>
                </c:pt>
              </c:strCache>
            </c:strRef>
          </c:tx>
          <c:spPr>
            <a:ln w="15875" cap="rnd">
              <a:solidFill>
                <a:schemeClr val="accent1">
                  <a:lumMod val="60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lumMod val="60000"/>
                      <a:tint val="50000"/>
                      <a:satMod val="300000"/>
                    </a:schemeClr>
                  </a:gs>
                  <a:gs pos="35000">
                    <a:schemeClr val="accent1">
                      <a:lumMod val="60000"/>
                      <a:tint val="37000"/>
                      <a:satMod val="300000"/>
                    </a:schemeClr>
                  </a:gs>
                  <a:gs pos="100000">
                    <a:schemeClr val="accent1">
                      <a:lumMod val="60000"/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1">
                    <a:lumMod val="60000"/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marker>
          <c:xVal>
            <c:numRef>
              <c:f>Déplacements!$B$10:$B$313</c:f>
              <c:numCache>
                <c:formatCode>dd\ /\ mm\ /\ yy</c:formatCode>
                <c:ptCount val="304"/>
                <c:pt idx="0">
                  <c:v>43655</c:v>
                </c:pt>
                <c:pt idx="1">
                  <c:v>43657</c:v>
                </c:pt>
                <c:pt idx="2">
                  <c:v>43661</c:v>
                </c:pt>
                <c:pt idx="3">
                  <c:v>43663</c:v>
                </c:pt>
                <c:pt idx="4">
                  <c:v>43669</c:v>
                </c:pt>
                <c:pt idx="5">
                  <c:v>43675</c:v>
                </c:pt>
                <c:pt idx="6">
                  <c:v>43679</c:v>
                </c:pt>
                <c:pt idx="7">
                  <c:v>43682</c:v>
                </c:pt>
                <c:pt idx="8">
                  <c:v>43684</c:v>
                </c:pt>
                <c:pt idx="9">
                  <c:v>43685</c:v>
                </c:pt>
                <c:pt idx="10">
                  <c:v>43689</c:v>
                </c:pt>
                <c:pt idx="11">
                  <c:v>43690</c:v>
                </c:pt>
                <c:pt idx="12">
                  <c:v>43696</c:v>
                </c:pt>
                <c:pt idx="13">
                  <c:v>43699</c:v>
                </c:pt>
                <c:pt idx="14">
                  <c:v>43703</c:v>
                </c:pt>
                <c:pt idx="15">
                  <c:v>43706</c:v>
                </c:pt>
                <c:pt idx="16">
                  <c:v>43710</c:v>
                </c:pt>
                <c:pt idx="17">
                  <c:v>43713</c:v>
                </c:pt>
                <c:pt idx="18">
                  <c:v>43718</c:v>
                </c:pt>
                <c:pt idx="19">
                  <c:v>43720</c:v>
                </c:pt>
                <c:pt idx="20">
                  <c:v>43724</c:v>
                </c:pt>
                <c:pt idx="21">
                  <c:v>43727</c:v>
                </c:pt>
                <c:pt idx="22">
                  <c:v>43731</c:v>
                </c:pt>
                <c:pt idx="23">
                  <c:v>43734</c:v>
                </c:pt>
                <c:pt idx="24">
                  <c:v>43738</c:v>
                </c:pt>
                <c:pt idx="25">
                  <c:v>43741</c:v>
                </c:pt>
                <c:pt idx="26">
                  <c:v>43746</c:v>
                </c:pt>
                <c:pt idx="27">
                  <c:v>43753</c:v>
                </c:pt>
                <c:pt idx="28">
                  <c:v>43756</c:v>
                </c:pt>
                <c:pt idx="29">
                  <c:v>43760</c:v>
                </c:pt>
                <c:pt idx="30">
                  <c:v>43762</c:v>
                </c:pt>
                <c:pt idx="31">
                  <c:v>43766</c:v>
                </c:pt>
                <c:pt idx="32">
                  <c:v>43769</c:v>
                </c:pt>
                <c:pt idx="33">
                  <c:v>43774</c:v>
                </c:pt>
                <c:pt idx="34">
                  <c:v>43776</c:v>
                </c:pt>
                <c:pt idx="35">
                  <c:v>43781</c:v>
                </c:pt>
                <c:pt idx="36">
                  <c:v>43783</c:v>
                </c:pt>
                <c:pt idx="37">
                  <c:v>43787</c:v>
                </c:pt>
                <c:pt idx="38">
                  <c:v>43790</c:v>
                </c:pt>
                <c:pt idx="39">
                  <c:v>43795</c:v>
                </c:pt>
                <c:pt idx="40">
                  <c:v>43797</c:v>
                </c:pt>
                <c:pt idx="41">
                  <c:v>43801</c:v>
                </c:pt>
                <c:pt idx="42">
                  <c:v>43803</c:v>
                </c:pt>
                <c:pt idx="43">
                  <c:v>43808</c:v>
                </c:pt>
                <c:pt idx="44">
                  <c:v>43811</c:v>
                </c:pt>
                <c:pt idx="45">
                  <c:v>43815</c:v>
                </c:pt>
                <c:pt idx="46">
                  <c:v>43818</c:v>
                </c:pt>
                <c:pt idx="47">
                  <c:v>43837</c:v>
                </c:pt>
                <c:pt idx="48">
                  <c:v>43843</c:v>
                </c:pt>
                <c:pt idx="49">
                  <c:v>43850</c:v>
                </c:pt>
                <c:pt idx="50">
                  <c:v>43857</c:v>
                </c:pt>
                <c:pt idx="51">
                  <c:v>43865</c:v>
                </c:pt>
                <c:pt idx="52">
                  <c:v>43878</c:v>
                </c:pt>
                <c:pt idx="53">
                  <c:v>43886</c:v>
                </c:pt>
                <c:pt idx="54">
                  <c:v>43896</c:v>
                </c:pt>
                <c:pt idx="55">
                  <c:v>43970</c:v>
                </c:pt>
                <c:pt idx="56">
                  <c:v>43977</c:v>
                </c:pt>
                <c:pt idx="57">
                  <c:v>43984</c:v>
                </c:pt>
                <c:pt idx="58">
                  <c:v>43990</c:v>
                </c:pt>
                <c:pt idx="59">
                  <c:v>43997</c:v>
                </c:pt>
                <c:pt idx="60">
                  <c:v>44004</c:v>
                </c:pt>
                <c:pt idx="61">
                  <c:v>44018</c:v>
                </c:pt>
                <c:pt idx="62">
                  <c:v>44027</c:v>
                </c:pt>
                <c:pt idx="63">
                  <c:v>44039</c:v>
                </c:pt>
                <c:pt idx="64">
                  <c:v>44053</c:v>
                </c:pt>
                <c:pt idx="65">
                  <c:v>44075</c:v>
                </c:pt>
                <c:pt idx="66">
                  <c:v>44082</c:v>
                </c:pt>
                <c:pt idx="67">
                  <c:v>44112</c:v>
                </c:pt>
                <c:pt idx="68">
                  <c:v>44134</c:v>
                </c:pt>
                <c:pt idx="70">
                  <c:v>44134</c:v>
                </c:pt>
                <c:pt idx="72">
                  <c:v>44140</c:v>
                </c:pt>
                <c:pt idx="73">
                  <c:v>44172</c:v>
                </c:pt>
                <c:pt idx="74">
                  <c:v>44186</c:v>
                </c:pt>
                <c:pt idx="75">
                  <c:v>44203</c:v>
                </c:pt>
                <c:pt idx="76">
                  <c:v>44229</c:v>
                </c:pt>
                <c:pt idx="77">
                  <c:v>44245</c:v>
                </c:pt>
                <c:pt idx="78">
                  <c:v>44273</c:v>
                </c:pt>
                <c:pt idx="79">
                  <c:v>44287</c:v>
                </c:pt>
                <c:pt idx="80">
                  <c:v>44308</c:v>
                </c:pt>
                <c:pt idx="81">
                  <c:v>44322</c:v>
                </c:pt>
                <c:pt idx="82">
                  <c:v>44337</c:v>
                </c:pt>
                <c:pt idx="83">
                  <c:v>44351</c:v>
                </c:pt>
                <c:pt idx="84">
                  <c:v>44357</c:v>
                </c:pt>
                <c:pt idx="85">
                  <c:v>44362</c:v>
                </c:pt>
                <c:pt idx="86">
                  <c:v>44364</c:v>
                </c:pt>
                <c:pt idx="87">
                  <c:v>44369</c:v>
                </c:pt>
                <c:pt idx="88">
                  <c:v>44376</c:v>
                </c:pt>
                <c:pt idx="89">
                  <c:v>44378</c:v>
                </c:pt>
                <c:pt idx="90">
                  <c:v>44392</c:v>
                </c:pt>
                <c:pt idx="91">
                  <c:v>44400</c:v>
                </c:pt>
                <c:pt idx="92">
                  <c:v>44410</c:v>
                </c:pt>
                <c:pt idx="93">
                  <c:v>44453</c:v>
                </c:pt>
                <c:pt idx="94">
                  <c:v>44470</c:v>
                </c:pt>
                <c:pt idx="95">
                  <c:v>44489</c:v>
                </c:pt>
                <c:pt idx="96">
                  <c:v>44502</c:v>
                </c:pt>
                <c:pt idx="97">
                  <c:v>44915</c:v>
                </c:pt>
              </c:numCache>
            </c:numRef>
          </c:xVal>
          <c:yVal>
            <c:numRef>
              <c:f>Déplacements!$U$10:$U$312</c:f>
              <c:numCache>
                <c:formatCode>\+\ 0.0;\-\ 0.0;\±\ 0.0</c:formatCode>
                <c:ptCount val="303"/>
                <c:pt idx="0">
                  <c:v>0</c:v>
                </c:pt>
                <c:pt idx="1">
                  <c:v>-0.15000000000497948</c:v>
                </c:pt>
                <c:pt idx="2">
                  <c:v>-0.95000000000311502</c:v>
                </c:pt>
                <c:pt idx="3">
                  <c:v>-0.25000000000829914</c:v>
                </c:pt>
                <c:pt idx="4">
                  <c:v>-0.84999999999979536</c:v>
                </c:pt>
                <c:pt idx="5">
                  <c:v>-0.95000000000311502</c:v>
                </c:pt>
                <c:pt idx="6">
                  <c:v>-0.35000000001161879</c:v>
                </c:pt>
                <c:pt idx="7">
                  <c:v>0</c:v>
                </c:pt>
                <c:pt idx="8">
                  <c:v>-1.1500000000097543</c:v>
                </c:pt>
                <c:pt idx="9">
                  <c:v>-0.55000000000404725</c:v>
                </c:pt>
                <c:pt idx="10">
                  <c:v>-1.0500000000064347</c:v>
                </c:pt>
                <c:pt idx="11">
                  <c:v>-0.65000000000736691</c:v>
                </c:pt>
                <c:pt idx="12">
                  <c:v>-0.35000000001161879</c:v>
                </c:pt>
                <c:pt idx="13">
                  <c:v>-0.75000000001068656</c:v>
                </c:pt>
                <c:pt idx="14">
                  <c:v>-0.84999999999979536</c:v>
                </c:pt>
                <c:pt idx="15">
                  <c:v>-0.95000000000311502</c:v>
                </c:pt>
                <c:pt idx="16">
                  <c:v>-1.0500000000064347</c:v>
                </c:pt>
                <c:pt idx="17">
                  <c:v>-1.3500000000021828</c:v>
                </c:pt>
                <c:pt idx="18">
                  <c:v>-0.75000000001068656</c:v>
                </c:pt>
                <c:pt idx="19">
                  <c:v>-0.4500000000007276</c:v>
                </c:pt>
                <c:pt idx="20">
                  <c:v>-1.1500000000097543</c:v>
                </c:pt>
                <c:pt idx="21">
                  <c:v>-1.1500000000097543</c:v>
                </c:pt>
                <c:pt idx="22">
                  <c:v>-1.1500000000097543</c:v>
                </c:pt>
                <c:pt idx="23">
                  <c:v>-1.250000000013074</c:v>
                </c:pt>
                <c:pt idx="24">
                  <c:v>-0.84999999999979536</c:v>
                </c:pt>
                <c:pt idx="25">
                  <c:v>-0.95000000000311502</c:v>
                </c:pt>
                <c:pt idx="26">
                  <c:v>-1.5999999999962711</c:v>
                </c:pt>
                <c:pt idx="27">
                  <c:v>-1.3833333333224118</c:v>
                </c:pt>
                <c:pt idx="28">
                  <c:v>-0.75000000001068656</c:v>
                </c:pt>
                <c:pt idx="29">
                  <c:v>-1.8500000000045702</c:v>
                </c:pt>
                <c:pt idx="30">
                  <c:v>-1.0500000000064347</c:v>
                </c:pt>
                <c:pt idx="31">
                  <c:v>-1.250000000013074</c:v>
                </c:pt>
                <c:pt idx="32">
                  <c:v>-1.0500000000064347</c:v>
                </c:pt>
                <c:pt idx="33">
                  <c:v>-1.4500000000055024</c:v>
                </c:pt>
                <c:pt idx="34">
                  <c:v>-1.0500000000064347</c:v>
                </c:pt>
                <c:pt idx="35">
                  <c:v>-1.1500000000097543</c:v>
                </c:pt>
                <c:pt idx="36">
                  <c:v>-1.250000000013074</c:v>
                </c:pt>
                <c:pt idx="37">
                  <c:v>-1.250000000013074</c:v>
                </c:pt>
                <c:pt idx="38">
                  <c:v>-1.1500000000097543</c:v>
                </c:pt>
                <c:pt idx="39">
                  <c:v>-1.3500000000021828</c:v>
                </c:pt>
                <c:pt idx="40">
                  <c:v>-1.250000000013074</c:v>
                </c:pt>
                <c:pt idx="41">
                  <c:v>-1.3500000000021828</c:v>
                </c:pt>
                <c:pt idx="42">
                  <c:v>-1.1500000000097543</c:v>
                </c:pt>
                <c:pt idx="43">
                  <c:v>-1.6500000000121418</c:v>
                </c:pt>
                <c:pt idx="44">
                  <c:v>-0.95000000000311502</c:v>
                </c:pt>
                <c:pt idx="45">
                  <c:v>-1.8500000000045702</c:v>
                </c:pt>
                <c:pt idx="46">
                  <c:v>-1.3500000000021828</c:v>
                </c:pt>
                <c:pt idx="47">
                  <c:v>-1.4500000000055024</c:v>
                </c:pt>
                <c:pt idx="48">
                  <c:v>-1.4500000000055024</c:v>
                </c:pt>
                <c:pt idx="49">
                  <c:v>-1.250000000013074</c:v>
                </c:pt>
                <c:pt idx="50">
                  <c:v>-1.4500000000055024</c:v>
                </c:pt>
                <c:pt idx="51">
                  <c:v>-1.9500000000078899</c:v>
                </c:pt>
                <c:pt idx="52">
                  <c:v>-1.9500000000078899</c:v>
                </c:pt>
                <c:pt idx="53">
                  <c:v>-1.7500000000012506</c:v>
                </c:pt>
                <c:pt idx="54">
                  <c:v>-1.6500000000121418</c:v>
                </c:pt>
                <c:pt idx="55">
                  <c:v>-1.7500000000012506</c:v>
                </c:pt>
                <c:pt idx="56">
                  <c:v>-1.6500000000121418</c:v>
                </c:pt>
                <c:pt idx="57">
                  <c:v>-1.7500000000012506</c:v>
                </c:pt>
                <c:pt idx="58">
                  <c:v>-2.1500000000003183</c:v>
                </c:pt>
                <c:pt idx="59">
                  <c:v>-0.84999999999979536</c:v>
                </c:pt>
                <c:pt idx="60">
                  <c:v>-1.5500000000088221</c:v>
                </c:pt>
                <c:pt idx="61">
                  <c:v>-1.6500000000121418</c:v>
                </c:pt>
                <c:pt idx="62">
                  <c:v>-0.95000000000311502</c:v>
                </c:pt>
                <c:pt idx="63">
                  <c:v>-2.250000000003638</c:v>
                </c:pt>
                <c:pt idx="64">
                  <c:v>-1.9500000000078899</c:v>
                </c:pt>
                <c:pt idx="65">
                  <c:v>-2.3500000000069576</c:v>
                </c:pt>
                <c:pt idx="66">
                  <c:v>-1.9500000000078899</c:v>
                </c:pt>
                <c:pt idx="67">
                  <c:v>-0.65000000000736691</c:v>
                </c:pt>
                <c:pt idx="68">
                  <c:v>-1.1500000000097543</c:v>
                </c:pt>
                <c:pt idx="72">
                  <c:v>-1.6500000000121418</c:v>
                </c:pt>
                <c:pt idx="73">
                  <c:v>-1.1500000000097543</c:v>
                </c:pt>
                <c:pt idx="74">
                  <c:v>-1.8500000000187811</c:v>
                </c:pt>
                <c:pt idx="75">
                  <c:v>-1.6500000000121418</c:v>
                </c:pt>
                <c:pt idx="76">
                  <c:v>-2.6500000000169166</c:v>
                </c:pt>
                <c:pt idx="77">
                  <c:v>-1.1500000000097543</c:v>
                </c:pt>
                <c:pt idx="78">
                  <c:v>-2.0500000000112095</c:v>
                </c:pt>
                <c:pt idx="79">
                  <c:v>-1.3500000000163936</c:v>
                </c:pt>
                <c:pt idx="80">
                  <c:v>-1.5500000000088221</c:v>
                </c:pt>
                <c:pt idx="81">
                  <c:v>-1.8500000000187811</c:v>
                </c:pt>
                <c:pt idx="82">
                  <c:v>-2.2500000000178488</c:v>
                </c:pt>
                <c:pt idx="83">
                  <c:v>-1.250000000013074</c:v>
                </c:pt>
                <c:pt idx="84">
                  <c:v>-1.3500000000163936</c:v>
                </c:pt>
                <c:pt idx="85">
                  <c:v>-1.9500000000078899</c:v>
                </c:pt>
                <c:pt idx="86">
                  <c:v>-2.6500000000169166</c:v>
                </c:pt>
                <c:pt idx="87">
                  <c:v>-1.5500000000088221</c:v>
                </c:pt>
                <c:pt idx="88">
                  <c:v>-1.8500000000187811</c:v>
                </c:pt>
                <c:pt idx="89">
                  <c:v>-1.9500000000078899</c:v>
                </c:pt>
                <c:pt idx="90">
                  <c:v>-1.8500000000187811</c:v>
                </c:pt>
                <c:pt idx="91">
                  <c:v>-1.8500000000187811</c:v>
                </c:pt>
                <c:pt idx="92">
                  <c:v>-1.8500000000187811</c:v>
                </c:pt>
                <c:pt idx="93">
                  <c:v>-2.0500000000112095</c:v>
                </c:pt>
                <c:pt idx="94">
                  <c:v>-1.9500000000078899</c:v>
                </c:pt>
                <c:pt idx="95">
                  <c:v>-2.4500000000102773</c:v>
                </c:pt>
                <c:pt idx="96">
                  <c:v>-1.5500000000088221</c:v>
                </c:pt>
                <c:pt idx="97">
                  <c:v>-1.9500000000078899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B02-481E-8C79-4DC4FAD20F8B}"/>
            </c:ext>
          </c:extLst>
        </c:ser>
        <c:ser>
          <c:idx val="8"/>
          <c:order val="6"/>
          <c:tx>
            <c:strRef>
              <c:f>Graphiques!#REF!</c:f>
              <c:strCache>
                <c:ptCount val="1"/>
                <c:pt idx="0">
                  <c:v>#REF!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none"/>
          </c:marker>
          <c:xVal>
            <c:numRef>
              <c:f>Graphiques!$AD$35:$AD$36</c:f>
              <c:numCache>
                <c:formatCode>m/d/yyyy</c:formatCode>
                <c:ptCount val="2"/>
              </c:numCache>
            </c:numRef>
          </c:xVal>
          <c:yVal>
            <c:numRef>
              <c:f>Graphiques!$AE$35:$AE$36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1B02-481E-8C79-4DC4FAD20F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7451704"/>
        <c:axId val="517452096"/>
      </c:scatterChart>
      <c:scatterChart>
        <c:scatterStyle val="lineMarker"/>
        <c:varyColors val="0"/>
        <c:ser>
          <c:idx val="7"/>
          <c:order val="5"/>
          <c:tx>
            <c:v>PM</c:v>
          </c:tx>
          <c:spPr>
            <a:ln w="15875" cap="rnd">
              <a:solidFill>
                <a:schemeClr val="accent2">
                  <a:lumMod val="60000"/>
                </a:schemeClr>
              </a:solidFill>
              <a:prstDash val="sysDot"/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none"/>
          </c:marker>
          <c:xVal>
            <c:numRef>
              <c:f>Déplacements!$B$10:$B$313</c:f>
              <c:numCache>
                <c:formatCode>dd\ /\ mm\ /\ yy</c:formatCode>
                <c:ptCount val="304"/>
                <c:pt idx="0">
                  <c:v>43655</c:v>
                </c:pt>
                <c:pt idx="1">
                  <c:v>43657</c:v>
                </c:pt>
                <c:pt idx="2">
                  <c:v>43661</c:v>
                </c:pt>
                <c:pt idx="3">
                  <c:v>43663</c:v>
                </c:pt>
                <c:pt idx="4">
                  <c:v>43669</c:v>
                </c:pt>
                <c:pt idx="5">
                  <c:v>43675</c:v>
                </c:pt>
                <c:pt idx="6">
                  <c:v>43679</c:v>
                </c:pt>
                <c:pt idx="7">
                  <c:v>43682</c:v>
                </c:pt>
                <c:pt idx="8">
                  <c:v>43684</c:v>
                </c:pt>
                <c:pt idx="9">
                  <c:v>43685</c:v>
                </c:pt>
                <c:pt idx="10">
                  <c:v>43689</c:v>
                </c:pt>
                <c:pt idx="11">
                  <c:v>43690</c:v>
                </c:pt>
                <c:pt idx="12">
                  <c:v>43696</c:v>
                </c:pt>
                <c:pt idx="13">
                  <c:v>43699</c:v>
                </c:pt>
                <c:pt idx="14">
                  <c:v>43703</c:v>
                </c:pt>
                <c:pt idx="15">
                  <c:v>43706</c:v>
                </c:pt>
                <c:pt idx="16">
                  <c:v>43710</c:v>
                </c:pt>
                <c:pt idx="17">
                  <c:v>43713</c:v>
                </c:pt>
                <c:pt idx="18">
                  <c:v>43718</c:v>
                </c:pt>
                <c:pt idx="19">
                  <c:v>43720</c:v>
                </c:pt>
                <c:pt idx="20">
                  <c:v>43724</c:v>
                </c:pt>
                <c:pt idx="21">
                  <c:v>43727</c:v>
                </c:pt>
                <c:pt idx="22">
                  <c:v>43731</c:v>
                </c:pt>
                <c:pt idx="23">
                  <c:v>43734</c:v>
                </c:pt>
                <c:pt idx="24">
                  <c:v>43738</c:v>
                </c:pt>
                <c:pt idx="25">
                  <c:v>43741</c:v>
                </c:pt>
                <c:pt idx="26">
                  <c:v>43746</c:v>
                </c:pt>
                <c:pt idx="27">
                  <c:v>43753</c:v>
                </c:pt>
                <c:pt idx="28">
                  <c:v>43756</c:v>
                </c:pt>
                <c:pt idx="29">
                  <c:v>43760</c:v>
                </c:pt>
                <c:pt idx="30">
                  <c:v>43762</c:v>
                </c:pt>
                <c:pt idx="31">
                  <c:v>43766</c:v>
                </c:pt>
                <c:pt idx="32">
                  <c:v>43769</c:v>
                </c:pt>
                <c:pt idx="33">
                  <c:v>43774</c:v>
                </c:pt>
                <c:pt idx="34">
                  <c:v>43776</c:v>
                </c:pt>
                <c:pt idx="35">
                  <c:v>43781</c:v>
                </c:pt>
                <c:pt idx="36">
                  <c:v>43783</c:v>
                </c:pt>
                <c:pt idx="37">
                  <c:v>43787</c:v>
                </c:pt>
                <c:pt idx="38">
                  <c:v>43790</c:v>
                </c:pt>
                <c:pt idx="39">
                  <c:v>43795</c:v>
                </c:pt>
                <c:pt idx="40">
                  <c:v>43797</c:v>
                </c:pt>
                <c:pt idx="41">
                  <c:v>43801</c:v>
                </c:pt>
                <c:pt idx="42">
                  <c:v>43803</c:v>
                </c:pt>
                <c:pt idx="43">
                  <c:v>43808</c:v>
                </c:pt>
                <c:pt idx="44">
                  <c:v>43811</c:v>
                </c:pt>
                <c:pt idx="45">
                  <c:v>43815</c:v>
                </c:pt>
                <c:pt idx="46">
                  <c:v>43818</c:v>
                </c:pt>
                <c:pt idx="47">
                  <c:v>43837</c:v>
                </c:pt>
                <c:pt idx="48">
                  <c:v>43843</c:v>
                </c:pt>
                <c:pt idx="49">
                  <c:v>43850</c:v>
                </c:pt>
                <c:pt idx="50">
                  <c:v>43857</c:v>
                </c:pt>
                <c:pt idx="51">
                  <c:v>43865</c:v>
                </c:pt>
                <c:pt idx="52">
                  <c:v>43878</c:v>
                </c:pt>
                <c:pt idx="53">
                  <c:v>43886</c:v>
                </c:pt>
                <c:pt idx="54">
                  <c:v>43896</c:v>
                </c:pt>
                <c:pt idx="55">
                  <c:v>43970</c:v>
                </c:pt>
                <c:pt idx="56">
                  <c:v>43977</c:v>
                </c:pt>
                <c:pt idx="57">
                  <c:v>43984</c:v>
                </c:pt>
                <c:pt idx="58">
                  <c:v>43990</c:v>
                </c:pt>
                <c:pt idx="59">
                  <c:v>43997</c:v>
                </c:pt>
                <c:pt idx="60">
                  <c:v>44004</c:v>
                </c:pt>
                <c:pt idx="61">
                  <c:v>44018</c:v>
                </c:pt>
                <c:pt idx="62">
                  <c:v>44027</c:v>
                </c:pt>
                <c:pt idx="63">
                  <c:v>44039</c:v>
                </c:pt>
                <c:pt idx="64">
                  <c:v>44053</c:v>
                </c:pt>
                <c:pt idx="65">
                  <c:v>44075</c:v>
                </c:pt>
                <c:pt idx="66">
                  <c:v>44082</c:v>
                </c:pt>
                <c:pt idx="67">
                  <c:v>44112</c:v>
                </c:pt>
                <c:pt idx="68">
                  <c:v>44134</c:v>
                </c:pt>
                <c:pt idx="70">
                  <c:v>44134</c:v>
                </c:pt>
                <c:pt idx="72">
                  <c:v>44140</c:v>
                </c:pt>
                <c:pt idx="73">
                  <c:v>44172</c:v>
                </c:pt>
                <c:pt idx="74">
                  <c:v>44186</c:v>
                </c:pt>
                <c:pt idx="75">
                  <c:v>44203</c:v>
                </c:pt>
                <c:pt idx="76">
                  <c:v>44229</c:v>
                </c:pt>
                <c:pt idx="77">
                  <c:v>44245</c:v>
                </c:pt>
                <c:pt idx="78">
                  <c:v>44273</c:v>
                </c:pt>
                <c:pt idx="79">
                  <c:v>44287</c:v>
                </c:pt>
                <c:pt idx="80">
                  <c:v>44308</c:v>
                </c:pt>
                <c:pt idx="81">
                  <c:v>44322</c:v>
                </c:pt>
                <c:pt idx="82">
                  <c:v>44337</c:v>
                </c:pt>
                <c:pt idx="83">
                  <c:v>44351</c:v>
                </c:pt>
                <c:pt idx="84">
                  <c:v>44357</c:v>
                </c:pt>
                <c:pt idx="85">
                  <c:v>44362</c:v>
                </c:pt>
                <c:pt idx="86">
                  <c:v>44364</c:v>
                </c:pt>
                <c:pt idx="87">
                  <c:v>44369</c:v>
                </c:pt>
                <c:pt idx="88">
                  <c:v>44376</c:v>
                </c:pt>
                <c:pt idx="89">
                  <c:v>44378</c:v>
                </c:pt>
                <c:pt idx="90">
                  <c:v>44392</c:v>
                </c:pt>
                <c:pt idx="91">
                  <c:v>44400</c:v>
                </c:pt>
                <c:pt idx="92">
                  <c:v>44410</c:v>
                </c:pt>
                <c:pt idx="93">
                  <c:v>44453</c:v>
                </c:pt>
                <c:pt idx="94">
                  <c:v>44470</c:v>
                </c:pt>
                <c:pt idx="95">
                  <c:v>44489</c:v>
                </c:pt>
                <c:pt idx="96">
                  <c:v>44502</c:v>
                </c:pt>
                <c:pt idx="97">
                  <c:v>44915</c:v>
                </c:pt>
              </c:numCache>
            </c:numRef>
          </c:xVal>
          <c:yVal>
            <c:numRef>
              <c:f>'Résultats observations'!$C$10:$C$311</c:f>
              <c:numCache>
                <c:formatCode>0.0</c:formatCode>
                <c:ptCount val="302"/>
                <c:pt idx="0">
                  <c:v>184.3</c:v>
                </c:pt>
                <c:pt idx="1">
                  <c:v>185.03</c:v>
                </c:pt>
                <c:pt idx="2">
                  <c:v>187.2</c:v>
                </c:pt>
                <c:pt idx="3">
                  <c:v>188.17</c:v>
                </c:pt>
                <c:pt idx="4">
                  <c:v>189.2</c:v>
                </c:pt>
                <c:pt idx="5">
                  <c:v>191.5</c:v>
                </c:pt>
                <c:pt idx="6">
                  <c:v>192.5</c:v>
                </c:pt>
                <c:pt idx="7">
                  <c:v>193.04</c:v>
                </c:pt>
                <c:pt idx="8">
                  <c:v>193.6</c:v>
                </c:pt>
                <c:pt idx="9">
                  <c:v>193.6</c:v>
                </c:pt>
                <c:pt idx="10">
                  <c:v>194.8</c:v>
                </c:pt>
                <c:pt idx="11">
                  <c:v>194.8</c:v>
                </c:pt>
                <c:pt idx="12">
                  <c:v>195.4</c:v>
                </c:pt>
                <c:pt idx="13">
                  <c:v>196.35</c:v>
                </c:pt>
                <c:pt idx="14">
                  <c:v>196.35</c:v>
                </c:pt>
                <c:pt idx="15">
                  <c:v>198.3</c:v>
                </c:pt>
                <c:pt idx="16">
                  <c:v>199.4</c:v>
                </c:pt>
                <c:pt idx="17">
                  <c:v>200.6</c:v>
                </c:pt>
                <c:pt idx="18">
                  <c:v>202.58</c:v>
                </c:pt>
                <c:pt idx="19">
                  <c:v>203.6</c:v>
                </c:pt>
                <c:pt idx="20">
                  <c:v>203.6</c:v>
                </c:pt>
                <c:pt idx="21">
                  <c:v>206.32</c:v>
                </c:pt>
                <c:pt idx="22">
                  <c:v>206.32</c:v>
                </c:pt>
                <c:pt idx="23">
                  <c:v>206.32</c:v>
                </c:pt>
                <c:pt idx="24">
                  <c:v>206.32</c:v>
                </c:pt>
                <c:pt idx="25">
                  <c:v>207.2</c:v>
                </c:pt>
                <c:pt idx="26">
                  <c:v>208.3</c:v>
                </c:pt>
                <c:pt idx="27">
                  <c:v>212.65</c:v>
                </c:pt>
                <c:pt idx="28">
                  <c:v>213.5</c:v>
                </c:pt>
                <c:pt idx="29">
                  <c:v>215</c:v>
                </c:pt>
                <c:pt idx="30">
                  <c:v>215</c:v>
                </c:pt>
                <c:pt idx="31">
                  <c:v>215.55</c:v>
                </c:pt>
                <c:pt idx="32">
                  <c:v>216.87</c:v>
                </c:pt>
                <c:pt idx="33">
                  <c:v>217.7</c:v>
                </c:pt>
                <c:pt idx="34">
                  <c:v>218.7</c:v>
                </c:pt>
                <c:pt idx="35">
                  <c:v>218.7</c:v>
                </c:pt>
                <c:pt idx="36">
                  <c:v>220.5</c:v>
                </c:pt>
                <c:pt idx="37">
                  <c:v>221.7</c:v>
                </c:pt>
                <c:pt idx="38">
                  <c:v>222.9</c:v>
                </c:pt>
                <c:pt idx="39">
                  <c:v>222.9</c:v>
                </c:pt>
                <c:pt idx="40">
                  <c:v>222.9</c:v>
                </c:pt>
                <c:pt idx="41">
                  <c:v>222.9</c:v>
                </c:pt>
                <c:pt idx="42">
                  <c:v>222.9</c:v>
                </c:pt>
                <c:pt idx="43">
                  <c:v>222.9</c:v>
                </c:pt>
                <c:pt idx="44">
                  <c:v>222.9</c:v>
                </c:pt>
                <c:pt idx="45">
                  <c:v>222.9</c:v>
                </c:pt>
                <c:pt idx="46">
                  <c:v>222.9</c:v>
                </c:pt>
                <c:pt idx="47">
                  <c:v>222.9</c:v>
                </c:pt>
                <c:pt idx="48">
                  <c:v>222.9</c:v>
                </c:pt>
                <c:pt idx="49">
                  <c:v>222.9</c:v>
                </c:pt>
                <c:pt idx="50">
                  <c:v>222.9</c:v>
                </c:pt>
                <c:pt idx="51">
                  <c:v>222.9</c:v>
                </c:pt>
                <c:pt idx="52">
                  <c:v>222.9</c:v>
                </c:pt>
                <c:pt idx="53">
                  <c:v>222.9</c:v>
                </c:pt>
                <c:pt idx="54">
                  <c:v>222.9</c:v>
                </c:pt>
                <c:pt idx="55">
                  <c:v>222.9</c:v>
                </c:pt>
                <c:pt idx="56">
                  <c:v>222.9</c:v>
                </c:pt>
                <c:pt idx="57">
                  <c:v>222.9</c:v>
                </c:pt>
                <c:pt idx="58">
                  <c:v>222.9</c:v>
                </c:pt>
                <c:pt idx="59">
                  <c:v>223.9</c:v>
                </c:pt>
                <c:pt idx="60">
                  <c:v>223.9</c:v>
                </c:pt>
                <c:pt idx="61">
                  <c:v>223.9</c:v>
                </c:pt>
                <c:pt idx="62">
                  <c:v>223.9</c:v>
                </c:pt>
                <c:pt idx="63">
                  <c:v>223.9</c:v>
                </c:pt>
                <c:pt idx="64">
                  <c:v>223.9</c:v>
                </c:pt>
                <c:pt idx="65">
                  <c:v>223.9</c:v>
                </c:pt>
                <c:pt idx="66">
                  <c:v>223.9</c:v>
                </c:pt>
                <c:pt idx="67">
                  <c:v>223.9</c:v>
                </c:pt>
                <c:pt idx="68">
                  <c:v>223.9</c:v>
                </c:pt>
                <c:pt idx="70">
                  <c:v>223.9</c:v>
                </c:pt>
                <c:pt idx="72">
                  <c:v>223.9</c:v>
                </c:pt>
                <c:pt idx="73">
                  <c:v>223.9</c:v>
                </c:pt>
                <c:pt idx="74">
                  <c:v>223.9</c:v>
                </c:pt>
                <c:pt idx="75">
                  <c:v>223.9</c:v>
                </c:pt>
                <c:pt idx="76">
                  <c:v>223.9</c:v>
                </c:pt>
                <c:pt idx="77">
                  <c:v>223.9</c:v>
                </c:pt>
                <c:pt idx="78">
                  <c:v>223.9</c:v>
                </c:pt>
                <c:pt idx="79">
                  <c:v>223.9</c:v>
                </c:pt>
                <c:pt idx="80">
                  <c:v>223.9</c:v>
                </c:pt>
                <c:pt idx="81">
                  <c:v>223.9</c:v>
                </c:pt>
                <c:pt idx="82">
                  <c:v>223.9</c:v>
                </c:pt>
                <c:pt idx="83">
                  <c:v>223.9</c:v>
                </c:pt>
                <c:pt idx="84">
                  <c:v>223.9</c:v>
                </c:pt>
                <c:pt idx="85">
                  <c:v>223.9</c:v>
                </c:pt>
                <c:pt idx="86">
                  <c:v>223.9</c:v>
                </c:pt>
                <c:pt idx="87">
                  <c:v>223.9</c:v>
                </c:pt>
                <c:pt idx="88">
                  <c:v>223.9</c:v>
                </c:pt>
                <c:pt idx="89">
                  <c:v>223.9</c:v>
                </c:pt>
                <c:pt idx="90">
                  <c:v>223.9</c:v>
                </c:pt>
                <c:pt idx="91">
                  <c:v>223.9</c:v>
                </c:pt>
                <c:pt idx="92">
                  <c:v>223.9</c:v>
                </c:pt>
                <c:pt idx="93">
                  <c:v>223.9</c:v>
                </c:pt>
                <c:pt idx="94">
                  <c:v>223.9</c:v>
                </c:pt>
                <c:pt idx="95">
                  <c:v>223.9</c:v>
                </c:pt>
                <c:pt idx="96">
                  <c:v>223.9</c:v>
                </c:pt>
                <c:pt idx="97">
                  <c:v>223.9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B02-481E-8C79-4DC4FAD20F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7452880"/>
        <c:axId val="517452488"/>
      </c:scatterChart>
      <c:valAx>
        <c:axId val="517451704"/>
        <c:scaling>
          <c:orientation val="minMax"/>
          <c:max val="44950"/>
          <c:min val="4365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Date</a:t>
                </a:r>
              </a:p>
            </c:rich>
          </c:tx>
          <c:layout>
            <c:manualLayout>
              <c:xMode val="edge"/>
              <c:yMode val="edge"/>
              <c:x val="0.91621151220831765"/>
              <c:y val="0.8522671490388025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dd/mm/yyyy" sourceLinked="0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17452096"/>
        <c:crossesAt val="0"/>
        <c:crossBetween val="midCat"/>
        <c:majorUnit val="40"/>
      </c:valAx>
      <c:valAx>
        <c:axId val="517452096"/>
        <c:scaling>
          <c:orientation val="minMax"/>
          <c:max val="5"/>
          <c:min val="-4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>
              <a:solidFill>
                <a:schemeClr val="tx1">
                  <a:lumMod val="5000"/>
                  <a:lumOff val="95000"/>
                </a:schemeClr>
              </a:solidFill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Déplacement [mm]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\+\ 0.0;\-\ 0.0;\±\ 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17451704"/>
        <c:crosses val="autoZero"/>
        <c:crossBetween val="midCat"/>
        <c:majorUnit val="5"/>
        <c:minorUnit val="1"/>
      </c:valAx>
      <c:valAx>
        <c:axId val="517452488"/>
        <c:scaling>
          <c:orientation val="minMax"/>
          <c:min val="180"/>
        </c:scaling>
        <c:delete val="0"/>
        <c:axPos val="r"/>
        <c:numFmt formatCode="0.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17452880"/>
        <c:crosses val="max"/>
        <c:crossBetween val="midCat"/>
      </c:valAx>
      <c:valAx>
        <c:axId val="517452880"/>
        <c:scaling>
          <c:orientation val="minMax"/>
        </c:scaling>
        <c:delete val="1"/>
        <c:axPos val="b"/>
        <c:numFmt formatCode="dd\ /\ mm\ /\ yy" sourceLinked="1"/>
        <c:majorTickMark val="out"/>
        <c:minorTickMark val="none"/>
        <c:tickLblPos val="nextTo"/>
        <c:crossAx val="5174524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5"/>
        <c:delete val="1"/>
      </c:legendEntry>
      <c:layout>
        <c:manualLayout>
          <c:xMode val="edge"/>
          <c:yMode val="edge"/>
          <c:x val="0.25723300710509156"/>
          <c:y val="0.63094378704744281"/>
          <c:w val="0.59545744649755628"/>
          <c:h val="0.1423754434675304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span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 alignWithMargins="0"/>
    <c:pageMargins b="0.98425196899999956" l="0.78740157499999996" r="0.78740157499999996" t="0.98425196899999956" header="0.49212598450000444" footer="0.49212598450000444"/>
    <c:pageSetup paperSize="9" orientation="landscape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Déplacement en PM</a:t>
            </a:r>
          </a:p>
        </c:rich>
      </c:tx>
      <c:layout>
        <c:manualLayout>
          <c:xMode val="edge"/>
          <c:yMode val="edge"/>
          <c:x val="0.39544064320853911"/>
          <c:y val="1.574107849133844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8.6758248843572708E-2"/>
          <c:y val="5.9742866745908424E-2"/>
          <c:w val="0.8201330150247067"/>
          <c:h val="0.74711986067519143"/>
        </c:manualLayout>
      </c:layout>
      <c:scatterChart>
        <c:scatterStyle val="lineMarker"/>
        <c:varyColors val="0"/>
        <c:ser>
          <c:idx val="1"/>
          <c:order val="0"/>
          <c:tx>
            <c:strRef>
              <c:f>Déplacements!$K$9</c:f>
              <c:strCache>
                <c:ptCount val="1"/>
                <c:pt idx="0">
                  <c:v>DPM centre haut</c:v>
                </c:pt>
              </c:strCache>
            </c:strRef>
          </c:tx>
          <c:spPr>
            <a:ln w="15875" cap="rnd">
              <a:solidFill>
                <a:schemeClr val="accent2"/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2">
                      <a:tint val="50000"/>
                      <a:satMod val="300000"/>
                    </a:schemeClr>
                  </a:gs>
                  <a:gs pos="35000">
                    <a:schemeClr val="accent2">
                      <a:tint val="37000"/>
                      <a:satMod val="300000"/>
                    </a:schemeClr>
                  </a:gs>
                  <a:gs pos="100000">
                    <a:schemeClr val="accent2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marker>
          <c:xVal>
            <c:numRef>
              <c:f>Déplacements!$B$10:$B$133</c:f>
              <c:numCache>
                <c:formatCode>dd\ /\ mm\ /\ yy</c:formatCode>
                <c:ptCount val="124"/>
                <c:pt idx="0">
                  <c:v>43655</c:v>
                </c:pt>
                <c:pt idx="1">
                  <c:v>43657</c:v>
                </c:pt>
                <c:pt idx="2">
                  <c:v>43661</c:v>
                </c:pt>
                <c:pt idx="3">
                  <c:v>43663</c:v>
                </c:pt>
                <c:pt idx="4">
                  <c:v>43669</c:v>
                </c:pt>
                <c:pt idx="5">
                  <c:v>43675</c:v>
                </c:pt>
                <c:pt idx="6">
                  <c:v>43679</c:v>
                </c:pt>
                <c:pt idx="7">
                  <c:v>43682</c:v>
                </c:pt>
                <c:pt idx="8">
                  <c:v>43684</c:v>
                </c:pt>
                <c:pt idx="9">
                  <c:v>43685</c:v>
                </c:pt>
                <c:pt idx="10">
                  <c:v>43689</c:v>
                </c:pt>
                <c:pt idx="11">
                  <c:v>43690</c:v>
                </c:pt>
                <c:pt idx="12">
                  <c:v>43696</c:v>
                </c:pt>
                <c:pt idx="13">
                  <c:v>43699</c:v>
                </c:pt>
                <c:pt idx="14">
                  <c:v>43703</c:v>
                </c:pt>
                <c:pt idx="15">
                  <c:v>43706</c:v>
                </c:pt>
                <c:pt idx="16">
                  <c:v>43710</c:v>
                </c:pt>
                <c:pt idx="17">
                  <c:v>43713</c:v>
                </c:pt>
                <c:pt idx="18">
                  <c:v>43718</c:v>
                </c:pt>
                <c:pt idx="19">
                  <c:v>43720</c:v>
                </c:pt>
                <c:pt idx="20">
                  <c:v>43724</c:v>
                </c:pt>
                <c:pt idx="21">
                  <c:v>43727</c:v>
                </c:pt>
                <c:pt idx="22">
                  <c:v>43731</c:v>
                </c:pt>
                <c:pt idx="23">
                  <c:v>43734</c:v>
                </c:pt>
                <c:pt idx="24">
                  <c:v>43738</c:v>
                </c:pt>
                <c:pt idx="25">
                  <c:v>43741</c:v>
                </c:pt>
                <c:pt idx="26">
                  <c:v>43746</c:v>
                </c:pt>
                <c:pt idx="27">
                  <c:v>43753</c:v>
                </c:pt>
                <c:pt idx="28">
                  <c:v>43756</c:v>
                </c:pt>
                <c:pt idx="29">
                  <c:v>43760</c:v>
                </c:pt>
                <c:pt idx="30">
                  <c:v>43762</c:v>
                </c:pt>
                <c:pt idx="31">
                  <c:v>43766</c:v>
                </c:pt>
                <c:pt idx="32">
                  <c:v>43769</c:v>
                </c:pt>
                <c:pt idx="33">
                  <c:v>43774</c:v>
                </c:pt>
                <c:pt idx="34">
                  <c:v>43776</c:v>
                </c:pt>
                <c:pt idx="35">
                  <c:v>43781</c:v>
                </c:pt>
                <c:pt idx="36">
                  <c:v>43783</c:v>
                </c:pt>
                <c:pt idx="37">
                  <c:v>43787</c:v>
                </c:pt>
                <c:pt idx="38">
                  <c:v>43790</c:v>
                </c:pt>
                <c:pt idx="39">
                  <c:v>43795</c:v>
                </c:pt>
                <c:pt idx="40">
                  <c:v>43797</c:v>
                </c:pt>
                <c:pt idx="41">
                  <c:v>43801</c:v>
                </c:pt>
                <c:pt idx="42">
                  <c:v>43803</c:v>
                </c:pt>
                <c:pt idx="43">
                  <c:v>43808</c:v>
                </c:pt>
                <c:pt idx="44">
                  <c:v>43811</c:v>
                </c:pt>
                <c:pt idx="45">
                  <c:v>43815</c:v>
                </c:pt>
                <c:pt idx="46">
                  <c:v>43818</c:v>
                </c:pt>
                <c:pt idx="47">
                  <c:v>43837</c:v>
                </c:pt>
                <c:pt idx="48">
                  <c:v>43843</c:v>
                </c:pt>
                <c:pt idx="49">
                  <c:v>43850</c:v>
                </c:pt>
                <c:pt idx="50">
                  <c:v>43857</c:v>
                </c:pt>
                <c:pt idx="51">
                  <c:v>43865</c:v>
                </c:pt>
                <c:pt idx="52">
                  <c:v>43878</c:v>
                </c:pt>
                <c:pt idx="53">
                  <c:v>43886</c:v>
                </c:pt>
                <c:pt idx="54">
                  <c:v>43896</c:v>
                </c:pt>
                <c:pt idx="55">
                  <c:v>43970</c:v>
                </c:pt>
                <c:pt idx="56">
                  <c:v>43977</c:v>
                </c:pt>
                <c:pt idx="57">
                  <c:v>43984</c:v>
                </c:pt>
                <c:pt idx="58">
                  <c:v>43990</c:v>
                </c:pt>
                <c:pt idx="59">
                  <c:v>43997</c:v>
                </c:pt>
                <c:pt idx="60">
                  <c:v>44004</c:v>
                </c:pt>
                <c:pt idx="61">
                  <c:v>44018</c:v>
                </c:pt>
                <c:pt idx="62">
                  <c:v>44027</c:v>
                </c:pt>
                <c:pt idx="63">
                  <c:v>44039</c:v>
                </c:pt>
                <c:pt idx="64">
                  <c:v>44053</c:v>
                </c:pt>
                <c:pt idx="65">
                  <c:v>44075</c:v>
                </c:pt>
                <c:pt idx="66">
                  <c:v>44082</c:v>
                </c:pt>
                <c:pt idx="67">
                  <c:v>44112</c:v>
                </c:pt>
                <c:pt idx="68">
                  <c:v>44134</c:v>
                </c:pt>
                <c:pt idx="70">
                  <c:v>44134</c:v>
                </c:pt>
                <c:pt idx="72">
                  <c:v>44140</c:v>
                </c:pt>
                <c:pt idx="73">
                  <c:v>44172</c:v>
                </c:pt>
                <c:pt idx="74">
                  <c:v>44186</c:v>
                </c:pt>
                <c:pt idx="75">
                  <c:v>44203</c:v>
                </c:pt>
                <c:pt idx="76">
                  <c:v>44229</c:v>
                </c:pt>
                <c:pt idx="77">
                  <c:v>44245</c:v>
                </c:pt>
                <c:pt idx="78">
                  <c:v>44273</c:v>
                </c:pt>
                <c:pt idx="79">
                  <c:v>44287</c:v>
                </c:pt>
                <c:pt idx="80">
                  <c:v>44308</c:v>
                </c:pt>
                <c:pt idx="81">
                  <c:v>44322</c:v>
                </c:pt>
                <c:pt idx="82">
                  <c:v>44337</c:v>
                </c:pt>
                <c:pt idx="83">
                  <c:v>44351</c:v>
                </c:pt>
                <c:pt idx="84">
                  <c:v>44357</c:v>
                </c:pt>
                <c:pt idx="85">
                  <c:v>44362</c:v>
                </c:pt>
                <c:pt idx="86">
                  <c:v>44364</c:v>
                </c:pt>
                <c:pt idx="87">
                  <c:v>44369</c:v>
                </c:pt>
                <c:pt idx="88">
                  <c:v>44376</c:v>
                </c:pt>
                <c:pt idx="89">
                  <c:v>44378</c:v>
                </c:pt>
                <c:pt idx="90">
                  <c:v>44392</c:v>
                </c:pt>
                <c:pt idx="91">
                  <c:v>44400</c:v>
                </c:pt>
                <c:pt idx="92">
                  <c:v>44410</c:v>
                </c:pt>
                <c:pt idx="93">
                  <c:v>44453</c:v>
                </c:pt>
                <c:pt idx="94">
                  <c:v>44470</c:v>
                </c:pt>
                <c:pt idx="95">
                  <c:v>44489</c:v>
                </c:pt>
                <c:pt idx="96">
                  <c:v>44502</c:v>
                </c:pt>
                <c:pt idx="97">
                  <c:v>44915</c:v>
                </c:pt>
              </c:numCache>
            </c:numRef>
          </c:xVal>
          <c:yVal>
            <c:numRef>
              <c:f>Déplacements!$K$10:$K$132</c:f>
              <c:numCache>
                <c:formatCode>\+\ 0.0;\-\ 0.0;\±\ 0.0</c:formatCode>
                <c:ptCount val="123"/>
                <c:pt idx="0">
                  <c:v>0</c:v>
                </c:pt>
                <c:pt idx="1">
                  <c:v>0.40000000001327862</c:v>
                </c:pt>
                <c:pt idx="2">
                  <c:v>0.90000000000145519</c:v>
                </c:pt>
                <c:pt idx="3">
                  <c:v>0.69999999999481588</c:v>
                </c:pt>
                <c:pt idx="4">
                  <c:v>-0.59999999999149622</c:v>
                </c:pt>
                <c:pt idx="5">
                  <c:v>-1.2000000000114142</c:v>
                </c:pt>
                <c:pt idx="6">
                  <c:v>-1.0686999999904856</c:v>
                </c:pt>
                <c:pt idx="7">
                  <c:v>-1.7209699263105449</c:v>
                </c:pt>
                <c:pt idx="8">
                  <c:v>-0.87519999999585707</c:v>
                </c:pt>
                <c:pt idx="9">
                  <c:v>-0.85079999999493339</c:v>
                </c:pt>
                <c:pt idx="10">
                  <c:v>-2.300899999994499</c:v>
                </c:pt>
                <c:pt idx="11">
                  <c:v>-2.0106999999995878</c:v>
                </c:pt>
                <c:pt idx="12">
                  <c:v>-1.5999999999962711</c:v>
                </c:pt>
                <c:pt idx="13">
                  <c:v>-1.90000000000623</c:v>
                </c:pt>
                <c:pt idx="14">
                  <c:v>-2.9000000000110049</c:v>
                </c:pt>
                <c:pt idx="15">
                  <c:v>-2.9000000000110049</c:v>
                </c:pt>
                <c:pt idx="16">
                  <c:v>-3.2999999999958618</c:v>
                </c:pt>
                <c:pt idx="17">
                  <c:v>-3.5000000000025011</c:v>
                </c:pt>
                <c:pt idx="18">
                  <c:v>-3.0860804203314274</c:v>
                </c:pt>
                <c:pt idx="19">
                  <c:v>-3.2999999999958618</c:v>
                </c:pt>
                <c:pt idx="20">
                  <c:v>-3.7000000000091404</c:v>
                </c:pt>
                <c:pt idx="21">
                  <c:v>-3.2999999999958618</c:v>
                </c:pt>
                <c:pt idx="22">
                  <c:v>-4.6000000000105956</c:v>
                </c:pt>
                <c:pt idx="23">
                  <c:v>-4.199999999997317</c:v>
                </c:pt>
                <c:pt idx="24">
                  <c:v>-4.5662151851786348</c:v>
                </c:pt>
                <c:pt idx="25">
                  <c:v>-4.500000000007276</c:v>
                </c:pt>
                <c:pt idx="26">
                  <c:v>-4.599545461701382</c:v>
                </c:pt>
                <c:pt idx="27">
                  <c:v>-4.2190166107616278</c:v>
                </c:pt>
                <c:pt idx="28">
                  <c:v>-4.5422464690716424</c:v>
                </c:pt>
                <c:pt idx="29">
                  <c:v>-4.4333208995226414</c:v>
                </c:pt>
                <c:pt idx="30">
                  <c:v>-4.8986644992510264</c:v>
                </c:pt>
                <c:pt idx="31">
                  <c:v>-5.4180444434450692</c:v>
                </c:pt>
                <c:pt idx="32">
                  <c:v>-4.675140853208859</c:v>
                </c:pt>
                <c:pt idx="33">
                  <c:v>-4.9709972496714272</c:v>
                </c:pt>
                <c:pt idx="34">
                  <c:v>-4.8999999999921329</c:v>
                </c:pt>
                <c:pt idx="35">
                  <c:v>-5.3000000000054115</c:v>
                </c:pt>
                <c:pt idx="36">
                  <c:v>-5.2000000000020918</c:v>
                </c:pt>
                <c:pt idx="37">
                  <c:v>-5.5000000000120508</c:v>
                </c:pt>
                <c:pt idx="38">
                  <c:v>-5.5000000000120508</c:v>
                </c:pt>
                <c:pt idx="39">
                  <c:v>-5.2000000000020918</c:v>
                </c:pt>
                <c:pt idx="40">
                  <c:v>-5.8999999999969077</c:v>
                </c:pt>
                <c:pt idx="41">
                  <c:v>-5.3000000000054115</c:v>
                </c:pt>
                <c:pt idx="42">
                  <c:v>-5.3000000000054115</c:v>
                </c:pt>
                <c:pt idx="43">
                  <c:v>-6.0947140828204738</c:v>
                </c:pt>
                <c:pt idx="44">
                  <c:v>-5.7999999999935881</c:v>
                </c:pt>
                <c:pt idx="45">
                  <c:v>-5.8999999999969077</c:v>
                </c:pt>
                <c:pt idx="46">
                  <c:v>-5.7999999999935881</c:v>
                </c:pt>
                <c:pt idx="47">
                  <c:v>-6.100000000003547</c:v>
                </c:pt>
                <c:pt idx="48">
                  <c:v>-6.400000000013506</c:v>
                </c:pt>
                <c:pt idx="49">
                  <c:v>-6.100000000003547</c:v>
                </c:pt>
                <c:pt idx="50">
                  <c:v>-6.2000000000068667</c:v>
                </c:pt>
                <c:pt idx="51">
                  <c:v>-6.100000000003547</c:v>
                </c:pt>
                <c:pt idx="52">
                  <c:v>-6.2000000000068667</c:v>
                </c:pt>
                <c:pt idx="53">
                  <c:v>-5.7999999999935881</c:v>
                </c:pt>
                <c:pt idx="54">
                  <c:v>-6.5999999999917236</c:v>
                </c:pt>
                <c:pt idx="55">
                  <c:v>-7.1000000000083219</c:v>
                </c:pt>
                <c:pt idx="56">
                  <c:v>-6.6999999999950433</c:v>
                </c:pt>
                <c:pt idx="57">
                  <c:v>-6.7953525438326778</c:v>
                </c:pt>
                <c:pt idx="58">
                  <c:v>-7.4476270760044372</c:v>
                </c:pt>
                <c:pt idx="59">
                  <c:v>-7.1818382023138838</c:v>
                </c:pt>
                <c:pt idx="60">
                  <c:v>-7.1517705810890675</c:v>
                </c:pt>
                <c:pt idx="61">
                  <c:v>-7.3752941216298495</c:v>
                </c:pt>
                <c:pt idx="62">
                  <c:v>-7.7012182448754629</c:v>
                </c:pt>
                <c:pt idx="63">
                  <c:v>-7.4959910048164602</c:v>
                </c:pt>
                <c:pt idx="64">
                  <c:v>-7.7195146508870494</c:v>
                </c:pt>
                <c:pt idx="68">
                  <c:v>-8.190957057365722</c:v>
                </c:pt>
                <c:pt idx="72">
                  <c:v>-7.0375990996751625</c:v>
                </c:pt>
                <c:pt idx="73">
                  <c:v>-8.3726419724712287</c:v>
                </c:pt>
                <c:pt idx="74">
                  <c:v>-6.317430817460945</c:v>
                </c:pt>
                <c:pt idx="75">
                  <c:v>-7.4667762714284436</c:v>
                </c:pt>
                <c:pt idx="76">
                  <c:v>-7.3174308174657199</c:v>
                </c:pt>
                <c:pt idx="77">
                  <c:v>-7.188789791371164</c:v>
                </c:pt>
                <c:pt idx="78">
                  <c:v>-7.8288667171477755</c:v>
                </c:pt>
                <c:pt idx="79">
                  <c:v>-8.3125066244633672</c:v>
                </c:pt>
                <c:pt idx="80">
                  <c:v>-7.2127586129511201</c:v>
                </c:pt>
                <c:pt idx="81">
                  <c:v>-7.0436978008672213</c:v>
                </c:pt>
                <c:pt idx="82">
                  <c:v>-7.9133970739917459</c:v>
                </c:pt>
                <c:pt idx="83">
                  <c:v>-7.4301834522714216</c:v>
                </c:pt>
                <c:pt idx="84">
                  <c:v>-8.0279950520605325</c:v>
                </c:pt>
                <c:pt idx="85">
                  <c:v>-7.8044715044143231</c:v>
                </c:pt>
                <c:pt idx="86">
                  <c:v>-8.5234062730137339</c:v>
                </c:pt>
                <c:pt idx="87">
                  <c:v>-7.9072982672414582</c:v>
                </c:pt>
                <c:pt idx="88">
                  <c:v>-7.9495633964654644</c:v>
                </c:pt>
                <c:pt idx="89">
                  <c:v>-8.070260279652075</c:v>
                </c:pt>
                <c:pt idx="90">
                  <c:v>-7.9979275292032526</c:v>
                </c:pt>
                <c:pt idx="91">
                  <c:v>-8.5173074733688736</c:v>
                </c:pt>
                <c:pt idx="92">
                  <c:v>-7.7683049780148394</c:v>
                </c:pt>
                <c:pt idx="93">
                  <c:v>-9.0549839219420392</c:v>
                </c:pt>
                <c:pt idx="94">
                  <c:v>-8.462844737806563</c:v>
                </c:pt>
                <c:pt idx="95">
                  <c:v>-8.7830963470310053</c:v>
                </c:pt>
                <c:pt idx="96">
                  <c:v>-8.9159907311398001</c:v>
                </c:pt>
                <c:pt idx="97">
                  <c:v>-10.251459995089363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389-4B8E-B1F3-ED080CF4A12E}"/>
            </c:ext>
          </c:extLst>
        </c:ser>
        <c:ser>
          <c:idx val="3"/>
          <c:order val="1"/>
          <c:tx>
            <c:strRef>
              <c:f>Déplacements!$G$9</c:f>
              <c:strCache>
                <c:ptCount val="1"/>
                <c:pt idx="0">
                  <c:v>DPM haut gauche</c:v>
                </c:pt>
              </c:strCache>
            </c:strRef>
          </c:tx>
          <c:spPr>
            <a:ln w="15875" cap="rnd">
              <a:solidFill>
                <a:schemeClr val="accent4"/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4">
                      <a:tint val="50000"/>
                      <a:satMod val="300000"/>
                    </a:schemeClr>
                  </a:gs>
                  <a:gs pos="35000">
                    <a:schemeClr val="accent4">
                      <a:tint val="37000"/>
                      <a:satMod val="300000"/>
                    </a:schemeClr>
                  </a:gs>
                  <a:gs pos="100000">
                    <a:schemeClr val="accent4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marker>
          <c:xVal>
            <c:numRef>
              <c:f>Déplacements!$B$10:$B$133</c:f>
              <c:numCache>
                <c:formatCode>dd\ /\ mm\ /\ yy</c:formatCode>
                <c:ptCount val="124"/>
                <c:pt idx="0">
                  <c:v>43655</c:v>
                </c:pt>
                <c:pt idx="1">
                  <c:v>43657</c:v>
                </c:pt>
                <c:pt idx="2">
                  <c:v>43661</c:v>
                </c:pt>
                <c:pt idx="3">
                  <c:v>43663</c:v>
                </c:pt>
                <c:pt idx="4">
                  <c:v>43669</c:v>
                </c:pt>
                <c:pt idx="5">
                  <c:v>43675</c:v>
                </c:pt>
                <c:pt idx="6">
                  <c:v>43679</c:v>
                </c:pt>
                <c:pt idx="7">
                  <c:v>43682</c:v>
                </c:pt>
                <c:pt idx="8">
                  <c:v>43684</c:v>
                </c:pt>
                <c:pt idx="9">
                  <c:v>43685</c:v>
                </c:pt>
                <c:pt idx="10">
                  <c:v>43689</c:v>
                </c:pt>
                <c:pt idx="11">
                  <c:v>43690</c:v>
                </c:pt>
                <c:pt idx="12">
                  <c:v>43696</c:v>
                </c:pt>
                <c:pt idx="13">
                  <c:v>43699</c:v>
                </c:pt>
                <c:pt idx="14">
                  <c:v>43703</c:v>
                </c:pt>
                <c:pt idx="15">
                  <c:v>43706</c:v>
                </c:pt>
                <c:pt idx="16">
                  <c:v>43710</c:v>
                </c:pt>
                <c:pt idx="17">
                  <c:v>43713</c:v>
                </c:pt>
                <c:pt idx="18">
                  <c:v>43718</c:v>
                </c:pt>
                <c:pt idx="19">
                  <c:v>43720</c:v>
                </c:pt>
                <c:pt idx="20">
                  <c:v>43724</c:v>
                </c:pt>
                <c:pt idx="21">
                  <c:v>43727</c:v>
                </c:pt>
                <c:pt idx="22">
                  <c:v>43731</c:v>
                </c:pt>
                <c:pt idx="23">
                  <c:v>43734</c:v>
                </c:pt>
                <c:pt idx="24">
                  <c:v>43738</c:v>
                </c:pt>
                <c:pt idx="25">
                  <c:v>43741</c:v>
                </c:pt>
                <c:pt idx="26">
                  <c:v>43746</c:v>
                </c:pt>
                <c:pt idx="27">
                  <c:v>43753</c:v>
                </c:pt>
                <c:pt idx="28">
                  <c:v>43756</c:v>
                </c:pt>
                <c:pt idx="29">
                  <c:v>43760</c:v>
                </c:pt>
                <c:pt idx="30">
                  <c:v>43762</c:v>
                </c:pt>
                <c:pt idx="31">
                  <c:v>43766</c:v>
                </c:pt>
                <c:pt idx="32">
                  <c:v>43769</c:v>
                </c:pt>
                <c:pt idx="33">
                  <c:v>43774</c:v>
                </c:pt>
                <c:pt idx="34">
                  <c:v>43776</c:v>
                </c:pt>
                <c:pt idx="35">
                  <c:v>43781</c:v>
                </c:pt>
                <c:pt idx="36">
                  <c:v>43783</c:v>
                </c:pt>
                <c:pt idx="37">
                  <c:v>43787</c:v>
                </c:pt>
                <c:pt idx="38">
                  <c:v>43790</c:v>
                </c:pt>
                <c:pt idx="39">
                  <c:v>43795</c:v>
                </c:pt>
                <c:pt idx="40">
                  <c:v>43797</c:v>
                </c:pt>
                <c:pt idx="41">
                  <c:v>43801</c:v>
                </c:pt>
                <c:pt idx="42">
                  <c:v>43803</c:v>
                </c:pt>
                <c:pt idx="43">
                  <c:v>43808</c:v>
                </c:pt>
                <c:pt idx="44">
                  <c:v>43811</c:v>
                </c:pt>
                <c:pt idx="45">
                  <c:v>43815</c:v>
                </c:pt>
                <c:pt idx="46">
                  <c:v>43818</c:v>
                </c:pt>
                <c:pt idx="47">
                  <c:v>43837</c:v>
                </c:pt>
                <c:pt idx="48">
                  <c:v>43843</c:v>
                </c:pt>
                <c:pt idx="49">
                  <c:v>43850</c:v>
                </c:pt>
                <c:pt idx="50">
                  <c:v>43857</c:v>
                </c:pt>
                <c:pt idx="51">
                  <c:v>43865</c:v>
                </c:pt>
                <c:pt idx="52">
                  <c:v>43878</c:v>
                </c:pt>
                <c:pt idx="53">
                  <c:v>43886</c:v>
                </c:pt>
                <c:pt idx="54">
                  <c:v>43896</c:v>
                </c:pt>
                <c:pt idx="55">
                  <c:v>43970</c:v>
                </c:pt>
                <c:pt idx="56">
                  <c:v>43977</c:v>
                </c:pt>
                <c:pt idx="57">
                  <c:v>43984</c:v>
                </c:pt>
                <c:pt idx="58">
                  <c:v>43990</c:v>
                </c:pt>
                <c:pt idx="59">
                  <c:v>43997</c:v>
                </c:pt>
                <c:pt idx="60">
                  <c:v>44004</c:v>
                </c:pt>
                <c:pt idx="61">
                  <c:v>44018</c:v>
                </c:pt>
                <c:pt idx="62">
                  <c:v>44027</c:v>
                </c:pt>
                <c:pt idx="63">
                  <c:v>44039</c:v>
                </c:pt>
                <c:pt idx="64">
                  <c:v>44053</c:v>
                </c:pt>
                <c:pt idx="65">
                  <c:v>44075</c:v>
                </c:pt>
                <c:pt idx="66">
                  <c:v>44082</c:v>
                </c:pt>
                <c:pt idx="67">
                  <c:v>44112</c:v>
                </c:pt>
                <c:pt idx="68">
                  <c:v>44134</c:v>
                </c:pt>
                <c:pt idx="70">
                  <c:v>44134</c:v>
                </c:pt>
                <c:pt idx="72">
                  <c:v>44140</c:v>
                </c:pt>
                <c:pt idx="73">
                  <c:v>44172</c:v>
                </c:pt>
                <c:pt idx="74">
                  <c:v>44186</c:v>
                </c:pt>
                <c:pt idx="75">
                  <c:v>44203</c:v>
                </c:pt>
                <c:pt idx="76">
                  <c:v>44229</c:v>
                </c:pt>
                <c:pt idx="77">
                  <c:v>44245</c:v>
                </c:pt>
                <c:pt idx="78">
                  <c:v>44273</c:v>
                </c:pt>
                <c:pt idx="79">
                  <c:v>44287</c:v>
                </c:pt>
                <c:pt idx="80">
                  <c:v>44308</c:v>
                </c:pt>
                <c:pt idx="81">
                  <c:v>44322</c:v>
                </c:pt>
                <c:pt idx="82">
                  <c:v>44337</c:v>
                </c:pt>
                <c:pt idx="83">
                  <c:v>44351</c:v>
                </c:pt>
                <c:pt idx="84">
                  <c:v>44357</c:v>
                </c:pt>
                <c:pt idx="85">
                  <c:v>44362</c:v>
                </c:pt>
                <c:pt idx="86">
                  <c:v>44364</c:v>
                </c:pt>
                <c:pt idx="87">
                  <c:v>44369</c:v>
                </c:pt>
                <c:pt idx="88">
                  <c:v>44376</c:v>
                </c:pt>
                <c:pt idx="89">
                  <c:v>44378</c:v>
                </c:pt>
                <c:pt idx="90">
                  <c:v>44392</c:v>
                </c:pt>
                <c:pt idx="91">
                  <c:v>44400</c:v>
                </c:pt>
                <c:pt idx="92">
                  <c:v>44410</c:v>
                </c:pt>
                <c:pt idx="93">
                  <c:v>44453</c:v>
                </c:pt>
                <c:pt idx="94">
                  <c:v>44470</c:v>
                </c:pt>
                <c:pt idx="95">
                  <c:v>44489</c:v>
                </c:pt>
                <c:pt idx="96">
                  <c:v>44502</c:v>
                </c:pt>
                <c:pt idx="97">
                  <c:v>44915</c:v>
                </c:pt>
              </c:numCache>
            </c:numRef>
          </c:xVal>
          <c:yVal>
            <c:numRef>
              <c:f>Déplacements!$G$10:$G$132</c:f>
              <c:numCache>
                <c:formatCode>\+\ 0.0;\-\ 0.0;\±\ 0.0</c:formatCode>
                <c:ptCount val="123"/>
                <c:pt idx="0">
                  <c:v>0</c:v>
                </c:pt>
                <c:pt idx="1">
                  <c:v>0.59999999999149622</c:v>
                </c:pt>
                <c:pt idx="2">
                  <c:v>0.99999999997635314</c:v>
                </c:pt>
                <c:pt idx="3">
                  <c:v>0</c:v>
                </c:pt>
                <c:pt idx="5">
                  <c:v>-1.6999999999995907</c:v>
                </c:pt>
                <c:pt idx="6">
                  <c:v>-1.3102000000060343</c:v>
                </c:pt>
                <c:pt idx="7">
                  <c:v>-2.6814397401437873</c:v>
                </c:pt>
                <c:pt idx="8">
                  <c:v>-1.6906000000176391</c:v>
                </c:pt>
                <c:pt idx="9">
                  <c:v>-1.8897000000208664</c:v>
                </c:pt>
                <c:pt idx="10">
                  <c:v>-3.3882000000176049</c:v>
                </c:pt>
                <c:pt idx="11">
                  <c:v>-3.9921000000049389</c:v>
                </c:pt>
                <c:pt idx="12">
                  <c:v>-3.1000000000176442</c:v>
                </c:pt>
                <c:pt idx="13">
                  <c:v>-3.6000000000058208</c:v>
                </c:pt>
                <c:pt idx="14">
                  <c:v>-4.7000000000139153</c:v>
                </c:pt>
                <c:pt idx="15">
                  <c:v>-4.8000000000172349</c:v>
                </c:pt>
                <c:pt idx="16">
                  <c:v>-4.9000000000205546</c:v>
                </c:pt>
                <c:pt idx="17">
                  <c:v>-5.5000000000120508</c:v>
                </c:pt>
                <c:pt idx="18">
                  <c:v>-5.0674402060622015</c:v>
                </c:pt>
                <c:pt idx="19">
                  <c:v>-5.5000000000120508</c:v>
                </c:pt>
                <c:pt idx="20">
                  <c:v>-5.8000000000220098</c:v>
                </c:pt>
                <c:pt idx="21">
                  <c:v>-5.6000000000153705</c:v>
                </c:pt>
                <c:pt idx="22">
                  <c:v>-6.700000000023465</c:v>
                </c:pt>
                <c:pt idx="23">
                  <c:v>-6.5000000000168257</c:v>
                </c:pt>
                <c:pt idx="24">
                  <c:v>-6.9039931065901783</c:v>
                </c:pt>
                <c:pt idx="25">
                  <c:v>-7.3000000000149612</c:v>
                </c:pt>
                <c:pt idx="26">
                  <c:v>-7.0490850970372776</c:v>
                </c:pt>
                <c:pt idx="27">
                  <c:v>-6.7480751112327653</c:v>
                </c:pt>
                <c:pt idx="28">
                  <c:v>-7.1941770875127986</c:v>
                </c:pt>
                <c:pt idx="29">
                  <c:v>-7.3571390999234154</c:v>
                </c:pt>
                <c:pt idx="30">
                  <c:v>-6.8377590573618363</c:v>
                </c:pt>
                <c:pt idx="32">
                  <c:v>-7.8102850932850743</c:v>
                </c:pt>
                <c:pt idx="33">
                  <c:v>-7.5806627459940046</c:v>
                </c:pt>
                <c:pt idx="34">
                  <c:v>-8.0000000000097771</c:v>
                </c:pt>
                <c:pt idx="35">
                  <c:v>-8.300000000019736</c:v>
                </c:pt>
                <c:pt idx="37">
                  <c:v>-8.4999999999979536</c:v>
                </c:pt>
                <c:pt idx="38">
                  <c:v>-8.4999999999979536</c:v>
                </c:pt>
                <c:pt idx="39">
                  <c:v>-8.2000000000164164</c:v>
                </c:pt>
                <c:pt idx="40">
                  <c:v>-9.0000000000145519</c:v>
                </c:pt>
                <c:pt idx="41">
                  <c:v>-8.8000000000079126</c:v>
                </c:pt>
                <c:pt idx="42">
                  <c:v>-8.2000000000164164</c:v>
                </c:pt>
                <c:pt idx="43">
                  <c:v>-9.0607976092655917</c:v>
                </c:pt>
                <c:pt idx="44">
                  <c:v>-9.1000000000178716</c:v>
                </c:pt>
                <c:pt idx="45">
                  <c:v>-9.2000000000211912</c:v>
                </c:pt>
                <c:pt idx="46">
                  <c:v>-8.9000000000112323</c:v>
                </c:pt>
                <c:pt idx="47">
                  <c:v>-9.6000000000060481</c:v>
                </c:pt>
                <c:pt idx="48">
                  <c:v>-10.000000000019327</c:v>
                </c:pt>
                <c:pt idx="49">
                  <c:v>-9.6000000000060481</c:v>
                </c:pt>
                <c:pt idx="50">
                  <c:v>-9.8000000000126875</c:v>
                </c:pt>
                <c:pt idx="51">
                  <c:v>-9.3999999999994088</c:v>
                </c:pt>
                <c:pt idx="52">
                  <c:v>-9.3999999999994088</c:v>
                </c:pt>
                <c:pt idx="53">
                  <c:v>-9.5000000000027285</c:v>
                </c:pt>
                <c:pt idx="54">
                  <c:v>-10.300000000000864</c:v>
                </c:pt>
                <c:pt idx="55">
                  <c:v>-11.099999999999</c:v>
                </c:pt>
                <c:pt idx="56">
                  <c:v>-10.600000000010823</c:v>
                </c:pt>
                <c:pt idx="57">
                  <c:v>-10.69169687858107</c:v>
                </c:pt>
                <c:pt idx="58">
                  <c:v>-11.301706084708485</c:v>
                </c:pt>
                <c:pt idx="59">
                  <c:v>-11.217175727892936</c:v>
                </c:pt>
                <c:pt idx="60">
                  <c:v>-11.313903789499591</c:v>
                </c:pt>
                <c:pt idx="61">
                  <c:v>-11.712586948846138</c:v>
                </c:pt>
                <c:pt idx="62">
                  <c:v>-12.080776095814372</c:v>
                </c:pt>
                <c:pt idx="63">
                  <c:v>-11.652025315243009</c:v>
                </c:pt>
                <c:pt idx="64">
                  <c:v>-12.280330920276583</c:v>
                </c:pt>
                <c:pt idx="65">
                  <c:v>-12.195800465036655</c:v>
                </c:pt>
                <c:pt idx="66">
                  <c:v>-12.147436536167788</c:v>
                </c:pt>
                <c:pt idx="67">
                  <c:v>-12.020640951760697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389-4B8E-B1F3-ED080CF4A12E}"/>
            </c:ext>
          </c:extLst>
        </c:ser>
        <c:ser>
          <c:idx val="4"/>
          <c:order val="2"/>
          <c:tx>
            <c:strRef>
              <c:f>Déplacements!$O$9</c:f>
              <c:strCache>
                <c:ptCount val="1"/>
                <c:pt idx="0">
                  <c:v>DPM haut droit</c:v>
                </c:pt>
              </c:strCache>
            </c:strRef>
          </c:tx>
          <c:spPr>
            <a:ln w="15875" cap="rnd">
              <a:solidFill>
                <a:schemeClr val="accent5"/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5">
                      <a:tint val="50000"/>
                      <a:satMod val="300000"/>
                    </a:schemeClr>
                  </a:gs>
                  <a:gs pos="35000">
                    <a:schemeClr val="accent5">
                      <a:tint val="37000"/>
                      <a:satMod val="300000"/>
                    </a:schemeClr>
                  </a:gs>
                  <a:gs pos="100000">
                    <a:schemeClr val="accent5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5"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marker>
          <c:xVal>
            <c:numRef>
              <c:f>Déplacements!$B$10:$B$333</c:f>
              <c:numCache>
                <c:formatCode>dd\ /\ mm\ /\ yy</c:formatCode>
                <c:ptCount val="324"/>
                <c:pt idx="0">
                  <c:v>43655</c:v>
                </c:pt>
                <c:pt idx="1">
                  <c:v>43657</c:v>
                </c:pt>
                <c:pt idx="2">
                  <c:v>43661</c:v>
                </c:pt>
                <c:pt idx="3">
                  <c:v>43663</c:v>
                </c:pt>
                <c:pt idx="4">
                  <c:v>43669</c:v>
                </c:pt>
                <c:pt idx="5">
                  <c:v>43675</c:v>
                </c:pt>
                <c:pt idx="6">
                  <c:v>43679</c:v>
                </c:pt>
                <c:pt idx="7">
                  <c:v>43682</c:v>
                </c:pt>
                <c:pt idx="8">
                  <c:v>43684</c:v>
                </c:pt>
                <c:pt idx="9">
                  <c:v>43685</c:v>
                </c:pt>
                <c:pt idx="10">
                  <c:v>43689</c:v>
                </c:pt>
                <c:pt idx="11">
                  <c:v>43690</c:v>
                </c:pt>
                <c:pt idx="12">
                  <c:v>43696</c:v>
                </c:pt>
                <c:pt idx="13">
                  <c:v>43699</c:v>
                </c:pt>
                <c:pt idx="14">
                  <c:v>43703</c:v>
                </c:pt>
                <c:pt idx="15">
                  <c:v>43706</c:v>
                </c:pt>
                <c:pt idx="16">
                  <c:v>43710</c:v>
                </c:pt>
                <c:pt idx="17">
                  <c:v>43713</c:v>
                </c:pt>
                <c:pt idx="18">
                  <c:v>43718</c:v>
                </c:pt>
                <c:pt idx="19">
                  <c:v>43720</c:v>
                </c:pt>
                <c:pt idx="20">
                  <c:v>43724</c:v>
                </c:pt>
                <c:pt idx="21">
                  <c:v>43727</c:v>
                </c:pt>
                <c:pt idx="22">
                  <c:v>43731</c:v>
                </c:pt>
                <c:pt idx="23">
                  <c:v>43734</c:v>
                </c:pt>
                <c:pt idx="24">
                  <c:v>43738</c:v>
                </c:pt>
                <c:pt idx="25">
                  <c:v>43741</c:v>
                </c:pt>
                <c:pt idx="26">
                  <c:v>43746</c:v>
                </c:pt>
                <c:pt idx="27">
                  <c:v>43753</c:v>
                </c:pt>
                <c:pt idx="28">
                  <c:v>43756</c:v>
                </c:pt>
                <c:pt idx="29">
                  <c:v>43760</c:v>
                </c:pt>
                <c:pt idx="30">
                  <c:v>43762</c:v>
                </c:pt>
                <c:pt idx="31">
                  <c:v>43766</c:v>
                </c:pt>
                <c:pt idx="32">
                  <c:v>43769</c:v>
                </c:pt>
                <c:pt idx="33">
                  <c:v>43774</c:v>
                </c:pt>
                <c:pt idx="34">
                  <c:v>43776</c:v>
                </c:pt>
                <c:pt idx="35">
                  <c:v>43781</c:v>
                </c:pt>
                <c:pt idx="36">
                  <c:v>43783</c:v>
                </c:pt>
                <c:pt idx="37">
                  <c:v>43787</c:v>
                </c:pt>
                <c:pt idx="38">
                  <c:v>43790</c:v>
                </c:pt>
                <c:pt idx="39">
                  <c:v>43795</c:v>
                </c:pt>
                <c:pt idx="40">
                  <c:v>43797</c:v>
                </c:pt>
                <c:pt idx="41">
                  <c:v>43801</c:v>
                </c:pt>
                <c:pt idx="42">
                  <c:v>43803</c:v>
                </c:pt>
                <c:pt idx="43">
                  <c:v>43808</c:v>
                </c:pt>
                <c:pt idx="44">
                  <c:v>43811</c:v>
                </c:pt>
                <c:pt idx="45">
                  <c:v>43815</c:v>
                </c:pt>
                <c:pt idx="46">
                  <c:v>43818</c:v>
                </c:pt>
                <c:pt idx="47">
                  <c:v>43837</c:v>
                </c:pt>
                <c:pt idx="48">
                  <c:v>43843</c:v>
                </c:pt>
                <c:pt idx="49">
                  <c:v>43850</c:v>
                </c:pt>
                <c:pt idx="50">
                  <c:v>43857</c:v>
                </c:pt>
                <c:pt idx="51">
                  <c:v>43865</c:v>
                </c:pt>
                <c:pt idx="52">
                  <c:v>43878</c:v>
                </c:pt>
                <c:pt idx="53">
                  <c:v>43886</c:v>
                </c:pt>
                <c:pt idx="54">
                  <c:v>43896</c:v>
                </c:pt>
                <c:pt idx="55">
                  <c:v>43970</c:v>
                </c:pt>
                <c:pt idx="56">
                  <c:v>43977</c:v>
                </c:pt>
                <c:pt idx="57">
                  <c:v>43984</c:v>
                </c:pt>
                <c:pt idx="58">
                  <c:v>43990</c:v>
                </c:pt>
                <c:pt idx="59">
                  <c:v>43997</c:v>
                </c:pt>
                <c:pt idx="60">
                  <c:v>44004</c:v>
                </c:pt>
                <c:pt idx="61">
                  <c:v>44018</c:v>
                </c:pt>
                <c:pt idx="62">
                  <c:v>44027</c:v>
                </c:pt>
                <c:pt idx="63">
                  <c:v>44039</c:v>
                </c:pt>
                <c:pt idx="64">
                  <c:v>44053</c:v>
                </c:pt>
                <c:pt idx="65">
                  <c:v>44075</c:v>
                </c:pt>
                <c:pt idx="66">
                  <c:v>44082</c:v>
                </c:pt>
                <c:pt idx="67">
                  <c:v>44112</c:v>
                </c:pt>
                <c:pt idx="68">
                  <c:v>44134</c:v>
                </c:pt>
                <c:pt idx="70">
                  <c:v>44134</c:v>
                </c:pt>
                <c:pt idx="72">
                  <c:v>44140</c:v>
                </c:pt>
                <c:pt idx="73">
                  <c:v>44172</c:v>
                </c:pt>
                <c:pt idx="74">
                  <c:v>44186</c:v>
                </c:pt>
                <c:pt idx="75">
                  <c:v>44203</c:v>
                </c:pt>
                <c:pt idx="76">
                  <c:v>44229</c:v>
                </c:pt>
                <c:pt idx="77">
                  <c:v>44245</c:v>
                </c:pt>
                <c:pt idx="78">
                  <c:v>44273</c:v>
                </c:pt>
                <c:pt idx="79">
                  <c:v>44287</c:v>
                </c:pt>
                <c:pt idx="80">
                  <c:v>44308</c:v>
                </c:pt>
                <c:pt idx="81">
                  <c:v>44322</c:v>
                </c:pt>
                <c:pt idx="82">
                  <c:v>44337</c:v>
                </c:pt>
                <c:pt idx="83">
                  <c:v>44351</c:v>
                </c:pt>
                <c:pt idx="84">
                  <c:v>44357</c:v>
                </c:pt>
                <c:pt idx="85">
                  <c:v>44362</c:v>
                </c:pt>
                <c:pt idx="86">
                  <c:v>44364</c:v>
                </c:pt>
                <c:pt idx="87">
                  <c:v>44369</c:v>
                </c:pt>
                <c:pt idx="88">
                  <c:v>44376</c:v>
                </c:pt>
                <c:pt idx="89">
                  <c:v>44378</c:v>
                </c:pt>
                <c:pt idx="90">
                  <c:v>44392</c:v>
                </c:pt>
                <c:pt idx="91">
                  <c:v>44400</c:v>
                </c:pt>
                <c:pt idx="92">
                  <c:v>44410</c:v>
                </c:pt>
                <c:pt idx="93">
                  <c:v>44453</c:v>
                </c:pt>
                <c:pt idx="94">
                  <c:v>44470</c:v>
                </c:pt>
                <c:pt idx="95">
                  <c:v>44489</c:v>
                </c:pt>
                <c:pt idx="96">
                  <c:v>44502</c:v>
                </c:pt>
                <c:pt idx="97">
                  <c:v>44915</c:v>
                </c:pt>
              </c:numCache>
            </c:numRef>
          </c:xVal>
          <c:yVal>
            <c:numRef>
              <c:f>Déplacements!$O$10:$O$333</c:f>
              <c:numCache>
                <c:formatCode>\+\ 0.0;\-\ 0.0;\±\ 0.0</c:formatCode>
                <c:ptCount val="324"/>
                <c:pt idx="0">
                  <c:v>0</c:v>
                </c:pt>
                <c:pt idx="1">
                  <c:v>0.69999999999481588</c:v>
                </c:pt>
                <c:pt idx="2">
                  <c:v>0.69999999999481588</c:v>
                </c:pt>
                <c:pt idx="3">
                  <c:v>0.69999999999481588</c:v>
                </c:pt>
                <c:pt idx="4">
                  <c:v>0.20000000000663931</c:v>
                </c:pt>
                <c:pt idx="5">
                  <c:v>-1.6999999999995907</c:v>
                </c:pt>
                <c:pt idx="6">
                  <c:v>-1.5841000000023087</c:v>
                </c:pt>
                <c:pt idx="7">
                  <c:v>-2.1940717712993774</c:v>
                </c:pt>
                <c:pt idx="8">
                  <c:v>-1.4328999999975167</c:v>
                </c:pt>
                <c:pt idx="9">
                  <c:v>-1.4506999999923664</c:v>
                </c:pt>
                <c:pt idx="10">
                  <c:v>-2.9913999999848784</c:v>
                </c:pt>
                <c:pt idx="11">
                  <c:v>-3.2812000000035368</c:v>
                </c:pt>
                <c:pt idx="12">
                  <c:v>-2.299999999991087</c:v>
                </c:pt>
                <c:pt idx="13">
                  <c:v>-2.7000000000043656</c:v>
                </c:pt>
                <c:pt idx="14">
                  <c:v>-4.199999999997317</c:v>
                </c:pt>
                <c:pt idx="15">
                  <c:v>-3.899999999987358</c:v>
                </c:pt>
                <c:pt idx="16">
                  <c:v>-3.9999999999906777</c:v>
                </c:pt>
                <c:pt idx="17">
                  <c:v>-4.0999999999939973</c:v>
                </c:pt>
                <c:pt idx="18">
                  <c:v>-4.253721926744447</c:v>
                </c:pt>
                <c:pt idx="19">
                  <c:v>-4.0999999999939973</c:v>
                </c:pt>
                <c:pt idx="20">
                  <c:v>-4.5999999999821739</c:v>
                </c:pt>
                <c:pt idx="21">
                  <c:v>-4.0999999999939973</c:v>
                </c:pt>
                <c:pt idx="22">
                  <c:v>-5.4999999999836291</c:v>
                </c:pt>
                <c:pt idx="23">
                  <c:v>-5.2000000000020918</c:v>
                </c:pt>
                <c:pt idx="24">
                  <c:v>-5.1478163070726168</c:v>
                </c:pt>
                <c:pt idx="25">
                  <c:v>-5.5999999999869488</c:v>
                </c:pt>
                <c:pt idx="26">
                  <c:v>-5.4227533908317582</c:v>
                </c:pt>
                <c:pt idx="27">
                  <c:v>-4.9123083977917759</c:v>
                </c:pt>
                <c:pt idx="28">
                  <c:v>-5.4319014883503769</c:v>
                </c:pt>
                <c:pt idx="29">
                  <c:v>-5.2746118915365514</c:v>
                </c:pt>
                <c:pt idx="30">
                  <c:v>-5.951281530911956</c:v>
                </c:pt>
                <c:pt idx="31">
                  <c:v>-6.120342244571475</c:v>
                </c:pt>
                <c:pt idx="32">
                  <c:v>-5.7399554912365147</c:v>
                </c:pt>
                <c:pt idx="33">
                  <c:v>-5.9935466601643839</c:v>
                </c:pt>
                <c:pt idx="34">
                  <c:v>-5.8999999999969077</c:v>
                </c:pt>
                <c:pt idx="35">
                  <c:v>-6.2000000000068667</c:v>
                </c:pt>
                <c:pt idx="36">
                  <c:v>-5.8999999999969077</c:v>
                </c:pt>
                <c:pt idx="37">
                  <c:v>-6.0000000000002274</c:v>
                </c:pt>
                <c:pt idx="38">
                  <c:v>-6.100000000003547</c:v>
                </c:pt>
                <c:pt idx="39">
                  <c:v>-5.5999999999869488</c:v>
                </c:pt>
                <c:pt idx="40">
                  <c:v>-6.6999999999950433</c:v>
                </c:pt>
                <c:pt idx="41">
                  <c:v>-6.3999999999850843</c:v>
                </c:pt>
                <c:pt idx="42">
                  <c:v>-6.3999999999850843</c:v>
                </c:pt>
                <c:pt idx="43">
                  <c:v>-6.6218523706993437</c:v>
                </c:pt>
                <c:pt idx="44">
                  <c:v>-6.7999999999983629</c:v>
                </c:pt>
                <c:pt idx="45">
                  <c:v>-6.7999999999983629</c:v>
                </c:pt>
                <c:pt idx="46">
                  <c:v>-6.5999999999917236</c:v>
                </c:pt>
                <c:pt idx="47">
                  <c:v>-7.0000000000050022</c:v>
                </c:pt>
                <c:pt idx="48">
                  <c:v>-7.3999999999898591</c:v>
                </c:pt>
                <c:pt idx="49">
                  <c:v>-6.7999999999983629</c:v>
                </c:pt>
                <c:pt idx="50">
                  <c:v>-7.0000000000050022</c:v>
                </c:pt>
                <c:pt idx="51">
                  <c:v>-7.0999999999799002</c:v>
                </c:pt>
                <c:pt idx="52">
                  <c:v>-7.0000000000050022</c:v>
                </c:pt>
                <c:pt idx="53">
                  <c:v>-6.6999999999950433</c:v>
                </c:pt>
                <c:pt idx="54">
                  <c:v>-7.0999999999799002</c:v>
                </c:pt>
                <c:pt idx="55">
                  <c:v>-7.9000000000064574</c:v>
                </c:pt>
                <c:pt idx="56">
                  <c:v>-7.4999999999931788</c:v>
                </c:pt>
                <c:pt idx="57">
                  <c:v>-7.8357719691553029</c:v>
                </c:pt>
                <c:pt idx="58">
                  <c:v>-8.3128867840969178</c:v>
                </c:pt>
                <c:pt idx="59">
                  <c:v>-7.8719383971304069</c:v>
                </c:pt>
                <c:pt idx="60">
                  <c:v>-8.0592956151974704</c:v>
                </c:pt>
                <c:pt idx="61">
                  <c:v>-8.1438259720414408</c:v>
                </c:pt>
                <c:pt idx="62">
                  <c:v>-8.6087431806163295</c:v>
                </c:pt>
                <c:pt idx="63">
                  <c:v>-7.9503700526970533</c:v>
                </c:pt>
                <c:pt idx="64">
                  <c:v>-8.2222576276080872</c:v>
                </c:pt>
                <c:pt idx="65">
                  <c:v>-7.9987339815659197</c:v>
                </c:pt>
                <c:pt idx="66">
                  <c:v>-7.9503700526970533</c:v>
                </c:pt>
                <c:pt idx="67">
                  <c:v>-7.7207475999045982</c:v>
                </c:pt>
                <c:pt idx="68">
                  <c:v>-8.6815024277200337</c:v>
                </c:pt>
                <c:pt idx="72">
                  <c:v>-7.6126748197111738</c:v>
                </c:pt>
                <c:pt idx="73">
                  <c:v>-9.0867108833379007</c:v>
                </c:pt>
                <c:pt idx="74">
                  <c:v>-7.0738488475967642</c:v>
                </c:pt>
                <c:pt idx="75">
                  <c:v>-7.8666924781600756</c:v>
                </c:pt>
                <c:pt idx="76">
                  <c:v>-7.6738488475882605</c:v>
                </c:pt>
                <c:pt idx="77">
                  <c:v>-7.5464408759842172</c:v>
                </c:pt>
                <c:pt idx="78">
                  <c:v>-8.7603604744401764</c:v>
                </c:pt>
                <c:pt idx="79">
                  <c:v>-8.1747464810462134</c:v>
                </c:pt>
                <c:pt idx="80">
                  <c:v>-7.5159468565288989</c:v>
                </c:pt>
                <c:pt idx="81">
                  <c:v>-7.7033040817013898</c:v>
                </c:pt>
                <c:pt idx="82">
                  <c:v>-8.5730033547974926</c:v>
                </c:pt>
                <c:pt idx="83">
                  <c:v>-8.5791020560179732</c:v>
                </c:pt>
                <c:pt idx="84">
                  <c:v>-8.6392372984960275</c:v>
                </c:pt>
                <c:pt idx="85">
                  <c:v>-8.3250844959366077</c:v>
                </c:pt>
                <c:pt idx="86">
                  <c:v>-8.7782304892982665</c:v>
                </c:pt>
                <c:pt idx="87">
                  <c:v>-8.7420641668529697</c:v>
                </c:pt>
                <c:pt idx="88">
                  <c:v>-8.4762752931624163</c:v>
                </c:pt>
                <c:pt idx="89">
                  <c:v>-8.2344552339748134</c:v>
                </c:pt>
                <c:pt idx="90">
                  <c:v>-7.8963336098354375</c:v>
                </c:pt>
                <c:pt idx="91">
                  <c:v>-9.35817206712386</c:v>
                </c:pt>
                <c:pt idx="92">
                  <c:v>-8.0592957206988558</c:v>
                </c:pt>
                <c:pt idx="93">
                  <c:v>-8.8928284673954749</c:v>
                </c:pt>
                <c:pt idx="94">
                  <c:v>-8.6632061200759836</c:v>
                </c:pt>
                <c:pt idx="95">
                  <c:v>-9.1102533138212038</c:v>
                </c:pt>
                <c:pt idx="96">
                  <c:v>-8.8021993109066443</c:v>
                </c:pt>
                <c:pt idx="97">
                  <c:v>-9.7629541316166524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389-4B8E-B1F3-ED080CF4A12E}"/>
            </c:ext>
          </c:extLst>
        </c:ser>
        <c:ser>
          <c:idx val="5"/>
          <c:order val="3"/>
          <c:tx>
            <c:strRef>
              <c:f>Déplacements!$C$9</c:f>
              <c:strCache>
                <c:ptCount val="1"/>
                <c:pt idx="0">
                  <c:v>DPM inter gauche</c:v>
                </c:pt>
              </c:strCache>
            </c:strRef>
          </c:tx>
          <c:spPr>
            <a:ln w="15875" cap="rnd">
              <a:solidFill>
                <a:schemeClr val="accent6"/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6">
                      <a:tint val="50000"/>
                      <a:satMod val="300000"/>
                    </a:schemeClr>
                  </a:gs>
                  <a:gs pos="35000">
                    <a:schemeClr val="accent6">
                      <a:tint val="37000"/>
                      <a:satMod val="300000"/>
                    </a:schemeClr>
                  </a:gs>
                  <a:gs pos="100000">
                    <a:schemeClr val="accent6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6"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marker>
          <c:xVal>
            <c:numRef>
              <c:f>Déplacements!$B$10:$B$111</c:f>
              <c:numCache>
                <c:formatCode>dd\ /\ mm\ /\ yy</c:formatCode>
                <c:ptCount val="102"/>
                <c:pt idx="0">
                  <c:v>43655</c:v>
                </c:pt>
                <c:pt idx="1">
                  <c:v>43657</c:v>
                </c:pt>
                <c:pt idx="2">
                  <c:v>43661</c:v>
                </c:pt>
                <c:pt idx="3">
                  <c:v>43663</c:v>
                </c:pt>
                <c:pt idx="4">
                  <c:v>43669</c:v>
                </c:pt>
                <c:pt idx="5">
                  <c:v>43675</c:v>
                </c:pt>
                <c:pt idx="6">
                  <c:v>43679</c:v>
                </c:pt>
                <c:pt idx="7">
                  <c:v>43682</c:v>
                </c:pt>
                <c:pt idx="8">
                  <c:v>43684</c:v>
                </c:pt>
                <c:pt idx="9">
                  <c:v>43685</c:v>
                </c:pt>
                <c:pt idx="10">
                  <c:v>43689</c:v>
                </c:pt>
                <c:pt idx="11">
                  <c:v>43690</c:v>
                </c:pt>
                <c:pt idx="12">
                  <c:v>43696</c:v>
                </c:pt>
                <c:pt idx="13">
                  <c:v>43699</c:v>
                </c:pt>
                <c:pt idx="14">
                  <c:v>43703</c:v>
                </c:pt>
                <c:pt idx="15">
                  <c:v>43706</c:v>
                </c:pt>
                <c:pt idx="16">
                  <c:v>43710</c:v>
                </c:pt>
                <c:pt idx="17">
                  <c:v>43713</c:v>
                </c:pt>
                <c:pt idx="18">
                  <c:v>43718</c:v>
                </c:pt>
                <c:pt idx="19">
                  <c:v>43720</c:v>
                </c:pt>
                <c:pt idx="20">
                  <c:v>43724</c:v>
                </c:pt>
                <c:pt idx="21">
                  <c:v>43727</c:v>
                </c:pt>
                <c:pt idx="22">
                  <c:v>43731</c:v>
                </c:pt>
                <c:pt idx="23">
                  <c:v>43734</c:v>
                </c:pt>
                <c:pt idx="24">
                  <c:v>43738</c:v>
                </c:pt>
                <c:pt idx="25">
                  <c:v>43741</c:v>
                </c:pt>
                <c:pt idx="26">
                  <c:v>43746</c:v>
                </c:pt>
                <c:pt idx="27">
                  <c:v>43753</c:v>
                </c:pt>
                <c:pt idx="28">
                  <c:v>43756</c:v>
                </c:pt>
                <c:pt idx="29">
                  <c:v>43760</c:v>
                </c:pt>
                <c:pt idx="30">
                  <c:v>43762</c:v>
                </c:pt>
                <c:pt idx="31">
                  <c:v>43766</c:v>
                </c:pt>
                <c:pt idx="32">
                  <c:v>43769</c:v>
                </c:pt>
                <c:pt idx="33">
                  <c:v>43774</c:v>
                </c:pt>
                <c:pt idx="34">
                  <c:v>43776</c:v>
                </c:pt>
                <c:pt idx="35">
                  <c:v>43781</c:v>
                </c:pt>
                <c:pt idx="36">
                  <c:v>43783</c:v>
                </c:pt>
                <c:pt idx="37">
                  <c:v>43787</c:v>
                </c:pt>
                <c:pt idx="38">
                  <c:v>43790</c:v>
                </c:pt>
                <c:pt idx="39">
                  <c:v>43795</c:v>
                </c:pt>
                <c:pt idx="40">
                  <c:v>43797</c:v>
                </c:pt>
                <c:pt idx="41">
                  <c:v>43801</c:v>
                </c:pt>
                <c:pt idx="42">
                  <c:v>43803</c:v>
                </c:pt>
                <c:pt idx="43">
                  <c:v>43808</c:v>
                </c:pt>
                <c:pt idx="44">
                  <c:v>43811</c:v>
                </c:pt>
                <c:pt idx="45">
                  <c:v>43815</c:v>
                </c:pt>
                <c:pt idx="46">
                  <c:v>43818</c:v>
                </c:pt>
                <c:pt idx="47">
                  <c:v>43837</c:v>
                </c:pt>
                <c:pt idx="48">
                  <c:v>43843</c:v>
                </c:pt>
                <c:pt idx="49">
                  <c:v>43850</c:v>
                </c:pt>
                <c:pt idx="50">
                  <c:v>43857</c:v>
                </c:pt>
                <c:pt idx="51">
                  <c:v>43865</c:v>
                </c:pt>
                <c:pt idx="52">
                  <c:v>43878</c:v>
                </c:pt>
                <c:pt idx="53">
                  <c:v>43886</c:v>
                </c:pt>
                <c:pt idx="54">
                  <c:v>43896</c:v>
                </c:pt>
                <c:pt idx="55">
                  <c:v>43970</c:v>
                </c:pt>
                <c:pt idx="56">
                  <c:v>43977</c:v>
                </c:pt>
                <c:pt idx="57">
                  <c:v>43984</c:v>
                </c:pt>
                <c:pt idx="58">
                  <c:v>43990</c:v>
                </c:pt>
                <c:pt idx="59">
                  <c:v>43997</c:v>
                </c:pt>
                <c:pt idx="60">
                  <c:v>44004</c:v>
                </c:pt>
                <c:pt idx="61">
                  <c:v>44018</c:v>
                </c:pt>
                <c:pt idx="62">
                  <c:v>44027</c:v>
                </c:pt>
                <c:pt idx="63">
                  <c:v>44039</c:v>
                </c:pt>
                <c:pt idx="64">
                  <c:v>44053</c:v>
                </c:pt>
                <c:pt idx="65">
                  <c:v>44075</c:v>
                </c:pt>
                <c:pt idx="66">
                  <c:v>44082</c:v>
                </c:pt>
                <c:pt idx="67">
                  <c:v>44112</c:v>
                </c:pt>
                <c:pt idx="68">
                  <c:v>44134</c:v>
                </c:pt>
                <c:pt idx="70">
                  <c:v>44134</c:v>
                </c:pt>
                <c:pt idx="72">
                  <c:v>44140</c:v>
                </c:pt>
                <c:pt idx="73">
                  <c:v>44172</c:v>
                </c:pt>
                <c:pt idx="74">
                  <c:v>44186</c:v>
                </c:pt>
                <c:pt idx="75">
                  <c:v>44203</c:v>
                </c:pt>
                <c:pt idx="76">
                  <c:v>44229</c:v>
                </c:pt>
                <c:pt idx="77">
                  <c:v>44245</c:v>
                </c:pt>
                <c:pt idx="78">
                  <c:v>44273</c:v>
                </c:pt>
                <c:pt idx="79">
                  <c:v>44287</c:v>
                </c:pt>
                <c:pt idx="80">
                  <c:v>44308</c:v>
                </c:pt>
                <c:pt idx="81">
                  <c:v>44322</c:v>
                </c:pt>
                <c:pt idx="82">
                  <c:v>44337</c:v>
                </c:pt>
                <c:pt idx="83">
                  <c:v>44351</c:v>
                </c:pt>
                <c:pt idx="84">
                  <c:v>44357</c:v>
                </c:pt>
                <c:pt idx="85">
                  <c:v>44362</c:v>
                </c:pt>
                <c:pt idx="86">
                  <c:v>44364</c:v>
                </c:pt>
                <c:pt idx="87">
                  <c:v>44369</c:v>
                </c:pt>
                <c:pt idx="88">
                  <c:v>44376</c:v>
                </c:pt>
                <c:pt idx="89">
                  <c:v>44378</c:v>
                </c:pt>
                <c:pt idx="90">
                  <c:v>44392</c:v>
                </c:pt>
                <c:pt idx="91">
                  <c:v>44400</c:v>
                </c:pt>
                <c:pt idx="92">
                  <c:v>44410</c:v>
                </c:pt>
                <c:pt idx="93">
                  <c:v>44453</c:v>
                </c:pt>
                <c:pt idx="94">
                  <c:v>44470</c:v>
                </c:pt>
                <c:pt idx="95">
                  <c:v>44489</c:v>
                </c:pt>
                <c:pt idx="96">
                  <c:v>44502</c:v>
                </c:pt>
                <c:pt idx="97">
                  <c:v>44915</c:v>
                </c:pt>
              </c:numCache>
            </c:numRef>
          </c:xVal>
          <c:yVal>
            <c:numRef>
              <c:f>Déplacements!$C$10:$C$111</c:f>
              <c:numCache>
                <c:formatCode>\+\ 0.0;\-\ 0.0;\±\ 0.0</c:formatCode>
                <c:ptCount val="102"/>
                <c:pt idx="0">
                  <c:v>0</c:v>
                </c:pt>
                <c:pt idx="1">
                  <c:v>0.49999999998817657</c:v>
                </c:pt>
                <c:pt idx="2">
                  <c:v>1.1999999999829924</c:v>
                </c:pt>
                <c:pt idx="3">
                  <c:v>0.49999999998817657</c:v>
                </c:pt>
                <c:pt idx="4">
                  <c:v>-0.50000000001659828</c:v>
                </c:pt>
                <c:pt idx="5">
                  <c:v>0.10000000000331966</c:v>
                </c:pt>
                <c:pt idx="6">
                  <c:v>-0.32269999999812171</c:v>
                </c:pt>
                <c:pt idx="7">
                  <c:v>-1.0656118906240408</c:v>
                </c:pt>
                <c:pt idx="8">
                  <c:v>3.5999999852265319E-3</c:v>
                </c:pt>
                <c:pt idx="9">
                  <c:v>7.6399999983323141E-2</c:v>
                </c:pt>
                <c:pt idx="10">
                  <c:v>-1.3375000000053205</c:v>
                </c:pt>
                <c:pt idx="11">
                  <c:v>-1.4520999999945161</c:v>
                </c:pt>
                <c:pt idx="12">
                  <c:v>-1.5999999999962711</c:v>
                </c:pt>
                <c:pt idx="13">
                  <c:v>-1.90000000000623</c:v>
                </c:pt>
                <c:pt idx="14">
                  <c:v>-3.0000000000143245</c:v>
                </c:pt>
                <c:pt idx="15">
                  <c:v>-3.1999999999925421</c:v>
                </c:pt>
                <c:pt idx="16">
                  <c:v>-3.1999999999925421</c:v>
                </c:pt>
                <c:pt idx="17">
                  <c:v>-3.6000000000058208</c:v>
                </c:pt>
                <c:pt idx="18">
                  <c:v>-3.4520387476675296</c:v>
                </c:pt>
                <c:pt idx="19">
                  <c:v>-3.8000000000124601</c:v>
                </c:pt>
                <c:pt idx="20">
                  <c:v>-4.0999999999939973</c:v>
                </c:pt>
                <c:pt idx="21">
                  <c:v>-3.7000000000091404</c:v>
                </c:pt>
                <c:pt idx="22">
                  <c:v>-5.2000000000020918</c:v>
                </c:pt>
                <c:pt idx="23">
                  <c:v>-4.7000000000139153</c:v>
                </c:pt>
                <c:pt idx="24">
                  <c:v>-5.0833644081365037</c:v>
                </c:pt>
                <c:pt idx="25">
                  <c:v>-4.9999999999954525</c:v>
                </c:pt>
                <c:pt idx="26">
                  <c:v>-5.3040517971965073</c:v>
                </c:pt>
                <c:pt idx="27">
                  <c:v>-4.959831471836651</c:v>
                </c:pt>
                <c:pt idx="28">
                  <c:v>-5.3434808733356931</c:v>
                </c:pt>
                <c:pt idx="29">
                  <c:v>-5.1922900761383062</c:v>
                </c:pt>
                <c:pt idx="30">
                  <c:v>-5.6938001038417951</c:v>
                </c:pt>
                <c:pt idx="31">
                  <c:v>-5.7722316539070562</c:v>
                </c:pt>
                <c:pt idx="32">
                  <c:v>-5.8811573218804369</c:v>
                </c:pt>
                <c:pt idx="33">
                  <c:v>-5.8689597155421325</c:v>
                </c:pt>
                <c:pt idx="34">
                  <c:v>-6.0000000000002274</c:v>
                </c:pt>
                <c:pt idx="35">
                  <c:v>-6.3000000000101863</c:v>
                </c:pt>
                <c:pt idx="36">
                  <c:v>-6.100000000003547</c:v>
                </c:pt>
                <c:pt idx="37">
                  <c:v>-6.100000000003547</c:v>
                </c:pt>
                <c:pt idx="38">
                  <c:v>-6.2000000000068667</c:v>
                </c:pt>
                <c:pt idx="39">
                  <c:v>-6.2000000000068667</c:v>
                </c:pt>
                <c:pt idx="40">
                  <c:v>-6.9000000000016826</c:v>
                </c:pt>
                <c:pt idx="41">
                  <c:v>-6.400000000013506</c:v>
                </c:pt>
                <c:pt idx="42">
                  <c:v>-6.3000000000101863</c:v>
                </c:pt>
                <c:pt idx="43">
                  <c:v>-6.9203436997895551</c:v>
                </c:pt>
                <c:pt idx="44">
                  <c:v>-6.5999999999917236</c:v>
                </c:pt>
                <c:pt idx="45">
                  <c:v>-7.0000000000050022</c:v>
                </c:pt>
                <c:pt idx="46">
                  <c:v>-6.5999999999917236</c:v>
                </c:pt>
                <c:pt idx="47">
                  <c:v>-7.1000000000083219</c:v>
                </c:pt>
                <c:pt idx="48">
                  <c:v>-6.7999999999983629</c:v>
                </c:pt>
                <c:pt idx="49">
                  <c:v>-6.9000000000016826</c:v>
                </c:pt>
                <c:pt idx="50">
                  <c:v>-6.7999999999983629</c:v>
                </c:pt>
                <c:pt idx="51">
                  <c:v>-7.1000000000083219</c:v>
                </c:pt>
                <c:pt idx="52">
                  <c:v>-6.6999999999950433</c:v>
                </c:pt>
                <c:pt idx="53">
                  <c:v>-6.7999999999983629</c:v>
                </c:pt>
                <c:pt idx="54">
                  <c:v>-7.2000000000116415</c:v>
                </c:pt>
                <c:pt idx="55">
                  <c:v>-7.9000000000064574</c:v>
                </c:pt>
                <c:pt idx="56">
                  <c:v>-7.2000000000116415</c:v>
                </c:pt>
                <c:pt idx="57">
                  <c:v>-7.6693460896706256</c:v>
                </c:pt>
                <c:pt idx="58">
                  <c:v>-7.608784554435033</c:v>
                </c:pt>
                <c:pt idx="59">
                  <c:v>-7.3913598135391112</c:v>
                </c:pt>
                <c:pt idx="60">
                  <c:v>-7.6693460896706256</c:v>
                </c:pt>
                <c:pt idx="61">
                  <c:v>-7.6632473884217234</c:v>
                </c:pt>
                <c:pt idx="62">
                  <c:v>-7.9830726065495128</c:v>
                </c:pt>
                <c:pt idx="63">
                  <c:v>-7.6449509824101369</c:v>
                </c:pt>
                <c:pt idx="64">
                  <c:v>-7.8684745229793407</c:v>
                </c:pt>
                <c:pt idx="65">
                  <c:v>-7.8262092953309548</c:v>
                </c:pt>
                <c:pt idx="66">
                  <c:v>-7.288532945182169</c:v>
                </c:pt>
                <c:pt idx="68">
                  <c:v>-8.2370902649984146</c:v>
                </c:pt>
                <c:pt idx="71">
                  <c:v>0</c:v>
                </c:pt>
                <c:pt idx="72">
                  <c:v>-6.8963749766055571</c:v>
                </c:pt>
                <c:pt idx="73">
                  <c:v>-9.3973998117178326</c:v>
                </c:pt>
                <c:pt idx="74">
                  <c:v>-6.951448749617839</c:v>
                </c:pt>
                <c:pt idx="75">
                  <c:v>-8.4793366098381284</c:v>
                </c:pt>
                <c:pt idx="76">
                  <c:v>-8.6514487496174297</c:v>
                </c:pt>
                <c:pt idx="77">
                  <c:v>-7.9839254872240417</c:v>
                </c:pt>
                <c:pt idx="78">
                  <c:v>-6.9926765486627573</c:v>
                </c:pt>
                <c:pt idx="79">
                  <c:v>-8.6841373532138277</c:v>
                </c:pt>
                <c:pt idx="80">
                  <c:v>-7.5970133392218031</c:v>
                </c:pt>
                <c:pt idx="81">
                  <c:v>-7.3434221703223557</c:v>
                </c:pt>
                <c:pt idx="82">
                  <c:v>-7.9834990960989671</c:v>
                </c:pt>
                <c:pt idx="83">
                  <c:v>-8.0318630249394118</c:v>
                </c:pt>
                <c:pt idx="84">
                  <c:v>-7.971301489732241</c:v>
                </c:pt>
                <c:pt idx="85">
                  <c:v>-7.790043071281616</c:v>
                </c:pt>
                <c:pt idx="86">
                  <c:v>-8.6841373532138277</c:v>
                </c:pt>
                <c:pt idx="87">
                  <c:v>-8.3699846490787877</c:v>
                </c:pt>
                <c:pt idx="88">
                  <c:v>-8.6357734243449613</c:v>
                </c:pt>
                <c:pt idx="89">
                  <c:v>-8.3216206218423849</c:v>
                </c:pt>
                <c:pt idx="90">
                  <c:v>-8.5451442679129741</c:v>
                </c:pt>
                <c:pt idx="91">
                  <c:v>-9.2035173957754068</c:v>
                </c:pt>
                <c:pt idx="93">
                  <c:v>-9.3725782078308839</c:v>
                </c:pt>
                <c:pt idx="94">
                  <c:v>-9.7712614727072378</c:v>
                </c:pt>
                <c:pt idx="95">
                  <c:v>-9.5599355314277545</c:v>
                </c:pt>
                <c:pt idx="96">
                  <c:v>-8.9738950484843372</c:v>
                </c:pt>
                <c:pt idx="97">
                  <c:v>-10.925472318206175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389-4B8E-B1F3-ED080CF4A12E}"/>
            </c:ext>
          </c:extLst>
        </c:ser>
        <c:ser>
          <c:idx val="6"/>
          <c:order val="4"/>
          <c:tx>
            <c:strRef>
              <c:f>Déplacements!$S$9</c:f>
              <c:strCache>
                <c:ptCount val="1"/>
                <c:pt idx="0">
                  <c:v>DPM inter droit</c:v>
                </c:pt>
              </c:strCache>
            </c:strRef>
          </c:tx>
          <c:spPr>
            <a:ln w="15875" cap="rnd">
              <a:solidFill>
                <a:schemeClr val="accent1">
                  <a:lumMod val="60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lumMod val="60000"/>
                      <a:tint val="50000"/>
                      <a:satMod val="300000"/>
                    </a:schemeClr>
                  </a:gs>
                  <a:gs pos="35000">
                    <a:schemeClr val="accent1">
                      <a:lumMod val="60000"/>
                      <a:tint val="37000"/>
                      <a:satMod val="300000"/>
                    </a:schemeClr>
                  </a:gs>
                  <a:gs pos="100000">
                    <a:schemeClr val="accent1">
                      <a:lumMod val="60000"/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1">
                    <a:lumMod val="60000"/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marker>
          <c:xVal>
            <c:numRef>
              <c:f>Déplacements!$B$10:$B$133</c:f>
              <c:numCache>
                <c:formatCode>dd\ /\ mm\ /\ yy</c:formatCode>
                <c:ptCount val="124"/>
                <c:pt idx="0">
                  <c:v>43655</c:v>
                </c:pt>
                <c:pt idx="1">
                  <c:v>43657</c:v>
                </c:pt>
                <c:pt idx="2">
                  <c:v>43661</c:v>
                </c:pt>
                <c:pt idx="3">
                  <c:v>43663</c:v>
                </c:pt>
                <c:pt idx="4">
                  <c:v>43669</c:v>
                </c:pt>
                <c:pt idx="5">
                  <c:v>43675</c:v>
                </c:pt>
                <c:pt idx="6">
                  <c:v>43679</c:v>
                </c:pt>
                <c:pt idx="7">
                  <c:v>43682</c:v>
                </c:pt>
                <c:pt idx="8">
                  <c:v>43684</c:v>
                </c:pt>
                <c:pt idx="9">
                  <c:v>43685</c:v>
                </c:pt>
                <c:pt idx="10">
                  <c:v>43689</c:v>
                </c:pt>
                <c:pt idx="11">
                  <c:v>43690</c:v>
                </c:pt>
                <c:pt idx="12">
                  <c:v>43696</c:v>
                </c:pt>
                <c:pt idx="13">
                  <c:v>43699</c:v>
                </c:pt>
                <c:pt idx="14">
                  <c:v>43703</c:v>
                </c:pt>
                <c:pt idx="15">
                  <c:v>43706</c:v>
                </c:pt>
                <c:pt idx="16">
                  <c:v>43710</c:v>
                </c:pt>
                <c:pt idx="17">
                  <c:v>43713</c:v>
                </c:pt>
                <c:pt idx="18">
                  <c:v>43718</c:v>
                </c:pt>
                <c:pt idx="19">
                  <c:v>43720</c:v>
                </c:pt>
                <c:pt idx="20">
                  <c:v>43724</c:v>
                </c:pt>
                <c:pt idx="21">
                  <c:v>43727</c:v>
                </c:pt>
                <c:pt idx="22">
                  <c:v>43731</c:v>
                </c:pt>
                <c:pt idx="23">
                  <c:v>43734</c:v>
                </c:pt>
                <c:pt idx="24">
                  <c:v>43738</c:v>
                </c:pt>
                <c:pt idx="25">
                  <c:v>43741</c:v>
                </c:pt>
                <c:pt idx="26">
                  <c:v>43746</c:v>
                </c:pt>
                <c:pt idx="27">
                  <c:v>43753</c:v>
                </c:pt>
                <c:pt idx="28">
                  <c:v>43756</c:v>
                </c:pt>
                <c:pt idx="29">
                  <c:v>43760</c:v>
                </c:pt>
                <c:pt idx="30">
                  <c:v>43762</c:v>
                </c:pt>
                <c:pt idx="31">
                  <c:v>43766</c:v>
                </c:pt>
                <c:pt idx="32">
                  <c:v>43769</c:v>
                </c:pt>
                <c:pt idx="33">
                  <c:v>43774</c:v>
                </c:pt>
                <c:pt idx="34">
                  <c:v>43776</c:v>
                </c:pt>
                <c:pt idx="35">
                  <c:v>43781</c:v>
                </c:pt>
                <c:pt idx="36">
                  <c:v>43783</c:v>
                </c:pt>
                <c:pt idx="37">
                  <c:v>43787</c:v>
                </c:pt>
                <c:pt idx="38">
                  <c:v>43790</c:v>
                </c:pt>
                <c:pt idx="39">
                  <c:v>43795</c:v>
                </c:pt>
                <c:pt idx="40">
                  <c:v>43797</c:v>
                </c:pt>
                <c:pt idx="41">
                  <c:v>43801</c:v>
                </c:pt>
                <c:pt idx="42">
                  <c:v>43803</c:v>
                </c:pt>
                <c:pt idx="43">
                  <c:v>43808</c:v>
                </c:pt>
                <c:pt idx="44">
                  <c:v>43811</c:v>
                </c:pt>
                <c:pt idx="45">
                  <c:v>43815</c:v>
                </c:pt>
                <c:pt idx="46">
                  <c:v>43818</c:v>
                </c:pt>
                <c:pt idx="47">
                  <c:v>43837</c:v>
                </c:pt>
                <c:pt idx="48">
                  <c:v>43843</c:v>
                </c:pt>
                <c:pt idx="49">
                  <c:v>43850</c:v>
                </c:pt>
                <c:pt idx="50">
                  <c:v>43857</c:v>
                </c:pt>
                <c:pt idx="51">
                  <c:v>43865</c:v>
                </c:pt>
                <c:pt idx="52">
                  <c:v>43878</c:v>
                </c:pt>
                <c:pt idx="53">
                  <c:v>43886</c:v>
                </c:pt>
                <c:pt idx="54">
                  <c:v>43896</c:v>
                </c:pt>
                <c:pt idx="55">
                  <c:v>43970</c:v>
                </c:pt>
                <c:pt idx="56">
                  <c:v>43977</c:v>
                </c:pt>
                <c:pt idx="57">
                  <c:v>43984</c:v>
                </c:pt>
                <c:pt idx="58">
                  <c:v>43990</c:v>
                </c:pt>
                <c:pt idx="59">
                  <c:v>43997</c:v>
                </c:pt>
                <c:pt idx="60">
                  <c:v>44004</c:v>
                </c:pt>
                <c:pt idx="61">
                  <c:v>44018</c:v>
                </c:pt>
                <c:pt idx="62">
                  <c:v>44027</c:v>
                </c:pt>
                <c:pt idx="63">
                  <c:v>44039</c:v>
                </c:pt>
                <c:pt idx="64">
                  <c:v>44053</c:v>
                </c:pt>
                <c:pt idx="65">
                  <c:v>44075</c:v>
                </c:pt>
                <c:pt idx="66">
                  <c:v>44082</c:v>
                </c:pt>
                <c:pt idx="67">
                  <c:v>44112</c:v>
                </c:pt>
                <c:pt idx="68">
                  <c:v>44134</c:v>
                </c:pt>
                <c:pt idx="70">
                  <c:v>44134</c:v>
                </c:pt>
                <c:pt idx="72">
                  <c:v>44140</c:v>
                </c:pt>
                <c:pt idx="73">
                  <c:v>44172</c:v>
                </c:pt>
                <c:pt idx="74">
                  <c:v>44186</c:v>
                </c:pt>
                <c:pt idx="75">
                  <c:v>44203</c:v>
                </c:pt>
                <c:pt idx="76">
                  <c:v>44229</c:v>
                </c:pt>
                <c:pt idx="77">
                  <c:v>44245</c:v>
                </c:pt>
                <c:pt idx="78">
                  <c:v>44273</c:v>
                </c:pt>
                <c:pt idx="79">
                  <c:v>44287</c:v>
                </c:pt>
                <c:pt idx="80">
                  <c:v>44308</c:v>
                </c:pt>
                <c:pt idx="81">
                  <c:v>44322</c:v>
                </c:pt>
                <c:pt idx="82">
                  <c:v>44337</c:v>
                </c:pt>
                <c:pt idx="83">
                  <c:v>44351</c:v>
                </c:pt>
                <c:pt idx="84">
                  <c:v>44357</c:v>
                </c:pt>
                <c:pt idx="85">
                  <c:v>44362</c:v>
                </c:pt>
                <c:pt idx="86">
                  <c:v>44364</c:v>
                </c:pt>
                <c:pt idx="87">
                  <c:v>44369</c:v>
                </c:pt>
                <c:pt idx="88">
                  <c:v>44376</c:v>
                </c:pt>
                <c:pt idx="89">
                  <c:v>44378</c:v>
                </c:pt>
                <c:pt idx="90">
                  <c:v>44392</c:v>
                </c:pt>
                <c:pt idx="91">
                  <c:v>44400</c:v>
                </c:pt>
                <c:pt idx="92">
                  <c:v>44410</c:v>
                </c:pt>
                <c:pt idx="93">
                  <c:v>44453</c:v>
                </c:pt>
                <c:pt idx="94">
                  <c:v>44470</c:v>
                </c:pt>
                <c:pt idx="95">
                  <c:v>44489</c:v>
                </c:pt>
                <c:pt idx="96">
                  <c:v>44502</c:v>
                </c:pt>
                <c:pt idx="97">
                  <c:v>44915</c:v>
                </c:pt>
              </c:numCache>
            </c:numRef>
          </c:xVal>
          <c:yVal>
            <c:numRef>
              <c:f>Déplacements!$S$10:$S$132</c:f>
              <c:numCache>
                <c:formatCode>\+\ 0.0;\-\ 0.0;\±\ 0.0</c:formatCode>
                <c:ptCount val="123"/>
                <c:pt idx="0">
                  <c:v>0</c:v>
                </c:pt>
                <c:pt idx="1">
                  <c:v>1.0000000000047748</c:v>
                </c:pt>
                <c:pt idx="2">
                  <c:v>0.20000000000663931</c:v>
                </c:pt>
                <c:pt idx="3">
                  <c:v>2.4999999999977263</c:v>
                </c:pt>
                <c:pt idx="4">
                  <c:v>0.49999999998817657</c:v>
                </c:pt>
                <c:pt idx="5">
                  <c:v>-0.20000000000663931</c:v>
                </c:pt>
                <c:pt idx="6">
                  <c:v>-0.10499999999069587</c:v>
                </c:pt>
                <c:pt idx="7">
                  <c:v>0</c:v>
                </c:pt>
                <c:pt idx="8">
                  <c:v>0.44479999999680331</c:v>
                </c:pt>
                <c:pt idx="9">
                  <c:v>0.24569999999357606</c:v>
                </c:pt>
                <c:pt idx="10">
                  <c:v>-0.99299999999402644</c:v>
                </c:pt>
                <c:pt idx="11">
                  <c:v>-0.92029999998999301</c:v>
                </c:pt>
                <c:pt idx="12">
                  <c:v>0.20000000000663931</c:v>
                </c:pt>
                <c:pt idx="13">
                  <c:v>0.10000000000331966</c:v>
                </c:pt>
                <c:pt idx="14">
                  <c:v>-1.1000000000080945</c:v>
                </c:pt>
                <c:pt idx="15">
                  <c:v>-0.90000000000145519</c:v>
                </c:pt>
                <c:pt idx="16">
                  <c:v>-1.0000000000047748</c:v>
                </c:pt>
                <c:pt idx="17">
                  <c:v>-1.0000000000047748</c:v>
                </c:pt>
                <c:pt idx="18">
                  <c:v>-0.84795030460327325</c:v>
                </c:pt>
                <c:pt idx="19">
                  <c:v>-0.79999999999813554</c:v>
                </c:pt>
                <c:pt idx="20">
                  <c:v>-1.2000000000114142</c:v>
                </c:pt>
                <c:pt idx="21">
                  <c:v>-0.20000000000663931</c:v>
                </c:pt>
                <c:pt idx="22">
                  <c:v>-1.90000000000623</c:v>
                </c:pt>
                <c:pt idx="23">
                  <c:v>-1.5999999999962711</c:v>
                </c:pt>
                <c:pt idx="24">
                  <c:v>-1.3555591319516225</c:v>
                </c:pt>
                <c:pt idx="25">
                  <c:v>-1.6999999999995907</c:v>
                </c:pt>
                <c:pt idx="26">
                  <c:v>-1.4755238385930625</c:v>
                </c:pt>
                <c:pt idx="27">
                  <c:v>-0.71432363844792235</c:v>
                </c:pt>
                <c:pt idx="28">
                  <c:v>-1.0658014366526913</c:v>
                </c:pt>
                <c:pt idx="29">
                  <c:v>-1.0836714515392032</c:v>
                </c:pt>
                <c:pt idx="30">
                  <c:v>-1.8570690541821477</c:v>
                </c:pt>
                <c:pt idx="31">
                  <c:v>-1.9838646385892389</c:v>
                </c:pt>
                <c:pt idx="32">
                  <c:v>-1.3860531443583568</c:v>
                </c:pt>
                <c:pt idx="33">
                  <c:v>-1.5006511223987218</c:v>
                </c:pt>
                <c:pt idx="34">
                  <c:v>-1.4999999999929514</c:v>
                </c:pt>
                <c:pt idx="35">
                  <c:v>-1.90000000000623</c:v>
                </c:pt>
                <c:pt idx="36">
                  <c:v>-1.5999999999962711</c:v>
                </c:pt>
                <c:pt idx="37">
                  <c:v>-1.5999999999962711</c:v>
                </c:pt>
                <c:pt idx="38">
                  <c:v>-1.6999999999995907</c:v>
                </c:pt>
                <c:pt idx="39">
                  <c:v>-1.3000000000147338</c:v>
                </c:pt>
                <c:pt idx="40">
                  <c:v>-2.299999999991087</c:v>
                </c:pt>
                <c:pt idx="41">
                  <c:v>-1.6999999999995907</c:v>
                </c:pt>
                <c:pt idx="42">
                  <c:v>-1.3999999999896318</c:v>
                </c:pt>
                <c:pt idx="43">
                  <c:v>-2.008259949747071</c:v>
                </c:pt>
                <c:pt idx="44">
                  <c:v>-2.1000000000128694</c:v>
                </c:pt>
                <c:pt idx="45">
                  <c:v>-2.0000000000095497</c:v>
                </c:pt>
                <c:pt idx="46">
                  <c:v>-2.0000000000095497</c:v>
                </c:pt>
                <c:pt idx="47">
                  <c:v>-2.0000000000095497</c:v>
                </c:pt>
                <c:pt idx="48">
                  <c:v>-2.7000000000043656</c:v>
                </c:pt>
                <c:pt idx="49">
                  <c:v>-2.1000000000128694</c:v>
                </c:pt>
                <c:pt idx="50">
                  <c:v>-2.1000000000128694</c:v>
                </c:pt>
                <c:pt idx="51">
                  <c:v>-2.0000000000095497</c:v>
                </c:pt>
                <c:pt idx="52">
                  <c:v>-1.90000000000623</c:v>
                </c:pt>
                <c:pt idx="53">
                  <c:v>-1.6999999999995907</c:v>
                </c:pt>
                <c:pt idx="54">
                  <c:v>-2.200000000016189</c:v>
                </c:pt>
                <c:pt idx="55">
                  <c:v>-2.6000000000010459</c:v>
                </c:pt>
                <c:pt idx="56">
                  <c:v>-2.3999999999944066</c:v>
                </c:pt>
                <c:pt idx="57">
                  <c:v>-2.7694600514962531</c:v>
                </c:pt>
                <c:pt idx="58">
                  <c:v>-2.9324219584339062</c:v>
                </c:pt>
                <c:pt idx="59">
                  <c:v>-2.7633611463784291</c:v>
                </c:pt>
                <c:pt idx="60">
                  <c:v>-2.7755587527451553</c:v>
                </c:pt>
                <c:pt idx="61">
                  <c:v>-2.6849295962563247</c:v>
                </c:pt>
                <c:pt idx="62">
                  <c:v>-3.4579008006687673</c:v>
                </c:pt>
                <c:pt idx="63">
                  <c:v>-2.7149972175095627</c:v>
                </c:pt>
                <c:pt idx="64">
                  <c:v>-3.3555003305139053</c:v>
                </c:pt>
                <c:pt idx="65">
                  <c:v>-2.8178239803366978</c:v>
                </c:pt>
                <c:pt idx="66">
                  <c:v>-2.9084531368255284</c:v>
                </c:pt>
                <c:pt idx="67">
                  <c:v>-1.8753655656666979</c:v>
                </c:pt>
                <c:pt idx="68">
                  <c:v>-2.7093247035168133</c:v>
                </c:pt>
                <c:pt idx="72">
                  <c:v>-1.9184834771976966</c:v>
                </c:pt>
                <c:pt idx="73">
                  <c:v>-3.4831486972848325</c:v>
                </c:pt>
                <c:pt idx="74">
                  <c:v>-1.3598891266326518</c:v>
                </c:pt>
                <c:pt idx="75">
                  <c:v>-1.6348246870450112</c:v>
                </c:pt>
                <c:pt idx="76">
                  <c:v>-1.8598891266492501</c:v>
                </c:pt>
                <c:pt idx="77">
                  <c:v>-1.6831886158854559</c:v>
                </c:pt>
                <c:pt idx="78">
                  <c:v>-2.7764115350237262</c:v>
                </c:pt>
                <c:pt idx="79">
                  <c:v>-1.6892875210317015</c:v>
                </c:pt>
                <c:pt idx="80">
                  <c:v>-1.8339531203537263</c:v>
                </c:pt>
                <c:pt idx="81">
                  <c:v>-1.121117052974796</c:v>
                </c:pt>
                <c:pt idx="82">
                  <c:v>-2.3533330645193473</c:v>
                </c:pt>
                <c:pt idx="83">
                  <c:v>-2.6735847721965911</c:v>
                </c:pt>
                <c:pt idx="84">
                  <c:v>-2.3350367569037189</c:v>
                </c:pt>
                <c:pt idx="85">
                  <c:v>-2.3350367569037189</c:v>
                </c:pt>
                <c:pt idx="86">
                  <c:v>-3.0239040026742714</c:v>
                </c:pt>
                <c:pt idx="87">
                  <c:v>-2.4923263537459661</c:v>
                </c:pt>
                <c:pt idx="88">
                  <c:v>-2.2204386733335468</c:v>
                </c:pt>
                <c:pt idx="89">
                  <c:v>-2.6613871658298649</c:v>
                </c:pt>
                <c:pt idx="90">
                  <c:v>-1.7794902863386142</c:v>
                </c:pt>
                <c:pt idx="91">
                  <c:v>-2.7520163222618521</c:v>
                </c:pt>
                <c:pt idx="92">
                  <c:v>-2.2082411724682061</c:v>
                </c:pt>
                <c:pt idx="93">
                  <c:v>-3.2835938728226211</c:v>
                </c:pt>
                <c:pt idx="94">
                  <c:v>-3.1929647163622121</c:v>
                </c:pt>
                <c:pt idx="95">
                  <c:v>-3.1628971935333539</c:v>
                </c:pt>
                <c:pt idx="96">
                  <c:v>-3.0661691319266993</c:v>
                </c:pt>
                <c:pt idx="97">
                  <c:v>-3.4713775875445663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389-4B8E-B1F3-ED080CF4A12E}"/>
            </c:ext>
          </c:extLst>
        </c:ser>
        <c:ser>
          <c:idx val="10"/>
          <c:order val="6"/>
          <c:tx>
            <c:strRef>
              <c:f>Graphiques!#REF!</c:f>
              <c:strCache>
                <c:ptCount val="1"/>
                <c:pt idx="0">
                  <c:v>#REF!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none"/>
          </c:marker>
          <c:xVal>
            <c:numRef>
              <c:f>Graphiques!$AD$35:$AD$36</c:f>
              <c:numCache>
                <c:formatCode>m/d/yyyy</c:formatCode>
                <c:ptCount val="2"/>
              </c:numCache>
            </c:numRef>
          </c:xVal>
          <c:yVal>
            <c:numRef>
              <c:f>Graphiques!$AE$35:$AE$36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3389-4B8E-B1F3-ED080CF4A1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7454056"/>
        <c:axId val="517454448"/>
      </c:scatterChart>
      <c:scatterChart>
        <c:scatterStyle val="lineMarker"/>
        <c:varyColors val="0"/>
        <c:ser>
          <c:idx val="8"/>
          <c:order val="5"/>
          <c:tx>
            <c:v>"PM front"</c:v>
          </c:tx>
          <c:spPr>
            <a:ln w="15875" cap="rnd">
              <a:solidFill>
                <a:schemeClr val="accent3">
                  <a:lumMod val="60000"/>
                </a:schemeClr>
              </a:solidFill>
              <a:prstDash val="sysDot"/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none"/>
          </c:marker>
          <c:xVal>
            <c:numRef>
              <c:f>Déplacements!$B$10:$B$313</c:f>
              <c:numCache>
                <c:formatCode>dd\ /\ mm\ /\ yy</c:formatCode>
                <c:ptCount val="304"/>
                <c:pt idx="0">
                  <c:v>43655</c:v>
                </c:pt>
                <c:pt idx="1">
                  <c:v>43657</c:v>
                </c:pt>
                <c:pt idx="2">
                  <c:v>43661</c:v>
                </c:pt>
                <c:pt idx="3">
                  <c:v>43663</c:v>
                </c:pt>
                <c:pt idx="4">
                  <c:v>43669</c:v>
                </c:pt>
                <c:pt idx="5">
                  <c:v>43675</c:v>
                </c:pt>
                <c:pt idx="6">
                  <c:v>43679</c:v>
                </c:pt>
                <c:pt idx="7">
                  <c:v>43682</c:v>
                </c:pt>
                <c:pt idx="8">
                  <c:v>43684</c:v>
                </c:pt>
                <c:pt idx="9">
                  <c:v>43685</c:v>
                </c:pt>
                <c:pt idx="10">
                  <c:v>43689</c:v>
                </c:pt>
                <c:pt idx="11">
                  <c:v>43690</c:v>
                </c:pt>
                <c:pt idx="12">
                  <c:v>43696</c:v>
                </c:pt>
                <c:pt idx="13">
                  <c:v>43699</c:v>
                </c:pt>
                <c:pt idx="14">
                  <c:v>43703</c:v>
                </c:pt>
                <c:pt idx="15">
                  <c:v>43706</c:v>
                </c:pt>
                <c:pt idx="16">
                  <c:v>43710</c:v>
                </c:pt>
                <c:pt idx="17">
                  <c:v>43713</c:v>
                </c:pt>
                <c:pt idx="18">
                  <c:v>43718</c:v>
                </c:pt>
                <c:pt idx="19">
                  <c:v>43720</c:v>
                </c:pt>
                <c:pt idx="20">
                  <c:v>43724</c:v>
                </c:pt>
                <c:pt idx="21">
                  <c:v>43727</c:v>
                </c:pt>
                <c:pt idx="22">
                  <c:v>43731</c:v>
                </c:pt>
                <c:pt idx="23">
                  <c:v>43734</c:v>
                </c:pt>
                <c:pt idx="24">
                  <c:v>43738</c:v>
                </c:pt>
                <c:pt idx="25">
                  <c:v>43741</c:v>
                </c:pt>
                <c:pt idx="26">
                  <c:v>43746</c:v>
                </c:pt>
                <c:pt idx="27">
                  <c:v>43753</c:v>
                </c:pt>
                <c:pt idx="28">
                  <c:v>43756</c:v>
                </c:pt>
                <c:pt idx="29">
                  <c:v>43760</c:v>
                </c:pt>
                <c:pt idx="30">
                  <c:v>43762</c:v>
                </c:pt>
                <c:pt idx="31">
                  <c:v>43766</c:v>
                </c:pt>
                <c:pt idx="32">
                  <c:v>43769</c:v>
                </c:pt>
                <c:pt idx="33">
                  <c:v>43774</c:v>
                </c:pt>
                <c:pt idx="34">
                  <c:v>43776</c:v>
                </c:pt>
                <c:pt idx="35">
                  <c:v>43781</c:v>
                </c:pt>
                <c:pt idx="36">
                  <c:v>43783</c:v>
                </c:pt>
                <c:pt idx="37">
                  <c:v>43787</c:v>
                </c:pt>
                <c:pt idx="38">
                  <c:v>43790</c:v>
                </c:pt>
                <c:pt idx="39">
                  <c:v>43795</c:v>
                </c:pt>
                <c:pt idx="40">
                  <c:v>43797</c:v>
                </c:pt>
                <c:pt idx="41">
                  <c:v>43801</c:v>
                </c:pt>
                <c:pt idx="42">
                  <c:v>43803</c:v>
                </c:pt>
                <c:pt idx="43">
                  <c:v>43808</c:v>
                </c:pt>
                <c:pt idx="44">
                  <c:v>43811</c:v>
                </c:pt>
                <c:pt idx="45">
                  <c:v>43815</c:v>
                </c:pt>
                <c:pt idx="46">
                  <c:v>43818</c:v>
                </c:pt>
                <c:pt idx="47">
                  <c:v>43837</c:v>
                </c:pt>
                <c:pt idx="48">
                  <c:v>43843</c:v>
                </c:pt>
                <c:pt idx="49">
                  <c:v>43850</c:v>
                </c:pt>
                <c:pt idx="50">
                  <c:v>43857</c:v>
                </c:pt>
                <c:pt idx="51">
                  <c:v>43865</c:v>
                </c:pt>
                <c:pt idx="52">
                  <c:v>43878</c:v>
                </c:pt>
                <c:pt idx="53">
                  <c:v>43886</c:v>
                </c:pt>
                <c:pt idx="54">
                  <c:v>43896</c:v>
                </c:pt>
                <c:pt idx="55">
                  <c:v>43970</c:v>
                </c:pt>
                <c:pt idx="56">
                  <c:v>43977</c:v>
                </c:pt>
                <c:pt idx="57">
                  <c:v>43984</c:v>
                </c:pt>
                <c:pt idx="58">
                  <c:v>43990</c:v>
                </c:pt>
                <c:pt idx="59">
                  <c:v>43997</c:v>
                </c:pt>
                <c:pt idx="60">
                  <c:v>44004</c:v>
                </c:pt>
                <c:pt idx="61">
                  <c:v>44018</c:v>
                </c:pt>
                <c:pt idx="62">
                  <c:v>44027</c:v>
                </c:pt>
                <c:pt idx="63">
                  <c:v>44039</c:v>
                </c:pt>
                <c:pt idx="64">
                  <c:v>44053</c:v>
                </c:pt>
                <c:pt idx="65">
                  <c:v>44075</c:v>
                </c:pt>
                <c:pt idx="66">
                  <c:v>44082</c:v>
                </c:pt>
                <c:pt idx="67">
                  <c:v>44112</c:v>
                </c:pt>
                <c:pt idx="68">
                  <c:v>44134</c:v>
                </c:pt>
                <c:pt idx="70">
                  <c:v>44134</c:v>
                </c:pt>
                <c:pt idx="72">
                  <c:v>44140</c:v>
                </c:pt>
                <c:pt idx="73">
                  <c:v>44172</c:v>
                </c:pt>
                <c:pt idx="74">
                  <c:v>44186</c:v>
                </c:pt>
                <c:pt idx="75">
                  <c:v>44203</c:v>
                </c:pt>
                <c:pt idx="76">
                  <c:v>44229</c:v>
                </c:pt>
                <c:pt idx="77">
                  <c:v>44245</c:v>
                </c:pt>
                <c:pt idx="78">
                  <c:v>44273</c:v>
                </c:pt>
                <c:pt idx="79">
                  <c:v>44287</c:v>
                </c:pt>
                <c:pt idx="80">
                  <c:v>44308</c:v>
                </c:pt>
                <c:pt idx="81">
                  <c:v>44322</c:v>
                </c:pt>
                <c:pt idx="82">
                  <c:v>44337</c:v>
                </c:pt>
                <c:pt idx="83">
                  <c:v>44351</c:v>
                </c:pt>
                <c:pt idx="84">
                  <c:v>44357</c:v>
                </c:pt>
                <c:pt idx="85">
                  <c:v>44362</c:v>
                </c:pt>
                <c:pt idx="86">
                  <c:v>44364</c:v>
                </c:pt>
                <c:pt idx="87">
                  <c:v>44369</c:v>
                </c:pt>
                <c:pt idx="88">
                  <c:v>44376</c:v>
                </c:pt>
                <c:pt idx="89">
                  <c:v>44378</c:v>
                </c:pt>
                <c:pt idx="90">
                  <c:v>44392</c:v>
                </c:pt>
                <c:pt idx="91">
                  <c:v>44400</c:v>
                </c:pt>
                <c:pt idx="92">
                  <c:v>44410</c:v>
                </c:pt>
                <c:pt idx="93">
                  <c:v>44453</c:v>
                </c:pt>
                <c:pt idx="94">
                  <c:v>44470</c:v>
                </c:pt>
                <c:pt idx="95">
                  <c:v>44489</c:v>
                </c:pt>
                <c:pt idx="96">
                  <c:v>44502</c:v>
                </c:pt>
                <c:pt idx="97">
                  <c:v>44915</c:v>
                </c:pt>
              </c:numCache>
            </c:numRef>
          </c:xVal>
          <c:yVal>
            <c:numRef>
              <c:f>'Résultats observations'!$C$10:$C$311</c:f>
              <c:numCache>
                <c:formatCode>0.0</c:formatCode>
                <c:ptCount val="302"/>
                <c:pt idx="0">
                  <c:v>184.3</c:v>
                </c:pt>
                <c:pt idx="1">
                  <c:v>185.03</c:v>
                </c:pt>
                <c:pt idx="2">
                  <c:v>187.2</c:v>
                </c:pt>
                <c:pt idx="3">
                  <c:v>188.17</c:v>
                </c:pt>
                <c:pt idx="4">
                  <c:v>189.2</c:v>
                </c:pt>
                <c:pt idx="5">
                  <c:v>191.5</c:v>
                </c:pt>
                <c:pt idx="6">
                  <c:v>192.5</c:v>
                </c:pt>
                <c:pt idx="7">
                  <c:v>193.04</c:v>
                </c:pt>
                <c:pt idx="8">
                  <c:v>193.6</c:v>
                </c:pt>
                <c:pt idx="9">
                  <c:v>193.6</c:v>
                </c:pt>
                <c:pt idx="10">
                  <c:v>194.8</c:v>
                </c:pt>
                <c:pt idx="11">
                  <c:v>194.8</c:v>
                </c:pt>
                <c:pt idx="12">
                  <c:v>195.4</c:v>
                </c:pt>
                <c:pt idx="13">
                  <c:v>196.35</c:v>
                </c:pt>
                <c:pt idx="14">
                  <c:v>196.35</c:v>
                </c:pt>
                <c:pt idx="15">
                  <c:v>198.3</c:v>
                </c:pt>
                <c:pt idx="16">
                  <c:v>199.4</c:v>
                </c:pt>
                <c:pt idx="17">
                  <c:v>200.6</c:v>
                </c:pt>
                <c:pt idx="18">
                  <c:v>202.58</c:v>
                </c:pt>
                <c:pt idx="19">
                  <c:v>203.6</c:v>
                </c:pt>
                <c:pt idx="20">
                  <c:v>203.6</c:v>
                </c:pt>
                <c:pt idx="21">
                  <c:v>206.32</c:v>
                </c:pt>
                <c:pt idx="22">
                  <c:v>206.32</c:v>
                </c:pt>
                <c:pt idx="23">
                  <c:v>206.32</c:v>
                </c:pt>
                <c:pt idx="24">
                  <c:v>206.32</c:v>
                </c:pt>
                <c:pt idx="25">
                  <c:v>207.2</c:v>
                </c:pt>
                <c:pt idx="26">
                  <c:v>208.3</c:v>
                </c:pt>
                <c:pt idx="27">
                  <c:v>212.65</c:v>
                </c:pt>
                <c:pt idx="28">
                  <c:v>213.5</c:v>
                </c:pt>
                <c:pt idx="29">
                  <c:v>215</c:v>
                </c:pt>
                <c:pt idx="30">
                  <c:v>215</c:v>
                </c:pt>
                <c:pt idx="31">
                  <c:v>215.55</c:v>
                </c:pt>
                <c:pt idx="32">
                  <c:v>216.87</c:v>
                </c:pt>
                <c:pt idx="33">
                  <c:v>217.7</c:v>
                </c:pt>
                <c:pt idx="34">
                  <c:v>218.7</c:v>
                </c:pt>
                <c:pt idx="35">
                  <c:v>218.7</c:v>
                </c:pt>
                <c:pt idx="36">
                  <c:v>220.5</c:v>
                </c:pt>
                <c:pt idx="37">
                  <c:v>221.7</c:v>
                </c:pt>
                <c:pt idx="38">
                  <c:v>222.9</c:v>
                </c:pt>
                <c:pt idx="39">
                  <c:v>222.9</c:v>
                </c:pt>
                <c:pt idx="40">
                  <c:v>222.9</c:v>
                </c:pt>
                <c:pt idx="41">
                  <c:v>222.9</c:v>
                </c:pt>
                <c:pt idx="42">
                  <c:v>222.9</c:v>
                </c:pt>
                <c:pt idx="43">
                  <c:v>222.9</c:v>
                </c:pt>
                <c:pt idx="44">
                  <c:v>222.9</c:v>
                </c:pt>
                <c:pt idx="45">
                  <c:v>222.9</c:v>
                </c:pt>
                <c:pt idx="46">
                  <c:v>222.9</c:v>
                </c:pt>
                <c:pt idx="47">
                  <c:v>222.9</c:v>
                </c:pt>
                <c:pt idx="48">
                  <c:v>222.9</c:v>
                </c:pt>
                <c:pt idx="49">
                  <c:v>222.9</c:v>
                </c:pt>
                <c:pt idx="50">
                  <c:v>222.9</c:v>
                </c:pt>
                <c:pt idx="51">
                  <c:v>222.9</c:v>
                </c:pt>
                <c:pt idx="52">
                  <c:v>222.9</c:v>
                </c:pt>
                <c:pt idx="53">
                  <c:v>222.9</c:v>
                </c:pt>
                <c:pt idx="54">
                  <c:v>222.9</c:v>
                </c:pt>
                <c:pt idx="55">
                  <c:v>222.9</c:v>
                </c:pt>
                <c:pt idx="56">
                  <c:v>222.9</c:v>
                </c:pt>
                <c:pt idx="57">
                  <c:v>222.9</c:v>
                </c:pt>
                <c:pt idx="58">
                  <c:v>222.9</c:v>
                </c:pt>
                <c:pt idx="59">
                  <c:v>223.9</c:v>
                </c:pt>
                <c:pt idx="60">
                  <c:v>223.9</c:v>
                </c:pt>
                <c:pt idx="61">
                  <c:v>223.9</c:v>
                </c:pt>
                <c:pt idx="62">
                  <c:v>223.9</c:v>
                </c:pt>
                <c:pt idx="63">
                  <c:v>223.9</c:v>
                </c:pt>
                <c:pt idx="64">
                  <c:v>223.9</c:v>
                </c:pt>
                <c:pt idx="65">
                  <c:v>223.9</c:v>
                </c:pt>
                <c:pt idx="66">
                  <c:v>223.9</c:v>
                </c:pt>
                <c:pt idx="67">
                  <c:v>223.9</c:v>
                </c:pt>
                <c:pt idx="68">
                  <c:v>223.9</c:v>
                </c:pt>
                <c:pt idx="70">
                  <c:v>223.9</c:v>
                </c:pt>
                <c:pt idx="72">
                  <c:v>223.9</c:v>
                </c:pt>
                <c:pt idx="73">
                  <c:v>223.9</c:v>
                </c:pt>
                <c:pt idx="74">
                  <c:v>223.9</c:v>
                </c:pt>
                <c:pt idx="75">
                  <c:v>223.9</c:v>
                </c:pt>
                <c:pt idx="76">
                  <c:v>223.9</c:v>
                </c:pt>
                <c:pt idx="77">
                  <c:v>223.9</c:v>
                </c:pt>
                <c:pt idx="78">
                  <c:v>223.9</c:v>
                </c:pt>
                <c:pt idx="79">
                  <c:v>223.9</c:v>
                </c:pt>
                <c:pt idx="80">
                  <c:v>223.9</c:v>
                </c:pt>
                <c:pt idx="81">
                  <c:v>223.9</c:v>
                </c:pt>
                <c:pt idx="82">
                  <c:v>223.9</c:v>
                </c:pt>
                <c:pt idx="83">
                  <c:v>223.9</c:v>
                </c:pt>
                <c:pt idx="84">
                  <c:v>223.9</c:v>
                </c:pt>
                <c:pt idx="85">
                  <c:v>223.9</c:v>
                </c:pt>
                <c:pt idx="86">
                  <c:v>223.9</c:v>
                </c:pt>
                <c:pt idx="87">
                  <c:v>223.9</c:v>
                </c:pt>
                <c:pt idx="88">
                  <c:v>223.9</c:v>
                </c:pt>
                <c:pt idx="89">
                  <c:v>223.9</c:v>
                </c:pt>
                <c:pt idx="90">
                  <c:v>223.9</c:v>
                </c:pt>
                <c:pt idx="91">
                  <c:v>223.9</c:v>
                </c:pt>
                <c:pt idx="92">
                  <c:v>223.9</c:v>
                </c:pt>
                <c:pt idx="93">
                  <c:v>223.9</c:v>
                </c:pt>
                <c:pt idx="94">
                  <c:v>223.9</c:v>
                </c:pt>
                <c:pt idx="95">
                  <c:v>223.9</c:v>
                </c:pt>
                <c:pt idx="96">
                  <c:v>223.9</c:v>
                </c:pt>
                <c:pt idx="97">
                  <c:v>223.9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389-4B8E-B1F3-ED080CF4A1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7455232"/>
        <c:axId val="517454840"/>
      </c:scatterChart>
      <c:valAx>
        <c:axId val="517454056"/>
        <c:scaling>
          <c:orientation val="minMax"/>
          <c:max val="44950"/>
          <c:min val="4365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Date</a:t>
                </a:r>
              </a:p>
            </c:rich>
          </c:tx>
          <c:layout>
            <c:manualLayout>
              <c:xMode val="edge"/>
              <c:yMode val="edge"/>
              <c:x val="0.91973714230941661"/>
              <c:y val="0.8566652473436303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dd/mm/yyyy" sourceLinked="0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17454448"/>
        <c:crossesAt val="0"/>
        <c:crossBetween val="midCat"/>
        <c:majorUnit val="40"/>
      </c:valAx>
      <c:valAx>
        <c:axId val="517454448"/>
        <c:scaling>
          <c:orientation val="minMax"/>
          <c:max val="10"/>
          <c:min val="-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Déplacement [mm]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\+\ 0.0;\-\ 0.0;\±\ 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17454056"/>
        <c:crosses val="autoZero"/>
        <c:crossBetween val="midCat"/>
        <c:majorUnit val="5"/>
        <c:minorUnit val="1"/>
      </c:valAx>
      <c:valAx>
        <c:axId val="517454840"/>
        <c:scaling>
          <c:orientation val="minMax"/>
          <c:min val="180"/>
        </c:scaling>
        <c:delete val="0"/>
        <c:axPos val="r"/>
        <c:numFmt formatCode="0.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17455232"/>
        <c:crosses val="max"/>
        <c:crossBetween val="midCat"/>
      </c:valAx>
      <c:valAx>
        <c:axId val="517455232"/>
        <c:scaling>
          <c:orientation val="minMax"/>
        </c:scaling>
        <c:delete val="1"/>
        <c:axPos val="b"/>
        <c:numFmt formatCode="dd\ /\ mm\ /\ yy" sourceLinked="1"/>
        <c:majorTickMark val="out"/>
        <c:minorTickMark val="none"/>
        <c:tickLblPos val="nextTo"/>
        <c:crossAx val="5174548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5"/>
        <c:delete val="1"/>
      </c:legendEntry>
      <c:layout>
        <c:manualLayout>
          <c:xMode val="edge"/>
          <c:yMode val="edge"/>
          <c:x val="0.30048168027196703"/>
          <c:y val="0.64213789912077746"/>
          <c:w val="0.57563509729027706"/>
          <c:h val="0.1199872193208611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span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 alignWithMargins="0"/>
    <c:pageMargins b="0.98425196899999956" l="0.78740157499999996" r="0.78740157499999996" t="0.98425196899999956" header="0.49212598450000455" footer="0.49212598450000455"/>
    <c:pageSetup paperSize="9" orientation="landscape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Déplacement en déport</a:t>
            </a:r>
          </a:p>
        </c:rich>
      </c:tx>
      <c:layout>
        <c:manualLayout>
          <c:xMode val="edge"/>
          <c:yMode val="edge"/>
          <c:x val="0.36971851188837201"/>
          <c:y val="1.574107849133844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9.3062159500593863E-2"/>
          <c:y val="6.6119187074636515E-2"/>
          <c:w val="0.81798471935900274"/>
          <c:h val="0.7454041903779145"/>
        </c:manualLayout>
      </c:layout>
      <c:scatterChart>
        <c:scatterStyle val="lineMarker"/>
        <c:varyColors val="0"/>
        <c:ser>
          <c:idx val="1"/>
          <c:order val="0"/>
          <c:tx>
            <c:strRef>
              <c:f>Déplacements!$L$9</c:f>
              <c:strCache>
                <c:ptCount val="1"/>
                <c:pt idx="0">
                  <c:v>DH centre haut</c:v>
                </c:pt>
              </c:strCache>
            </c:strRef>
          </c:tx>
          <c:spPr>
            <a:ln w="15875" cap="rnd">
              <a:solidFill>
                <a:schemeClr val="accent2"/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2">
                      <a:tint val="50000"/>
                      <a:satMod val="300000"/>
                    </a:schemeClr>
                  </a:gs>
                  <a:gs pos="35000">
                    <a:schemeClr val="accent2">
                      <a:tint val="37000"/>
                      <a:satMod val="300000"/>
                    </a:schemeClr>
                  </a:gs>
                  <a:gs pos="100000">
                    <a:schemeClr val="accent2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marker>
          <c:xVal>
            <c:numRef>
              <c:f>Déplacements!$B$10:$B$133</c:f>
              <c:numCache>
                <c:formatCode>dd\ /\ mm\ /\ yy</c:formatCode>
                <c:ptCount val="124"/>
                <c:pt idx="0">
                  <c:v>43655</c:v>
                </c:pt>
                <c:pt idx="1">
                  <c:v>43657</c:v>
                </c:pt>
                <c:pt idx="2">
                  <c:v>43661</c:v>
                </c:pt>
                <c:pt idx="3">
                  <c:v>43663</c:v>
                </c:pt>
                <c:pt idx="4">
                  <c:v>43669</c:v>
                </c:pt>
                <c:pt idx="5">
                  <c:v>43675</c:v>
                </c:pt>
                <c:pt idx="6">
                  <c:v>43679</c:v>
                </c:pt>
                <c:pt idx="7">
                  <c:v>43682</c:v>
                </c:pt>
                <c:pt idx="8">
                  <c:v>43684</c:v>
                </c:pt>
                <c:pt idx="9">
                  <c:v>43685</c:v>
                </c:pt>
                <c:pt idx="10">
                  <c:v>43689</c:v>
                </c:pt>
                <c:pt idx="11">
                  <c:v>43690</c:v>
                </c:pt>
                <c:pt idx="12">
                  <c:v>43696</c:v>
                </c:pt>
                <c:pt idx="13">
                  <c:v>43699</c:v>
                </c:pt>
                <c:pt idx="14">
                  <c:v>43703</c:v>
                </c:pt>
                <c:pt idx="15">
                  <c:v>43706</c:v>
                </c:pt>
                <c:pt idx="16">
                  <c:v>43710</c:v>
                </c:pt>
                <c:pt idx="17">
                  <c:v>43713</c:v>
                </c:pt>
                <c:pt idx="18">
                  <c:v>43718</c:v>
                </c:pt>
                <c:pt idx="19">
                  <c:v>43720</c:v>
                </c:pt>
                <c:pt idx="20">
                  <c:v>43724</c:v>
                </c:pt>
                <c:pt idx="21">
                  <c:v>43727</c:v>
                </c:pt>
                <c:pt idx="22">
                  <c:v>43731</c:v>
                </c:pt>
                <c:pt idx="23">
                  <c:v>43734</c:v>
                </c:pt>
                <c:pt idx="24">
                  <c:v>43738</c:v>
                </c:pt>
                <c:pt idx="25">
                  <c:v>43741</c:v>
                </c:pt>
                <c:pt idx="26">
                  <c:v>43746</c:v>
                </c:pt>
                <c:pt idx="27">
                  <c:v>43753</c:v>
                </c:pt>
                <c:pt idx="28">
                  <c:v>43756</c:v>
                </c:pt>
                <c:pt idx="29">
                  <c:v>43760</c:v>
                </c:pt>
                <c:pt idx="30">
                  <c:v>43762</c:v>
                </c:pt>
                <c:pt idx="31">
                  <c:v>43766</c:v>
                </c:pt>
                <c:pt idx="32">
                  <c:v>43769</c:v>
                </c:pt>
                <c:pt idx="33">
                  <c:v>43774</c:v>
                </c:pt>
                <c:pt idx="34">
                  <c:v>43776</c:v>
                </c:pt>
                <c:pt idx="35">
                  <c:v>43781</c:v>
                </c:pt>
                <c:pt idx="36">
                  <c:v>43783</c:v>
                </c:pt>
                <c:pt idx="37">
                  <c:v>43787</c:v>
                </c:pt>
                <c:pt idx="38">
                  <c:v>43790</c:v>
                </c:pt>
                <c:pt idx="39">
                  <c:v>43795</c:v>
                </c:pt>
                <c:pt idx="40">
                  <c:v>43797</c:v>
                </c:pt>
                <c:pt idx="41">
                  <c:v>43801</c:v>
                </c:pt>
                <c:pt idx="42">
                  <c:v>43803</c:v>
                </c:pt>
                <c:pt idx="43">
                  <c:v>43808</c:v>
                </c:pt>
                <c:pt idx="44">
                  <c:v>43811</c:v>
                </c:pt>
                <c:pt idx="45">
                  <c:v>43815</c:v>
                </c:pt>
                <c:pt idx="46">
                  <c:v>43818</c:v>
                </c:pt>
                <c:pt idx="47">
                  <c:v>43837</c:v>
                </c:pt>
                <c:pt idx="48">
                  <c:v>43843</c:v>
                </c:pt>
                <c:pt idx="49">
                  <c:v>43850</c:v>
                </c:pt>
                <c:pt idx="50">
                  <c:v>43857</c:v>
                </c:pt>
                <c:pt idx="51">
                  <c:v>43865</c:v>
                </c:pt>
                <c:pt idx="52">
                  <c:v>43878</c:v>
                </c:pt>
                <c:pt idx="53">
                  <c:v>43886</c:v>
                </c:pt>
                <c:pt idx="54">
                  <c:v>43896</c:v>
                </c:pt>
                <c:pt idx="55">
                  <c:v>43970</c:v>
                </c:pt>
                <c:pt idx="56">
                  <c:v>43977</c:v>
                </c:pt>
                <c:pt idx="57">
                  <c:v>43984</c:v>
                </c:pt>
                <c:pt idx="58">
                  <c:v>43990</c:v>
                </c:pt>
                <c:pt idx="59">
                  <c:v>43997</c:v>
                </c:pt>
                <c:pt idx="60">
                  <c:v>44004</c:v>
                </c:pt>
                <c:pt idx="61">
                  <c:v>44018</c:v>
                </c:pt>
                <c:pt idx="62">
                  <c:v>44027</c:v>
                </c:pt>
                <c:pt idx="63">
                  <c:v>44039</c:v>
                </c:pt>
                <c:pt idx="64">
                  <c:v>44053</c:v>
                </c:pt>
                <c:pt idx="65">
                  <c:v>44075</c:v>
                </c:pt>
                <c:pt idx="66">
                  <c:v>44082</c:v>
                </c:pt>
                <c:pt idx="67">
                  <c:v>44112</c:v>
                </c:pt>
                <c:pt idx="68">
                  <c:v>44134</c:v>
                </c:pt>
                <c:pt idx="70">
                  <c:v>44134</c:v>
                </c:pt>
                <c:pt idx="72">
                  <c:v>44140</c:v>
                </c:pt>
                <c:pt idx="73">
                  <c:v>44172</c:v>
                </c:pt>
                <c:pt idx="74">
                  <c:v>44186</c:v>
                </c:pt>
                <c:pt idx="75">
                  <c:v>44203</c:v>
                </c:pt>
                <c:pt idx="76">
                  <c:v>44229</c:v>
                </c:pt>
                <c:pt idx="77">
                  <c:v>44245</c:v>
                </c:pt>
                <c:pt idx="78">
                  <c:v>44273</c:v>
                </c:pt>
                <c:pt idx="79">
                  <c:v>44287</c:v>
                </c:pt>
                <c:pt idx="80">
                  <c:v>44308</c:v>
                </c:pt>
                <c:pt idx="81">
                  <c:v>44322</c:v>
                </c:pt>
                <c:pt idx="82">
                  <c:v>44337</c:v>
                </c:pt>
                <c:pt idx="83">
                  <c:v>44351</c:v>
                </c:pt>
                <c:pt idx="84">
                  <c:v>44357</c:v>
                </c:pt>
                <c:pt idx="85">
                  <c:v>44362</c:v>
                </c:pt>
                <c:pt idx="86">
                  <c:v>44364</c:v>
                </c:pt>
                <c:pt idx="87">
                  <c:v>44369</c:v>
                </c:pt>
                <c:pt idx="88">
                  <c:v>44376</c:v>
                </c:pt>
                <c:pt idx="89">
                  <c:v>44378</c:v>
                </c:pt>
                <c:pt idx="90">
                  <c:v>44392</c:v>
                </c:pt>
                <c:pt idx="91">
                  <c:v>44400</c:v>
                </c:pt>
                <c:pt idx="92">
                  <c:v>44410</c:v>
                </c:pt>
                <c:pt idx="93">
                  <c:v>44453</c:v>
                </c:pt>
                <c:pt idx="94">
                  <c:v>44470</c:v>
                </c:pt>
                <c:pt idx="95">
                  <c:v>44489</c:v>
                </c:pt>
                <c:pt idx="96">
                  <c:v>44502</c:v>
                </c:pt>
                <c:pt idx="97">
                  <c:v>44915</c:v>
                </c:pt>
              </c:numCache>
            </c:numRef>
          </c:xVal>
          <c:yVal>
            <c:numRef>
              <c:f>Déplacements!$L$10:$L$312</c:f>
              <c:numCache>
                <c:formatCode>\+\ 0.0;\-\ 0.0;\±\ 0.0</c:formatCode>
                <c:ptCount val="303"/>
                <c:pt idx="0">
                  <c:v>0</c:v>
                </c:pt>
                <c:pt idx="1">
                  <c:v>0.59999999999998943</c:v>
                </c:pt>
                <c:pt idx="2">
                  <c:v>0.40000000000001146</c:v>
                </c:pt>
                <c:pt idx="3">
                  <c:v>0.9000000000000119</c:v>
                </c:pt>
                <c:pt idx="4">
                  <c:v>-0.40000000000001146</c:v>
                </c:pt>
                <c:pt idx="5">
                  <c:v>2.0999999999999908</c:v>
                </c:pt>
                <c:pt idx="6">
                  <c:v>0.65322899999997741</c:v>
                </c:pt>
                <c:pt idx="7">
                  <c:v>1.3420960832648543</c:v>
                </c:pt>
                <c:pt idx="8">
                  <c:v>1.1848059999999827</c:v>
                </c:pt>
                <c:pt idx="9">
                  <c:v>2.0789010000000219</c:v>
                </c:pt>
                <c:pt idx="10">
                  <c:v>1.4026580000000011</c:v>
                </c:pt>
                <c:pt idx="11">
                  <c:v>2.2000240000000226</c:v>
                </c:pt>
                <c:pt idx="12">
                  <c:v>0.40000000000001146</c:v>
                </c:pt>
                <c:pt idx="13">
                  <c:v>0.69999999999997842</c:v>
                </c:pt>
                <c:pt idx="14">
                  <c:v>1.8000000000000238</c:v>
                </c:pt>
                <c:pt idx="15">
                  <c:v>1.6999999999999793</c:v>
                </c:pt>
                <c:pt idx="16">
                  <c:v>1.5999999999999903</c:v>
                </c:pt>
                <c:pt idx="17">
                  <c:v>1.6999999999999793</c:v>
                </c:pt>
                <c:pt idx="18">
                  <c:v>2.1398890533373405</c:v>
                </c:pt>
                <c:pt idx="19">
                  <c:v>1.9000000000000128</c:v>
                </c:pt>
                <c:pt idx="20">
                  <c:v>1.5999999999999903</c:v>
                </c:pt>
                <c:pt idx="21">
                  <c:v>2.3000000000000242</c:v>
                </c:pt>
                <c:pt idx="22">
                  <c:v>1.3000000000000234</c:v>
                </c:pt>
                <c:pt idx="23">
                  <c:v>1.5999999999999903</c:v>
                </c:pt>
                <c:pt idx="24">
                  <c:v>2.0013221481431365</c:v>
                </c:pt>
                <c:pt idx="25">
                  <c:v>2.0999999999999908</c:v>
                </c:pt>
                <c:pt idx="26">
                  <c:v>1.5995893814840234</c:v>
                </c:pt>
                <c:pt idx="27">
                  <c:v>1.3356915544688319</c:v>
                </c:pt>
                <c:pt idx="28">
                  <c:v>1.2401221026775433</c:v>
                </c:pt>
                <c:pt idx="29">
                  <c:v>1.9529582755826169</c:v>
                </c:pt>
                <c:pt idx="30">
                  <c:v>1.2945850421979266</c:v>
                </c:pt>
                <c:pt idx="31">
                  <c:v>1.9350880989065233</c:v>
                </c:pt>
                <c:pt idx="32">
                  <c:v>1.2884861862586527</c:v>
                </c:pt>
                <c:pt idx="33">
                  <c:v>1.9228905980473998</c:v>
                </c:pt>
                <c:pt idx="34">
                  <c:v>1.5999999999999903</c:v>
                </c:pt>
                <c:pt idx="35">
                  <c:v>1.6999999999999793</c:v>
                </c:pt>
                <c:pt idx="36">
                  <c:v>2.1999999999999797</c:v>
                </c:pt>
                <c:pt idx="37">
                  <c:v>1.6999999999999793</c:v>
                </c:pt>
                <c:pt idx="38">
                  <c:v>1.9000000000000128</c:v>
                </c:pt>
                <c:pt idx="39">
                  <c:v>1.5999999999999903</c:v>
                </c:pt>
                <c:pt idx="40">
                  <c:v>2.5000000000000022</c:v>
                </c:pt>
                <c:pt idx="41">
                  <c:v>1.9000000000000128</c:v>
                </c:pt>
                <c:pt idx="42">
                  <c:v>1.9000000000000128</c:v>
                </c:pt>
                <c:pt idx="43">
                  <c:v>1.7298609643722207</c:v>
                </c:pt>
                <c:pt idx="44">
                  <c:v>1.5999999999999903</c:v>
                </c:pt>
                <c:pt idx="45">
                  <c:v>1.6999999999999793</c:v>
                </c:pt>
                <c:pt idx="46">
                  <c:v>1.9000000000000128</c:v>
                </c:pt>
                <c:pt idx="47">
                  <c:v>2.0000000000000018</c:v>
                </c:pt>
                <c:pt idx="48">
                  <c:v>2.0999999999999908</c:v>
                </c:pt>
                <c:pt idx="49">
                  <c:v>1.6999999999999793</c:v>
                </c:pt>
                <c:pt idx="50">
                  <c:v>2.0000000000000018</c:v>
                </c:pt>
                <c:pt idx="51">
                  <c:v>1.8000000000000238</c:v>
                </c:pt>
                <c:pt idx="52">
                  <c:v>2.6999999999999802</c:v>
                </c:pt>
                <c:pt idx="53">
                  <c:v>1.8000000000000238</c:v>
                </c:pt>
                <c:pt idx="54">
                  <c:v>2.4000000000000132</c:v>
                </c:pt>
                <c:pt idx="55">
                  <c:v>2.5000000000000022</c:v>
                </c:pt>
                <c:pt idx="56">
                  <c:v>2.5999999999999912</c:v>
                </c:pt>
                <c:pt idx="57">
                  <c:v>2.2858338260651201</c:v>
                </c:pt>
                <c:pt idx="58">
                  <c:v>2.9747011281501257</c:v>
                </c:pt>
                <c:pt idx="59">
                  <c:v>2.8779730102427847</c:v>
                </c:pt>
                <c:pt idx="60">
                  <c:v>2.3402965053574976</c:v>
                </c:pt>
                <c:pt idx="61">
                  <c:v>2.3463954104793738</c:v>
                </c:pt>
                <c:pt idx="62">
                  <c:v>3.5184762779759682</c:v>
                </c:pt>
                <c:pt idx="63">
                  <c:v>2.8418066877772818</c:v>
                </c:pt>
                <c:pt idx="64">
                  <c:v>2.8479055437019007</c:v>
                </c:pt>
                <c:pt idx="68">
                  <c:v>1.9660085587208664</c:v>
                </c:pt>
                <c:pt idx="72">
                  <c:v>-3.3932843762962683E-2</c:v>
                </c:pt>
                <c:pt idx="73">
                  <c:v>0.22618362140192083</c:v>
                </c:pt>
                <c:pt idx="74">
                  <c:v>-0.77758617875478553</c:v>
                </c:pt>
                <c:pt idx="75">
                  <c:v>-1.0064588304940503</c:v>
                </c:pt>
                <c:pt idx="76">
                  <c:v>-0.47758617875476306</c:v>
                </c:pt>
                <c:pt idx="77">
                  <c:v>-0.65613970550487677</c:v>
                </c:pt>
                <c:pt idx="78">
                  <c:v>0.47977483949507294</c:v>
                </c:pt>
                <c:pt idx="79">
                  <c:v>-0.84916933918555149</c:v>
                </c:pt>
                <c:pt idx="80">
                  <c:v>0.10506029074897061</c:v>
                </c:pt>
                <c:pt idx="81">
                  <c:v>-0.25745654611347701</c:v>
                </c:pt>
                <c:pt idx="82">
                  <c:v>0.66103315243176697</c:v>
                </c:pt>
                <c:pt idx="83">
                  <c:v>0.33468289826155129</c:v>
                </c:pt>
                <c:pt idx="84">
                  <c:v>1.3799679702833356</c:v>
                </c:pt>
                <c:pt idx="85">
                  <c:v>1.3738693253533274</c:v>
                </c:pt>
                <c:pt idx="86">
                  <c:v>1.259271241764004</c:v>
                </c:pt>
                <c:pt idx="87">
                  <c:v>0.88455690402089449</c:v>
                </c:pt>
                <c:pt idx="88">
                  <c:v>0.97518595497514404</c:v>
                </c:pt>
                <c:pt idx="89">
                  <c:v>1.4705972322309746</c:v>
                </c:pt>
                <c:pt idx="90">
                  <c:v>0.84229167640342828</c:v>
                </c:pt>
                <c:pt idx="91">
                  <c:v>1.4827947331300662</c:v>
                </c:pt>
                <c:pt idx="92">
                  <c:v>1.0597163610214233</c:v>
                </c:pt>
                <c:pt idx="93">
                  <c:v>1.4527272665605384</c:v>
                </c:pt>
                <c:pt idx="94">
                  <c:v>1.8392129250497935</c:v>
                </c:pt>
                <c:pt idx="95">
                  <c:v>1.579522851019366</c:v>
                </c:pt>
                <c:pt idx="96">
                  <c:v>1.6278869345703328</c:v>
                </c:pt>
                <c:pt idx="97">
                  <c:v>0.232708917675295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960-488A-B4E5-F6C696EC9CE8}"/>
            </c:ext>
          </c:extLst>
        </c:ser>
        <c:ser>
          <c:idx val="3"/>
          <c:order val="1"/>
          <c:tx>
            <c:strRef>
              <c:f>Déplacements!$H$9</c:f>
              <c:strCache>
                <c:ptCount val="1"/>
                <c:pt idx="0">
                  <c:v>DH haut gauche</c:v>
                </c:pt>
              </c:strCache>
            </c:strRef>
          </c:tx>
          <c:spPr>
            <a:ln w="15875" cap="rnd">
              <a:solidFill>
                <a:schemeClr val="accent4"/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4">
                      <a:tint val="50000"/>
                      <a:satMod val="300000"/>
                    </a:schemeClr>
                  </a:gs>
                  <a:gs pos="35000">
                    <a:schemeClr val="accent4">
                      <a:tint val="37000"/>
                      <a:satMod val="300000"/>
                    </a:schemeClr>
                  </a:gs>
                  <a:gs pos="100000">
                    <a:schemeClr val="accent4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marker>
          <c:xVal>
            <c:numRef>
              <c:f>Déplacements!$B$10:$B$133</c:f>
              <c:numCache>
                <c:formatCode>dd\ /\ mm\ /\ yy</c:formatCode>
                <c:ptCount val="124"/>
                <c:pt idx="0">
                  <c:v>43655</c:v>
                </c:pt>
                <c:pt idx="1">
                  <c:v>43657</c:v>
                </c:pt>
                <c:pt idx="2">
                  <c:v>43661</c:v>
                </c:pt>
                <c:pt idx="3">
                  <c:v>43663</c:v>
                </c:pt>
                <c:pt idx="4">
                  <c:v>43669</c:v>
                </c:pt>
                <c:pt idx="5">
                  <c:v>43675</c:v>
                </c:pt>
                <c:pt idx="6">
                  <c:v>43679</c:v>
                </c:pt>
                <c:pt idx="7">
                  <c:v>43682</c:v>
                </c:pt>
                <c:pt idx="8">
                  <c:v>43684</c:v>
                </c:pt>
                <c:pt idx="9">
                  <c:v>43685</c:v>
                </c:pt>
                <c:pt idx="10">
                  <c:v>43689</c:v>
                </c:pt>
                <c:pt idx="11">
                  <c:v>43690</c:v>
                </c:pt>
                <c:pt idx="12">
                  <c:v>43696</c:v>
                </c:pt>
                <c:pt idx="13">
                  <c:v>43699</c:v>
                </c:pt>
                <c:pt idx="14">
                  <c:v>43703</c:v>
                </c:pt>
                <c:pt idx="15">
                  <c:v>43706</c:v>
                </c:pt>
                <c:pt idx="16">
                  <c:v>43710</c:v>
                </c:pt>
                <c:pt idx="17">
                  <c:v>43713</c:v>
                </c:pt>
                <c:pt idx="18">
                  <c:v>43718</c:v>
                </c:pt>
                <c:pt idx="19">
                  <c:v>43720</c:v>
                </c:pt>
                <c:pt idx="20">
                  <c:v>43724</c:v>
                </c:pt>
                <c:pt idx="21">
                  <c:v>43727</c:v>
                </c:pt>
                <c:pt idx="22">
                  <c:v>43731</c:v>
                </c:pt>
                <c:pt idx="23">
                  <c:v>43734</c:v>
                </c:pt>
                <c:pt idx="24">
                  <c:v>43738</c:v>
                </c:pt>
                <c:pt idx="25">
                  <c:v>43741</c:v>
                </c:pt>
                <c:pt idx="26">
                  <c:v>43746</c:v>
                </c:pt>
                <c:pt idx="27">
                  <c:v>43753</c:v>
                </c:pt>
                <c:pt idx="28">
                  <c:v>43756</c:v>
                </c:pt>
                <c:pt idx="29">
                  <c:v>43760</c:v>
                </c:pt>
                <c:pt idx="30">
                  <c:v>43762</c:v>
                </c:pt>
                <c:pt idx="31">
                  <c:v>43766</c:v>
                </c:pt>
                <c:pt idx="32">
                  <c:v>43769</c:v>
                </c:pt>
                <c:pt idx="33">
                  <c:v>43774</c:v>
                </c:pt>
                <c:pt idx="34">
                  <c:v>43776</c:v>
                </c:pt>
                <c:pt idx="35">
                  <c:v>43781</c:v>
                </c:pt>
                <c:pt idx="36">
                  <c:v>43783</c:v>
                </c:pt>
                <c:pt idx="37">
                  <c:v>43787</c:v>
                </c:pt>
                <c:pt idx="38">
                  <c:v>43790</c:v>
                </c:pt>
                <c:pt idx="39">
                  <c:v>43795</c:v>
                </c:pt>
                <c:pt idx="40">
                  <c:v>43797</c:v>
                </c:pt>
                <c:pt idx="41">
                  <c:v>43801</c:v>
                </c:pt>
                <c:pt idx="42">
                  <c:v>43803</c:v>
                </c:pt>
                <c:pt idx="43">
                  <c:v>43808</c:v>
                </c:pt>
                <c:pt idx="44">
                  <c:v>43811</c:v>
                </c:pt>
                <c:pt idx="45">
                  <c:v>43815</c:v>
                </c:pt>
                <c:pt idx="46">
                  <c:v>43818</c:v>
                </c:pt>
                <c:pt idx="47">
                  <c:v>43837</c:v>
                </c:pt>
                <c:pt idx="48">
                  <c:v>43843</c:v>
                </c:pt>
                <c:pt idx="49">
                  <c:v>43850</c:v>
                </c:pt>
                <c:pt idx="50">
                  <c:v>43857</c:v>
                </c:pt>
                <c:pt idx="51">
                  <c:v>43865</c:v>
                </c:pt>
                <c:pt idx="52">
                  <c:v>43878</c:v>
                </c:pt>
                <c:pt idx="53">
                  <c:v>43886</c:v>
                </c:pt>
                <c:pt idx="54">
                  <c:v>43896</c:v>
                </c:pt>
                <c:pt idx="55">
                  <c:v>43970</c:v>
                </c:pt>
                <c:pt idx="56">
                  <c:v>43977</c:v>
                </c:pt>
                <c:pt idx="57">
                  <c:v>43984</c:v>
                </c:pt>
                <c:pt idx="58">
                  <c:v>43990</c:v>
                </c:pt>
                <c:pt idx="59">
                  <c:v>43997</c:v>
                </c:pt>
                <c:pt idx="60">
                  <c:v>44004</c:v>
                </c:pt>
                <c:pt idx="61">
                  <c:v>44018</c:v>
                </c:pt>
                <c:pt idx="62">
                  <c:v>44027</c:v>
                </c:pt>
                <c:pt idx="63">
                  <c:v>44039</c:v>
                </c:pt>
                <c:pt idx="64">
                  <c:v>44053</c:v>
                </c:pt>
                <c:pt idx="65">
                  <c:v>44075</c:v>
                </c:pt>
                <c:pt idx="66">
                  <c:v>44082</c:v>
                </c:pt>
                <c:pt idx="67">
                  <c:v>44112</c:v>
                </c:pt>
                <c:pt idx="68">
                  <c:v>44134</c:v>
                </c:pt>
                <c:pt idx="70">
                  <c:v>44134</c:v>
                </c:pt>
                <c:pt idx="72">
                  <c:v>44140</c:v>
                </c:pt>
                <c:pt idx="73">
                  <c:v>44172</c:v>
                </c:pt>
                <c:pt idx="74">
                  <c:v>44186</c:v>
                </c:pt>
                <c:pt idx="75">
                  <c:v>44203</c:v>
                </c:pt>
                <c:pt idx="76">
                  <c:v>44229</c:v>
                </c:pt>
                <c:pt idx="77">
                  <c:v>44245</c:v>
                </c:pt>
                <c:pt idx="78">
                  <c:v>44273</c:v>
                </c:pt>
                <c:pt idx="79">
                  <c:v>44287</c:v>
                </c:pt>
                <c:pt idx="80">
                  <c:v>44308</c:v>
                </c:pt>
                <c:pt idx="81">
                  <c:v>44322</c:v>
                </c:pt>
                <c:pt idx="82">
                  <c:v>44337</c:v>
                </c:pt>
                <c:pt idx="83">
                  <c:v>44351</c:v>
                </c:pt>
                <c:pt idx="84">
                  <c:v>44357</c:v>
                </c:pt>
                <c:pt idx="85">
                  <c:v>44362</c:v>
                </c:pt>
                <c:pt idx="86">
                  <c:v>44364</c:v>
                </c:pt>
                <c:pt idx="87">
                  <c:v>44369</c:v>
                </c:pt>
                <c:pt idx="88">
                  <c:v>44376</c:v>
                </c:pt>
                <c:pt idx="89">
                  <c:v>44378</c:v>
                </c:pt>
                <c:pt idx="90">
                  <c:v>44392</c:v>
                </c:pt>
                <c:pt idx="91">
                  <c:v>44400</c:v>
                </c:pt>
                <c:pt idx="92">
                  <c:v>44410</c:v>
                </c:pt>
                <c:pt idx="93">
                  <c:v>44453</c:v>
                </c:pt>
                <c:pt idx="94">
                  <c:v>44470</c:v>
                </c:pt>
                <c:pt idx="95">
                  <c:v>44489</c:v>
                </c:pt>
                <c:pt idx="96">
                  <c:v>44502</c:v>
                </c:pt>
                <c:pt idx="97">
                  <c:v>44915</c:v>
                </c:pt>
              </c:numCache>
            </c:numRef>
          </c:xVal>
          <c:yVal>
            <c:numRef>
              <c:f>Déplacements!$H$10:$H$132</c:f>
              <c:numCache>
                <c:formatCode>\+\ 0.0;\-\ 0.0;\±\ 0.0</c:formatCode>
                <c:ptCount val="123"/>
                <c:pt idx="0">
                  <c:v>0</c:v>
                </c:pt>
                <c:pt idx="1">
                  <c:v>0.50000000000016698</c:v>
                </c:pt>
                <c:pt idx="2">
                  <c:v>0.40000000000017799</c:v>
                </c:pt>
                <c:pt idx="3">
                  <c:v>1.3000000000000789</c:v>
                </c:pt>
                <c:pt idx="4">
                  <c:v>0</c:v>
                </c:pt>
                <c:pt idx="5">
                  <c:v>2.6000000000001577</c:v>
                </c:pt>
                <c:pt idx="6">
                  <c:v>1.1352790000001001</c:v>
                </c:pt>
                <c:pt idx="7">
                  <c:v>1.7095482365681036</c:v>
                </c:pt>
                <c:pt idx="8">
                  <c:v>1.9509420000001221</c:v>
                </c:pt>
                <c:pt idx="9">
                  <c:v>2.8511350000000046</c:v>
                </c:pt>
                <c:pt idx="10">
                  <c:v>2.0419970000000731</c:v>
                </c:pt>
                <c:pt idx="11">
                  <c:v>2.8637590000000213</c:v>
                </c:pt>
                <c:pt idx="12">
                  <c:v>1.1000000000001009</c:v>
                </c:pt>
                <c:pt idx="13">
                  <c:v>1.4000000000000679</c:v>
                </c:pt>
                <c:pt idx="14">
                  <c:v>2.5000000000001688</c:v>
                </c:pt>
                <c:pt idx="15">
                  <c:v>2.5000000000001688</c:v>
                </c:pt>
                <c:pt idx="16">
                  <c:v>2.4000000000001798</c:v>
                </c:pt>
                <c:pt idx="17">
                  <c:v>2.5000000000001688</c:v>
                </c:pt>
                <c:pt idx="18">
                  <c:v>2.8036237832764765</c:v>
                </c:pt>
                <c:pt idx="19">
                  <c:v>2.7000000000001467</c:v>
                </c:pt>
                <c:pt idx="20">
                  <c:v>2.3000000000001908</c:v>
                </c:pt>
                <c:pt idx="21">
                  <c:v>3.0000000000001137</c:v>
                </c:pt>
                <c:pt idx="22">
                  <c:v>2.4000000000001798</c:v>
                </c:pt>
                <c:pt idx="23">
                  <c:v>2.6000000000001577</c:v>
                </c:pt>
                <c:pt idx="24">
                  <c:v>2.7195197683571593</c:v>
                </c:pt>
                <c:pt idx="25">
                  <c:v>3.0000000000001137</c:v>
                </c:pt>
                <c:pt idx="26">
                  <c:v>2.3208366090183841</c:v>
                </c:pt>
                <c:pt idx="27">
                  <c:v>2.1485841905193315</c:v>
                </c:pt>
                <c:pt idx="28">
                  <c:v>1.9221534496816073</c:v>
                </c:pt>
                <c:pt idx="29">
                  <c:v>2.5081937779016794</c:v>
                </c:pt>
                <c:pt idx="30">
                  <c:v>1.8676905101535635</c:v>
                </c:pt>
                <c:pt idx="32">
                  <c:v>2.296867787413337</c:v>
                </c:pt>
                <c:pt idx="33">
                  <c:v>2.5142926338492799</c:v>
                </c:pt>
                <c:pt idx="34">
                  <c:v>2.3000000000001908</c:v>
                </c:pt>
                <c:pt idx="35">
                  <c:v>2.4000000000001798</c:v>
                </c:pt>
                <c:pt idx="37">
                  <c:v>2.6000000000001577</c:v>
                </c:pt>
                <c:pt idx="38">
                  <c:v>2.8000000000001357</c:v>
                </c:pt>
                <c:pt idx="39">
                  <c:v>2.2000000000002018</c:v>
                </c:pt>
                <c:pt idx="40">
                  <c:v>3.3000000000000806</c:v>
                </c:pt>
                <c:pt idx="41">
                  <c:v>2.7000000000001467</c:v>
                </c:pt>
                <c:pt idx="42">
                  <c:v>2.6000000000001577</c:v>
                </c:pt>
                <c:pt idx="43">
                  <c:v>2.3757259396497421</c:v>
                </c:pt>
                <c:pt idx="44">
                  <c:v>2.6000000000001577</c:v>
                </c:pt>
                <c:pt idx="45">
                  <c:v>2.6000000000001577</c:v>
                </c:pt>
                <c:pt idx="46">
                  <c:v>2.8000000000001357</c:v>
                </c:pt>
                <c:pt idx="47">
                  <c:v>2.9000000000001247</c:v>
                </c:pt>
                <c:pt idx="48">
                  <c:v>2.9000000000001247</c:v>
                </c:pt>
                <c:pt idx="49">
                  <c:v>2.7000000000001467</c:v>
                </c:pt>
                <c:pt idx="50">
                  <c:v>2.9000000000001247</c:v>
                </c:pt>
                <c:pt idx="51">
                  <c:v>2.8000000000001357</c:v>
                </c:pt>
                <c:pt idx="52">
                  <c:v>3.6000000000000476</c:v>
                </c:pt>
                <c:pt idx="53">
                  <c:v>2.7000000000001467</c:v>
                </c:pt>
                <c:pt idx="54">
                  <c:v>3.0000000000001137</c:v>
                </c:pt>
                <c:pt idx="55">
                  <c:v>3.5000000000000586</c:v>
                </c:pt>
                <c:pt idx="56">
                  <c:v>3.5000000000000586</c:v>
                </c:pt>
                <c:pt idx="57">
                  <c:v>3.2702468166321275</c:v>
                </c:pt>
                <c:pt idx="58">
                  <c:v>3.8684846457339717</c:v>
                </c:pt>
                <c:pt idx="59">
                  <c:v>3.6872263327971666</c:v>
                </c:pt>
                <c:pt idx="60">
                  <c:v>3.4214376138248515</c:v>
                </c:pt>
                <c:pt idx="61">
                  <c:v>3.5665296042910466</c:v>
                </c:pt>
                <c:pt idx="62">
                  <c:v>4.829239571904953</c:v>
                </c:pt>
                <c:pt idx="63">
                  <c:v>4.1464710765852786</c:v>
                </c:pt>
                <c:pt idx="64">
                  <c:v>4.0741384316114182</c:v>
                </c:pt>
                <c:pt idx="65">
                  <c:v>3.892879907674951</c:v>
                </c:pt>
                <c:pt idx="66">
                  <c:v>4.0257743480645036</c:v>
                </c:pt>
                <c:pt idx="67">
                  <c:v>3.7538867731501391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960-488A-B4E5-F6C696EC9CE8}"/>
            </c:ext>
          </c:extLst>
        </c:ser>
        <c:ser>
          <c:idx val="4"/>
          <c:order val="2"/>
          <c:tx>
            <c:strRef>
              <c:f>Déplacements!$P$9</c:f>
              <c:strCache>
                <c:ptCount val="1"/>
                <c:pt idx="0">
                  <c:v>DH haut droit</c:v>
                </c:pt>
              </c:strCache>
            </c:strRef>
          </c:tx>
          <c:spPr>
            <a:ln w="15875" cap="rnd">
              <a:solidFill>
                <a:schemeClr val="accent5"/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5">
                      <a:tint val="50000"/>
                      <a:satMod val="300000"/>
                    </a:schemeClr>
                  </a:gs>
                  <a:gs pos="35000">
                    <a:schemeClr val="accent5">
                      <a:tint val="37000"/>
                      <a:satMod val="300000"/>
                    </a:schemeClr>
                  </a:gs>
                  <a:gs pos="100000">
                    <a:schemeClr val="accent5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5"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marker>
          <c:xVal>
            <c:numRef>
              <c:f>Déplacements!$B$10:$B$300</c:f>
              <c:numCache>
                <c:formatCode>dd\ /\ mm\ /\ yy</c:formatCode>
                <c:ptCount val="291"/>
                <c:pt idx="0">
                  <c:v>43655</c:v>
                </c:pt>
                <c:pt idx="1">
                  <c:v>43657</c:v>
                </c:pt>
                <c:pt idx="2">
                  <c:v>43661</c:v>
                </c:pt>
                <c:pt idx="3">
                  <c:v>43663</c:v>
                </c:pt>
                <c:pt idx="4">
                  <c:v>43669</c:v>
                </c:pt>
                <c:pt idx="5">
                  <c:v>43675</c:v>
                </c:pt>
                <c:pt idx="6">
                  <c:v>43679</c:v>
                </c:pt>
                <c:pt idx="7">
                  <c:v>43682</c:v>
                </c:pt>
                <c:pt idx="8">
                  <c:v>43684</c:v>
                </c:pt>
                <c:pt idx="9">
                  <c:v>43685</c:v>
                </c:pt>
                <c:pt idx="10">
                  <c:v>43689</c:v>
                </c:pt>
                <c:pt idx="11">
                  <c:v>43690</c:v>
                </c:pt>
                <c:pt idx="12">
                  <c:v>43696</c:v>
                </c:pt>
                <c:pt idx="13">
                  <c:v>43699</c:v>
                </c:pt>
                <c:pt idx="14">
                  <c:v>43703</c:v>
                </c:pt>
                <c:pt idx="15">
                  <c:v>43706</c:v>
                </c:pt>
                <c:pt idx="16">
                  <c:v>43710</c:v>
                </c:pt>
                <c:pt idx="17">
                  <c:v>43713</c:v>
                </c:pt>
                <c:pt idx="18">
                  <c:v>43718</c:v>
                </c:pt>
                <c:pt idx="19">
                  <c:v>43720</c:v>
                </c:pt>
                <c:pt idx="20">
                  <c:v>43724</c:v>
                </c:pt>
                <c:pt idx="21">
                  <c:v>43727</c:v>
                </c:pt>
                <c:pt idx="22">
                  <c:v>43731</c:v>
                </c:pt>
                <c:pt idx="23">
                  <c:v>43734</c:v>
                </c:pt>
                <c:pt idx="24">
                  <c:v>43738</c:v>
                </c:pt>
                <c:pt idx="25">
                  <c:v>43741</c:v>
                </c:pt>
                <c:pt idx="26">
                  <c:v>43746</c:v>
                </c:pt>
                <c:pt idx="27">
                  <c:v>43753</c:v>
                </c:pt>
                <c:pt idx="28">
                  <c:v>43756</c:v>
                </c:pt>
                <c:pt idx="29">
                  <c:v>43760</c:v>
                </c:pt>
                <c:pt idx="30">
                  <c:v>43762</c:v>
                </c:pt>
                <c:pt idx="31">
                  <c:v>43766</c:v>
                </c:pt>
                <c:pt idx="32">
                  <c:v>43769</c:v>
                </c:pt>
                <c:pt idx="33">
                  <c:v>43774</c:v>
                </c:pt>
                <c:pt idx="34">
                  <c:v>43776</c:v>
                </c:pt>
                <c:pt idx="35">
                  <c:v>43781</c:v>
                </c:pt>
                <c:pt idx="36">
                  <c:v>43783</c:v>
                </c:pt>
                <c:pt idx="37">
                  <c:v>43787</c:v>
                </c:pt>
                <c:pt idx="38">
                  <c:v>43790</c:v>
                </c:pt>
                <c:pt idx="39">
                  <c:v>43795</c:v>
                </c:pt>
                <c:pt idx="40">
                  <c:v>43797</c:v>
                </c:pt>
                <c:pt idx="41">
                  <c:v>43801</c:v>
                </c:pt>
                <c:pt idx="42">
                  <c:v>43803</c:v>
                </c:pt>
                <c:pt idx="43">
                  <c:v>43808</c:v>
                </c:pt>
                <c:pt idx="44">
                  <c:v>43811</c:v>
                </c:pt>
                <c:pt idx="45">
                  <c:v>43815</c:v>
                </c:pt>
                <c:pt idx="46">
                  <c:v>43818</c:v>
                </c:pt>
                <c:pt idx="47">
                  <c:v>43837</c:v>
                </c:pt>
                <c:pt idx="48">
                  <c:v>43843</c:v>
                </c:pt>
                <c:pt idx="49">
                  <c:v>43850</c:v>
                </c:pt>
                <c:pt idx="50">
                  <c:v>43857</c:v>
                </c:pt>
                <c:pt idx="51">
                  <c:v>43865</c:v>
                </c:pt>
                <c:pt idx="52">
                  <c:v>43878</c:v>
                </c:pt>
                <c:pt idx="53">
                  <c:v>43886</c:v>
                </c:pt>
                <c:pt idx="54">
                  <c:v>43896</c:v>
                </c:pt>
                <c:pt idx="55">
                  <c:v>43970</c:v>
                </c:pt>
                <c:pt idx="56">
                  <c:v>43977</c:v>
                </c:pt>
                <c:pt idx="57">
                  <c:v>43984</c:v>
                </c:pt>
                <c:pt idx="58">
                  <c:v>43990</c:v>
                </c:pt>
                <c:pt idx="59">
                  <c:v>43997</c:v>
                </c:pt>
                <c:pt idx="60">
                  <c:v>44004</c:v>
                </c:pt>
                <c:pt idx="61">
                  <c:v>44018</c:v>
                </c:pt>
                <c:pt idx="62">
                  <c:v>44027</c:v>
                </c:pt>
                <c:pt idx="63">
                  <c:v>44039</c:v>
                </c:pt>
                <c:pt idx="64">
                  <c:v>44053</c:v>
                </c:pt>
                <c:pt idx="65">
                  <c:v>44075</c:v>
                </c:pt>
                <c:pt idx="66">
                  <c:v>44082</c:v>
                </c:pt>
                <c:pt idx="67">
                  <c:v>44112</c:v>
                </c:pt>
                <c:pt idx="68">
                  <c:v>44134</c:v>
                </c:pt>
                <c:pt idx="70">
                  <c:v>44134</c:v>
                </c:pt>
                <c:pt idx="72">
                  <c:v>44140</c:v>
                </c:pt>
                <c:pt idx="73">
                  <c:v>44172</c:v>
                </c:pt>
                <c:pt idx="74">
                  <c:v>44186</c:v>
                </c:pt>
                <c:pt idx="75">
                  <c:v>44203</c:v>
                </c:pt>
                <c:pt idx="76">
                  <c:v>44229</c:v>
                </c:pt>
                <c:pt idx="77">
                  <c:v>44245</c:v>
                </c:pt>
                <c:pt idx="78">
                  <c:v>44273</c:v>
                </c:pt>
                <c:pt idx="79">
                  <c:v>44287</c:v>
                </c:pt>
                <c:pt idx="80">
                  <c:v>44308</c:v>
                </c:pt>
                <c:pt idx="81">
                  <c:v>44322</c:v>
                </c:pt>
                <c:pt idx="82">
                  <c:v>44337</c:v>
                </c:pt>
                <c:pt idx="83">
                  <c:v>44351</c:v>
                </c:pt>
                <c:pt idx="84">
                  <c:v>44357</c:v>
                </c:pt>
                <c:pt idx="85">
                  <c:v>44362</c:v>
                </c:pt>
                <c:pt idx="86">
                  <c:v>44364</c:v>
                </c:pt>
                <c:pt idx="87">
                  <c:v>44369</c:v>
                </c:pt>
                <c:pt idx="88">
                  <c:v>44376</c:v>
                </c:pt>
                <c:pt idx="89">
                  <c:v>44378</c:v>
                </c:pt>
                <c:pt idx="90">
                  <c:v>44392</c:v>
                </c:pt>
                <c:pt idx="91">
                  <c:v>44400</c:v>
                </c:pt>
                <c:pt idx="92">
                  <c:v>44410</c:v>
                </c:pt>
                <c:pt idx="93">
                  <c:v>44453</c:v>
                </c:pt>
                <c:pt idx="94">
                  <c:v>44470</c:v>
                </c:pt>
                <c:pt idx="95">
                  <c:v>44489</c:v>
                </c:pt>
                <c:pt idx="96">
                  <c:v>44502</c:v>
                </c:pt>
                <c:pt idx="97">
                  <c:v>44915</c:v>
                </c:pt>
              </c:numCache>
            </c:numRef>
          </c:xVal>
          <c:yVal>
            <c:numRef>
              <c:f>Déplacements!$P$10:$P$300</c:f>
              <c:numCache>
                <c:formatCode>\+\ 0.0;\-\ 0.0;\±\ 0.0</c:formatCode>
                <c:ptCount val="291"/>
                <c:pt idx="0">
                  <c:v>0</c:v>
                </c:pt>
                <c:pt idx="1">
                  <c:v>0.59999999999993392</c:v>
                </c:pt>
                <c:pt idx="2">
                  <c:v>0.79999999999991189</c:v>
                </c:pt>
                <c:pt idx="3">
                  <c:v>1.3999999999998458</c:v>
                </c:pt>
                <c:pt idx="4">
                  <c:v>9.9999999999988987E-2</c:v>
                </c:pt>
                <c:pt idx="5">
                  <c:v>2.4999999999999467</c:v>
                </c:pt>
                <c:pt idx="6">
                  <c:v>1.1550139999998432</c:v>
                </c:pt>
                <c:pt idx="7">
                  <c:v>1.753251604003303</c:v>
                </c:pt>
                <c:pt idx="8">
                  <c:v>1.7772199999999128</c:v>
                </c:pt>
                <c:pt idx="9">
                  <c:v>2.7619439999999607</c:v>
                </c:pt>
                <c:pt idx="10">
                  <c:v>2.0434359999998986</c:v>
                </c:pt>
                <c:pt idx="11">
                  <c:v>2.9013639999999619</c:v>
                </c:pt>
                <c:pt idx="12">
                  <c:v>1.3999999999998458</c:v>
                </c:pt>
                <c:pt idx="13">
                  <c:v>1.4999999999998348</c:v>
                </c:pt>
                <c:pt idx="14">
                  <c:v>2.7999999999999137</c:v>
                </c:pt>
                <c:pt idx="15">
                  <c:v>2.6999999999999247</c:v>
                </c:pt>
                <c:pt idx="16">
                  <c:v>2.6999999999999247</c:v>
                </c:pt>
                <c:pt idx="17">
                  <c:v>2.7999999999999137</c:v>
                </c:pt>
                <c:pt idx="18">
                  <c:v>3.3305409271253694</c:v>
                </c:pt>
                <c:pt idx="19">
                  <c:v>3.2999999999998586</c:v>
                </c:pt>
                <c:pt idx="20">
                  <c:v>2.8999999999999027</c:v>
                </c:pt>
                <c:pt idx="21">
                  <c:v>3.7000000000000366</c:v>
                </c:pt>
                <c:pt idx="22">
                  <c:v>3.0999999999998806</c:v>
                </c:pt>
                <c:pt idx="23">
                  <c:v>2.9999999999998916</c:v>
                </c:pt>
                <c:pt idx="24">
                  <c:v>3.3549361890670149</c:v>
                </c:pt>
                <c:pt idx="25">
                  <c:v>3.6000000000000476</c:v>
                </c:pt>
                <c:pt idx="26">
                  <c:v>3.1163786796530868</c:v>
                </c:pt>
                <c:pt idx="27">
                  <c:v>2.9682376515474118</c:v>
                </c:pt>
                <c:pt idx="28">
                  <c:v>2.7810933616936317</c:v>
                </c:pt>
                <c:pt idx="29">
                  <c:v>3.6268237639767165</c:v>
                </c:pt>
                <c:pt idx="30">
                  <c:v>3.4215966294248723</c:v>
                </c:pt>
                <c:pt idx="31">
                  <c:v>3.7841132552960399</c:v>
                </c:pt>
                <c:pt idx="32">
                  <c:v>2.9684505305975772</c:v>
                </c:pt>
                <c:pt idx="33">
                  <c:v>3.5122256804120955</c:v>
                </c:pt>
                <c:pt idx="34">
                  <c:v>3.1999999999998696</c:v>
                </c:pt>
                <c:pt idx="35">
                  <c:v>3.3999999999998476</c:v>
                </c:pt>
                <c:pt idx="36">
                  <c:v>3.6000000000000476</c:v>
                </c:pt>
                <c:pt idx="37">
                  <c:v>3.3999999999998476</c:v>
                </c:pt>
                <c:pt idx="38">
                  <c:v>3.7000000000000366</c:v>
                </c:pt>
                <c:pt idx="39">
                  <c:v>3.4999999999998366</c:v>
                </c:pt>
                <c:pt idx="40">
                  <c:v>4.3999999999999595</c:v>
                </c:pt>
                <c:pt idx="41">
                  <c:v>3.9000000000000146</c:v>
                </c:pt>
                <c:pt idx="42">
                  <c:v>3.7000000000000366</c:v>
                </c:pt>
                <c:pt idx="43">
                  <c:v>3.439892986264681</c:v>
                </c:pt>
                <c:pt idx="44">
                  <c:v>3.4999999999998366</c:v>
                </c:pt>
                <c:pt idx="45">
                  <c:v>3.8000000000000256</c:v>
                </c:pt>
                <c:pt idx="46">
                  <c:v>3.9000000000000146</c:v>
                </c:pt>
                <c:pt idx="47">
                  <c:v>3.9000000000000146</c:v>
                </c:pt>
                <c:pt idx="48">
                  <c:v>4.0999999999999925</c:v>
                </c:pt>
                <c:pt idx="49">
                  <c:v>3.9000000000000146</c:v>
                </c:pt>
                <c:pt idx="50">
                  <c:v>4.2999999999999705</c:v>
                </c:pt>
                <c:pt idx="51">
                  <c:v>3.9000000000000146</c:v>
                </c:pt>
                <c:pt idx="52">
                  <c:v>4.8999999999999044</c:v>
                </c:pt>
                <c:pt idx="53">
                  <c:v>4.0999999999999925</c:v>
                </c:pt>
                <c:pt idx="54">
                  <c:v>4.7999999999999154</c:v>
                </c:pt>
                <c:pt idx="55">
                  <c:v>5.1999999999998714</c:v>
                </c:pt>
                <c:pt idx="56">
                  <c:v>5.0999999999998824</c:v>
                </c:pt>
                <c:pt idx="57">
                  <c:v>4.8598926562080091</c:v>
                </c:pt>
                <c:pt idx="58">
                  <c:v>5.4097666619785656</c:v>
                </c:pt>
                <c:pt idx="59">
                  <c:v>5.1740454095634547</c:v>
                </c:pt>
                <c:pt idx="60">
                  <c:v>4.8659915121509467</c:v>
                </c:pt>
                <c:pt idx="61">
                  <c:v>5.0472498251166176</c:v>
                </c:pt>
                <c:pt idx="62">
                  <c:v>6.0441710737813015</c:v>
                </c:pt>
                <c:pt idx="63">
                  <c:v>5.5788274248622649</c:v>
                </c:pt>
                <c:pt idx="64">
                  <c:v>5.4520318404069901</c:v>
                </c:pt>
                <c:pt idx="65">
                  <c:v>5.4459329844591675</c:v>
                </c:pt>
                <c:pt idx="66">
                  <c:v>5.5788274248622649</c:v>
                </c:pt>
                <c:pt idx="67">
                  <c:v>5.7962523204733163</c:v>
                </c:pt>
                <c:pt idx="68">
                  <c:v>5.0171820983442306</c:v>
                </c:pt>
                <c:pt idx="72">
                  <c:v>3.1984992690405889</c:v>
                </c:pt>
                <c:pt idx="73">
                  <c:v>3.2834560661947343</c:v>
                </c:pt>
                <c:pt idx="74">
                  <c:v>2.3768767607723618</c:v>
                </c:pt>
                <c:pt idx="75">
                  <c:v>2.0869801477936267</c:v>
                </c:pt>
                <c:pt idx="76">
                  <c:v>2.3768767607723618</c:v>
                </c:pt>
                <c:pt idx="77">
                  <c:v>2.3466699616141451</c:v>
                </c:pt>
                <c:pt idx="78">
                  <c:v>3.7666696316056569</c:v>
                </c:pt>
                <c:pt idx="79">
                  <c:v>2.2743373166536074</c:v>
                </c:pt>
                <c:pt idx="80">
                  <c:v>3.4642881989839225</c:v>
                </c:pt>
                <c:pt idx="81">
                  <c:v>3.1562340413830992</c:v>
                </c:pt>
                <c:pt idx="82">
                  <c:v>4.0747237399949565</c:v>
                </c:pt>
                <c:pt idx="83">
                  <c:v>3.8512000376129674</c:v>
                </c:pt>
                <c:pt idx="84">
                  <c:v>4.9265530473994179</c:v>
                </c:pt>
                <c:pt idx="85">
                  <c:v>4.9627193698622563</c:v>
                </c:pt>
                <c:pt idx="86">
                  <c:v>4.7513933793954521</c:v>
                </c:pt>
                <c:pt idx="87">
                  <c:v>4.4372405768697831</c:v>
                </c:pt>
                <c:pt idx="88">
                  <c:v>4.3405124589577238</c:v>
                </c:pt>
                <c:pt idx="89">
                  <c:v>5.0049845974633467</c:v>
                </c:pt>
                <c:pt idx="90">
                  <c:v>4.2799509237194666</c:v>
                </c:pt>
                <c:pt idx="91">
                  <c:v>4.8119549638230286</c:v>
                </c:pt>
                <c:pt idx="92">
                  <c:v>4.8659914629560763</c:v>
                </c:pt>
                <c:pt idx="93">
                  <c:v>5.4703281971875128</c:v>
                </c:pt>
                <c:pt idx="94">
                  <c:v>5.6877530436254542</c:v>
                </c:pt>
                <c:pt idx="95">
                  <c:v>5.6999505444943477</c:v>
                </c:pt>
                <c:pt idx="96">
                  <c:v>5.5125933756206003</c:v>
                </c:pt>
                <c:pt idx="97">
                  <c:v>4.7335234136991478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960-488A-B4E5-F6C696EC9CE8}"/>
            </c:ext>
          </c:extLst>
        </c:ser>
        <c:ser>
          <c:idx val="5"/>
          <c:order val="3"/>
          <c:tx>
            <c:strRef>
              <c:f>Déplacements!$D$9</c:f>
              <c:strCache>
                <c:ptCount val="1"/>
                <c:pt idx="0">
                  <c:v>DH inter gauche</c:v>
                </c:pt>
              </c:strCache>
            </c:strRef>
          </c:tx>
          <c:spPr>
            <a:ln w="15875" cap="rnd">
              <a:solidFill>
                <a:schemeClr val="accent6"/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6">
                      <a:tint val="50000"/>
                      <a:satMod val="300000"/>
                    </a:schemeClr>
                  </a:gs>
                  <a:gs pos="35000">
                    <a:schemeClr val="accent6">
                      <a:tint val="37000"/>
                      <a:satMod val="300000"/>
                    </a:schemeClr>
                  </a:gs>
                  <a:gs pos="100000">
                    <a:schemeClr val="accent6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6"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marker>
          <c:xVal>
            <c:numRef>
              <c:f>Déplacements!$B$10:$B$300</c:f>
              <c:numCache>
                <c:formatCode>dd\ /\ mm\ /\ yy</c:formatCode>
                <c:ptCount val="291"/>
                <c:pt idx="0">
                  <c:v>43655</c:v>
                </c:pt>
                <c:pt idx="1">
                  <c:v>43657</c:v>
                </c:pt>
                <c:pt idx="2">
                  <c:v>43661</c:v>
                </c:pt>
                <c:pt idx="3">
                  <c:v>43663</c:v>
                </c:pt>
                <c:pt idx="4">
                  <c:v>43669</c:v>
                </c:pt>
                <c:pt idx="5">
                  <c:v>43675</c:v>
                </c:pt>
                <c:pt idx="6">
                  <c:v>43679</c:v>
                </c:pt>
                <c:pt idx="7">
                  <c:v>43682</c:v>
                </c:pt>
                <c:pt idx="8">
                  <c:v>43684</c:v>
                </c:pt>
                <c:pt idx="9">
                  <c:v>43685</c:v>
                </c:pt>
                <c:pt idx="10">
                  <c:v>43689</c:v>
                </c:pt>
                <c:pt idx="11">
                  <c:v>43690</c:v>
                </c:pt>
                <c:pt idx="12">
                  <c:v>43696</c:v>
                </c:pt>
                <c:pt idx="13">
                  <c:v>43699</c:v>
                </c:pt>
                <c:pt idx="14">
                  <c:v>43703</c:v>
                </c:pt>
                <c:pt idx="15">
                  <c:v>43706</c:v>
                </c:pt>
                <c:pt idx="16">
                  <c:v>43710</c:v>
                </c:pt>
                <c:pt idx="17">
                  <c:v>43713</c:v>
                </c:pt>
                <c:pt idx="18">
                  <c:v>43718</c:v>
                </c:pt>
                <c:pt idx="19">
                  <c:v>43720</c:v>
                </c:pt>
                <c:pt idx="20">
                  <c:v>43724</c:v>
                </c:pt>
                <c:pt idx="21">
                  <c:v>43727</c:v>
                </c:pt>
                <c:pt idx="22">
                  <c:v>43731</c:v>
                </c:pt>
                <c:pt idx="23">
                  <c:v>43734</c:v>
                </c:pt>
                <c:pt idx="24">
                  <c:v>43738</c:v>
                </c:pt>
                <c:pt idx="25">
                  <c:v>43741</c:v>
                </c:pt>
                <c:pt idx="26">
                  <c:v>43746</c:v>
                </c:pt>
                <c:pt idx="27">
                  <c:v>43753</c:v>
                </c:pt>
                <c:pt idx="28">
                  <c:v>43756</c:v>
                </c:pt>
                <c:pt idx="29">
                  <c:v>43760</c:v>
                </c:pt>
                <c:pt idx="30">
                  <c:v>43762</c:v>
                </c:pt>
                <c:pt idx="31">
                  <c:v>43766</c:v>
                </c:pt>
                <c:pt idx="32">
                  <c:v>43769</c:v>
                </c:pt>
                <c:pt idx="33">
                  <c:v>43774</c:v>
                </c:pt>
                <c:pt idx="34">
                  <c:v>43776</c:v>
                </c:pt>
                <c:pt idx="35">
                  <c:v>43781</c:v>
                </c:pt>
                <c:pt idx="36">
                  <c:v>43783</c:v>
                </c:pt>
                <c:pt idx="37">
                  <c:v>43787</c:v>
                </c:pt>
                <c:pt idx="38">
                  <c:v>43790</c:v>
                </c:pt>
                <c:pt idx="39">
                  <c:v>43795</c:v>
                </c:pt>
                <c:pt idx="40">
                  <c:v>43797</c:v>
                </c:pt>
                <c:pt idx="41">
                  <c:v>43801</c:v>
                </c:pt>
                <c:pt idx="42">
                  <c:v>43803</c:v>
                </c:pt>
                <c:pt idx="43">
                  <c:v>43808</c:v>
                </c:pt>
                <c:pt idx="44">
                  <c:v>43811</c:v>
                </c:pt>
                <c:pt idx="45">
                  <c:v>43815</c:v>
                </c:pt>
                <c:pt idx="46">
                  <c:v>43818</c:v>
                </c:pt>
                <c:pt idx="47">
                  <c:v>43837</c:v>
                </c:pt>
                <c:pt idx="48">
                  <c:v>43843</c:v>
                </c:pt>
                <c:pt idx="49">
                  <c:v>43850</c:v>
                </c:pt>
                <c:pt idx="50">
                  <c:v>43857</c:v>
                </c:pt>
                <c:pt idx="51">
                  <c:v>43865</c:v>
                </c:pt>
                <c:pt idx="52">
                  <c:v>43878</c:v>
                </c:pt>
                <c:pt idx="53">
                  <c:v>43886</c:v>
                </c:pt>
                <c:pt idx="54">
                  <c:v>43896</c:v>
                </c:pt>
                <c:pt idx="55">
                  <c:v>43970</c:v>
                </c:pt>
                <c:pt idx="56">
                  <c:v>43977</c:v>
                </c:pt>
                <c:pt idx="57">
                  <c:v>43984</c:v>
                </c:pt>
                <c:pt idx="58">
                  <c:v>43990</c:v>
                </c:pt>
                <c:pt idx="59">
                  <c:v>43997</c:v>
                </c:pt>
                <c:pt idx="60">
                  <c:v>44004</c:v>
                </c:pt>
                <c:pt idx="61">
                  <c:v>44018</c:v>
                </c:pt>
                <c:pt idx="62">
                  <c:v>44027</c:v>
                </c:pt>
                <c:pt idx="63">
                  <c:v>44039</c:v>
                </c:pt>
                <c:pt idx="64">
                  <c:v>44053</c:v>
                </c:pt>
                <c:pt idx="65">
                  <c:v>44075</c:v>
                </c:pt>
                <c:pt idx="66">
                  <c:v>44082</c:v>
                </c:pt>
                <c:pt idx="67">
                  <c:v>44112</c:v>
                </c:pt>
                <c:pt idx="68">
                  <c:v>44134</c:v>
                </c:pt>
                <c:pt idx="70">
                  <c:v>44134</c:v>
                </c:pt>
                <c:pt idx="72">
                  <c:v>44140</c:v>
                </c:pt>
                <c:pt idx="73">
                  <c:v>44172</c:v>
                </c:pt>
                <c:pt idx="74">
                  <c:v>44186</c:v>
                </c:pt>
                <c:pt idx="75">
                  <c:v>44203</c:v>
                </c:pt>
                <c:pt idx="76">
                  <c:v>44229</c:v>
                </c:pt>
                <c:pt idx="77">
                  <c:v>44245</c:v>
                </c:pt>
                <c:pt idx="78">
                  <c:v>44273</c:v>
                </c:pt>
                <c:pt idx="79">
                  <c:v>44287</c:v>
                </c:pt>
                <c:pt idx="80">
                  <c:v>44308</c:v>
                </c:pt>
                <c:pt idx="81">
                  <c:v>44322</c:v>
                </c:pt>
                <c:pt idx="82">
                  <c:v>44337</c:v>
                </c:pt>
                <c:pt idx="83">
                  <c:v>44351</c:v>
                </c:pt>
                <c:pt idx="84">
                  <c:v>44357</c:v>
                </c:pt>
                <c:pt idx="85">
                  <c:v>44362</c:v>
                </c:pt>
                <c:pt idx="86">
                  <c:v>44364</c:v>
                </c:pt>
                <c:pt idx="87">
                  <c:v>44369</c:v>
                </c:pt>
                <c:pt idx="88">
                  <c:v>44376</c:v>
                </c:pt>
                <c:pt idx="89">
                  <c:v>44378</c:v>
                </c:pt>
                <c:pt idx="90">
                  <c:v>44392</c:v>
                </c:pt>
                <c:pt idx="91">
                  <c:v>44400</c:v>
                </c:pt>
                <c:pt idx="92">
                  <c:v>44410</c:v>
                </c:pt>
                <c:pt idx="93">
                  <c:v>44453</c:v>
                </c:pt>
                <c:pt idx="94">
                  <c:v>44470</c:v>
                </c:pt>
                <c:pt idx="95">
                  <c:v>44489</c:v>
                </c:pt>
                <c:pt idx="96">
                  <c:v>44502</c:v>
                </c:pt>
                <c:pt idx="97">
                  <c:v>44915</c:v>
                </c:pt>
              </c:numCache>
            </c:numRef>
          </c:xVal>
          <c:yVal>
            <c:numRef>
              <c:f>Déplacements!$D$10:$D$300</c:f>
              <c:numCache>
                <c:formatCode>\+\ 0.0;\-\ 0.0;\±\ 0.0</c:formatCode>
                <c:ptCount val="291"/>
                <c:pt idx="0">
                  <c:v>0</c:v>
                </c:pt>
                <c:pt idx="1">
                  <c:v>0.50000000000016698</c:v>
                </c:pt>
                <c:pt idx="2">
                  <c:v>0.60000000000037801</c:v>
                </c:pt>
                <c:pt idx="3">
                  <c:v>1.8000000000002458</c:v>
                </c:pt>
                <c:pt idx="4">
                  <c:v>0.50000000000016698</c:v>
                </c:pt>
                <c:pt idx="5">
                  <c:v>2.8000000000001357</c:v>
                </c:pt>
                <c:pt idx="6">
                  <c:v>1.2842800000001375</c:v>
                </c:pt>
                <c:pt idx="7">
                  <c:v>1.9308821512047381</c:v>
                </c:pt>
                <c:pt idx="8">
                  <c:v>1.7674940000000916</c:v>
                </c:pt>
                <c:pt idx="9">
                  <c:v>2.7944830000001808</c:v>
                </c:pt>
                <c:pt idx="10">
                  <c:v>1.8040870000000098</c:v>
                </c:pt>
                <c:pt idx="11">
                  <c:v>2.5230210000000142</c:v>
                </c:pt>
                <c:pt idx="12">
                  <c:v>0.50000000000016698</c:v>
                </c:pt>
                <c:pt idx="13">
                  <c:v>0.70000000000014495</c:v>
                </c:pt>
                <c:pt idx="14">
                  <c:v>1.7000000000000348</c:v>
                </c:pt>
                <c:pt idx="15">
                  <c:v>1.5000000000000568</c:v>
                </c:pt>
                <c:pt idx="16">
                  <c:v>1.3000000000000789</c:v>
                </c:pt>
                <c:pt idx="17">
                  <c:v>1.3000000000000789</c:v>
                </c:pt>
                <c:pt idx="18">
                  <c:v>1.3696632158577415</c:v>
                </c:pt>
                <c:pt idx="19">
                  <c:v>1.1000000000001009</c:v>
                </c:pt>
                <c:pt idx="20">
                  <c:v>0.300000000000189</c:v>
                </c:pt>
                <c:pt idx="21">
                  <c:v>1.2000000000003119</c:v>
                </c:pt>
                <c:pt idx="22">
                  <c:v>0.40000000000040004</c:v>
                </c:pt>
                <c:pt idx="23">
                  <c:v>0.300000000000189</c:v>
                </c:pt>
                <c:pt idx="24">
                  <c:v>0.60888961075011849</c:v>
                </c:pt>
                <c:pt idx="25">
                  <c:v>0.50000000000016698</c:v>
                </c:pt>
                <c:pt idx="26">
                  <c:v>-0.10089700403081991</c:v>
                </c:pt>
                <c:pt idx="27">
                  <c:v>-0.60240697545577149</c:v>
                </c:pt>
                <c:pt idx="28">
                  <c:v>-0.72615326202551955</c:v>
                </c:pt>
                <c:pt idx="29">
                  <c:v>-0.10394635110522188</c:v>
                </c:pt>
                <c:pt idx="30">
                  <c:v>-0.44816683119375256</c:v>
                </c:pt>
                <c:pt idx="31">
                  <c:v>-4.3384766677423414E-2</c:v>
                </c:pt>
                <c:pt idx="32">
                  <c:v>-0.75622072858072542</c:v>
                </c:pt>
                <c:pt idx="33">
                  <c:v>-0.30917348565306924</c:v>
                </c:pt>
                <c:pt idx="34">
                  <c:v>-0.69999999999970086</c:v>
                </c:pt>
                <c:pt idx="35">
                  <c:v>-0.69999999999970086</c:v>
                </c:pt>
                <c:pt idx="36">
                  <c:v>-0.29999999999974492</c:v>
                </c:pt>
                <c:pt idx="37">
                  <c:v>-0.99999999999988987</c:v>
                </c:pt>
                <c:pt idx="38">
                  <c:v>-0.59999999999993392</c:v>
                </c:pt>
                <c:pt idx="39">
                  <c:v>-0.99999999999988987</c:v>
                </c:pt>
                <c:pt idx="40">
                  <c:v>-9.9999999999766942E-2</c:v>
                </c:pt>
                <c:pt idx="41">
                  <c:v>-0.89999999999967883</c:v>
                </c:pt>
                <c:pt idx="42">
                  <c:v>-0.79999999999991189</c:v>
                </c:pt>
                <c:pt idx="43">
                  <c:v>-1.1305088862005874</c:v>
                </c:pt>
                <c:pt idx="44">
                  <c:v>-1.0999999999996568</c:v>
                </c:pt>
                <c:pt idx="45">
                  <c:v>-0.89999999999967883</c:v>
                </c:pt>
                <c:pt idx="46">
                  <c:v>-0.99999999999988987</c:v>
                </c:pt>
                <c:pt idx="47">
                  <c:v>-0.89999999999967883</c:v>
                </c:pt>
                <c:pt idx="48">
                  <c:v>-0.99999999999988987</c:v>
                </c:pt>
                <c:pt idx="49">
                  <c:v>-1.0999999999996568</c:v>
                </c:pt>
                <c:pt idx="50">
                  <c:v>-0.89999999999967883</c:v>
                </c:pt>
                <c:pt idx="51">
                  <c:v>-1.0999999999996568</c:v>
                </c:pt>
                <c:pt idx="52">
                  <c:v>-0.19999999999997797</c:v>
                </c:pt>
                <c:pt idx="53">
                  <c:v>-1.2999999999996348</c:v>
                </c:pt>
                <c:pt idx="54">
                  <c:v>-0.99999999999988987</c:v>
                </c:pt>
                <c:pt idx="55">
                  <c:v>-0.29999999999974492</c:v>
                </c:pt>
                <c:pt idx="56">
                  <c:v>-0.59999999999993392</c:v>
                </c:pt>
                <c:pt idx="57">
                  <c:v>-0.70743046488264127</c:v>
                </c:pt>
                <c:pt idx="58">
                  <c:v>-0.12748878156543242</c:v>
                </c:pt>
                <c:pt idx="59">
                  <c:v>-0.3571111780962255</c:v>
                </c:pt>
                <c:pt idx="60">
                  <c:v>-0.70743046488264127</c:v>
                </c:pt>
                <c:pt idx="61">
                  <c:v>-0.48390676249976394</c:v>
                </c:pt>
                <c:pt idx="62">
                  <c:v>0.91169764551457533</c:v>
                </c:pt>
                <c:pt idx="63">
                  <c:v>0.18666397175826077</c:v>
                </c:pt>
                <c:pt idx="64">
                  <c:v>0.19276287689162785</c:v>
                </c:pt>
                <c:pt idx="65">
                  <c:v>0.10213361490452044</c:v>
                </c:pt>
                <c:pt idx="66">
                  <c:v>0.13220129246382939</c:v>
                </c:pt>
                <c:pt idx="68">
                  <c:v>-0.19982147572861209</c:v>
                </c:pt>
                <c:pt idx="71">
                  <c:v>0</c:v>
                </c:pt>
                <c:pt idx="72">
                  <c:v>-1.8917086713998721</c:v>
                </c:pt>
                <c:pt idx="73">
                  <c:v>-1.7339927889414852</c:v>
                </c:pt>
                <c:pt idx="74">
                  <c:v>-2.1751855467933012</c:v>
                </c:pt>
                <c:pt idx="75">
                  <c:v>-2.5195880471060583</c:v>
                </c:pt>
                <c:pt idx="76">
                  <c:v>-1.9751855467933233</c:v>
                </c:pt>
                <c:pt idx="77">
                  <c:v>-2.3988911076155972</c:v>
                </c:pt>
                <c:pt idx="78">
                  <c:v>-0.50220311931203909</c:v>
                </c:pt>
                <c:pt idx="79">
                  <c:v>-0.18762392563376196</c:v>
                </c:pt>
                <c:pt idx="80">
                  <c:v>-1.3357360207169044</c:v>
                </c:pt>
                <c:pt idx="81">
                  <c:v>-1.8795111705265377</c:v>
                </c:pt>
                <c:pt idx="82">
                  <c:v>-0.74359662554579486</c:v>
                </c:pt>
                <c:pt idx="83">
                  <c:v>-0.87649106590959036</c:v>
                </c:pt>
                <c:pt idx="84">
                  <c:v>-0.29654938263012909</c:v>
                </c:pt>
                <c:pt idx="85">
                  <c:v>-0.21201897657352475</c:v>
                </c:pt>
                <c:pt idx="86">
                  <c:v>-0.18762392563376196</c:v>
                </c:pt>
                <c:pt idx="87">
                  <c:v>-0.15145739216748666</c:v>
                </c:pt>
                <c:pt idx="88">
                  <c:v>-5.4729485252202892E-2</c:v>
                </c:pt>
                <c:pt idx="89">
                  <c:v>-1.8563162762941232E-2</c:v>
                </c:pt>
                <c:pt idx="90">
                  <c:v>-1.246430683510269E-2</c:v>
                </c:pt>
                <c:pt idx="91">
                  <c:v>0.45287934209525815</c:v>
                </c:pt>
                <c:pt idx="93">
                  <c:v>0.81539617897607997</c:v>
                </c:pt>
                <c:pt idx="94">
                  <c:v>0.96048812024829289</c:v>
                </c:pt>
                <c:pt idx="95">
                  <c:v>0.50734223236226228</c:v>
                </c:pt>
                <c:pt idx="96">
                  <c:v>0.67030418851121709</c:v>
                </c:pt>
                <c:pt idx="97">
                  <c:v>-0.35015949062433549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960-488A-B4E5-F6C696EC9CE8}"/>
            </c:ext>
          </c:extLst>
        </c:ser>
        <c:ser>
          <c:idx val="6"/>
          <c:order val="4"/>
          <c:tx>
            <c:strRef>
              <c:f>Déplacements!$T$9</c:f>
              <c:strCache>
                <c:ptCount val="1"/>
                <c:pt idx="0">
                  <c:v>DH inter droit</c:v>
                </c:pt>
              </c:strCache>
            </c:strRef>
          </c:tx>
          <c:spPr>
            <a:ln w="15875" cap="rnd">
              <a:solidFill>
                <a:schemeClr val="accent1">
                  <a:lumMod val="60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lumMod val="60000"/>
                      <a:tint val="50000"/>
                      <a:satMod val="300000"/>
                    </a:schemeClr>
                  </a:gs>
                  <a:gs pos="35000">
                    <a:schemeClr val="accent1">
                      <a:lumMod val="60000"/>
                      <a:tint val="37000"/>
                      <a:satMod val="300000"/>
                    </a:schemeClr>
                  </a:gs>
                  <a:gs pos="100000">
                    <a:schemeClr val="accent1">
                      <a:lumMod val="60000"/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1">
                    <a:lumMod val="60000"/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marker>
          <c:xVal>
            <c:numRef>
              <c:f>Déplacements!$B$10:$B$133</c:f>
              <c:numCache>
                <c:formatCode>dd\ /\ mm\ /\ yy</c:formatCode>
                <c:ptCount val="124"/>
                <c:pt idx="0">
                  <c:v>43655</c:v>
                </c:pt>
                <c:pt idx="1">
                  <c:v>43657</c:v>
                </c:pt>
                <c:pt idx="2">
                  <c:v>43661</c:v>
                </c:pt>
                <c:pt idx="3">
                  <c:v>43663</c:v>
                </c:pt>
                <c:pt idx="4">
                  <c:v>43669</c:v>
                </c:pt>
                <c:pt idx="5">
                  <c:v>43675</c:v>
                </c:pt>
                <c:pt idx="6">
                  <c:v>43679</c:v>
                </c:pt>
                <c:pt idx="7">
                  <c:v>43682</c:v>
                </c:pt>
                <c:pt idx="8">
                  <c:v>43684</c:v>
                </c:pt>
                <c:pt idx="9">
                  <c:v>43685</c:v>
                </c:pt>
                <c:pt idx="10">
                  <c:v>43689</c:v>
                </c:pt>
                <c:pt idx="11">
                  <c:v>43690</c:v>
                </c:pt>
                <c:pt idx="12">
                  <c:v>43696</c:v>
                </c:pt>
                <c:pt idx="13">
                  <c:v>43699</c:v>
                </c:pt>
                <c:pt idx="14">
                  <c:v>43703</c:v>
                </c:pt>
                <c:pt idx="15">
                  <c:v>43706</c:v>
                </c:pt>
                <c:pt idx="16">
                  <c:v>43710</c:v>
                </c:pt>
                <c:pt idx="17">
                  <c:v>43713</c:v>
                </c:pt>
                <c:pt idx="18">
                  <c:v>43718</c:v>
                </c:pt>
                <c:pt idx="19">
                  <c:v>43720</c:v>
                </c:pt>
                <c:pt idx="20">
                  <c:v>43724</c:v>
                </c:pt>
                <c:pt idx="21">
                  <c:v>43727</c:v>
                </c:pt>
                <c:pt idx="22">
                  <c:v>43731</c:v>
                </c:pt>
                <c:pt idx="23">
                  <c:v>43734</c:v>
                </c:pt>
                <c:pt idx="24">
                  <c:v>43738</c:v>
                </c:pt>
                <c:pt idx="25">
                  <c:v>43741</c:v>
                </c:pt>
                <c:pt idx="26">
                  <c:v>43746</c:v>
                </c:pt>
                <c:pt idx="27">
                  <c:v>43753</c:v>
                </c:pt>
                <c:pt idx="28">
                  <c:v>43756</c:v>
                </c:pt>
                <c:pt idx="29">
                  <c:v>43760</c:v>
                </c:pt>
                <c:pt idx="30">
                  <c:v>43762</c:v>
                </c:pt>
                <c:pt idx="31">
                  <c:v>43766</c:v>
                </c:pt>
                <c:pt idx="32">
                  <c:v>43769</c:v>
                </c:pt>
                <c:pt idx="33">
                  <c:v>43774</c:v>
                </c:pt>
                <c:pt idx="34">
                  <c:v>43776</c:v>
                </c:pt>
                <c:pt idx="35">
                  <c:v>43781</c:v>
                </c:pt>
                <c:pt idx="36">
                  <c:v>43783</c:v>
                </c:pt>
                <c:pt idx="37">
                  <c:v>43787</c:v>
                </c:pt>
                <c:pt idx="38">
                  <c:v>43790</c:v>
                </c:pt>
                <c:pt idx="39">
                  <c:v>43795</c:v>
                </c:pt>
                <c:pt idx="40">
                  <c:v>43797</c:v>
                </c:pt>
                <c:pt idx="41">
                  <c:v>43801</c:v>
                </c:pt>
                <c:pt idx="42">
                  <c:v>43803</c:v>
                </c:pt>
                <c:pt idx="43">
                  <c:v>43808</c:v>
                </c:pt>
                <c:pt idx="44">
                  <c:v>43811</c:v>
                </c:pt>
                <c:pt idx="45">
                  <c:v>43815</c:v>
                </c:pt>
                <c:pt idx="46">
                  <c:v>43818</c:v>
                </c:pt>
                <c:pt idx="47">
                  <c:v>43837</c:v>
                </c:pt>
                <c:pt idx="48">
                  <c:v>43843</c:v>
                </c:pt>
                <c:pt idx="49">
                  <c:v>43850</c:v>
                </c:pt>
                <c:pt idx="50">
                  <c:v>43857</c:v>
                </c:pt>
                <c:pt idx="51">
                  <c:v>43865</c:v>
                </c:pt>
                <c:pt idx="52">
                  <c:v>43878</c:v>
                </c:pt>
                <c:pt idx="53">
                  <c:v>43886</c:v>
                </c:pt>
                <c:pt idx="54">
                  <c:v>43896</c:v>
                </c:pt>
                <c:pt idx="55">
                  <c:v>43970</c:v>
                </c:pt>
                <c:pt idx="56">
                  <c:v>43977</c:v>
                </c:pt>
                <c:pt idx="57">
                  <c:v>43984</c:v>
                </c:pt>
                <c:pt idx="58">
                  <c:v>43990</c:v>
                </c:pt>
                <c:pt idx="59">
                  <c:v>43997</c:v>
                </c:pt>
                <c:pt idx="60">
                  <c:v>44004</c:v>
                </c:pt>
                <c:pt idx="61">
                  <c:v>44018</c:v>
                </c:pt>
                <c:pt idx="62">
                  <c:v>44027</c:v>
                </c:pt>
                <c:pt idx="63">
                  <c:v>44039</c:v>
                </c:pt>
                <c:pt idx="64">
                  <c:v>44053</c:v>
                </c:pt>
                <c:pt idx="65">
                  <c:v>44075</c:v>
                </c:pt>
                <c:pt idx="66">
                  <c:v>44082</c:v>
                </c:pt>
                <c:pt idx="67">
                  <c:v>44112</c:v>
                </c:pt>
                <c:pt idx="68">
                  <c:v>44134</c:v>
                </c:pt>
                <c:pt idx="70">
                  <c:v>44134</c:v>
                </c:pt>
                <c:pt idx="72">
                  <c:v>44140</c:v>
                </c:pt>
                <c:pt idx="73">
                  <c:v>44172</c:v>
                </c:pt>
                <c:pt idx="74">
                  <c:v>44186</c:v>
                </c:pt>
                <c:pt idx="75">
                  <c:v>44203</c:v>
                </c:pt>
                <c:pt idx="76">
                  <c:v>44229</c:v>
                </c:pt>
                <c:pt idx="77">
                  <c:v>44245</c:v>
                </c:pt>
                <c:pt idx="78">
                  <c:v>44273</c:v>
                </c:pt>
                <c:pt idx="79">
                  <c:v>44287</c:v>
                </c:pt>
                <c:pt idx="80">
                  <c:v>44308</c:v>
                </c:pt>
                <c:pt idx="81">
                  <c:v>44322</c:v>
                </c:pt>
                <c:pt idx="82">
                  <c:v>44337</c:v>
                </c:pt>
                <c:pt idx="83">
                  <c:v>44351</c:v>
                </c:pt>
                <c:pt idx="84">
                  <c:v>44357</c:v>
                </c:pt>
                <c:pt idx="85">
                  <c:v>44362</c:v>
                </c:pt>
                <c:pt idx="86">
                  <c:v>44364</c:v>
                </c:pt>
                <c:pt idx="87">
                  <c:v>44369</c:v>
                </c:pt>
                <c:pt idx="88">
                  <c:v>44376</c:v>
                </c:pt>
                <c:pt idx="89">
                  <c:v>44378</c:v>
                </c:pt>
                <c:pt idx="90">
                  <c:v>44392</c:v>
                </c:pt>
                <c:pt idx="91">
                  <c:v>44400</c:v>
                </c:pt>
                <c:pt idx="92">
                  <c:v>44410</c:v>
                </c:pt>
                <c:pt idx="93">
                  <c:v>44453</c:v>
                </c:pt>
                <c:pt idx="94">
                  <c:v>44470</c:v>
                </c:pt>
                <c:pt idx="95">
                  <c:v>44489</c:v>
                </c:pt>
                <c:pt idx="96">
                  <c:v>44502</c:v>
                </c:pt>
                <c:pt idx="97">
                  <c:v>44915</c:v>
                </c:pt>
              </c:numCache>
            </c:numRef>
          </c:xVal>
          <c:yVal>
            <c:numRef>
              <c:f>Déplacements!$T$10:$T$132</c:f>
              <c:numCache>
                <c:formatCode>\+\ 0.0;\-\ 0.0;\±\ 0.0</c:formatCode>
                <c:ptCount val="123"/>
                <c:pt idx="0">
                  <c:v>0</c:v>
                </c:pt>
                <c:pt idx="1">
                  <c:v>0.60000000000037801</c:v>
                </c:pt>
                <c:pt idx="2">
                  <c:v>-0.29999999999974492</c:v>
                </c:pt>
                <c:pt idx="3">
                  <c:v>1.5000000000000568</c:v>
                </c:pt>
                <c:pt idx="4">
                  <c:v>-1.3999999999998458</c:v>
                </c:pt>
                <c:pt idx="5">
                  <c:v>1.2000000000003119</c:v>
                </c:pt>
                <c:pt idx="6">
                  <c:v>-0.5295369999998023</c:v>
                </c:pt>
                <c:pt idx="7">
                  <c:v>0</c:v>
                </c:pt>
                <c:pt idx="8">
                  <c:v>-5.2421999999996416E-2</c:v>
                </c:pt>
                <c:pt idx="9">
                  <c:v>0.84777100000010819</c:v>
                </c:pt>
                <c:pt idx="10">
                  <c:v>-0.28161799999981696</c:v>
                </c:pt>
                <c:pt idx="11">
                  <c:v>0.74537100000027223</c:v>
                </c:pt>
                <c:pt idx="12">
                  <c:v>-1.1999999999998678</c:v>
                </c:pt>
                <c:pt idx="13">
                  <c:v>-0.99999999999988987</c:v>
                </c:pt>
                <c:pt idx="14">
                  <c:v>0</c:v>
                </c:pt>
                <c:pt idx="15">
                  <c:v>-0.19999999999997797</c:v>
                </c:pt>
                <c:pt idx="16">
                  <c:v>-0.49999999999972289</c:v>
                </c:pt>
                <c:pt idx="17">
                  <c:v>-0.39999999999995595</c:v>
                </c:pt>
                <c:pt idx="18">
                  <c:v>0.11706527372989939</c:v>
                </c:pt>
                <c:pt idx="19">
                  <c:v>-9.9999999999766942E-2</c:v>
                </c:pt>
                <c:pt idx="20">
                  <c:v>-0.59999999999993392</c:v>
                </c:pt>
                <c:pt idx="21">
                  <c:v>0.40000000000040004</c:v>
                </c:pt>
                <c:pt idx="22">
                  <c:v>-0.79999999999991189</c:v>
                </c:pt>
                <c:pt idx="23">
                  <c:v>-0.69999999999970086</c:v>
                </c:pt>
                <c:pt idx="24">
                  <c:v>-0.45067869768944391</c:v>
                </c:pt>
                <c:pt idx="25">
                  <c:v>-9.9999999999766942E-2</c:v>
                </c:pt>
                <c:pt idx="26">
                  <c:v>-1.0215429594477854</c:v>
                </c:pt>
                <c:pt idx="27">
                  <c:v>-0.99757429965841027</c:v>
                </c:pt>
                <c:pt idx="28">
                  <c:v>-1.3086068118322025</c:v>
                </c:pt>
                <c:pt idx="29">
                  <c:v>-0.32388306406350154</c:v>
                </c:pt>
                <c:pt idx="30">
                  <c:v>-0.79489912854358025</c:v>
                </c:pt>
                <c:pt idx="31">
                  <c:v>-0.52301155365652718</c:v>
                </c:pt>
                <c:pt idx="32">
                  <c:v>-1.5682966748675753</c:v>
                </c:pt>
                <c:pt idx="33">
                  <c:v>-0.84936185704709288</c:v>
                </c:pt>
                <c:pt idx="34">
                  <c:v>-1.1999999999998678</c:v>
                </c:pt>
                <c:pt idx="35">
                  <c:v>-1.1999999999998678</c:v>
                </c:pt>
                <c:pt idx="36">
                  <c:v>-0.69999999999970086</c:v>
                </c:pt>
                <c:pt idx="37">
                  <c:v>-1.0999999999996568</c:v>
                </c:pt>
                <c:pt idx="38">
                  <c:v>-0.89999999999967883</c:v>
                </c:pt>
                <c:pt idx="39">
                  <c:v>-1.1999999999998678</c:v>
                </c:pt>
                <c:pt idx="40">
                  <c:v>-0.19999999999997797</c:v>
                </c:pt>
                <c:pt idx="41">
                  <c:v>-1.1999999999998678</c:v>
                </c:pt>
                <c:pt idx="42">
                  <c:v>-1.2999999999996348</c:v>
                </c:pt>
                <c:pt idx="43">
                  <c:v>-1.4171058284730975</c:v>
                </c:pt>
                <c:pt idx="44">
                  <c:v>-1.1999999999998678</c:v>
                </c:pt>
                <c:pt idx="45">
                  <c:v>-0.99999999999988987</c:v>
                </c:pt>
                <c:pt idx="46">
                  <c:v>-1.0999999999996568</c:v>
                </c:pt>
                <c:pt idx="47">
                  <c:v>-1.1999999999998678</c:v>
                </c:pt>
                <c:pt idx="48">
                  <c:v>-1.2999999999996348</c:v>
                </c:pt>
                <c:pt idx="49">
                  <c:v>-1.2999999999996348</c:v>
                </c:pt>
                <c:pt idx="50">
                  <c:v>-1.3999999999998458</c:v>
                </c:pt>
                <c:pt idx="51">
                  <c:v>-1.3999999999998458</c:v>
                </c:pt>
                <c:pt idx="52">
                  <c:v>-0.39999999999995595</c:v>
                </c:pt>
                <c:pt idx="53">
                  <c:v>-1.4999999999996128</c:v>
                </c:pt>
                <c:pt idx="54">
                  <c:v>-1.0999999999996568</c:v>
                </c:pt>
                <c:pt idx="55">
                  <c:v>-0.89999999999967883</c:v>
                </c:pt>
                <c:pt idx="56">
                  <c:v>-0.99999999999988987</c:v>
                </c:pt>
                <c:pt idx="57">
                  <c:v>-1.4410746992723489</c:v>
                </c:pt>
                <c:pt idx="58">
                  <c:v>-0.85503432185474182</c:v>
                </c:pt>
                <c:pt idx="59">
                  <c:v>-1.217551158732455</c:v>
                </c:pt>
                <c:pt idx="60">
                  <c:v>-1.6645984016561144</c:v>
                </c:pt>
                <c:pt idx="61">
                  <c:v>-1.6223332232399024</c:v>
                </c:pt>
                <c:pt idx="62">
                  <c:v>-0.43805454547740652</c:v>
                </c:pt>
                <c:pt idx="63">
                  <c:v>-1.0846567183291356</c:v>
                </c:pt>
                <c:pt idx="64">
                  <c:v>-1.6040368172407504</c:v>
                </c:pt>
                <c:pt idx="65">
                  <c:v>-1.5739691396601252</c:v>
                </c:pt>
                <c:pt idx="66">
                  <c:v>-1.6162343180896599</c:v>
                </c:pt>
                <c:pt idx="67">
                  <c:v>-1.4654699120186798</c:v>
                </c:pt>
                <c:pt idx="68">
                  <c:v>-2.5164276598692581</c:v>
                </c:pt>
                <c:pt idx="72">
                  <c:v>-4.6854298251934878</c:v>
                </c:pt>
                <c:pt idx="73">
                  <c:v>-4.6427382064617717</c:v>
                </c:pt>
                <c:pt idx="74">
                  <c:v>-5.6860853571696346</c:v>
                </c:pt>
                <c:pt idx="75">
                  <c:v>-5.7668814799347601</c:v>
                </c:pt>
                <c:pt idx="76">
                  <c:v>-6.1860853571698016</c:v>
                </c:pt>
                <c:pt idx="77">
                  <c:v>-5.899775920315431</c:v>
                </c:pt>
                <c:pt idx="78">
                  <c:v>-4.9751873657788437</c:v>
                </c:pt>
                <c:pt idx="79">
                  <c:v>-6.1232994608619862</c:v>
                </c:pt>
                <c:pt idx="80">
                  <c:v>-4.8666881381334015</c:v>
                </c:pt>
                <c:pt idx="81">
                  <c:v>-4.9756137569088033</c:v>
                </c:pt>
                <c:pt idx="82">
                  <c:v>-4.2261850814222512</c:v>
                </c:pt>
                <c:pt idx="83">
                  <c:v>-4.4858749444416368</c:v>
                </c:pt>
                <c:pt idx="84">
                  <c:v>-3.5556141361419158</c:v>
                </c:pt>
                <c:pt idx="85">
                  <c:v>-3.5556141361419158</c:v>
                </c:pt>
                <c:pt idx="86">
                  <c:v>-4.2078885136032085</c:v>
                </c:pt>
                <c:pt idx="87">
                  <c:v>-4.4013445384365468</c:v>
                </c:pt>
                <c:pt idx="88">
                  <c:v>-4.2745489047808505</c:v>
                </c:pt>
                <c:pt idx="89">
                  <c:v>-4.0388277015210861</c:v>
                </c:pt>
                <c:pt idx="90">
                  <c:v>-4.5102701571861914</c:v>
                </c:pt>
                <c:pt idx="91">
                  <c:v>-4.0810928799399626</c:v>
                </c:pt>
                <c:pt idx="92">
                  <c:v>-3.8275017110476206</c:v>
                </c:pt>
                <c:pt idx="93">
                  <c:v>-3.8876370661529158</c:v>
                </c:pt>
                <c:pt idx="94">
                  <c:v>-3.8453718877180521</c:v>
                </c:pt>
                <c:pt idx="95">
                  <c:v>-4.3830481816149458</c:v>
                </c:pt>
                <c:pt idx="96">
                  <c:v>-4.1172594626370795</c:v>
                </c:pt>
                <c:pt idx="97">
                  <c:v>-5.8509854947921269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960-488A-B4E5-F6C696EC9CE8}"/>
            </c:ext>
          </c:extLst>
        </c:ser>
        <c:ser>
          <c:idx val="10"/>
          <c:order val="6"/>
          <c:tx>
            <c:strRef>
              <c:f>Graphiques!#REF!</c:f>
              <c:strCache>
                <c:ptCount val="1"/>
                <c:pt idx="0">
                  <c:v>#REF!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none"/>
          </c:marker>
          <c:xVal>
            <c:numRef>
              <c:f>Graphiques!$AD$35:$AD$36</c:f>
              <c:numCache>
                <c:formatCode>m/d/yyyy</c:formatCode>
                <c:ptCount val="2"/>
              </c:numCache>
            </c:numRef>
          </c:xVal>
          <c:yVal>
            <c:numRef>
              <c:f>Graphiques!$AE$35:$AE$36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960-488A-B4E5-F6C696EC9C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6701032"/>
        <c:axId val="516700640"/>
      </c:scatterChart>
      <c:scatterChart>
        <c:scatterStyle val="lineMarker"/>
        <c:varyColors val="0"/>
        <c:ser>
          <c:idx val="7"/>
          <c:order val="5"/>
          <c:tx>
            <c:v>"PM front"</c:v>
          </c:tx>
          <c:spPr>
            <a:ln w="15875" cap="rnd">
              <a:solidFill>
                <a:schemeClr val="accent2">
                  <a:lumMod val="60000"/>
                </a:schemeClr>
              </a:solidFill>
              <a:prstDash val="sysDot"/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none"/>
          </c:marker>
          <c:xVal>
            <c:numRef>
              <c:f>Déplacements!$B$10:$B$313</c:f>
              <c:numCache>
                <c:formatCode>dd\ /\ mm\ /\ yy</c:formatCode>
                <c:ptCount val="304"/>
                <c:pt idx="0">
                  <c:v>43655</c:v>
                </c:pt>
                <c:pt idx="1">
                  <c:v>43657</c:v>
                </c:pt>
                <c:pt idx="2">
                  <c:v>43661</c:v>
                </c:pt>
                <c:pt idx="3">
                  <c:v>43663</c:v>
                </c:pt>
                <c:pt idx="4">
                  <c:v>43669</c:v>
                </c:pt>
                <c:pt idx="5">
                  <c:v>43675</c:v>
                </c:pt>
                <c:pt idx="6">
                  <c:v>43679</c:v>
                </c:pt>
                <c:pt idx="7">
                  <c:v>43682</c:v>
                </c:pt>
                <c:pt idx="8">
                  <c:v>43684</c:v>
                </c:pt>
                <c:pt idx="9">
                  <c:v>43685</c:v>
                </c:pt>
                <c:pt idx="10">
                  <c:v>43689</c:v>
                </c:pt>
                <c:pt idx="11">
                  <c:v>43690</c:v>
                </c:pt>
                <c:pt idx="12">
                  <c:v>43696</c:v>
                </c:pt>
                <c:pt idx="13">
                  <c:v>43699</c:v>
                </c:pt>
                <c:pt idx="14">
                  <c:v>43703</c:v>
                </c:pt>
                <c:pt idx="15">
                  <c:v>43706</c:v>
                </c:pt>
                <c:pt idx="16">
                  <c:v>43710</c:v>
                </c:pt>
                <c:pt idx="17">
                  <c:v>43713</c:v>
                </c:pt>
                <c:pt idx="18">
                  <c:v>43718</c:v>
                </c:pt>
                <c:pt idx="19">
                  <c:v>43720</c:v>
                </c:pt>
                <c:pt idx="20">
                  <c:v>43724</c:v>
                </c:pt>
                <c:pt idx="21">
                  <c:v>43727</c:v>
                </c:pt>
                <c:pt idx="22">
                  <c:v>43731</c:v>
                </c:pt>
                <c:pt idx="23">
                  <c:v>43734</c:v>
                </c:pt>
                <c:pt idx="24">
                  <c:v>43738</c:v>
                </c:pt>
                <c:pt idx="25">
                  <c:v>43741</c:v>
                </c:pt>
                <c:pt idx="26">
                  <c:v>43746</c:v>
                </c:pt>
                <c:pt idx="27">
                  <c:v>43753</c:v>
                </c:pt>
                <c:pt idx="28">
                  <c:v>43756</c:v>
                </c:pt>
                <c:pt idx="29">
                  <c:v>43760</c:v>
                </c:pt>
                <c:pt idx="30">
                  <c:v>43762</c:v>
                </c:pt>
                <c:pt idx="31">
                  <c:v>43766</c:v>
                </c:pt>
                <c:pt idx="32">
                  <c:v>43769</c:v>
                </c:pt>
                <c:pt idx="33">
                  <c:v>43774</c:v>
                </c:pt>
                <c:pt idx="34">
                  <c:v>43776</c:v>
                </c:pt>
                <c:pt idx="35">
                  <c:v>43781</c:v>
                </c:pt>
                <c:pt idx="36">
                  <c:v>43783</c:v>
                </c:pt>
                <c:pt idx="37">
                  <c:v>43787</c:v>
                </c:pt>
                <c:pt idx="38">
                  <c:v>43790</c:v>
                </c:pt>
                <c:pt idx="39">
                  <c:v>43795</c:v>
                </c:pt>
                <c:pt idx="40">
                  <c:v>43797</c:v>
                </c:pt>
                <c:pt idx="41">
                  <c:v>43801</c:v>
                </c:pt>
                <c:pt idx="42">
                  <c:v>43803</c:v>
                </c:pt>
                <c:pt idx="43">
                  <c:v>43808</c:v>
                </c:pt>
                <c:pt idx="44">
                  <c:v>43811</c:v>
                </c:pt>
                <c:pt idx="45">
                  <c:v>43815</c:v>
                </c:pt>
                <c:pt idx="46">
                  <c:v>43818</c:v>
                </c:pt>
                <c:pt idx="47">
                  <c:v>43837</c:v>
                </c:pt>
                <c:pt idx="48">
                  <c:v>43843</c:v>
                </c:pt>
                <c:pt idx="49">
                  <c:v>43850</c:v>
                </c:pt>
                <c:pt idx="50">
                  <c:v>43857</c:v>
                </c:pt>
                <c:pt idx="51">
                  <c:v>43865</c:v>
                </c:pt>
                <c:pt idx="52">
                  <c:v>43878</c:v>
                </c:pt>
                <c:pt idx="53">
                  <c:v>43886</c:v>
                </c:pt>
                <c:pt idx="54">
                  <c:v>43896</c:v>
                </c:pt>
                <c:pt idx="55">
                  <c:v>43970</c:v>
                </c:pt>
                <c:pt idx="56">
                  <c:v>43977</c:v>
                </c:pt>
                <c:pt idx="57">
                  <c:v>43984</c:v>
                </c:pt>
                <c:pt idx="58">
                  <c:v>43990</c:v>
                </c:pt>
                <c:pt idx="59">
                  <c:v>43997</c:v>
                </c:pt>
                <c:pt idx="60">
                  <c:v>44004</c:v>
                </c:pt>
                <c:pt idx="61">
                  <c:v>44018</c:v>
                </c:pt>
                <c:pt idx="62">
                  <c:v>44027</c:v>
                </c:pt>
                <c:pt idx="63">
                  <c:v>44039</c:v>
                </c:pt>
                <c:pt idx="64">
                  <c:v>44053</c:v>
                </c:pt>
                <c:pt idx="65">
                  <c:v>44075</c:v>
                </c:pt>
                <c:pt idx="66">
                  <c:v>44082</c:v>
                </c:pt>
                <c:pt idx="67">
                  <c:v>44112</c:v>
                </c:pt>
                <c:pt idx="68">
                  <c:v>44134</c:v>
                </c:pt>
                <c:pt idx="70">
                  <c:v>44134</c:v>
                </c:pt>
                <c:pt idx="72">
                  <c:v>44140</c:v>
                </c:pt>
                <c:pt idx="73">
                  <c:v>44172</c:v>
                </c:pt>
                <c:pt idx="74">
                  <c:v>44186</c:v>
                </c:pt>
                <c:pt idx="75">
                  <c:v>44203</c:v>
                </c:pt>
                <c:pt idx="76">
                  <c:v>44229</c:v>
                </c:pt>
                <c:pt idx="77">
                  <c:v>44245</c:v>
                </c:pt>
                <c:pt idx="78">
                  <c:v>44273</c:v>
                </c:pt>
                <c:pt idx="79">
                  <c:v>44287</c:v>
                </c:pt>
                <c:pt idx="80">
                  <c:v>44308</c:v>
                </c:pt>
                <c:pt idx="81">
                  <c:v>44322</c:v>
                </c:pt>
                <c:pt idx="82">
                  <c:v>44337</c:v>
                </c:pt>
                <c:pt idx="83">
                  <c:v>44351</c:v>
                </c:pt>
                <c:pt idx="84">
                  <c:v>44357</c:v>
                </c:pt>
                <c:pt idx="85">
                  <c:v>44362</c:v>
                </c:pt>
                <c:pt idx="86">
                  <c:v>44364</c:v>
                </c:pt>
                <c:pt idx="87">
                  <c:v>44369</c:v>
                </c:pt>
                <c:pt idx="88">
                  <c:v>44376</c:v>
                </c:pt>
                <c:pt idx="89">
                  <c:v>44378</c:v>
                </c:pt>
                <c:pt idx="90">
                  <c:v>44392</c:v>
                </c:pt>
                <c:pt idx="91">
                  <c:v>44400</c:v>
                </c:pt>
                <c:pt idx="92">
                  <c:v>44410</c:v>
                </c:pt>
                <c:pt idx="93">
                  <c:v>44453</c:v>
                </c:pt>
                <c:pt idx="94">
                  <c:v>44470</c:v>
                </c:pt>
                <c:pt idx="95">
                  <c:v>44489</c:v>
                </c:pt>
                <c:pt idx="96">
                  <c:v>44502</c:v>
                </c:pt>
                <c:pt idx="97">
                  <c:v>44915</c:v>
                </c:pt>
              </c:numCache>
            </c:numRef>
          </c:xVal>
          <c:yVal>
            <c:numRef>
              <c:f>'Résultats observations'!$C$10:$C$311</c:f>
              <c:numCache>
                <c:formatCode>0.0</c:formatCode>
                <c:ptCount val="302"/>
                <c:pt idx="0">
                  <c:v>184.3</c:v>
                </c:pt>
                <c:pt idx="1">
                  <c:v>185.03</c:v>
                </c:pt>
                <c:pt idx="2">
                  <c:v>187.2</c:v>
                </c:pt>
                <c:pt idx="3">
                  <c:v>188.17</c:v>
                </c:pt>
                <c:pt idx="4">
                  <c:v>189.2</c:v>
                </c:pt>
                <c:pt idx="5">
                  <c:v>191.5</c:v>
                </c:pt>
                <c:pt idx="6">
                  <c:v>192.5</c:v>
                </c:pt>
                <c:pt idx="7">
                  <c:v>193.04</c:v>
                </c:pt>
                <c:pt idx="8">
                  <c:v>193.6</c:v>
                </c:pt>
                <c:pt idx="9">
                  <c:v>193.6</c:v>
                </c:pt>
                <c:pt idx="10">
                  <c:v>194.8</c:v>
                </c:pt>
                <c:pt idx="11">
                  <c:v>194.8</c:v>
                </c:pt>
                <c:pt idx="12">
                  <c:v>195.4</c:v>
                </c:pt>
                <c:pt idx="13">
                  <c:v>196.35</c:v>
                </c:pt>
                <c:pt idx="14">
                  <c:v>196.35</c:v>
                </c:pt>
                <c:pt idx="15">
                  <c:v>198.3</c:v>
                </c:pt>
                <c:pt idx="16">
                  <c:v>199.4</c:v>
                </c:pt>
                <c:pt idx="17">
                  <c:v>200.6</c:v>
                </c:pt>
                <c:pt idx="18">
                  <c:v>202.58</c:v>
                </c:pt>
                <c:pt idx="19">
                  <c:v>203.6</c:v>
                </c:pt>
                <c:pt idx="20">
                  <c:v>203.6</c:v>
                </c:pt>
                <c:pt idx="21">
                  <c:v>206.32</c:v>
                </c:pt>
                <c:pt idx="22">
                  <c:v>206.32</c:v>
                </c:pt>
                <c:pt idx="23">
                  <c:v>206.32</c:v>
                </c:pt>
                <c:pt idx="24">
                  <c:v>206.32</c:v>
                </c:pt>
                <c:pt idx="25">
                  <c:v>207.2</c:v>
                </c:pt>
                <c:pt idx="26">
                  <c:v>208.3</c:v>
                </c:pt>
                <c:pt idx="27">
                  <c:v>212.65</c:v>
                </c:pt>
                <c:pt idx="28">
                  <c:v>213.5</c:v>
                </c:pt>
                <c:pt idx="29">
                  <c:v>215</c:v>
                </c:pt>
                <c:pt idx="30">
                  <c:v>215</c:v>
                </c:pt>
                <c:pt idx="31">
                  <c:v>215.55</c:v>
                </c:pt>
                <c:pt idx="32">
                  <c:v>216.87</c:v>
                </c:pt>
                <c:pt idx="33">
                  <c:v>217.7</c:v>
                </c:pt>
                <c:pt idx="34">
                  <c:v>218.7</c:v>
                </c:pt>
                <c:pt idx="35">
                  <c:v>218.7</c:v>
                </c:pt>
                <c:pt idx="36">
                  <c:v>220.5</c:v>
                </c:pt>
                <c:pt idx="37">
                  <c:v>221.7</c:v>
                </c:pt>
                <c:pt idx="38">
                  <c:v>222.9</c:v>
                </c:pt>
                <c:pt idx="39">
                  <c:v>222.9</c:v>
                </c:pt>
                <c:pt idx="40">
                  <c:v>222.9</c:v>
                </c:pt>
                <c:pt idx="41">
                  <c:v>222.9</c:v>
                </c:pt>
                <c:pt idx="42">
                  <c:v>222.9</c:v>
                </c:pt>
                <c:pt idx="43">
                  <c:v>222.9</c:v>
                </c:pt>
                <c:pt idx="44">
                  <c:v>222.9</c:v>
                </c:pt>
                <c:pt idx="45">
                  <c:v>222.9</c:v>
                </c:pt>
                <c:pt idx="46">
                  <c:v>222.9</c:v>
                </c:pt>
                <c:pt idx="47">
                  <c:v>222.9</c:v>
                </c:pt>
                <c:pt idx="48">
                  <c:v>222.9</c:v>
                </c:pt>
                <c:pt idx="49">
                  <c:v>222.9</c:v>
                </c:pt>
                <c:pt idx="50">
                  <c:v>222.9</c:v>
                </c:pt>
                <c:pt idx="51">
                  <c:v>222.9</c:v>
                </c:pt>
                <c:pt idx="52">
                  <c:v>222.9</c:v>
                </c:pt>
                <c:pt idx="53">
                  <c:v>222.9</c:v>
                </c:pt>
                <c:pt idx="54">
                  <c:v>222.9</c:v>
                </c:pt>
                <c:pt idx="55">
                  <c:v>222.9</c:v>
                </c:pt>
                <c:pt idx="56">
                  <c:v>222.9</c:v>
                </c:pt>
                <c:pt idx="57">
                  <c:v>222.9</c:v>
                </c:pt>
                <c:pt idx="58">
                  <c:v>222.9</c:v>
                </c:pt>
                <c:pt idx="59">
                  <c:v>223.9</c:v>
                </c:pt>
                <c:pt idx="60">
                  <c:v>223.9</c:v>
                </c:pt>
                <c:pt idx="61">
                  <c:v>223.9</c:v>
                </c:pt>
                <c:pt idx="62">
                  <c:v>223.9</c:v>
                </c:pt>
                <c:pt idx="63">
                  <c:v>223.9</c:v>
                </c:pt>
                <c:pt idx="64">
                  <c:v>223.9</c:v>
                </c:pt>
                <c:pt idx="65">
                  <c:v>223.9</c:v>
                </c:pt>
                <c:pt idx="66">
                  <c:v>223.9</c:v>
                </c:pt>
                <c:pt idx="67">
                  <c:v>223.9</c:v>
                </c:pt>
                <c:pt idx="68">
                  <c:v>223.9</c:v>
                </c:pt>
                <c:pt idx="70">
                  <c:v>223.9</c:v>
                </c:pt>
                <c:pt idx="72">
                  <c:v>223.9</c:v>
                </c:pt>
                <c:pt idx="73">
                  <c:v>223.9</c:v>
                </c:pt>
                <c:pt idx="74">
                  <c:v>223.9</c:v>
                </c:pt>
                <c:pt idx="75">
                  <c:v>223.9</c:v>
                </c:pt>
                <c:pt idx="76">
                  <c:v>223.9</c:v>
                </c:pt>
                <c:pt idx="77">
                  <c:v>223.9</c:v>
                </c:pt>
                <c:pt idx="78">
                  <c:v>223.9</c:v>
                </c:pt>
                <c:pt idx="79">
                  <c:v>223.9</c:v>
                </c:pt>
                <c:pt idx="80">
                  <c:v>223.9</c:v>
                </c:pt>
                <c:pt idx="81">
                  <c:v>223.9</c:v>
                </c:pt>
                <c:pt idx="82">
                  <c:v>223.9</c:v>
                </c:pt>
                <c:pt idx="83">
                  <c:v>223.9</c:v>
                </c:pt>
                <c:pt idx="84">
                  <c:v>223.9</c:v>
                </c:pt>
                <c:pt idx="85">
                  <c:v>223.9</c:v>
                </c:pt>
                <c:pt idx="86">
                  <c:v>223.9</c:v>
                </c:pt>
                <c:pt idx="87">
                  <c:v>223.9</c:v>
                </c:pt>
                <c:pt idx="88">
                  <c:v>223.9</c:v>
                </c:pt>
                <c:pt idx="89">
                  <c:v>223.9</c:v>
                </c:pt>
                <c:pt idx="90">
                  <c:v>223.9</c:v>
                </c:pt>
                <c:pt idx="91">
                  <c:v>223.9</c:v>
                </c:pt>
                <c:pt idx="92">
                  <c:v>223.9</c:v>
                </c:pt>
                <c:pt idx="93">
                  <c:v>223.9</c:v>
                </c:pt>
                <c:pt idx="94">
                  <c:v>223.9</c:v>
                </c:pt>
                <c:pt idx="95">
                  <c:v>223.9</c:v>
                </c:pt>
                <c:pt idx="96">
                  <c:v>223.9</c:v>
                </c:pt>
                <c:pt idx="97">
                  <c:v>223.9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960-488A-B4E5-F6C696EC9C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6699856"/>
        <c:axId val="516700248"/>
      </c:scatterChart>
      <c:valAx>
        <c:axId val="516701032"/>
        <c:scaling>
          <c:orientation val="minMax"/>
          <c:max val="44950"/>
          <c:min val="4365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Date</a:t>
                </a:r>
              </a:p>
            </c:rich>
          </c:tx>
          <c:layout>
            <c:manualLayout>
              <c:xMode val="edge"/>
              <c:yMode val="edge"/>
              <c:x val="0.9056782620787297"/>
              <c:y val="0.8730688306951132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dd/mm/yyyy" sourceLinked="0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16700640"/>
        <c:crossesAt val="0"/>
        <c:crossBetween val="midCat"/>
        <c:majorUnit val="40"/>
      </c:valAx>
      <c:valAx>
        <c:axId val="516700640"/>
        <c:scaling>
          <c:orientation val="minMax"/>
          <c:max val="20"/>
          <c:min val="-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>
              <a:solidFill>
                <a:schemeClr val="tx1">
                  <a:lumMod val="5000"/>
                  <a:lumOff val="95000"/>
                </a:schemeClr>
              </a:solidFill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Déplacement [mm]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\+\ 0.0;\-\ 0.0;\±\ 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16701032"/>
        <c:crosses val="autoZero"/>
        <c:crossBetween val="midCat"/>
        <c:majorUnit val="5"/>
        <c:minorUnit val="1"/>
      </c:valAx>
      <c:valAx>
        <c:axId val="516700248"/>
        <c:scaling>
          <c:orientation val="minMax"/>
          <c:min val="180"/>
        </c:scaling>
        <c:delete val="0"/>
        <c:axPos val="r"/>
        <c:numFmt formatCode="0.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16699856"/>
        <c:crosses val="max"/>
        <c:crossBetween val="midCat"/>
      </c:valAx>
      <c:valAx>
        <c:axId val="516699856"/>
        <c:scaling>
          <c:orientation val="minMax"/>
        </c:scaling>
        <c:delete val="1"/>
        <c:axPos val="b"/>
        <c:numFmt formatCode="dd\ /\ mm\ /\ yy" sourceLinked="1"/>
        <c:majorTickMark val="out"/>
        <c:minorTickMark val="none"/>
        <c:tickLblPos val="nextTo"/>
        <c:crossAx val="5167002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5"/>
        <c:delete val="1"/>
      </c:legendEntry>
      <c:layout>
        <c:manualLayout>
          <c:xMode val="edge"/>
          <c:yMode val="edge"/>
          <c:x val="0.2734512435542088"/>
          <c:y val="0.62814525902910912"/>
          <c:w val="0.5990614990418045"/>
          <c:h val="0.1171886913025274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span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 alignWithMargins="0"/>
    <c:pageMargins b="0.98425196899999956" l="0.78740157499999996" r="0.78740157499999996" t="0.98425196899999956" header="0.49212598450000467" footer="0.49212598450000467"/>
    <c:pageSetup paperSize="9" orientation="landscape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Norme des déplacements</a:t>
            </a:r>
          </a:p>
        </c:rich>
      </c:tx>
      <c:layout>
        <c:manualLayout>
          <c:xMode val="edge"/>
          <c:yMode val="edge"/>
          <c:x val="0.36971851188837201"/>
          <c:y val="1.574107849133844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9.3062159500593863E-2"/>
          <c:y val="6.6119187074636515E-2"/>
          <c:w val="0.81798471935900274"/>
          <c:h val="0.7454041903779145"/>
        </c:manualLayout>
      </c:layout>
      <c:scatterChart>
        <c:scatterStyle val="lineMarker"/>
        <c:varyColors val="0"/>
        <c:ser>
          <c:idx val="1"/>
          <c:order val="0"/>
          <c:tx>
            <c:strRef>
              <c:f>Déplacements!$N$9</c:f>
              <c:strCache>
                <c:ptCount val="1"/>
                <c:pt idx="0">
                  <c:v>Norme CH</c:v>
                </c:pt>
              </c:strCache>
            </c:strRef>
          </c:tx>
          <c:spPr>
            <a:ln w="15875" cap="rnd">
              <a:solidFill>
                <a:schemeClr val="accent2"/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2">
                      <a:tint val="50000"/>
                      <a:satMod val="300000"/>
                    </a:schemeClr>
                  </a:gs>
                  <a:gs pos="35000">
                    <a:schemeClr val="accent2">
                      <a:tint val="37000"/>
                      <a:satMod val="300000"/>
                    </a:schemeClr>
                  </a:gs>
                  <a:gs pos="100000">
                    <a:schemeClr val="accent2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marker>
          <c:xVal>
            <c:numRef>
              <c:f>Déplacements!$B$10:$B$200</c:f>
              <c:numCache>
                <c:formatCode>dd\ /\ mm\ /\ yy</c:formatCode>
                <c:ptCount val="191"/>
                <c:pt idx="0">
                  <c:v>43655</c:v>
                </c:pt>
                <c:pt idx="1">
                  <c:v>43657</c:v>
                </c:pt>
                <c:pt idx="2">
                  <c:v>43661</c:v>
                </c:pt>
                <c:pt idx="3">
                  <c:v>43663</c:v>
                </c:pt>
                <c:pt idx="4">
                  <c:v>43669</c:v>
                </c:pt>
                <c:pt idx="5">
                  <c:v>43675</c:v>
                </c:pt>
                <c:pt idx="6">
                  <c:v>43679</c:v>
                </c:pt>
                <c:pt idx="7">
                  <c:v>43682</c:v>
                </c:pt>
                <c:pt idx="8">
                  <c:v>43684</c:v>
                </c:pt>
                <c:pt idx="9">
                  <c:v>43685</c:v>
                </c:pt>
                <c:pt idx="10">
                  <c:v>43689</c:v>
                </c:pt>
                <c:pt idx="11">
                  <c:v>43690</c:v>
                </c:pt>
                <c:pt idx="12">
                  <c:v>43696</c:v>
                </c:pt>
                <c:pt idx="13">
                  <c:v>43699</c:v>
                </c:pt>
                <c:pt idx="14">
                  <c:v>43703</c:v>
                </c:pt>
                <c:pt idx="15">
                  <c:v>43706</c:v>
                </c:pt>
                <c:pt idx="16">
                  <c:v>43710</c:v>
                </c:pt>
                <c:pt idx="17">
                  <c:v>43713</c:v>
                </c:pt>
                <c:pt idx="18">
                  <c:v>43718</c:v>
                </c:pt>
                <c:pt idx="19">
                  <c:v>43720</c:v>
                </c:pt>
                <c:pt idx="20">
                  <c:v>43724</c:v>
                </c:pt>
                <c:pt idx="21">
                  <c:v>43727</c:v>
                </c:pt>
                <c:pt idx="22">
                  <c:v>43731</c:v>
                </c:pt>
                <c:pt idx="23">
                  <c:v>43734</c:v>
                </c:pt>
                <c:pt idx="24">
                  <c:v>43738</c:v>
                </c:pt>
                <c:pt idx="25">
                  <c:v>43741</c:v>
                </c:pt>
                <c:pt idx="26">
                  <c:v>43746</c:v>
                </c:pt>
                <c:pt idx="27">
                  <c:v>43753</c:v>
                </c:pt>
                <c:pt idx="28">
                  <c:v>43756</c:v>
                </c:pt>
                <c:pt idx="29">
                  <c:v>43760</c:v>
                </c:pt>
                <c:pt idx="30">
                  <c:v>43762</c:v>
                </c:pt>
                <c:pt idx="31">
                  <c:v>43766</c:v>
                </c:pt>
                <c:pt idx="32">
                  <c:v>43769</c:v>
                </c:pt>
                <c:pt idx="33">
                  <c:v>43774</c:v>
                </c:pt>
                <c:pt idx="34">
                  <c:v>43776</c:v>
                </c:pt>
                <c:pt idx="35">
                  <c:v>43781</c:v>
                </c:pt>
                <c:pt idx="36">
                  <c:v>43783</c:v>
                </c:pt>
                <c:pt idx="37">
                  <c:v>43787</c:v>
                </c:pt>
                <c:pt idx="38">
                  <c:v>43790</c:v>
                </c:pt>
                <c:pt idx="39">
                  <c:v>43795</c:v>
                </c:pt>
                <c:pt idx="40">
                  <c:v>43797</c:v>
                </c:pt>
                <c:pt idx="41">
                  <c:v>43801</c:v>
                </c:pt>
                <c:pt idx="42">
                  <c:v>43803</c:v>
                </c:pt>
                <c:pt idx="43">
                  <c:v>43808</c:v>
                </c:pt>
                <c:pt idx="44">
                  <c:v>43811</c:v>
                </c:pt>
                <c:pt idx="45">
                  <c:v>43815</c:v>
                </c:pt>
                <c:pt idx="46">
                  <c:v>43818</c:v>
                </c:pt>
                <c:pt idx="47">
                  <c:v>43837</c:v>
                </c:pt>
                <c:pt idx="48">
                  <c:v>43843</c:v>
                </c:pt>
                <c:pt idx="49">
                  <c:v>43850</c:v>
                </c:pt>
                <c:pt idx="50">
                  <c:v>43857</c:v>
                </c:pt>
                <c:pt idx="51">
                  <c:v>43865</c:v>
                </c:pt>
                <c:pt idx="52">
                  <c:v>43878</c:v>
                </c:pt>
                <c:pt idx="53">
                  <c:v>43886</c:v>
                </c:pt>
                <c:pt idx="54">
                  <c:v>43896</c:v>
                </c:pt>
                <c:pt idx="55">
                  <c:v>43970</c:v>
                </c:pt>
                <c:pt idx="56">
                  <c:v>43977</c:v>
                </c:pt>
                <c:pt idx="57">
                  <c:v>43984</c:v>
                </c:pt>
                <c:pt idx="58">
                  <c:v>43990</c:v>
                </c:pt>
                <c:pt idx="59">
                  <c:v>43997</c:v>
                </c:pt>
                <c:pt idx="60">
                  <c:v>44004</c:v>
                </c:pt>
                <c:pt idx="61">
                  <c:v>44018</c:v>
                </c:pt>
                <c:pt idx="62">
                  <c:v>44027</c:v>
                </c:pt>
                <c:pt idx="63">
                  <c:v>44039</c:v>
                </c:pt>
                <c:pt idx="64">
                  <c:v>44053</c:v>
                </c:pt>
                <c:pt idx="65">
                  <c:v>44075</c:v>
                </c:pt>
                <c:pt idx="66">
                  <c:v>44082</c:v>
                </c:pt>
                <c:pt idx="67">
                  <c:v>44112</c:v>
                </c:pt>
                <c:pt idx="68">
                  <c:v>44134</c:v>
                </c:pt>
                <c:pt idx="70">
                  <c:v>44134</c:v>
                </c:pt>
                <c:pt idx="72">
                  <c:v>44140</c:v>
                </c:pt>
                <c:pt idx="73">
                  <c:v>44172</c:v>
                </c:pt>
                <c:pt idx="74">
                  <c:v>44186</c:v>
                </c:pt>
                <c:pt idx="75">
                  <c:v>44203</c:v>
                </c:pt>
                <c:pt idx="76">
                  <c:v>44229</c:v>
                </c:pt>
                <c:pt idx="77">
                  <c:v>44245</c:v>
                </c:pt>
                <c:pt idx="78">
                  <c:v>44273</c:v>
                </c:pt>
                <c:pt idx="79">
                  <c:v>44287</c:v>
                </c:pt>
                <c:pt idx="80">
                  <c:v>44308</c:v>
                </c:pt>
                <c:pt idx="81">
                  <c:v>44322</c:v>
                </c:pt>
                <c:pt idx="82">
                  <c:v>44337</c:v>
                </c:pt>
                <c:pt idx="83">
                  <c:v>44351</c:v>
                </c:pt>
                <c:pt idx="84">
                  <c:v>44357</c:v>
                </c:pt>
                <c:pt idx="85">
                  <c:v>44362</c:v>
                </c:pt>
                <c:pt idx="86">
                  <c:v>44364</c:v>
                </c:pt>
                <c:pt idx="87">
                  <c:v>44369</c:v>
                </c:pt>
                <c:pt idx="88">
                  <c:v>44376</c:v>
                </c:pt>
                <c:pt idx="89">
                  <c:v>44378</c:v>
                </c:pt>
                <c:pt idx="90">
                  <c:v>44392</c:v>
                </c:pt>
                <c:pt idx="91">
                  <c:v>44400</c:v>
                </c:pt>
                <c:pt idx="92">
                  <c:v>44410</c:v>
                </c:pt>
                <c:pt idx="93">
                  <c:v>44453</c:v>
                </c:pt>
                <c:pt idx="94">
                  <c:v>44470</c:v>
                </c:pt>
                <c:pt idx="95">
                  <c:v>44489</c:v>
                </c:pt>
                <c:pt idx="96">
                  <c:v>44502</c:v>
                </c:pt>
                <c:pt idx="97">
                  <c:v>44915</c:v>
                </c:pt>
              </c:numCache>
            </c:numRef>
          </c:xVal>
          <c:yVal>
            <c:numRef>
              <c:f>Déplacements!$N$10:$N$200</c:f>
              <c:numCache>
                <c:formatCode>\+\ 0.0;\-\ 0.0;\±\ 0.0</c:formatCode>
                <c:ptCount val="191"/>
                <c:pt idx="0">
                  <c:v>0</c:v>
                </c:pt>
                <c:pt idx="1">
                  <c:v>0.82462112512951324</c:v>
                </c:pt>
                <c:pt idx="2">
                  <c:v>1.3341664064145999</c:v>
                </c:pt>
                <c:pt idx="3">
                  <c:v>1.8841443681341454</c:v>
                </c:pt>
                <c:pt idx="4">
                  <c:v>2.2203603311138873</c:v>
                </c:pt>
                <c:pt idx="5">
                  <c:v>3.8535697736031764</c:v>
                </c:pt>
                <c:pt idx="6">
                  <c:v>2.8859708620195863</c:v>
                </c:pt>
                <c:pt idx="7">
                  <c:v>4.0401682370879826</c:v>
                </c:pt>
                <c:pt idx="8">
                  <c:v>4.0755049132120309</c:v>
                </c:pt>
                <c:pt idx="9">
                  <c:v>4.0750079764077647</c:v>
                </c:pt>
                <c:pt idx="10">
                  <c:v>5.1596114461239724</c:v>
                </c:pt>
                <c:pt idx="11">
                  <c:v>4.8293912753639185</c:v>
                </c:pt>
                <c:pt idx="12">
                  <c:v>4.6989360497907278</c:v>
                </c:pt>
                <c:pt idx="13">
                  <c:v>5.301886456732718</c:v>
                </c:pt>
                <c:pt idx="14">
                  <c:v>6.4730209330760049</c:v>
                </c:pt>
                <c:pt idx="15">
                  <c:v>6.7904344485479919</c:v>
                </c:pt>
                <c:pt idx="16">
                  <c:v>7.3763134423615453</c:v>
                </c:pt>
                <c:pt idx="17">
                  <c:v>7.9214897588799964</c:v>
                </c:pt>
                <c:pt idx="18">
                  <c:v>7.5936168932481909</c:v>
                </c:pt>
                <c:pt idx="19">
                  <c:v>7.5332595866601286</c:v>
                </c:pt>
                <c:pt idx="20">
                  <c:v>8.6029064856020838</c:v>
                </c:pt>
                <c:pt idx="21">
                  <c:v>8.9543285622039726</c:v>
                </c:pt>
                <c:pt idx="22">
                  <c:v>9.578100020368824</c:v>
                </c:pt>
                <c:pt idx="23">
                  <c:v>9.5268042910457282</c:v>
                </c:pt>
                <c:pt idx="24">
                  <c:v>9.8542179526317266</c:v>
                </c:pt>
                <c:pt idx="25">
                  <c:v>9.8442876837296183</c:v>
                </c:pt>
                <c:pt idx="26">
                  <c:v>10.853778357950759</c:v>
                </c:pt>
                <c:pt idx="27">
                  <c:v>10.555778079726998</c:v>
                </c:pt>
                <c:pt idx="28">
                  <c:v>10.157258774657132</c:v>
                </c:pt>
                <c:pt idx="29">
                  <c:v>11.563666383296001</c:v>
                </c:pt>
                <c:pt idx="30">
                  <c:v>11.121279796306739</c:v>
                </c:pt>
                <c:pt idx="31">
                  <c:v>11.450317530169686</c:v>
                </c:pt>
                <c:pt idx="32">
                  <c:v>11.023934807933028</c:v>
                </c:pt>
                <c:pt idx="33">
                  <c:v>11.775326828082484</c:v>
                </c:pt>
                <c:pt idx="34">
                  <c:v>11.517812292268905</c:v>
                </c:pt>
                <c:pt idx="35">
                  <c:v>11.884022887890969</c:v>
                </c:pt>
                <c:pt idx="36">
                  <c:v>12.098346994528642</c:v>
                </c:pt>
                <c:pt idx="37">
                  <c:v>12.503999360209129</c:v>
                </c:pt>
                <c:pt idx="38">
                  <c:v>12.621410380784889</c:v>
                </c:pt>
                <c:pt idx="39">
                  <c:v>12.812493902439677</c:v>
                </c:pt>
                <c:pt idx="40">
                  <c:v>13.077461527370049</c:v>
                </c:pt>
                <c:pt idx="41">
                  <c:v>12.624975247507809</c:v>
                </c:pt>
                <c:pt idx="42">
                  <c:v>12.894184735767112</c:v>
                </c:pt>
                <c:pt idx="43">
                  <c:v>13.74692542742614</c:v>
                </c:pt>
                <c:pt idx="44">
                  <c:v>13.156367279763655</c:v>
                </c:pt>
                <c:pt idx="45">
                  <c:v>13.926593266123431</c:v>
                </c:pt>
                <c:pt idx="46">
                  <c:v>13.730986854550268</c:v>
                </c:pt>
                <c:pt idx="47">
                  <c:v>14.230249470755007</c:v>
                </c:pt>
                <c:pt idx="48">
                  <c:v>14.641379716417056</c:v>
                </c:pt>
                <c:pt idx="49">
                  <c:v>14.370455803491151</c:v>
                </c:pt>
                <c:pt idx="50">
                  <c:v>14.989663104950262</c:v>
                </c:pt>
                <c:pt idx="51">
                  <c:v>15.195064988348561</c:v>
                </c:pt>
                <c:pt idx="52">
                  <c:v>15.999374987793502</c:v>
                </c:pt>
                <c:pt idx="53">
                  <c:v>15.352198539619682</c:v>
                </c:pt>
                <c:pt idx="54">
                  <c:v>15.931415505222859</c:v>
                </c:pt>
                <c:pt idx="55">
                  <c:v>17.501428513126502</c:v>
                </c:pt>
                <c:pt idx="56">
                  <c:v>17.085081211396837</c:v>
                </c:pt>
                <c:pt idx="57">
                  <c:v>17.259543808432824</c:v>
                </c:pt>
                <c:pt idx="58">
                  <c:v>18.166067154590383</c:v>
                </c:pt>
                <c:pt idx="59">
                  <c:v>16.966777201696804</c:v>
                </c:pt>
                <c:pt idx="60">
                  <c:v>17.590759226866357</c:v>
                </c:pt>
                <c:pt idx="61">
                  <c:v>18.134512257102788</c:v>
                </c:pt>
                <c:pt idx="62">
                  <c:v>18.013840172876705</c:v>
                </c:pt>
                <c:pt idx="63">
                  <c:v>19.339745251554938</c:v>
                </c:pt>
                <c:pt idx="64">
                  <c:v>19.337824914685935</c:v>
                </c:pt>
                <c:pt idx="68">
                  <c:v>20.692195803458219</c:v>
                </c:pt>
                <c:pt idx="72">
                  <c:v>20.825199939628792</c:v>
                </c:pt>
                <c:pt idx="73">
                  <c:v>21.314602802530896</c:v>
                </c:pt>
                <c:pt idx="74">
                  <c:v>21.560950173841295</c:v>
                </c:pt>
                <c:pt idx="75">
                  <c:v>22.216563804174147</c:v>
                </c:pt>
                <c:pt idx="76">
                  <c:v>23.000280048870884</c:v>
                </c:pt>
                <c:pt idx="77">
                  <c:v>22.017021096824394</c:v>
                </c:pt>
                <c:pt idx="78">
                  <c:v>23.074040347786649</c:v>
                </c:pt>
                <c:pt idx="79">
                  <c:v>22.973438030655192</c:v>
                </c:pt>
                <c:pt idx="80">
                  <c:v>23.057426666336628</c:v>
                </c:pt>
                <c:pt idx="81">
                  <c:v>23.387388964635132</c:v>
                </c:pt>
                <c:pt idx="82">
                  <c:v>24.332258795251569</c:v>
                </c:pt>
                <c:pt idx="83">
                  <c:v>23.033880237093147</c:v>
                </c:pt>
                <c:pt idx="84">
                  <c:v>23.647262339535786</c:v>
                </c:pt>
                <c:pt idx="85">
                  <c:v>24.137880859481658</c:v>
                </c:pt>
                <c:pt idx="86">
                  <c:v>25.217537916208798</c:v>
                </c:pt>
                <c:pt idx="87">
                  <c:v>23.959712160279352</c:v>
                </c:pt>
                <c:pt idx="88">
                  <c:v>24.354600096101485</c:v>
                </c:pt>
                <c:pt idx="89">
                  <c:v>24.230801827445667</c:v>
                </c:pt>
                <c:pt idx="90">
                  <c:v>24.838001127918009</c:v>
                </c:pt>
                <c:pt idx="91">
                  <c:v>24.946005828915357</c:v>
                </c:pt>
                <c:pt idx="92">
                  <c:v>24.773363941887204</c:v>
                </c:pt>
                <c:pt idx="93">
                  <c:v>26.06651396596093</c:v>
                </c:pt>
                <c:pt idx="94">
                  <c:v>25.891358505105316</c:v>
                </c:pt>
                <c:pt idx="95">
                  <c:v>26.827740752403923</c:v>
                </c:pt>
                <c:pt idx="96">
                  <c:v>26.404259250913825</c:v>
                </c:pt>
                <c:pt idx="97">
                  <c:v>31.704046831143675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960-488A-B4E5-F6C696EC9CE8}"/>
            </c:ext>
          </c:extLst>
        </c:ser>
        <c:ser>
          <c:idx val="3"/>
          <c:order val="1"/>
          <c:tx>
            <c:strRef>
              <c:f>Déplacements!$J$9</c:f>
              <c:strCache>
                <c:ptCount val="1"/>
                <c:pt idx="0">
                  <c:v>Norme HG</c:v>
                </c:pt>
              </c:strCache>
            </c:strRef>
          </c:tx>
          <c:spPr>
            <a:ln w="15875" cap="rnd">
              <a:solidFill>
                <a:schemeClr val="accent4"/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4">
                      <a:tint val="50000"/>
                      <a:satMod val="300000"/>
                    </a:schemeClr>
                  </a:gs>
                  <a:gs pos="35000">
                    <a:schemeClr val="accent4">
                      <a:tint val="37000"/>
                      <a:satMod val="300000"/>
                    </a:schemeClr>
                  </a:gs>
                  <a:gs pos="100000">
                    <a:schemeClr val="accent4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marker>
          <c:xVal>
            <c:numRef>
              <c:f>Déplacements!$B$10:$B$200</c:f>
              <c:numCache>
                <c:formatCode>dd\ /\ mm\ /\ yy</c:formatCode>
                <c:ptCount val="191"/>
                <c:pt idx="0">
                  <c:v>43655</c:v>
                </c:pt>
                <c:pt idx="1">
                  <c:v>43657</c:v>
                </c:pt>
                <c:pt idx="2">
                  <c:v>43661</c:v>
                </c:pt>
                <c:pt idx="3">
                  <c:v>43663</c:v>
                </c:pt>
                <c:pt idx="4">
                  <c:v>43669</c:v>
                </c:pt>
                <c:pt idx="5">
                  <c:v>43675</c:v>
                </c:pt>
                <c:pt idx="6">
                  <c:v>43679</c:v>
                </c:pt>
                <c:pt idx="7">
                  <c:v>43682</c:v>
                </c:pt>
                <c:pt idx="8">
                  <c:v>43684</c:v>
                </c:pt>
                <c:pt idx="9">
                  <c:v>43685</c:v>
                </c:pt>
                <c:pt idx="10">
                  <c:v>43689</c:v>
                </c:pt>
                <c:pt idx="11">
                  <c:v>43690</c:v>
                </c:pt>
                <c:pt idx="12">
                  <c:v>43696</c:v>
                </c:pt>
                <c:pt idx="13">
                  <c:v>43699</c:v>
                </c:pt>
                <c:pt idx="14">
                  <c:v>43703</c:v>
                </c:pt>
                <c:pt idx="15">
                  <c:v>43706</c:v>
                </c:pt>
                <c:pt idx="16">
                  <c:v>43710</c:v>
                </c:pt>
                <c:pt idx="17">
                  <c:v>43713</c:v>
                </c:pt>
                <c:pt idx="18">
                  <c:v>43718</c:v>
                </c:pt>
                <c:pt idx="19">
                  <c:v>43720</c:v>
                </c:pt>
                <c:pt idx="20">
                  <c:v>43724</c:v>
                </c:pt>
                <c:pt idx="21">
                  <c:v>43727</c:v>
                </c:pt>
                <c:pt idx="22">
                  <c:v>43731</c:v>
                </c:pt>
                <c:pt idx="23">
                  <c:v>43734</c:v>
                </c:pt>
                <c:pt idx="24">
                  <c:v>43738</c:v>
                </c:pt>
                <c:pt idx="25">
                  <c:v>43741</c:v>
                </c:pt>
                <c:pt idx="26">
                  <c:v>43746</c:v>
                </c:pt>
                <c:pt idx="27">
                  <c:v>43753</c:v>
                </c:pt>
                <c:pt idx="28">
                  <c:v>43756</c:v>
                </c:pt>
                <c:pt idx="29">
                  <c:v>43760</c:v>
                </c:pt>
                <c:pt idx="30">
                  <c:v>43762</c:v>
                </c:pt>
                <c:pt idx="31">
                  <c:v>43766</c:v>
                </c:pt>
                <c:pt idx="32">
                  <c:v>43769</c:v>
                </c:pt>
                <c:pt idx="33">
                  <c:v>43774</c:v>
                </c:pt>
                <c:pt idx="34">
                  <c:v>43776</c:v>
                </c:pt>
                <c:pt idx="35">
                  <c:v>43781</c:v>
                </c:pt>
                <c:pt idx="36">
                  <c:v>43783</c:v>
                </c:pt>
                <c:pt idx="37">
                  <c:v>43787</c:v>
                </c:pt>
                <c:pt idx="38">
                  <c:v>43790</c:v>
                </c:pt>
                <c:pt idx="39">
                  <c:v>43795</c:v>
                </c:pt>
                <c:pt idx="40">
                  <c:v>43797</c:v>
                </c:pt>
                <c:pt idx="41">
                  <c:v>43801</c:v>
                </c:pt>
                <c:pt idx="42">
                  <c:v>43803</c:v>
                </c:pt>
                <c:pt idx="43">
                  <c:v>43808</c:v>
                </c:pt>
                <c:pt idx="44">
                  <c:v>43811</c:v>
                </c:pt>
                <c:pt idx="45">
                  <c:v>43815</c:v>
                </c:pt>
                <c:pt idx="46">
                  <c:v>43818</c:v>
                </c:pt>
                <c:pt idx="47">
                  <c:v>43837</c:v>
                </c:pt>
                <c:pt idx="48">
                  <c:v>43843</c:v>
                </c:pt>
                <c:pt idx="49">
                  <c:v>43850</c:v>
                </c:pt>
                <c:pt idx="50">
                  <c:v>43857</c:v>
                </c:pt>
                <c:pt idx="51">
                  <c:v>43865</c:v>
                </c:pt>
                <c:pt idx="52">
                  <c:v>43878</c:v>
                </c:pt>
                <c:pt idx="53">
                  <c:v>43886</c:v>
                </c:pt>
                <c:pt idx="54">
                  <c:v>43896</c:v>
                </c:pt>
                <c:pt idx="55">
                  <c:v>43970</c:v>
                </c:pt>
                <c:pt idx="56">
                  <c:v>43977</c:v>
                </c:pt>
                <c:pt idx="57">
                  <c:v>43984</c:v>
                </c:pt>
                <c:pt idx="58">
                  <c:v>43990</c:v>
                </c:pt>
                <c:pt idx="59">
                  <c:v>43997</c:v>
                </c:pt>
                <c:pt idx="60">
                  <c:v>44004</c:v>
                </c:pt>
                <c:pt idx="61">
                  <c:v>44018</c:v>
                </c:pt>
                <c:pt idx="62">
                  <c:v>44027</c:v>
                </c:pt>
                <c:pt idx="63">
                  <c:v>44039</c:v>
                </c:pt>
                <c:pt idx="64">
                  <c:v>44053</c:v>
                </c:pt>
                <c:pt idx="65">
                  <c:v>44075</c:v>
                </c:pt>
                <c:pt idx="66">
                  <c:v>44082</c:v>
                </c:pt>
                <c:pt idx="67">
                  <c:v>44112</c:v>
                </c:pt>
                <c:pt idx="68">
                  <c:v>44134</c:v>
                </c:pt>
                <c:pt idx="70">
                  <c:v>44134</c:v>
                </c:pt>
                <c:pt idx="72">
                  <c:v>44140</c:v>
                </c:pt>
                <c:pt idx="73">
                  <c:v>44172</c:v>
                </c:pt>
                <c:pt idx="74">
                  <c:v>44186</c:v>
                </c:pt>
                <c:pt idx="75">
                  <c:v>44203</c:v>
                </c:pt>
                <c:pt idx="76">
                  <c:v>44229</c:v>
                </c:pt>
                <c:pt idx="77">
                  <c:v>44245</c:v>
                </c:pt>
                <c:pt idx="78">
                  <c:v>44273</c:v>
                </c:pt>
                <c:pt idx="79">
                  <c:v>44287</c:v>
                </c:pt>
                <c:pt idx="80">
                  <c:v>44308</c:v>
                </c:pt>
                <c:pt idx="81">
                  <c:v>44322</c:v>
                </c:pt>
                <c:pt idx="82">
                  <c:v>44337</c:v>
                </c:pt>
                <c:pt idx="83">
                  <c:v>44351</c:v>
                </c:pt>
                <c:pt idx="84">
                  <c:v>44357</c:v>
                </c:pt>
                <c:pt idx="85">
                  <c:v>44362</c:v>
                </c:pt>
                <c:pt idx="86">
                  <c:v>44364</c:v>
                </c:pt>
                <c:pt idx="87">
                  <c:v>44369</c:v>
                </c:pt>
                <c:pt idx="88">
                  <c:v>44376</c:v>
                </c:pt>
                <c:pt idx="89">
                  <c:v>44378</c:v>
                </c:pt>
                <c:pt idx="90">
                  <c:v>44392</c:v>
                </c:pt>
                <c:pt idx="91">
                  <c:v>44400</c:v>
                </c:pt>
                <c:pt idx="92">
                  <c:v>44410</c:v>
                </c:pt>
                <c:pt idx="93">
                  <c:v>44453</c:v>
                </c:pt>
                <c:pt idx="94">
                  <c:v>44470</c:v>
                </c:pt>
                <c:pt idx="95">
                  <c:v>44489</c:v>
                </c:pt>
                <c:pt idx="96">
                  <c:v>44502</c:v>
                </c:pt>
                <c:pt idx="97">
                  <c:v>44915</c:v>
                </c:pt>
              </c:numCache>
            </c:numRef>
          </c:xVal>
          <c:yVal>
            <c:numRef>
              <c:f>Déplacements!$J$10:$J$200</c:f>
              <c:numCache>
                <c:formatCode>\+\ 0.0;\-\ 0.0;\±\ 0.0</c:formatCode>
                <c:ptCount val="191"/>
                <c:pt idx="0">
                  <c:v>0</c:v>
                </c:pt>
                <c:pt idx="1">
                  <c:v>0.85586213842426051</c:v>
                </c:pt>
                <c:pt idx="2">
                  <c:v>1.2579745625186352</c:v>
                </c:pt>
                <c:pt idx="3">
                  <c:v>2.022992832410313</c:v>
                </c:pt>
                <c:pt idx="5">
                  <c:v>4.019017292821256</c:v>
                </c:pt>
                <c:pt idx="6">
                  <c:v>2.7618802377833855</c:v>
                </c:pt>
                <c:pt idx="7">
                  <c:v>4.3376461650492395</c:v>
                </c:pt>
                <c:pt idx="8">
                  <c:v>4.3089213322396498</c:v>
                </c:pt>
                <c:pt idx="9">
                  <c:v>4.5828415724556768</c:v>
                </c:pt>
                <c:pt idx="10">
                  <c:v>5.7334240195621806</c:v>
                </c:pt>
                <c:pt idx="11">
                  <c:v>6.1806535269415468</c:v>
                </c:pt>
                <c:pt idx="12">
                  <c:v>5.2955169719370714</c:v>
                </c:pt>
                <c:pt idx="13">
                  <c:v>6.2787339488132989</c:v>
                </c:pt>
                <c:pt idx="14">
                  <c:v>7.618562856608194</c:v>
                </c:pt>
                <c:pt idx="15">
                  <c:v>7.9694730064233674</c:v>
                </c:pt>
                <c:pt idx="16">
                  <c:v>8.4482246655859363</c:v>
                </c:pt>
                <c:pt idx="17">
                  <c:v>9.2845301442790831</c:v>
                </c:pt>
                <c:pt idx="18">
                  <c:v>8.8939168289412702</c:v>
                </c:pt>
                <c:pt idx="19">
                  <c:v>9.1903481979810575</c:v>
                </c:pt>
                <c:pt idx="20">
                  <c:v>10.027586948020367</c:v>
                </c:pt>
                <c:pt idx="21">
                  <c:v>10.492020777717489</c:v>
                </c:pt>
                <c:pt idx="22">
                  <c:v>11.278851891933684</c:v>
                </c:pt>
                <c:pt idx="23">
                  <c:v>11.362768148659725</c:v>
                </c:pt>
                <c:pt idx="24">
                  <c:v>11.549173502300846</c:v>
                </c:pt>
                <c:pt idx="25">
                  <c:v>12.15946133675814</c:v>
                </c:pt>
                <c:pt idx="26">
                  <c:v>12.452946770578082</c:v>
                </c:pt>
                <c:pt idx="27">
                  <c:v>12.335433990346063</c:v>
                </c:pt>
                <c:pt idx="28">
                  <c:v>12.268388559650163</c:v>
                </c:pt>
                <c:pt idx="29">
                  <c:v>13.510034484155391</c:v>
                </c:pt>
                <c:pt idx="30">
                  <c:v>12.462171430703206</c:v>
                </c:pt>
                <c:pt idx="32">
                  <c:v>13.484756389011141</c:v>
                </c:pt>
                <c:pt idx="33">
                  <c:v>13.878422645134179</c:v>
                </c:pt>
                <c:pt idx="34">
                  <c:v>13.914470884664354</c:v>
                </c:pt>
                <c:pt idx="35">
                  <c:v>14.424025097049789</c:v>
                </c:pt>
                <c:pt idx="37">
                  <c:v>14.813254200203909</c:v>
                </c:pt>
                <c:pt idx="38">
                  <c:v>14.929584722956536</c:v>
                </c:pt>
                <c:pt idx="39">
                  <c:v>14.986744142748861</c:v>
                </c:pt>
                <c:pt idx="40">
                  <c:v>15.633697579274381</c:v>
                </c:pt>
                <c:pt idx="41">
                  <c:v>15.644567747303803</c:v>
                </c:pt>
                <c:pt idx="42">
                  <c:v>14.968717379927259</c:v>
                </c:pt>
                <c:pt idx="43">
                  <c:v>16.063767523722653</c:v>
                </c:pt>
                <c:pt idx="44">
                  <c:v>15.878680675681082</c:v>
                </c:pt>
                <c:pt idx="45">
                  <c:v>16.747014659336955</c:v>
                </c:pt>
                <c:pt idx="46">
                  <c:v>16.287188216505992</c:v>
                </c:pt>
                <c:pt idx="47">
                  <c:v>17.180584972577424</c:v>
                </c:pt>
                <c:pt idx="48">
                  <c:v>17.567939549087967</c:v>
                </c:pt>
                <c:pt idx="49">
                  <c:v>17.392886476943055</c:v>
                </c:pt>
                <c:pt idx="50">
                  <c:v>18.026993648418429</c:v>
                </c:pt>
                <c:pt idx="51">
                  <c:v>17.963922177509815</c:v>
                </c:pt>
                <c:pt idx="52">
                  <c:v>18.691776266580341</c:v>
                </c:pt>
                <c:pt idx="53">
                  <c:v>18.33691631654823</c:v>
                </c:pt>
                <c:pt idx="54">
                  <c:v>19.056560550107811</c:v>
                </c:pt>
                <c:pt idx="55">
                  <c:v>20.97528307317593</c:v>
                </c:pt>
                <c:pt idx="56">
                  <c:v>20.295627607936513</c:v>
                </c:pt>
                <c:pt idx="57">
                  <c:v>20.640479558017077</c:v>
                </c:pt>
                <c:pt idx="58">
                  <c:v>21.395238579626678</c:v>
                </c:pt>
                <c:pt idx="59">
                  <c:v>20.739411017182245</c:v>
                </c:pt>
                <c:pt idx="60">
                  <c:v>21.242249275982115</c:v>
                </c:pt>
                <c:pt idx="61">
                  <c:v>21.976517614316752</c:v>
                </c:pt>
                <c:pt idx="62">
                  <c:v>22.007480680890811</c:v>
                </c:pt>
                <c:pt idx="63">
                  <c:v>22.964873531887417</c:v>
                </c:pt>
                <c:pt idx="64">
                  <c:v>23.443711981494104</c:v>
                </c:pt>
                <c:pt idx="65">
                  <c:v>24.211455201176371</c:v>
                </c:pt>
                <c:pt idx="66">
                  <c:v>24.124045545920055</c:v>
                </c:pt>
                <c:pt idx="67">
                  <c:v>24.016452169224429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960-488A-B4E5-F6C696EC9CE8}"/>
            </c:ext>
          </c:extLst>
        </c:ser>
        <c:ser>
          <c:idx val="4"/>
          <c:order val="2"/>
          <c:tx>
            <c:strRef>
              <c:f>Déplacements!$R$9</c:f>
              <c:strCache>
                <c:ptCount val="1"/>
                <c:pt idx="0">
                  <c:v>Norme HD</c:v>
                </c:pt>
              </c:strCache>
            </c:strRef>
          </c:tx>
          <c:spPr>
            <a:ln w="15875" cap="rnd">
              <a:solidFill>
                <a:schemeClr val="accent5"/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5">
                      <a:tint val="50000"/>
                      <a:satMod val="300000"/>
                    </a:schemeClr>
                  </a:gs>
                  <a:gs pos="35000">
                    <a:schemeClr val="accent5">
                      <a:tint val="37000"/>
                      <a:satMod val="300000"/>
                    </a:schemeClr>
                  </a:gs>
                  <a:gs pos="100000">
                    <a:schemeClr val="accent5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5"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marker>
          <c:xVal>
            <c:numRef>
              <c:f>Déplacements!$B$10:$B$200</c:f>
              <c:numCache>
                <c:formatCode>dd\ /\ mm\ /\ yy</c:formatCode>
                <c:ptCount val="191"/>
                <c:pt idx="0">
                  <c:v>43655</c:v>
                </c:pt>
                <c:pt idx="1">
                  <c:v>43657</c:v>
                </c:pt>
                <c:pt idx="2">
                  <c:v>43661</c:v>
                </c:pt>
                <c:pt idx="3">
                  <c:v>43663</c:v>
                </c:pt>
                <c:pt idx="4">
                  <c:v>43669</c:v>
                </c:pt>
                <c:pt idx="5">
                  <c:v>43675</c:v>
                </c:pt>
                <c:pt idx="6">
                  <c:v>43679</c:v>
                </c:pt>
                <c:pt idx="7">
                  <c:v>43682</c:v>
                </c:pt>
                <c:pt idx="8">
                  <c:v>43684</c:v>
                </c:pt>
                <c:pt idx="9">
                  <c:v>43685</c:v>
                </c:pt>
                <c:pt idx="10">
                  <c:v>43689</c:v>
                </c:pt>
                <c:pt idx="11">
                  <c:v>43690</c:v>
                </c:pt>
                <c:pt idx="12">
                  <c:v>43696</c:v>
                </c:pt>
                <c:pt idx="13">
                  <c:v>43699</c:v>
                </c:pt>
                <c:pt idx="14">
                  <c:v>43703</c:v>
                </c:pt>
                <c:pt idx="15">
                  <c:v>43706</c:v>
                </c:pt>
                <c:pt idx="16">
                  <c:v>43710</c:v>
                </c:pt>
                <c:pt idx="17">
                  <c:v>43713</c:v>
                </c:pt>
                <c:pt idx="18">
                  <c:v>43718</c:v>
                </c:pt>
                <c:pt idx="19">
                  <c:v>43720</c:v>
                </c:pt>
                <c:pt idx="20">
                  <c:v>43724</c:v>
                </c:pt>
                <c:pt idx="21">
                  <c:v>43727</c:v>
                </c:pt>
                <c:pt idx="22">
                  <c:v>43731</c:v>
                </c:pt>
                <c:pt idx="23">
                  <c:v>43734</c:v>
                </c:pt>
                <c:pt idx="24">
                  <c:v>43738</c:v>
                </c:pt>
                <c:pt idx="25">
                  <c:v>43741</c:v>
                </c:pt>
                <c:pt idx="26">
                  <c:v>43746</c:v>
                </c:pt>
                <c:pt idx="27">
                  <c:v>43753</c:v>
                </c:pt>
                <c:pt idx="28">
                  <c:v>43756</c:v>
                </c:pt>
                <c:pt idx="29">
                  <c:v>43760</c:v>
                </c:pt>
                <c:pt idx="30">
                  <c:v>43762</c:v>
                </c:pt>
                <c:pt idx="31">
                  <c:v>43766</c:v>
                </c:pt>
                <c:pt idx="32">
                  <c:v>43769</c:v>
                </c:pt>
                <c:pt idx="33">
                  <c:v>43774</c:v>
                </c:pt>
                <c:pt idx="34">
                  <c:v>43776</c:v>
                </c:pt>
                <c:pt idx="35">
                  <c:v>43781</c:v>
                </c:pt>
                <c:pt idx="36">
                  <c:v>43783</c:v>
                </c:pt>
                <c:pt idx="37">
                  <c:v>43787</c:v>
                </c:pt>
                <c:pt idx="38">
                  <c:v>43790</c:v>
                </c:pt>
                <c:pt idx="39">
                  <c:v>43795</c:v>
                </c:pt>
                <c:pt idx="40">
                  <c:v>43797</c:v>
                </c:pt>
                <c:pt idx="41">
                  <c:v>43801</c:v>
                </c:pt>
                <c:pt idx="42">
                  <c:v>43803</c:v>
                </c:pt>
                <c:pt idx="43">
                  <c:v>43808</c:v>
                </c:pt>
                <c:pt idx="44">
                  <c:v>43811</c:v>
                </c:pt>
                <c:pt idx="45">
                  <c:v>43815</c:v>
                </c:pt>
                <c:pt idx="46">
                  <c:v>43818</c:v>
                </c:pt>
                <c:pt idx="47">
                  <c:v>43837</c:v>
                </c:pt>
                <c:pt idx="48">
                  <c:v>43843</c:v>
                </c:pt>
                <c:pt idx="49">
                  <c:v>43850</c:v>
                </c:pt>
                <c:pt idx="50">
                  <c:v>43857</c:v>
                </c:pt>
                <c:pt idx="51">
                  <c:v>43865</c:v>
                </c:pt>
                <c:pt idx="52">
                  <c:v>43878</c:v>
                </c:pt>
                <c:pt idx="53">
                  <c:v>43886</c:v>
                </c:pt>
                <c:pt idx="54">
                  <c:v>43896</c:v>
                </c:pt>
                <c:pt idx="55">
                  <c:v>43970</c:v>
                </c:pt>
                <c:pt idx="56">
                  <c:v>43977</c:v>
                </c:pt>
                <c:pt idx="57">
                  <c:v>43984</c:v>
                </c:pt>
                <c:pt idx="58">
                  <c:v>43990</c:v>
                </c:pt>
                <c:pt idx="59">
                  <c:v>43997</c:v>
                </c:pt>
                <c:pt idx="60">
                  <c:v>44004</c:v>
                </c:pt>
                <c:pt idx="61">
                  <c:v>44018</c:v>
                </c:pt>
                <c:pt idx="62">
                  <c:v>44027</c:v>
                </c:pt>
                <c:pt idx="63">
                  <c:v>44039</c:v>
                </c:pt>
                <c:pt idx="64">
                  <c:v>44053</c:v>
                </c:pt>
                <c:pt idx="65">
                  <c:v>44075</c:v>
                </c:pt>
                <c:pt idx="66">
                  <c:v>44082</c:v>
                </c:pt>
                <c:pt idx="67">
                  <c:v>44112</c:v>
                </c:pt>
                <c:pt idx="68">
                  <c:v>44134</c:v>
                </c:pt>
                <c:pt idx="70">
                  <c:v>44134</c:v>
                </c:pt>
                <c:pt idx="72">
                  <c:v>44140</c:v>
                </c:pt>
                <c:pt idx="73">
                  <c:v>44172</c:v>
                </c:pt>
                <c:pt idx="74">
                  <c:v>44186</c:v>
                </c:pt>
                <c:pt idx="75">
                  <c:v>44203</c:v>
                </c:pt>
                <c:pt idx="76">
                  <c:v>44229</c:v>
                </c:pt>
                <c:pt idx="77">
                  <c:v>44245</c:v>
                </c:pt>
                <c:pt idx="78">
                  <c:v>44273</c:v>
                </c:pt>
                <c:pt idx="79">
                  <c:v>44287</c:v>
                </c:pt>
                <c:pt idx="80">
                  <c:v>44308</c:v>
                </c:pt>
                <c:pt idx="81">
                  <c:v>44322</c:v>
                </c:pt>
                <c:pt idx="82">
                  <c:v>44337</c:v>
                </c:pt>
                <c:pt idx="83">
                  <c:v>44351</c:v>
                </c:pt>
                <c:pt idx="84">
                  <c:v>44357</c:v>
                </c:pt>
                <c:pt idx="85">
                  <c:v>44362</c:v>
                </c:pt>
                <c:pt idx="86">
                  <c:v>44364</c:v>
                </c:pt>
                <c:pt idx="87">
                  <c:v>44369</c:v>
                </c:pt>
                <c:pt idx="88">
                  <c:v>44376</c:v>
                </c:pt>
                <c:pt idx="89">
                  <c:v>44378</c:v>
                </c:pt>
                <c:pt idx="90">
                  <c:v>44392</c:v>
                </c:pt>
                <c:pt idx="91">
                  <c:v>44400</c:v>
                </c:pt>
                <c:pt idx="92">
                  <c:v>44410</c:v>
                </c:pt>
                <c:pt idx="93">
                  <c:v>44453</c:v>
                </c:pt>
                <c:pt idx="94">
                  <c:v>44470</c:v>
                </c:pt>
                <c:pt idx="95">
                  <c:v>44489</c:v>
                </c:pt>
                <c:pt idx="96">
                  <c:v>44502</c:v>
                </c:pt>
                <c:pt idx="97">
                  <c:v>44915</c:v>
                </c:pt>
              </c:numCache>
            </c:numRef>
          </c:xVal>
          <c:yVal>
            <c:numRef>
              <c:f>Déplacements!$R$10:$R$200</c:f>
              <c:numCache>
                <c:formatCode>\+\ 0.0;\-\ 0.0;\±\ 0.0</c:formatCode>
                <c:ptCount val="191"/>
                <c:pt idx="0">
                  <c:v>0</c:v>
                </c:pt>
                <c:pt idx="1">
                  <c:v>0.95524865872175246</c:v>
                </c:pt>
                <c:pt idx="2">
                  <c:v>1.3009611831208934</c:v>
                </c:pt>
                <c:pt idx="3">
                  <c:v>1.7811513130534313</c:v>
                </c:pt>
                <c:pt idx="4">
                  <c:v>1.1715374513827561</c:v>
                </c:pt>
                <c:pt idx="5">
                  <c:v>3.8291643997044904</c:v>
                </c:pt>
                <c:pt idx="6">
                  <c:v>2.836534884359903</c:v>
                </c:pt>
                <c:pt idx="7">
                  <c:v>3.7934604419381799</c:v>
                </c:pt>
                <c:pt idx="8">
                  <c:v>3.8902716278346339</c:v>
                </c:pt>
                <c:pt idx="9">
                  <c:v>3.9667827201769397</c:v>
                </c:pt>
                <c:pt idx="10">
                  <c:v>5.0721400459800652</c:v>
                </c:pt>
                <c:pt idx="11">
                  <c:v>5.2807846481853309</c:v>
                </c:pt>
                <c:pt idx="12">
                  <c:v>4.2204857540241596</c:v>
                </c:pt>
                <c:pt idx="13">
                  <c:v>5.0142297514223042</c:v>
                </c:pt>
                <c:pt idx="14">
                  <c:v>6.7292272959011044</c:v>
                </c:pt>
                <c:pt idx="15">
                  <c:v>6.7128607910423668</c:v>
                </c:pt>
                <c:pt idx="16">
                  <c:v>6.9132119886391132</c:v>
                </c:pt>
                <c:pt idx="17">
                  <c:v>7.3724148011291835</c:v>
                </c:pt>
                <c:pt idx="18">
                  <c:v>7.6739268368470892</c:v>
                </c:pt>
                <c:pt idx="19">
                  <c:v>7.3635928730446727</c:v>
                </c:pt>
                <c:pt idx="20">
                  <c:v>8.1346481177650372</c:v>
                </c:pt>
                <c:pt idx="21">
                  <c:v>8.3404136587989441</c:v>
                </c:pt>
                <c:pt idx="22">
                  <c:v>9.1696510293320976</c:v>
                </c:pt>
                <c:pt idx="23">
                  <c:v>9.2597246179308517</c:v>
                </c:pt>
                <c:pt idx="24">
                  <c:v>9.1278754134809343</c:v>
                </c:pt>
                <c:pt idx="25">
                  <c:v>9.6240583954951475</c:v>
                </c:pt>
                <c:pt idx="26">
                  <c:v>9.920084193834791</c:v>
                </c:pt>
                <c:pt idx="27">
                  <c:v>9.7243873098079874</c:v>
                </c:pt>
                <c:pt idx="28">
                  <c:v>9.5531426277238669</c:v>
                </c:pt>
                <c:pt idx="29">
                  <c:v>10.36329490178167</c:v>
                </c:pt>
                <c:pt idx="30">
                  <c:v>10.579582948047657</c:v>
                </c:pt>
                <c:pt idx="31">
                  <c:v>10.648971890265685</c:v>
                </c:pt>
                <c:pt idx="32">
                  <c:v>10.47956523878949</c:v>
                </c:pt>
                <c:pt idx="33">
                  <c:v>11.094180041704956</c:v>
                </c:pt>
                <c:pt idx="34">
                  <c:v>10.791315953112486</c:v>
                </c:pt>
                <c:pt idx="35">
                  <c:v>11.172399026177629</c:v>
                </c:pt>
                <c:pt idx="36">
                  <c:v>11.229091681871768</c:v>
                </c:pt>
                <c:pt idx="37">
                  <c:v>11.298783120317784</c:v>
                </c:pt>
                <c:pt idx="38">
                  <c:v>11.445632354746502</c:v>
                </c:pt>
                <c:pt idx="39">
                  <c:v>11.446942823296123</c:v>
                </c:pt>
                <c:pt idx="40">
                  <c:v>12.391630239801115</c:v>
                </c:pt>
                <c:pt idx="41">
                  <c:v>12.061198116266452</c:v>
                </c:pt>
                <c:pt idx="42">
                  <c:v>12.076940837807113</c:v>
                </c:pt>
                <c:pt idx="43">
                  <c:v>12.437214019882356</c:v>
                </c:pt>
                <c:pt idx="44">
                  <c:v>12.23488863864565</c:v>
                </c:pt>
                <c:pt idx="45">
                  <c:v>13.114209850382577</c:v>
                </c:pt>
                <c:pt idx="46">
                  <c:v>12.719768079639161</c:v>
                </c:pt>
                <c:pt idx="47">
                  <c:v>13.327884303220573</c:v>
                </c:pt>
                <c:pt idx="48">
                  <c:v>13.601194800450916</c:v>
                </c:pt>
                <c:pt idx="49">
                  <c:v>13.143534532228054</c:v>
                </c:pt>
                <c:pt idx="50">
                  <c:v>13.769259239334954</c:v>
                </c:pt>
                <c:pt idx="51">
                  <c:v>14.189520781188689</c:v>
                </c:pt>
                <c:pt idx="52">
                  <c:v>14.772017465468963</c:v>
                </c:pt>
                <c:pt idx="53">
                  <c:v>14.300437056254774</c:v>
                </c:pt>
                <c:pt idx="54">
                  <c:v>14.624380328738942</c:v>
                </c:pt>
                <c:pt idx="55">
                  <c:v>16.279204526022841</c:v>
                </c:pt>
                <c:pt idx="56">
                  <c:v>15.728397884079069</c:v>
                </c:pt>
                <c:pt idx="57">
                  <c:v>16.060522375762229</c:v>
                </c:pt>
                <c:pt idx="58">
                  <c:v>16.953824406968323</c:v>
                </c:pt>
                <c:pt idx="59">
                  <c:v>15.852465424291655</c:v>
                </c:pt>
                <c:pt idx="60">
                  <c:v>16.499473300967292</c:v>
                </c:pt>
                <c:pt idx="61">
                  <c:v>16.758852355101268</c:v>
                </c:pt>
                <c:pt idx="62">
                  <c:v>17.074687789787571</c:v>
                </c:pt>
                <c:pt idx="63">
                  <c:v>17.660526589289159</c:v>
                </c:pt>
                <c:pt idx="64">
                  <c:v>17.662181962703919</c:v>
                </c:pt>
                <c:pt idx="65">
                  <c:v>18.230206564356802</c:v>
                </c:pt>
                <c:pt idx="66">
                  <c:v>18.249224624932904</c:v>
                </c:pt>
                <c:pt idx="67">
                  <c:v>17.79631940778745</c:v>
                </c:pt>
                <c:pt idx="68">
                  <c:v>18.670915901753762</c:v>
                </c:pt>
                <c:pt idx="72">
                  <c:v>18.406132550998251</c:v>
                </c:pt>
                <c:pt idx="73">
                  <c:v>18.819455316663042</c:v>
                </c:pt>
                <c:pt idx="74">
                  <c:v>18.794982858589975</c:v>
                </c:pt>
                <c:pt idx="75">
                  <c:v>19.073616245572577</c:v>
                </c:pt>
                <c:pt idx="76">
                  <c:v>20.214846011575425</c:v>
                </c:pt>
                <c:pt idx="77">
                  <c:v>19.156151226260199</c:v>
                </c:pt>
                <c:pt idx="78">
                  <c:v>20.679802120806762</c:v>
                </c:pt>
                <c:pt idx="79">
                  <c:v>19.764149115485523</c:v>
                </c:pt>
                <c:pt idx="80">
                  <c:v>20.038793623259735</c:v>
                </c:pt>
                <c:pt idx="81">
                  <c:v>20.697951760966269</c:v>
                </c:pt>
                <c:pt idx="82">
                  <c:v>21.642602895190034</c:v>
                </c:pt>
                <c:pt idx="83">
                  <c:v>20.619292757444708</c:v>
                </c:pt>
                <c:pt idx="84">
                  <c:v>21.224274923503483</c:v>
                </c:pt>
                <c:pt idx="85">
                  <c:v>21.552218340775795</c:v>
                </c:pt>
                <c:pt idx="86">
                  <c:v>22.30774685101083</c:v>
                </c:pt>
                <c:pt idx="87">
                  <c:v>21.33577488244892</c:v>
                </c:pt>
                <c:pt idx="88">
                  <c:v>21.566404226294974</c:v>
                </c:pt>
                <c:pt idx="89">
                  <c:v>21.527160142972019</c:v>
                </c:pt>
                <c:pt idx="90">
                  <c:v>21.51447336996841</c:v>
                </c:pt>
                <c:pt idx="91">
                  <c:v>22.37840018883912</c:v>
                </c:pt>
                <c:pt idx="92">
                  <c:v>21.879045235825824</c:v>
                </c:pt>
                <c:pt idx="93">
                  <c:v>22.96104067187137</c:v>
                </c:pt>
                <c:pt idx="94">
                  <c:v>22.926058862439913</c:v>
                </c:pt>
                <c:pt idx="95">
                  <c:v>23.812783366323522</c:v>
                </c:pt>
                <c:pt idx="96">
                  <c:v>23.02541852896195</c:v>
                </c:pt>
                <c:pt idx="97">
                  <c:v>27.482431065756849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960-488A-B4E5-F6C696EC9CE8}"/>
            </c:ext>
          </c:extLst>
        </c:ser>
        <c:ser>
          <c:idx val="5"/>
          <c:order val="3"/>
          <c:tx>
            <c:strRef>
              <c:f>Déplacements!$F$9</c:f>
              <c:strCache>
                <c:ptCount val="1"/>
                <c:pt idx="0">
                  <c:v>Norme IG</c:v>
                </c:pt>
              </c:strCache>
            </c:strRef>
          </c:tx>
          <c:spPr>
            <a:ln w="15875" cap="rnd">
              <a:solidFill>
                <a:schemeClr val="accent6"/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6">
                      <a:tint val="50000"/>
                      <a:satMod val="300000"/>
                    </a:schemeClr>
                  </a:gs>
                  <a:gs pos="35000">
                    <a:schemeClr val="accent6">
                      <a:tint val="37000"/>
                      <a:satMod val="300000"/>
                    </a:schemeClr>
                  </a:gs>
                  <a:gs pos="100000">
                    <a:schemeClr val="accent6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6"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marker>
          <c:xVal>
            <c:numRef>
              <c:f>Déplacements!$B$10:$B$200</c:f>
              <c:numCache>
                <c:formatCode>dd\ /\ mm\ /\ yy</c:formatCode>
                <c:ptCount val="191"/>
                <c:pt idx="0">
                  <c:v>43655</c:v>
                </c:pt>
                <c:pt idx="1">
                  <c:v>43657</c:v>
                </c:pt>
                <c:pt idx="2">
                  <c:v>43661</c:v>
                </c:pt>
                <c:pt idx="3">
                  <c:v>43663</c:v>
                </c:pt>
                <c:pt idx="4">
                  <c:v>43669</c:v>
                </c:pt>
                <c:pt idx="5">
                  <c:v>43675</c:v>
                </c:pt>
                <c:pt idx="6">
                  <c:v>43679</c:v>
                </c:pt>
                <c:pt idx="7">
                  <c:v>43682</c:v>
                </c:pt>
                <c:pt idx="8">
                  <c:v>43684</c:v>
                </c:pt>
                <c:pt idx="9">
                  <c:v>43685</c:v>
                </c:pt>
                <c:pt idx="10">
                  <c:v>43689</c:v>
                </c:pt>
                <c:pt idx="11">
                  <c:v>43690</c:v>
                </c:pt>
                <c:pt idx="12">
                  <c:v>43696</c:v>
                </c:pt>
                <c:pt idx="13">
                  <c:v>43699</c:v>
                </c:pt>
                <c:pt idx="14">
                  <c:v>43703</c:v>
                </c:pt>
                <c:pt idx="15">
                  <c:v>43706</c:v>
                </c:pt>
                <c:pt idx="16">
                  <c:v>43710</c:v>
                </c:pt>
                <c:pt idx="17">
                  <c:v>43713</c:v>
                </c:pt>
                <c:pt idx="18">
                  <c:v>43718</c:v>
                </c:pt>
                <c:pt idx="19">
                  <c:v>43720</c:v>
                </c:pt>
                <c:pt idx="20">
                  <c:v>43724</c:v>
                </c:pt>
                <c:pt idx="21">
                  <c:v>43727</c:v>
                </c:pt>
                <c:pt idx="22">
                  <c:v>43731</c:v>
                </c:pt>
                <c:pt idx="23">
                  <c:v>43734</c:v>
                </c:pt>
                <c:pt idx="24">
                  <c:v>43738</c:v>
                </c:pt>
                <c:pt idx="25">
                  <c:v>43741</c:v>
                </c:pt>
                <c:pt idx="26">
                  <c:v>43746</c:v>
                </c:pt>
                <c:pt idx="27">
                  <c:v>43753</c:v>
                </c:pt>
                <c:pt idx="28">
                  <c:v>43756</c:v>
                </c:pt>
                <c:pt idx="29">
                  <c:v>43760</c:v>
                </c:pt>
                <c:pt idx="30">
                  <c:v>43762</c:v>
                </c:pt>
                <c:pt idx="31">
                  <c:v>43766</c:v>
                </c:pt>
                <c:pt idx="32">
                  <c:v>43769</c:v>
                </c:pt>
                <c:pt idx="33">
                  <c:v>43774</c:v>
                </c:pt>
                <c:pt idx="34">
                  <c:v>43776</c:v>
                </c:pt>
                <c:pt idx="35">
                  <c:v>43781</c:v>
                </c:pt>
                <c:pt idx="36">
                  <c:v>43783</c:v>
                </c:pt>
                <c:pt idx="37">
                  <c:v>43787</c:v>
                </c:pt>
                <c:pt idx="38">
                  <c:v>43790</c:v>
                </c:pt>
                <c:pt idx="39">
                  <c:v>43795</c:v>
                </c:pt>
                <c:pt idx="40">
                  <c:v>43797</c:v>
                </c:pt>
                <c:pt idx="41">
                  <c:v>43801</c:v>
                </c:pt>
                <c:pt idx="42">
                  <c:v>43803</c:v>
                </c:pt>
                <c:pt idx="43">
                  <c:v>43808</c:v>
                </c:pt>
                <c:pt idx="44">
                  <c:v>43811</c:v>
                </c:pt>
                <c:pt idx="45">
                  <c:v>43815</c:v>
                </c:pt>
                <c:pt idx="46">
                  <c:v>43818</c:v>
                </c:pt>
                <c:pt idx="47">
                  <c:v>43837</c:v>
                </c:pt>
                <c:pt idx="48">
                  <c:v>43843</c:v>
                </c:pt>
                <c:pt idx="49">
                  <c:v>43850</c:v>
                </c:pt>
                <c:pt idx="50">
                  <c:v>43857</c:v>
                </c:pt>
                <c:pt idx="51">
                  <c:v>43865</c:v>
                </c:pt>
                <c:pt idx="52">
                  <c:v>43878</c:v>
                </c:pt>
                <c:pt idx="53">
                  <c:v>43886</c:v>
                </c:pt>
                <c:pt idx="54">
                  <c:v>43896</c:v>
                </c:pt>
                <c:pt idx="55">
                  <c:v>43970</c:v>
                </c:pt>
                <c:pt idx="56">
                  <c:v>43977</c:v>
                </c:pt>
                <c:pt idx="57">
                  <c:v>43984</c:v>
                </c:pt>
                <c:pt idx="58">
                  <c:v>43990</c:v>
                </c:pt>
                <c:pt idx="59">
                  <c:v>43997</c:v>
                </c:pt>
                <c:pt idx="60">
                  <c:v>44004</c:v>
                </c:pt>
                <c:pt idx="61">
                  <c:v>44018</c:v>
                </c:pt>
                <c:pt idx="62">
                  <c:v>44027</c:v>
                </c:pt>
                <c:pt idx="63">
                  <c:v>44039</c:v>
                </c:pt>
                <c:pt idx="64">
                  <c:v>44053</c:v>
                </c:pt>
                <c:pt idx="65">
                  <c:v>44075</c:v>
                </c:pt>
                <c:pt idx="66">
                  <c:v>44082</c:v>
                </c:pt>
                <c:pt idx="67">
                  <c:v>44112</c:v>
                </c:pt>
                <c:pt idx="68">
                  <c:v>44134</c:v>
                </c:pt>
                <c:pt idx="70">
                  <c:v>44134</c:v>
                </c:pt>
                <c:pt idx="72">
                  <c:v>44140</c:v>
                </c:pt>
                <c:pt idx="73">
                  <c:v>44172</c:v>
                </c:pt>
                <c:pt idx="74">
                  <c:v>44186</c:v>
                </c:pt>
                <c:pt idx="75">
                  <c:v>44203</c:v>
                </c:pt>
                <c:pt idx="76">
                  <c:v>44229</c:v>
                </c:pt>
                <c:pt idx="77">
                  <c:v>44245</c:v>
                </c:pt>
                <c:pt idx="78">
                  <c:v>44273</c:v>
                </c:pt>
                <c:pt idx="79">
                  <c:v>44287</c:v>
                </c:pt>
                <c:pt idx="80">
                  <c:v>44308</c:v>
                </c:pt>
                <c:pt idx="81">
                  <c:v>44322</c:v>
                </c:pt>
                <c:pt idx="82">
                  <c:v>44337</c:v>
                </c:pt>
                <c:pt idx="83">
                  <c:v>44351</c:v>
                </c:pt>
                <c:pt idx="84">
                  <c:v>44357</c:v>
                </c:pt>
                <c:pt idx="85">
                  <c:v>44362</c:v>
                </c:pt>
                <c:pt idx="86">
                  <c:v>44364</c:v>
                </c:pt>
                <c:pt idx="87">
                  <c:v>44369</c:v>
                </c:pt>
                <c:pt idx="88">
                  <c:v>44376</c:v>
                </c:pt>
                <c:pt idx="89">
                  <c:v>44378</c:v>
                </c:pt>
                <c:pt idx="90">
                  <c:v>44392</c:v>
                </c:pt>
                <c:pt idx="91">
                  <c:v>44400</c:v>
                </c:pt>
                <c:pt idx="92">
                  <c:v>44410</c:v>
                </c:pt>
                <c:pt idx="93">
                  <c:v>44453</c:v>
                </c:pt>
                <c:pt idx="94">
                  <c:v>44470</c:v>
                </c:pt>
                <c:pt idx="95">
                  <c:v>44489</c:v>
                </c:pt>
                <c:pt idx="96">
                  <c:v>44502</c:v>
                </c:pt>
                <c:pt idx="97">
                  <c:v>44915</c:v>
                </c:pt>
              </c:numCache>
            </c:numRef>
          </c:xVal>
          <c:yVal>
            <c:numRef>
              <c:f>Déplacements!$F$10:$F$200</c:f>
              <c:numCache>
                <c:formatCode>\+\ 0.0;\-\ 0.0;\±\ 0.0</c:formatCode>
                <c:ptCount val="191"/>
                <c:pt idx="0">
                  <c:v>0</c:v>
                </c:pt>
                <c:pt idx="1">
                  <c:v>0.72284161473301844</c:v>
                </c:pt>
                <c:pt idx="2">
                  <c:v>1.5370426148860237</c:v>
                </c:pt>
                <c:pt idx="3">
                  <c:v>2.0524375751746295</c:v>
                </c:pt>
                <c:pt idx="4">
                  <c:v>1.3500000000145187</c:v>
                </c:pt>
                <c:pt idx="5">
                  <c:v>3.0679797913282583</c:v>
                </c:pt>
                <c:pt idx="6">
                  <c:v>1.6899734934053414</c:v>
                </c:pt>
                <c:pt idx="7">
                  <c:v>2.6393814774102542</c:v>
                </c:pt>
                <c:pt idx="8">
                  <c:v>2.558622285538279</c:v>
                </c:pt>
                <c:pt idx="9">
                  <c:v>3.1492018349580926</c:v>
                </c:pt>
                <c:pt idx="10">
                  <c:v>3.1090410344002599</c:v>
                </c:pt>
                <c:pt idx="11">
                  <c:v>3.3965761255166242</c:v>
                </c:pt>
                <c:pt idx="12">
                  <c:v>2.4964975465650161</c:v>
                </c:pt>
                <c:pt idx="13">
                  <c:v>3.1020154738583394</c:v>
                </c:pt>
                <c:pt idx="14">
                  <c:v>4.3488504228244507</c:v>
                </c:pt>
                <c:pt idx="15">
                  <c:v>4.6682437811197541</c:v>
                </c:pt>
                <c:pt idx="16">
                  <c:v>4.6746657634513893</c:v>
                </c:pt>
                <c:pt idx="17">
                  <c:v>5.2203927055415722</c:v>
                </c:pt>
                <c:pt idx="18">
                  <c:v>5.0690283921356745</c:v>
                </c:pt>
                <c:pt idx="19">
                  <c:v>5.1198144497774143</c:v>
                </c:pt>
                <c:pt idx="20">
                  <c:v>5.7708318291216845</c:v>
                </c:pt>
                <c:pt idx="21">
                  <c:v>5.9103722387103819</c:v>
                </c:pt>
                <c:pt idx="22">
                  <c:v>6.7913547985686957</c:v>
                </c:pt>
                <c:pt idx="23">
                  <c:v>6.6183457147623175</c:v>
                </c:pt>
                <c:pt idx="24">
                  <c:v>6.8493678733201167</c:v>
                </c:pt>
                <c:pt idx="25">
                  <c:v>6.7788273322187527</c:v>
                </c:pt>
                <c:pt idx="26">
                  <c:v>7.4636214851072467</c:v>
                </c:pt>
                <c:pt idx="27">
                  <c:v>7.2837368426726599</c:v>
                </c:pt>
                <c:pt idx="28">
                  <c:v>7.1205748646887006</c:v>
                </c:pt>
                <c:pt idx="29">
                  <c:v>7.6008671267603987</c:v>
                </c:pt>
                <c:pt idx="30">
                  <c:v>8.0338479653975874</c:v>
                </c:pt>
                <c:pt idx="31">
                  <c:v>7.7358283657505416</c:v>
                </c:pt>
                <c:pt idx="32">
                  <c:v>7.9197462860297758</c:v>
                </c:pt>
                <c:pt idx="33">
                  <c:v>8.2220907552129248</c:v>
                </c:pt>
                <c:pt idx="34">
                  <c:v>8.2032005948895801</c:v>
                </c:pt>
                <c:pt idx="35">
                  <c:v>8.5581832184289279</c:v>
                </c:pt>
                <c:pt idx="36">
                  <c:v>8.4570976108919194</c:v>
                </c:pt>
                <c:pt idx="37">
                  <c:v>8.4423041878454992</c:v>
                </c:pt>
                <c:pt idx="38">
                  <c:v>8.4771752370796065</c:v>
                </c:pt>
                <c:pt idx="39">
                  <c:v>8.8601636553842216</c:v>
                </c:pt>
                <c:pt idx="40">
                  <c:v>9.2435112376243271</c:v>
                </c:pt>
                <c:pt idx="41">
                  <c:v>8.8528244080742464</c:v>
                </c:pt>
                <c:pt idx="42">
                  <c:v>8.7711173746650459</c:v>
                </c:pt>
                <c:pt idx="43">
                  <c:v>9.663938496549763</c:v>
                </c:pt>
                <c:pt idx="44">
                  <c:v>8.9539097605388527</c:v>
                </c:pt>
                <c:pt idx="45">
                  <c:v>9.9051754149089106</c:v>
                </c:pt>
                <c:pt idx="46">
                  <c:v>9.3521387928081197</c:v>
                </c:pt>
                <c:pt idx="47">
                  <c:v>9.8378097155954851</c:v>
                </c:pt>
                <c:pt idx="48">
                  <c:v>9.6334054207286872</c:v>
                </c:pt>
                <c:pt idx="49">
                  <c:v>9.715065619962111</c:v>
                </c:pt>
                <c:pt idx="50">
                  <c:v>9.9806061940126654</c:v>
                </c:pt>
                <c:pt idx="51">
                  <c:v>10.49487970393607</c:v>
                </c:pt>
                <c:pt idx="52">
                  <c:v>10.322427040188218</c:v>
                </c:pt>
                <c:pt idx="53">
                  <c:v>10.391943995230136</c:v>
                </c:pt>
                <c:pt idx="54">
                  <c:v>10.625558808843435</c:v>
                </c:pt>
                <c:pt idx="55">
                  <c:v>11.64484864650869</c:v>
                </c:pt>
                <c:pt idx="56">
                  <c:v>10.891395686512196</c:v>
                </c:pt>
                <c:pt idx="57">
                  <c:v>11.286355802731631</c:v>
                </c:pt>
                <c:pt idx="58">
                  <c:v>11.520952902658916</c:v>
                </c:pt>
                <c:pt idx="59">
                  <c:v>10.571765618233259</c:v>
                </c:pt>
                <c:pt idx="60">
                  <c:v>11.213466337658444</c:v>
                </c:pt>
                <c:pt idx="61">
                  <c:v>11.343810042973454</c:v>
                </c:pt>
                <c:pt idx="62">
                  <c:v>11.163473511336019</c:v>
                </c:pt>
                <c:pt idx="63">
                  <c:v>11.848317136278995</c:v>
                </c:pt>
                <c:pt idx="64">
                  <c:v>11.621211160867695</c:v>
                </c:pt>
                <c:pt idx="65">
                  <c:v>12.040867211696817</c:v>
                </c:pt>
                <c:pt idx="66">
                  <c:v>11.388708867770939</c:v>
                </c:pt>
                <c:pt idx="68">
                  <c:v>11.730817731770195</c:v>
                </c:pt>
                <c:pt idx="72">
                  <c:v>11.612969022411889</c:v>
                </c:pt>
                <c:pt idx="73">
                  <c:v>13.092759610319215</c:v>
                </c:pt>
                <c:pt idx="74">
                  <c:v>11.931327331099029</c:v>
                </c:pt>
                <c:pt idx="75">
                  <c:v>12.726742445345481</c:v>
                </c:pt>
                <c:pt idx="76">
                  <c:v>12.746427868686018</c:v>
                </c:pt>
                <c:pt idx="77">
                  <c:v>12.378216540836576</c:v>
                </c:pt>
                <c:pt idx="78">
                  <c:v>12.090170937068983</c:v>
                </c:pt>
                <c:pt idx="79">
                  <c:v>12.472046516397567</c:v>
                </c:pt>
                <c:pt idx="80">
                  <c:v>12.044139753154415</c:v>
                </c:pt>
                <c:pt idx="81">
                  <c:v>12.349935684526093</c:v>
                </c:pt>
                <c:pt idx="82">
                  <c:v>12.778563837900082</c:v>
                </c:pt>
                <c:pt idx="83">
                  <c:v>12.057427596309212</c:v>
                </c:pt>
                <c:pt idx="84">
                  <c:v>12.138866873668363</c:v>
                </c:pt>
                <c:pt idx="85">
                  <c:v>12.326078983153312</c:v>
                </c:pt>
                <c:pt idx="86">
                  <c:v>13.743068955194097</c:v>
                </c:pt>
                <c:pt idx="87">
                  <c:v>12.549983361251137</c:v>
                </c:pt>
                <c:pt idx="88">
                  <c:v>12.949983704751425</c:v>
                </c:pt>
                <c:pt idx="89">
                  <c:v>12.742535633265184</c:v>
                </c:pt>
                <c:pt idx="90">
                  <c:v>12.964649857154102</c:v>
                </c:pt>
                <c:pt idx="91">
                  <c:v>13.415376705596165</c:v>
                </c:pt>
                <c:pt idx="93">
                  <c:v>13.693523768225136</c:v>
                </c:pt>
                <c:pt idx="94">
                  <c:v>14.193751730864744</c:v>
                </c:pt>
                <c:pt idx="95">
                  <c:v>14.320344392020015</c:v>
                </c:pt>
                <c:pt idx="96">
                  <c:v>13.268104613944013</c:v>
                </c:pt>
                <c:pt idx="97">
                  <c:v>15.401657607052245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960-488A-B4E5-F6C696EC9CE8}"/>
            </c:ext>
          </c:extLst>
        </c:ser>
        <c:ser>
          <c:idx val="6"/>
          <c:order val="4"/>
          <c:tx>
            <c:strRef>
              <c:f>Déplacements!$V$9</c:f>
              <c:strCache>
                <c:ptCount val="1"/>
                <c:pt idx="0">
                  <c:v>Norme ID</c:v>
                </c:pt>
              </c:strCache>
            </c:strRef>
          </c:tx>
          <c:spPr>
            <a:ln w="15875" cap="rnd">
              <a:solidFill>
                <a:schemeClr val="accent1">
                  <a:lumMod val="60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lumMod val="60000"/>
                      <a:tint val="50000"/>
                      <a:satMod val="300000"/>
                    </a:schemeClr>
                  </a:gs>
                  <a:gs pos="35000">
                    <a:schemeClr val="accent1">
                      <a:lumMod val="60000"/>
                      <a:tint val="37000"/>
                      <a:satMod val="300000"/>
                    </a:schemeClr>
                  </a:gs>
                  <a:gs pos="100000">
                    <a:schemeClr val="accent1">
                      <a:lumMod val="60000"/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1">
                    <a:lumMod val="60000"/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marker>
          <c:xVal>
            <c:numRef>
              <c:f>Déplacements!$B$10:$B$200</c:f>
              <c:numCache>
                <c:formatCode>dd\ /\ mm\ /\ yy</c:formatCode>
                <c:ptCount val="191"/>
                <c:pt idx="0">
                  <c:v>43655</c:v>
                </c:pt>
                <c:pt idx="1">
                  <c:v>43657</c:v>
                </c:pt>
                <c:pt idx="2">
                  <c:v>43661</c:v>
                </c:pt>
                <c:pt idx="3">
                  <c:v>43663</c:v>
                </c:pt>
                <c:pt idx="4">
                  <c:v>43669</c:v>
                </c:pt>
                <c:pt idx="5">
                  <c:v>43675</c:v>
                </c:pt>
                <c:pt idx="6">
                  <c:v>43679</c:v>
                </c:pt>
                <c:pt idx="7">
                  <c:v>43682</c:v>
                </c:pt>
                <c:pt idx="8">
                  <c:v>43684</c:v>
                </c:pt>
                <c:pt idx="9">
                  <c:v>43685</c:v>
                </c:pt>
                <c:pt idx="10">
                  <c:v>43689</c:v>
                </c:pt>
                <c:pt idx="11">
                  <c:v>43690</c:v>
                </c:pt>
                <c:pt idx="12">
                  <c:v>43696</c:v>
                </c:pt>
                <c:pt idx="13">
                  <c:v>43699</c:v>
                </c:pt>
                <c:pt idx="14">
                  <c:v>43703</c:v>
                </c:pt>
                <c:pt idx="15">
                  <c:v>43706</c:v>
                </c:pt>
                <c:pt idx="16">
                  <c:v>43710</c:v>
                </c:pt>
                <c:pt idx="17">
                  <c:v>43713</c:v>
                </c:pt>
                <c:pt idx="18">
                  <c:v>43718</c:v>
                </c:pt>
                <c:pt idx="19">
                  <c:v>43720</c:v>
                </c:pt>
                <c:pt idx="20">
                  <c:v>43724</c:v>
                </c:pt>
                <c:pt idx="21">
                  <c:v>43727</c:v>
                </c:pt>
                <c:pt idx="22">
                  <c:v>43731</c:v>
                </c:pt>
                <c:pt idx="23">
                  <c:v>43734</c:v>
                </c:pt>
                <c:pt idx="24">
                  <c:v>43738</c:v>
                </c:pt>
                <c:pt idx="25">
                  <c:v>43741</c:v>
                </c:pt>
                <c:pt idx="26">
                  <c:v>43746</c:v>
                </c:pt>
                <c:pt idx="27">
                  <c:v>43753</c:v>
                </c:pt>
                <c:pt idx="28">
                  <c:v>43756</c:v>
                </c:pt>
                <c:pt idx="29">
                  <c:v>43760</c:v>
                </c:pt>
                <c:pt idx="30">
                  <c:v>43762</c:v>
                </c:pt>
                <c:pt idx="31">
                  <c:v>43766</c:v>
                </c:pt>
                <c:pt idx="32">
                  <c:v>43769</c:v>
                </c:pt>
                <c:pt idx="33">
                  <c:v>43774</c:v>
                </c:pt>
                <c:pt idx="34">
                  <c:v>43776</c:v>
                </c:pt>
                <c:pt idx="35">
                  <c:v>43781</c:v>
                </c:pt>
                <c:pt idx="36">
                  <c:v>43783</c:v>
                </c:pt>
                <c:pt idx="37">
                  <c:v>43787</c:v>
                </c:pt>
                <c:pt idx="38">
                  <c:v>43790</c:v>
                </c:pt>
                <c:pt idx="39">
                  <c:v>43795</c:v>
                </c:pt>
                <c:pt idx="40">
                  <c:v>43797</c:v>
                </c:pt>
                <c:pt idx="41">
                  <c:v>43801</c:v>
                </c:pt>
                <c:pt idx="42">
                  <c:v>43803</c:v>
                </c:pt>
                <c:pt idx="43">
                  <c:v>43808</c:v>
                </c:pt>
                <c:pt idx="44">
                  <c:v>43811</c:v>
                </c:pt>
                <c:pt idx="45">
                  <c:v>43815</c:v>
                </c:pt>
                <c:pt idx="46">
                  <c:v>43818</c:v>
                </c:pt>
                <c:pt idx="47">
                  <c:v>43837</c:v>
                </c:pt>
                <c:pt idx="48">
                  <c:v>43843</c:v>
                </c:pt>
                <c:pt idx="49">
                  <c:v>43850</c:v>
                </c:pt>
                <c:pt idx="50">
                  <c:v>43857</c:v>
                </c:pt>
                <c:pt idx="51">
                  <c:v>43865</c:v>
                </c:pt>
                <c:pt idx="52">
                  <c:v>43878</c:v>
                </c:pt>
                <c:pt idx="53">
                  <c:v>43886</c:v>
                </c:pt>
                <c:pt idx="54">
                  <c:v>43896</c:v>
                </c:pt>
                <c:pt idx="55">
                  <c:v>43970</c:v>
                </c:pt>
                <c:pt idx="56">
                  <c:v>43977</c:v>
                </c:pt>
                <c:pt idx="57">
                  <c:v>43984</c:v>
                </c:pt>
                <c:pt idx="58">
                  <c:v>43990</c:v>
                </c:pt>
                <c:pt idx="59">
                  <c:v>43997</c:v>
                </c:pt>
                <c:pt idx="60">
                  <c:v>44004</c:v>
                </c:pt>
                <c:pt idx="61">
                  <c:v>44018</c:v>
                </c:pt>
                <c:pt idx="62">
                  <c:v>44027</c:v>
                </c:pt>
                <c:pt idx="63">
                  <c:v>44039</c:v>
                </c:pt>
                <c:pt idx="64">
                  <c:v>44053</c:v>
                </c:pt>
                <c:pt idx="65">
                  <c:v>44075</c:v>
                </c:pt>
                <c:pt idx="66">
                  <c:v>44082</c:v>
                </c:pt>
                <c:pt idx="67">
                  <c:v>44112</c:v>
                </c:pt>
                <c:pt idx="68">
                  <c:v>44134</c:v>
                </c:pt>
                <c:pt idx="70">
                  <c:v>44134</c:v>
                </c:pt>
                <c:pt idx="72">
                  <c:v>44140</c:v>
                </c:pt>
                <c:pt idx="73">
                  <c:v>44172</c:v>
                </c:pt>
                <c:pt idx="74">
                  <c:v>44186</c:v>
                </c:pt>
                <c:pt idx="75">
                  <c:v>44203</c:v>
                </c:pt>
                <c:pt idx="76">
                  <c:v>44229</c:v>
                </c:pt>
                <c:pt idx="77">
                  <c:v>44245</c:v>
                </c:pt>
                <c:pt idx="78">
                  <c:v>44273</c:v>
                </c:pt>
                <c:pt idx="79">
                  <c:v>44287</c:v>
                </c:pt>
                <c:pt idx="80">
                  <c:v>44308</c:v>
                </c:pt>
                <c:pt idx="81">
                  <c:v>44322</c:v>
                </c:pt>
                <c:pt idx="82">
                  <c:v>44337</c:v>
                </c:pt>
                <c:pt idx="83">
                  <c:v>44351</c:v>
                </c:pt>
                <c:pt idx="84">
                  <c:v>44357</c:v>
                </c:pt>
                <c:pt idx="85">
                  <c:v>44362</c:v>
                </c:pt>
                <c:pt idx="86">
                  <c:v>44364</c:v>
                </c:pt>
                <c:pt idx="87">
                  <c:v>44369</c:v>
                </c:pt>
                <c:pt idx="88">
                  <c:v>44376</c:v>
                </c:pt>
                <c:pt idx="89">
                  <c:v>44378</c:v>
                </c:pt>
                <c:pt idx="90">
                  <c:v>44392</c:v>
                </c:pt>
                <c:pt idx="91">
                  <c:v>44400</c:v>
                </c:pt>
                <c:pt idx="92">
                  <c:v>44410</c:v>
                </c:pt>
                <c:pt idx="93">
                  <c:v>44453</c:v>
                </c:pt>
                <c:pt idx="94">
                  <c:v>44470</c:v>
                </c:pt>
                <c:pt idx="95">
                  <c:v>44489</c:v>
                </c:pt>
                <c:pt idx="96">
                  <c:v>44502</c:v>
                </c:pt>
                <c:pt idx="97">
                  <c:v>44915</c:v>
                </c:pt>
              </c:numCache>
            </c:numRef>
          </c:xVal>
          <c:yVal>
            <c:numRef>
              <c:f>Déplacements!$V$10:$V$200</c:f>
              <c:numCache>
                <c:formatCode>\+\ 0.0;\-\ 0.0;\±\ 0.0</c:formatCode>
                <c:ptCount val="191"/>
                <c:pt idx="0">
                  <c:v>0</c:v>
                </c:pt>
                <c:pt idx="1">
                  <c:v>1.1757976016353739</c:v>
                </c:pt>
                <c:pt idx="2">
                  <c:v>1.0161200716492227</c:v>
                </c:pt>
                <c:pt idx="3">
                  <c:v>2.926174977678702</c:v>
                </c:pt>
                <c:pt idx="4">
                  <c:v>1.712454378950691</c:v>
                </c:pt>
                <c:pt idx="5">
                  <c:v>1.5435349040463333</c:v>
                </c:pt>
                <c:pt idx="6">
                  <c:v>0.64337736545123336</c:v>
                </c:pt>
                <c:pt idx="8">
                  <c:v>1.2341373935277995</c:v>
                </c:pt>
                <c:pt idx="9">
                  <c:v>1.0399923838386889</c:v>
                </c:pt>
                <c:pt idx="10">
                  <c:v>1.4723646620065107</c:v>
                </c:pt>
                <c:pt idx="11">
                  <c:v>1.3509367185892032</c:v>
                </c:pt>
                <c:pt idx="12">
                  <c:v>1.2658988901213524</c:v>
                </c:pt>
                <c:pt idx="13">
                  <c:v>1.2539936204050137</c:v>
                </c:pt>
                <c:pt idx="14">
                  <c:v>1.3901438774520642</c:v>
                </c:pt>
                <c:pt idx="15">
                  <c:v>1.3238202294905941</c:v>
                </c:pt>
                <c:pt idx="16">
                  <c:v>1.5337861650252245</c:v>
                </c:pt>
                <c:pt idx="17">
                  <c:v>1.7269916039215154</c:v>
                </c:pt>
                <c:pt idx="18">
                  <c:v>1.1380790822285902</c:v>
                </c:pt>
                <c:pt idx="19">
                  <c:v>0.9233092656296833</c:v>
                </c:pt>
                <c:pt idx="20">
                  <c:v>1.7670597047213064</c:v>
                </c:pt>
                <c:pt idx="21">
                  <c:v>1.2338962679356036</c:v>
                </c:pt>
                <c:pt idx="22">
                  <c:v>2.3606143268323119</c:v>
                </c:pt>
                <c:pt idx="23">
                  <c:v>2.1476731594961871</c:v>
                </c:pt>
                <c:pt idx="24">
                  <c:v>1.6622730969272592</c:v>
                </c:pt>
                <c:pt idx="25">
                  <c:v>1.9500000000011488</c:v>
                </c:pt>
                <c:pt idx="26">
                  <c:v>2.4043129197843225</c:v>
                </c:pt>
                <c:pt idx="27">
                  <c:v>1.8490602626375756</c:v>
                </c:pt>
                <c:pt idx="28">
                  <c:v>1.8468580049263701</c:v>
                </c:pt>
                <c:pt idx="29">
                  <c:v>2.1683505376403409</c:v>
                </c:pt>
                <c:pt idx="30">
                  <c:v>2.2766356969383206</c:v>
                </c:pt>
                <c:pt idx="31">
                  <c:v>2.4024487485762753</c:v>
                </c:pt>
                <c:pt idx="32">
                  <c:v>2.3416228943619197</c:v>
                </c:pt>
                <c:pt idx="33">
                  <c:v>2.2529690089699383</c:v>
                </c:pt>
                <c:pt idx="34">
                  <c:v>2.1891779278971479</c:v>
                </c:pt>
                <c:pt idx="35">
                  <c:v>2.5243811122819375</c:v>
                </c:pt>
                <c:pt idx="36">
                  <c:v>2.1476731594961871</c:v>
                </c:pt>
                <c:pt idx="37">
                  <c:v>2.3092206477554278</c:v>
                </c:pt>
                <c:pt idx="38">
                  <c:v>2.2410934831060629</c:v>
                </c:pt>
                <c:pt idx="39">
                  <c:v>2.2254213084366485</c:v>
                </c:pt>
                <c:pt idx="40">
                  <c:v>2.6253571185634299</c:v>
                </c:pt>
                <c:pt idx="41">
                  <c:v>2.4804233509633362</c:v>
                </c:pt>
                <c:pt idx="42">
                  <c:v>2.2299103120960839</c:v>
                </c:pt>
                <c:pt idx="43">
                  <c:v>2.9603710839843371</c:v>
                </c:pt>
                <c:pt idx="44">
                  <c:v>2.5985572920487345</c:v>
                </c:pt>
                <c:pt idx="45">
                  <c:v>2.9021543721957466</c:v>
                </c:pt>
                <c:pt idx="46">
                  <c:v>2.6518861212433951</c:v>
                </c:pt>
                <c:pt idx="47">
                  <c:v>2.7463612289816939</c:v>
                </c:pt>
                <c:pt idx="48">
                  <c:v>3.3290389003492558</c:v>
                </c:pt>
                <c:pt idx="49">
                  <c:v>2.7681221071487774</c:v>
                </c:pt>
                <c:pt idx="50">
                  <c:v>2.9107559155775284</c:v>
                </c:pt>
                <c:pt idx="51">
                  <c:v>3.1244999600045666</c:v>
                </c:pt>
                <c:pt idx="52">
                  <c:v>2.7518175811732886</c:v>
                </c:pt>
                <c:pt idx="53">
                  <c:v>2.8640006983242556</c:v>
                </c:pt>
                <c:pt idx="54">
                  <c:v>2.9618406439426384</c:v>
                </c:pt>
                <c:pt idx="55">
                  <c:v>3.2607514471374901</c:v>
                </c:pt>
                <c:pt idx="56">
                  <c:v>3.0793668180346749</c:v>
                </c:pt>
                <c:pt idx="57">
                  <c:v>3.5789810373513991</c:v>
                </c:pt>
                <c:pt idx="58">
                  <c:v>3.7353289324845691</c:v>
                </c:pt>
                <c:pt idx="59">
                  <c:v>3.1370520635533454</c:v>
                </c:pt>
                <c:pt idx="60">
                  <c:v>3.5884696221040637</c:v>
                </c:pt>
                <c:pt idx="61">
                  <c:v>3.54447626936917</c:v>
                </c:pt>
                <c:pt idx="62">
                  <c:v>3.6126817922542029</c:v>
                </c:pt>
                <c:pt idx="63">
                  <c:v>3.6891991119642169</c:v>
                </c:pt>
                <c:pt idx="64">
                  <c:v>4.1993828807544489</c:v>
                </c:pt>
                <c:pt idx="65">
                  <c:v>3.9924943126816959</c:v>
                </c:pt>
                <c:pt idx="66">
                  <c:v>3.8566582711087811</c:v>
                </c:pt>
                <c:pt idx="67">
                  <c:v>2.467204504683385</c:v>
                </c:pt>
                <c:pt idx="68">
                  <c:v>3.8723827957039543</c:v>
                </c:pt>
                <c:pt idx="72">
                  <c:v>5.3250663375335812</c:v>
                </c:pt>
                <c:pt idx="73">
                  <c:v>5.9169116016009005</c:v>
                </c:pt>
                <c:pt idx="74">
                  <c:v>6.1321582763185534</c:v>
                </c:pt>
                <c:pt idx="75">
                  <c:v>6.2170791985486575</c:v>
                </c:pt>
                <c:pt idx="76">
                  <c:v>6.9820727301932628</c:v>
                </c:pt>
                <c:pt idx="77">
                  <c:v>6.2420333086745563</c:v>
                </c:pt>
                <c:pt idx="78">
                  <c:v>6.0550351226449708</c:v>
                </c:pt>
                <c:pt idx="79">
                  <c:v>6.4939193570716895</c:v>
                </c:pt>
                <c:pt idx="80">
                  <c:v>5.4268349414304904</c:v>
                </c:pt>
                <c:pt idx="81">
                  <c:v>5.4255078752574422</c:v>
                </c:pt>
                <c:pt idx="82">
                  <c:v>5.3349148873319754</c:v>
                </c:pt>
                <c:pt idx="83">
                  <c:v>5.3696954803157544</c:v>
                </c:pt>
                <c:pt idx="84">
                  <c:v>4.4628789521191274</c:v>
                </c:pt>
                <c:pt idx="85">
                  <c:v>4.6794538721152517</c:v>
                </c:pt>
                <c:pt idx="86">
                  <c:v>5.820036182051874</c:v>
                </c:pt>
                <c:pt idx="87">
                  <c:v>5.2901818871971908</c:v>
                </c:pt>
                <c:pt idx="88">
                  <c:v>5.1599046736803089</c:v>
                </c:pt>
                <c:pt idx="89">
                  <c:v>5.2151328697405965</c:v>
                </c:pt>
                <c:pt idx="90">
                  <c:v>5.189568630440041</c:v>
                </c:pt>
                <c:pt idx="91">
                  <c:v>5.2584610802745129</c:v>
                </c:pt>
                <c:pt idx="92">
                  <c:v>4.7904695410706575</c:v>
                </c:pt>
                <c:pt idx="93">
                  <c:v>5.4861836170338183</c:v>
                </c:pt>
                <c:pt idx="94">
                  <c:v>5.3651103096597259</c:v>
                </c:pt>
                <c:pt idx="95">
                  <c:v>5.9344359478613979</c:v>
                </c:pt>
                <c:pt idx="96">
                  <c:v>5.3624358857036274</c:v>
                </c:pt>
                <c:pt idx="97">
                  <c:v>7.0772165160891731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960-488A-B4E5-F6C696EC9CE8}"/>
            </c:ext>
          </c:extLst>
        </c:ser>
        <c:ser>
          <c:idx val="10"/>
          <c:order val="6"/>
          <c:tx>
            <c:strRef>
              <c:f>Graphiques!$AC$20</c:f>
              <c:strCache>
                <c:ptCount val="1"/>
                <c:pt idx="0">
                  <c:v>Seuil d'alerte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none"/>
          </c:marker>
          <c:xVal>
            <c:numRef>
              <c:f>Graphiques!$AE$20:$AE$21</c:f>
              <c:numCache>
                <c:formatCode>m/d/yyyy</c:formatCode>
                <c:ptCount val="2"/>
                <c:pt idx="0">
                  <c:v>43655</c:v>
                </c:pt>
                <c:pt idx="1">
                  <c:v>44197</c:v>
                </c:pt>
              </c:numCache>
            </c:numRef>
          </c:xVal>
          <c:yVal>
            <c:numRef>
              <c:f>Graphiques!$AD$20:$AD$21</c:f>
              <c:numCache>
                <c:formatCode>General</c:formatCode>
                <c:ptCount val="2"/>
                <c:pt idx="0">
                  <c:v>30</c:v>
                </c:pt>
                <c:pt idx="1">
                  <c:v>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960-488A-B4E5-F6C696EC9C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6706128"/>
        <c:axId val="519068688"/>
        <c:extLst>
          <c:ext xmlns:c15="http://schemas.microsoft.com/office/drawing/2012/chart" uri="{02D57815-91ED-43cb-92C2-25804820EDAC}">
            <c15:filteredScatterSeries>
              <c15:ser>
                <c:idx val="7"/>
                <c:order val="5"/>
                <c:tx>
                  <c:strRef>
                    <c:extLst>
                      <c:ext uri="{02D57815-91ED-43cb-92C2-25804820EDAC}">
                        <c15:formulaRef>
                          <c15:sqref>Graphiques!$AC$18</c15:sqref>
                        </c15:formulaRef>
                      </c:ext>
                    </c:extLst>
                    <c:strCache>
                      <c:ptCount val="1"/>
                      <c:pt idx="0">
                        <c:v>Seuil de vigilance </c:v>
                      </c:pt>
                    </c:strCache>
                  </c:strRef>
                </c:tx>
                <c:spPr>
                  <a:ln w="158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>
                    <a:outerShdw blurRad="40000" dist="20000" dir="5400000" rotWithShape="0">
                      <a:srgbClr val="000000">
                        <a:alpha val="38000"/>
                      </a:srgbClr>
                    </a:outerShdw>
                  </a:effectLst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Graphiques!$AE$18:$AE$19</c15:sqref>
                        </c15:formulaRef>
                      </c:ext>
                    </c:extLst>
                    <c:numCache>
                      <c:formatCode>m/d/yyyy</c:formatCode>
                      <c:ptCount val="2"/>
                      <c:pt idx="0">
                        <c:v>43655</c:v>
                      </c:pt>
                      <c:pt idx="1">
                        <c:v>44197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Graphiques!$AD$18:$AD$19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15</c:v>
                      </c:pt>
                      <c:pt idx="1">
                        <c:v>15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5-E960-488A-B4E5-F6C696EC9CE8}"/>
                  </c:ext>
                </c:extLst>
              </c15:ser>
            </c15:filteredScatterSeries>
            <c15:filteredScatterSeries>
              <c15:ser>
                <c:idx val="2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Graphiques!#REF!</c15:sqref>
                        </c15:formulaRef>
                      </c:ext>
                    </c:extLst>
                  </c:strRef>
                </c:tx>
                <c:spPr>
                  <a:ln w="12700" cap="rnd">
                    <a:solidFill>
                      <a:srgbClr val="00FFFF"/>
                    </a:solidFill>
                    <a:prstDash val="solid"/>
                    <a:round/>
                  </a:ln>
                  <a:effectLst>
                    <a:outerShdw blurRad="40000" dist="20000" dir="5400000" rotWithShape="0">
                      <a:srgbClr val="000000">
                        <a:alpha val="38000"/>
                      </a:srgbClr>
                    </a:outerShdw>
                  </a:effectLst>
                </c:spPr>
                <c:marker>
                  <c:symbol val="circle"/>
                  <c:size val="5"/>
                  <c:spPr>
                    <a:gradFill rotWithShape="1">
                      <a:gsLst>
                        <a:gs pos="0">
                          <a:schemeClr val="accent3">
                            <a:tint val="50000"/>
                            <a:satMod val="300000"/>
                          </a:schemeClr>
                        </a:gs>
                        <a:gs pos="35000">
                          <a:schemeClr val="accent3">
                            <a:tint val="37000"/>
                            <a:satMod val="300000"/>
                          </a:schemeClr>
                        </a:gs>
                        <a:gs pos="100000">
                          <a:schemeClr val="accent3">
                            <a:tint val="15000"/>
                            <a:satMod val="350000"/>
                          </a:schemeClr>
                        </a:gs>
                      </a:gsLst>
                      <a:lin ang="16200000" scaled="1"/>
                    </a:gradFill>
                    <a:ln w="9525" cap="flat" cmpd="sng" algn="ctr">
                      <a:solidFill>
                        <a:schemeClr val="accent3">
                          <a:shade val="95000"/>
                        </a:schemeClr>
                      </a:solidFill>
                      <a:round/>
                    </a:ln>
                    <a:effectLst>
                      <a:outerShdw blurRad="40000" dist="20000" dir="5400000" rotWithShape="0">
                        <a:srgbClr val="000000">
                          <a:alpha val="38000"/>
                        </a:srgbClr>
                      </a:outerShdw>
                    </a:effectLst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Graphiques!$AD$35:$AD$36</c15:sqref>
                        </c15:formulaRef>
                      </c:ext>
                    </c:extLst>
                    <c:numCache>
                      <c:formatCode>m/d/yyyy</c:formatCode>
                      <c:ptCount val="2"/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Graphiques!$AE$35:$AE$36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DE0E-4114-B63A-E94A92BA2B3D}"/>
                  </c:ext>
                </c:extLst>
              </c15:ser>
            </c15:filteredScatterSeries>
          </c:ext>
        </c:extLst>
      </c:scatterChart>
      <c:scatterChart>
        <c:scatterStyle val="lineMarker"/>
        <c:varyColors val="0"/>
        <c:ser>
          <c:idx val="0"/>
          <c:order val="7"/>
          <c:tx>
            <c:v>PM</c:v>
          </c:tx>
          <c:spPr>
            <a:ln w="12700" cap="rnd">
              <a:solidFill>
                <a:srgbClr val="FF00FF"/>
              </a:solidFill>
              <a:prstDash val="sysDot"/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none"/>
          </c:marker>
          <c:xVal>
            <c:numRef>
              <c:f>Déplacements!$B$10:$B$133</c:f>
              <c:numCache>
                <c:formatCode>dd\ /\ mm\ /\ yy</c:formatCode>
                <c:ptCount val="124"/>
                <c:pt idx="0">
                  <c:v>43655</c:v>
                </c:pt>
                <c:pt idx="1">
                  <c:v>43657</c:v>
                </c:pt>
                <c:pt idx="2">
                  <c:v>43661</c:v>
                </c:pt>
                <c:pt idx="3">
                  <c:v>43663</c:v>
                </c:pt>
                <c:pt idx="4">
                  <c:v>43669</c:v>
                </c:pt>
                <c:pt idx="5">
                  <c:v>43675</c:v>
                </c:pt>
                <c:pt idx="6">
                  <c:v>43679</c:v>
                </c:pt>
                <c:pt idx="7">
                  <c:v>43682</c:v>
                </c:pt>
                <c:pt idx="8">
                  <c:v>43684</c:v>
                </c:pt>
                <c:pt idx="9">
                  <c:v>43685</c:v>
                </c:pt>
                <c:pt idx="10">
                  <c:v>43689</c:v>
                </c:pt>
                <c:pt idx="11">
                  <c:v>43690</c:v>
                </c:pt>
                <c:pt idx="12">
                  <c:v>43696</c:v>
                </c:pt>
                <c:pt idx="13">
                  <c:v>43699</c:v>
                </c:pt>
                <c:pt idx="14">
                  <c:v>43703</c:v>
                </c:pt>
                <c:pt idx="15">
                  <c:v>43706</c:v>
                </c:pt>
                <c:pt idx="16">
                  <c:v>43710</c:v>
                </c:pt>
                <c:pt idx="17">
                  <c:v>43713</c:v>
                </c:pt>
                <c:pt idx="18">
                  <c:v>43718</c:v>
                </c:pt>
                <c:pt idx="19">
                  <c:v>43720</c:v>
                </c:pt>
                <c:pt idx="20">
                  <c:v>43724</c:v>
                </c:pt>
                <c:pt idx="21">
                  <c:v>43727</c:v>
                </c:pt>
                <c:pt idx="22">
                  <c:v>43731</c:v>
                </c:pt>
                <c:pt idx="23">
                  <c:v>43734</c:v>
                </c:pt>
                <c:pt idx="24">
                  <c:v>43738</c:v>
                </c:pt>
                <c:pt idx="25">
                  <c:v>43741</c:v>
                </c:pt>
                <c:pt idx="26">
                  <c:v>43746</c:v>
                </c:pt>
                <c:pt idx="27">
                  <c:v>43753</c:v>
                </c:pt>
                <c:pt idx="28">
                  <c:v>43756</c:v>
                </c:pt>
                <c:pt idx="29">
                  <c:v>43760</c:v>
                </c:pt>
                <c:pt idx="30">
                  <c:v>43762</c:v>
                </c:pt>
                <c:pt idx="31">
                  <c:v>43766</c:v>
                </c:pt>
                <c:pt idx="32">
                  <c:v>43769</c:v>
                </c:pt>
                <c:pt idx="33">
                  <c:v>43774</c:v>
                </c:pt>
                <c:pt idx="34">
                  <c:v>43776</c:v>
                </c:pt>
                <c:pt idx="35">
                  <c:v>43781</c:v>
                </c:pt>
                <c:pt idx="36">
                  <c:v>43783</c:v>
                </c:pt>
                <c:pt idx="37">
                  <c:v>43787</c:v>
                </c:pt>
                <c:pt idx="38">
                  <c:v>43790</c:v>
                </c:pt>
                <c:pt idx="39">
                  <c:v>43795</c:v>
                </c:pt>
                <c:pt idx="40">
                  <c:v>43797</c:v>
                </c:pt>
                <c:pt idx="41">
                  <c:v>43801</c:v>
                </c:pt>
                <c:pt idx="42">
                  <c:v>43803</c:v>
                </c:pt>
                <c:pt idx="43">
                  <c:v>43808</c:v>
                </c:pt>
                <c:pt idx="44">
                  <c:v>43811</c:v>
                </c:pt>
                <c:pt idx="45">
                  <c:v>43815</c:v>
                </c:pt>
                <c:pt idx="46">
                  <c:v>43818</c:v>
                </c:pt>
                <c:pt idx="47">
                  <c:v>43837</c:v>
                </c:pt>
                <c:pt idx="48">
                  <c:v>43843</c:v>
                </c:pt>
                <c:pt idx="49">
                  <c:v>43850</c:v>
                </c:pt>
                <c:pt idx="50">
                  <c:v>43857</c:v>
                </c:pt>
                <c:pt idx="51">
                  <c:v>43865</c:v>
                </c:pt>
                <c:pt idx="52">
                  <c:v>43878</c:v>
                </c:pt>
                <c:pt idx="53">
                  <c:v>43886</c:v>
                </c:pt>
                <c:pt idx="54">
                  <c:v>43896</c:v>
                </c:pt>
                <c:pt idx="55">
                  <c:v>43970</c:v>
                </c:pt>
                <c:pt idx="56">
                  <c:v>43977</c:v>
                </c:pt>
                <c:pt idx="57">
                  <c:v>43984</c:v>
                </c:pt>
                <c:pt idx="58">
                  <c:v>43990</c:v>
                </c:pt>
                <c:pt idx="59">
                  <c:v>43997</c:v>
                </c:pt>
                <c:pt idx="60">
                  <c:v>44004</c:v>
                </c:pt>
                <c:pt idx="61">
                  <c:v>44018</c:v>
                </c:pt>
                <c:pt idx="62">
                  <c:v>44027</c:v>
                </c:pt>
                <c:pt idx="63">
                  <c:v>44039</c:v>
                </c:pt>
                <c:pt idx="64">
                  <c:v>44053</c:v>
                </c:pt>
                <c:pt idx="65">
                  <c:v>44075</c:v>
                </c:pt>
                <c:pt idx="66">
                  <c:v>44082</c:v>
                </c:pt>
                <c:pt idx="67">
                  <c:v>44112</c:v>
                </c:pt>
                <c:pt idx="68">
                  <c:v>44134</c:v>
                </c:pt>
                <c:pt idx="70">
                  <c:v>44134</c:v>
                </c:pt>
                <c:pt idx="72">
                  <c:v>44140</c:v>
                </c:pt>
                <c:pt idx="73">
                  <c:v>44172</c:v>
                </c:pt>
                <c:pt idx="74">
                  <c:v>44186</c:v>
                </c:pt>
                <c:pt idx="75">
                  <c:v>44203</c:v>
                </c:pt>
                <c:pt idx="76">
                  <c:v>44229</c:v>
                </c:pt>
                <c:pt idx="77">
                  <c:v>44245</c:v>
                </c:pt>
                <c:pt idx="78">
                  <c:v>44273</c:v>
                </c:pt>
                <c:pt idx="79">
                  <c:v>44287</c:v>
                </c:pt>
                <c:pt idx="80">
                  <c:v>44308</c:v>
                </c:pt>
                <c:pt idx="81">
                  <c:v>44322</c:v>
                </c:pt>
                <c:pt idx="82">
                  <c:v>44337</c:v>
                </c:pt>
                <c:pt idx="83">
                  <c:v>44351</c:v>
                </c:pt>
                <c:pt idx="84">
                  <c:v>44357</c:v>
                </c:pt>
                <c:pt idx="85">
                  <c:v>44362</c:v>
                </c:pt>
                <c:pt idx="86">
                  <c:v>44364</c:v>
                </c:pt>
                <c:pt idx="87">
                  <c:v>44369</c:v>
                </c:pt>
                <c:pt idx="88">
                  <c:v>44376</c:v>
                </c:pt>
                <c:pt idx="89">
                  <c:v>44378</c:v>
                </c:pt>
                <c:pt idx="90">
                  <c:v>44392</c:v>
                </c:pt>
                <c:pt idx="91">
                  <c:v>44400</c:v>
                </c:pt>
                <c:pt idx="92">
                  <c:v>44410</c:v>
                </c:pt>
                <c:pt idx="93">
                  <c:v>44453</c:v>
                </c:pt>
                <c:pt idx="94">
                  <c:v>44470</c:v>
                </c:pt>
                <c:pt idx="95">
                  <c:v>44489</c:v>
                </c:pt>
                <c:pt idx="96">
                  <c:v>44502</c:v>
                </c:pt>
                <c:pt idx="97">
                  <c:v>44915</c:v>
                </c:pt>
              </c:numCache>
            </c:numRef>
          </c:xVal>
          <c:yVal>
            <c:numRef>
              <c:f>'Résultats observations'!$C$10:$C$311</c:f>
              <c:numCache>
                <c:formatCode>0.0</c:formatCode>
                <c:ptCount val="302"/>
                <c:pt idx="0">
                  <c:v>184.3</c:v>
                </c:pt>
                <c:pt idx="1">
                  <c:v>185.03</c:v>
                </c:pt>
                <c:pt idx="2">
                  <c:v>187.2</c:v>
                </c:pt>
                <c:pt idx="3">
                  <c:v>188.17</c:v>
                </c:pt>
                <c:pt idx="4">
                  <c:v>189.2</c:v>
                </c:pt>
                <c:pt idx="5">
                  <c:v>191.5</c:v>
                </c:pt>
                <c:pt idx="6">
                  <c:v>192.5</c:v>
                </c:pt>
                <c:pt idx="7">
                  <c:v>193.04</c:v>
                </c:pt>
                <c:pt idx="8">
                  <c:v>193.6</c:v>
                </c:pt>
                <c:pt idx="9">
                  <c:v>193.6</c:v>
                </c:pt>
                <c:pt idx="10">
                  <c:v>194.8</c:v>
                </c:pt>
                <c:pt idx="11">
                  <c:v>194.8</c:v>
                </c:pt>
                <c:pt idx="12">
                  <c:v>195.4</c:v>
                </c:pt>
                <c:pt idx="13">
                  <c:v>196.35</c:v>
                </c:pt>
                <c:pt idx="14">
                  <c:v>196.35</c:v>
                </c:pt>
                <c:pt idx="15">
                  <c:v>198.3</c:v>
                </c:pt>
                <c:pt idx="16">
                  <c:v>199.4</c:v>
                </c:pt>
                <c:pt idx="17">
                  <c:v>200.6</c:v>
                </c:pt>
                <c:pt idx="18">
                  <c:v>202.58</c:v>
                </c:pt>
                <c:pt idx="19">
                  <c:v>203.6</c:v>
                </c:pt>
                <c:pt idx="20">
                  <c:v>203.6</c:v>
                </c:pt>
                <c:pt idx="21">
                  <c:v>206.32</c:v>
                </c:pt>
                <c:pt idx="22">
                  <c:v>206.32</c:v>
                </c:pt>
                <c:pt idx="23">
                  <c:v>206.32</c:v>
                </c:pt>
                <c:pt idx="24">
                  <c:v>206.32</c:v>
                </c:pt>
                <c:pt idx="25">
                  <c:v>207.2</c:v>
                </c:pt>
                <c:pt idx="26">
                  <c:v>208.3</c:v>
                </c:pt>
                <c:pt idx="27">
                  <c:v>212.65</c:v>
                </c:pt>
                <c:pt idx="28">
                  <c:v>213.5</c:v>
                </c:pt>
                <c:pt idx="29">
                  <c:v>215</c:v>
                </c:pt>
                <c:pt idx="30">
                  <c:v>215</c:v>
                </c:pt>
                <c:pt idx="31">
                  <c:v>215.55</c:v>
                </c:pt>
                <c:pt idx="32">
                  <c:v>216.87</c:v>
                </c:pt>
                <c:pt idx="33">
                  <c:v>217.7</c:v>
                </c:pt>
                <c:pt idx="34">
                  <c:v>218.7</c:v>
                </c:pt>
                <c:pt idx="35">
                  <c:v>218.7</c:v>
                </c:pt>
                <c:pt idx="36">
                  <c:v>220.5</c:v>
                </c:pt>
                <c:pt idx="37">
                  <c:v>221.7</c:v>
                </c:pt>
                <c:pt idx="38">
                  <c:v>222.9</c:v>
                </c:pt>
                <c:pt idx="39">
                  <c:v>222.9</c:v>
                </c:pt>
                <c:pt idx="40">
                  <c:v>222.9</c:v>
                </c:pt>
                <c:pt idx="41">
                  <c:v>222.9</c:v>
                </c:pt>
                <c:pt idx="42">
                  <c:v>222.9</c:v>
                </c:pt>
                <c:pt idx="43">
                  <c:v>222.9</c:v>
                </c:pt>
                <c:pt idx="44">
                  <c:v>222.9</c:v>
                </c:pt>
                <c:pt idx="45">
                  <c:v>222.9</c:v>
                </c:pt>
                <c:pt idx="46">
                  <c:v>222.9</c:v>
                </c:pt>
                <c:pt idx="47">
                  <c:v>222.9</c:v>
                </c:pt>
                <c:pt idx="48">
                  <c:v>222.9</c:v>
                </c:pt>
                <c:pt idx="49">
                  <c:v>222.9</c:v>
                </c:pt>
                <c:pt idx="50">
                  <c:v>222.9</c:v>
                </c:pt>
                <c:pt idx="51">
                  <c:v>222.9</c:v>
                </c:pt>
                <c:pt idx="52">
                  <c:v>222.9</c:v>
                </c:pt>
                <c:pt idx="53">
                  <c:v>222.9</c:v>
                </c:pt>
                <c:pt idx="54">
                  <c:v>222.9</c:v>
                </c:pt>
                <c:pt idx="55">
                  <c:v>222.9</c:v>
                </c:pt>
                <c:pt idx="56">
                  <c:v>222.9</c:v>
                </c:pt>
                <c:pt idx="57">
                  <c:v>222.9</c:v>
                </c:pt>
                <c:pt idx="58">
                  <c:v>222.9</c:v>
                </c:pt>
                <c:pt idx="59">
                  <c:v>223.9</c:v>
                </c:pt>
                <c:pt idx="60">
                  <c:v>223.9</c:v>
                </c:pt>
                <c:pt idx="61">
                  <c:v>223.9</c:v>
                </c:pt>
                <c:pt idx="62">
                  <c:v>223.9</c:v>
                </c:pt>
                <c:pt idx="63">
                  <c:v>223.9</c:v>
                </c:pt>
                <c:pt idx="64">
                  <c:v>223.9</c:v>
                </c:pt>
                <c:pt idx="65">
                  <c:v>223.9</c:v>
                </c:pt>
                <c:pt idx="66">
                  <c:v>223.9</c:v>
                </c:pt>
                <c:pt idx="67">
                  <c:v>223.9</c:v>
                </c:pt>
                <c:pt idx="68">
                  <c:v>223.9</c:v>
                </c:pt>
                <c:pt idx="70">
                  <c:v>223.9</c:v>
                </c:pt>
                <c:pt idx="72">
                  <c:v>223.9</c:v>
                </c:pt>
                <c:pt idx="73">
                  <c:v>223.9</c:v>
                </c:pt>
                <c:pt idx="74">
                  <c:v>223.9</c:v>
                </c:pt>
                <c:pt idx="75">
                  <c:v>223.9</c:v>
                </c:pt>
                <c:pt idx="76">
                  <c:v>223.9</c:v>
                </c:pt>
                <c:pt idx="77">
                  <c:v>223.9</c:v>
                </c:pt>
                <c:pt idx="78">
                  <c:v>223.9</c:v>
                </c:pt>
                <c:pt idx="79">
                  <c:v>223.9</c:v>
                </c:pt>
                <c:pt idx="80">
                  <c:v>223.9</c:v>
                </c:pt>
                <c:pt idx="81">
                  <c:v>223.9</c:v>
                </c:pt>
                <c:pt idx="82">
                  <c:v>223.9</c:v>
                </c:pt>
                <c:pt idx="83">
                  <c:v>223.9</c:v>
                </c:pt>
                <c:pt idx="84">
                  <c:v>223.9</c:v>
                </c:pt>
                <c:pt idx="85">
                  <c:v>223.9</c:v>
                </c:pt>
                <c:pt idx="86">
                  <c:v>223.9</c:v>
                </c:pt>
                <c:pt idx="87">
                  <c:v>223.9</c:v>
                </c:pt>
                <c:pt idx="88">
                  <c:v>223.9</c:v>
                </c:pt>
                <c:pt idx="89">
                  <c:v>223.9</c:v>
                </c:pt>
                <c:pt idx="90">
                  <c:v>223.9</c:v>
                </c:pt>
                <c:pt idx="91">
                  <c:v>223.9</c:v>
                </c:pt>
                <c:pt idx="92">
                  <c:v>223.9</c:v>
                </c:pt>
                <c:pt idx="93">
                  <c:v>223.9</c:v>
                </c:pt>
                <c:pt idx="94">
                  <c:v>223.9</c:v>
                </c:pt>
                <c:pt idx="95">
                  <c:v>223.9</c:v>
                </c:pt>
                <c:pt idx="96">
                  <c:v>223.9</c:v>
                </c:pt>
                <c:pt idx="97">
                  <c:v>223.9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E0E-4114-B63A-E94A92BA2B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9069472"/>
        <c:axId val="519069080"/>
      </c:scatterChart>
      <c:valAx>
        <c:axId val="516706128"/>
        <c:scaling>
          <c:orientation val="minMax"/>
          <c:max val="44950"/>
          <c:min val="436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Date</a:t>
                </a:r>
              </a:p>
            </c:rich>
          </c:tx>
          <c:layout>
            <c:manualLayout>
              <c:xMode val="edge"/>
              <c:yMode val="edge"/>
              <c:x val="0.9056782620787297"/>
              <c:y val="0.8730688306951132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dd/mm/yyyy" sourceLinked="0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19068688"/>
        <c:crossesAt val="0"/>
        <c:crossBetween val="midCat"/>
        <c:majorUnit val="40"/>
      </c:valAx>
      <c:valAx>
        <c:axId val="519068688"/>
        <c:scaling>
          <c:orientation val="minMax"/>
          <c:max val="40"/>
          <c:min val="-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>
              <a:solidFill>
                <a:schemeClr val="tx1">
                  <a:lumMod val="5000"/>
                  <a:lumOff val="95000"/>
                </a:schemeClr>
              </a:solidFill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Déplacement [mm]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\+\ 0.0;\-\ 0.0;\±\ 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16706128"/>
        <c:crosses val="autoZero"/>
        <c:crossBetween val="midCat"/>
        <c:majorUnit val="5"/>
        <c:minorUnit val="1"/>
      </c:valAx>
      <c:valAx>
        <c:axId val="519069080"/>
        <c:scaling>
          <c:orientation val="minMax"/>
          <c:min val="180"/>
        </c:scaling>
        <c:delete val="0"/>
        <c:axPos val="r"/>
        <c:numFmt formatCode="0.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19069472"/>
        <c:crosses val="max"/>
        <c:crossBetween val="midCat"/>
      </c:valAx>
      <c:valAx>
        <c:axId val="519069472"/>
        <c:scaling>
          <c:orientation val="minMax"/>
        </c:scaling>
        <c:delete val="1"/>
        <c:axPos val="b"/>
        <c:numFmt formatCode="dd\ /\ mm\ /\ yy" sourceLinked="1"/>
        <c:majorTickMark val="out"/>
        <c:minorTickMark val="none"/>
        <c:tickLblPos val="nextTo"/>
        <c:crossAx val="5190690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5"/>
        <c:delete val="1"/>
      </c:legendEntry>
      <c:layout>
        <c:manualLayout>
          <c:xMode val="edge"/>
          <c:yMode val="edge"/>
          <c:x val="0.25002493749309163"/>
          <c:y val="0.58597579201497807"/>
          <c:w val="0.59365536256844686"/>
          <c:h val="0.1831998116791757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span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 alignWithMargins="0"/>
    <c:pageMargins b="0.98425196899999956" l="0.78740157499999996" r="0.78740157499999996" t="0.98425196899999956" header="0.49212598450000467" footer="0.49212598450000467"/>
    <c:pageSetup paperSize="9" orientation="landscape"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fr-FR"/>
              <a:t>Déplacement en Z
</a:t>
            </a:r>
          </a:p>
        </c:rich>
      </c:tx>
      <c:layout>
        <c:manualLayout>
          <c:xMode val="edge"/>
          <c:yMode val="edge"/>
          <c:x val="0.48552406794561997"/>
          <c:y val="6.0355867678702317E-2"/>
        </c:manualLayout>
      </c:layout>
      <c:overlay val="0"/>
      <c:spPr>
        <a:solidFill>
          <a:schemeClr val="bg1"/>
        </a:solidFill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6758248843572708E-2"/>
          <c:y val="2.1578345894185801E-2"/>
          <c:w val="0.81613267472675477"/>
          <c:h val="0.80144620006483069"/>
        </c:manualLayout>
      </c:layout>
      <c:scatterChart>
        <c:scatterStyle val="lineMarker"/>
        <c:varyColors val="0"/>
        <c:ser>
          <c:idx val="10"/>
          <c:order val="0"/>
          <c:tx>
            <c:strRef>
              <c:f>Déplacements!$M$9</c:f>
              <c:strCache>
                <c:ptCount val="1"/>
                <c:pt idx="0">
                  <c:v>DZ centre haut</c:v>
                </c:pt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circle"/>
            <c:size val="3"/>
          </c:marker>
          <c:xVal>
            <c:numRef>
              <c:f>'Résultats observations'!$C$10:$C$200</c:f>
              <c:numCache>
                <c:formatCode>0.0</c:formatCode>
                <c:ptCount val="191"/>
                <c:pt idx="0">
                  <c:v>184.3</c:v>
                </c:pt>
                <c:pt idx="1">
                  <c:v>185.03</c:v>
                </c:pt>
                <c:pt idx="2">
                  <c:v>187.2</c:v>
                </c:pt>
                <c:pt idx="3">
                  <c:v>188.17</c:v>
                </c:pt>
                <c:pt idx="4">
                  <c:v>189.2</c:v>
                </c:pt>
                <c:pt idx="5">
                  <c:v>191.5</c:v>
                </c:pt>
                <c:pt idx="6">
                  <c:v>192.5</c:v>
                </c:pt>
                <c:pt idx="7">
                  <c:v>193.04</c:v>
                </c:pt>
                <c:pt idx="8">
                  <c:v>193.6</c:v>
                </c:pt>
                <c:pt idx="9">
                  <c:v>193.6</c:v>
                </c:pt>
                <c:pt idx="10">
                  <c:v>194.8</c:v>
                </c:pt>
                <c:pt idx="11">
                  <c:v>194.8</c:v>
                </c:pt>
                <c:pt idx="12">
                  <c:v>195.4</c:v>
                </c:pt>
                <c:pt idx="13">
                  <c:v>196.35</c:v>
                </c:pt>
                <c:pt idx="14">
                  <c:v>196.35</c:v>
                </c:pt>
                <c:pt idx="15">
                  <c:v>198.3</c:v>
                </c:pt>
                <c:pt idx="16">
                  <c:v>199.4</c:v>
                </c:pt>
                <c:pt idx="17">
                  <c:v>200.6</c:v>
                </c:pt>
                <c:pt idx="18">
                  <c:v>202.58</c:v>
                </c:pt>
                <c:pt idx="19">
                  <c:v>203.6</c:v>
                </c:pt>
                <c:pt idx="20">
                  <c:v>203.6</c:v>
                </c:pt>
                <c:pt idx="21">
                  <c:v>206.32</c:v>
                </c:pt>
                <c:pt idx="22">
                  <c:v>206.32</c:v>
                </c:pt>
                <c:pt idx="23">
                  <c:v>206.32</c:v>
                </c:pt>
                <c:pt idx="24">
                  <c:v>206.32</c:v>
                </c:pt>
                <c:pt idx="25">
                  <c:v>207.2</c:v>
                </c:pt>
                <c:pt idx="26">
                  <c:v>208.3</c:v>
                </c:pt>
                <c:pt idx="27">
                  <c:v>212.65</c:v>
                </c:pt>
                <c:pt idx="28">
                  <c:v>213.5</c:v>
                </c:pt>
                <c:pt idx="29">
                  <c:v>215</c:v>
                </c:pt>
                <c:pt idx="30">
                  <c:v>215</c:v>
                </c:pt>
                <c:pt idx="31">
                  <c:v>215.55</c:v>
                </c:pt>
                <c:pt idx="32">
                  <c:v>216.87</c:v>
                </c:pt>
                <c:pt idx="33">
                  <c:v>217.7</c:v>
                </c:pt>
                <c:pt idx="34">
                  <c:v>218.7</c:v>
                </c:pt>
                <c:pt idx="35">
                  <c:v>218.7</c:v>
                </c:pt>
                <c:pt idx="36">
                  <c:v>220.5</c:v>
                </c:pt>
                <c:pt idx="37">
                  <c:v>221.7</c:v>
                </c:pt>
                <c:pt idx="38">
                  <c:v>222.9</c:v>
                </c:pt>
                <c:pt idx="39">
                  <c:v>222.9</c:v>
                </c:pt>
                <c:pt idx="40">
                  <c:v>222.9</c:v>
                </c:pt>
                <c:pt idx="41">
                  <c:v>222.9</c:v>
                </c:pt>
                <c:pt idx="42">
                  <c:v>222.9</c:v>
                </c:pt>
                <c:pt idx="43">
                  <c:v>222.9</c:v>
                </c:pt>
                <c:pt idx="44">
                  <c:v>222.9</c:v>
                </c:pt>
                <c:pt idx="45">
                  <c:v>222.9</c:v>
                </c:pt>
                <c:pt idx="46">
                  <c:v>222.9</c:v>
                </c:pt>
                <c:pt idx="47">
                  <c:v>222.9</c:v>
                </c:pt>
                <c:pt idx="48">
                  <c:v>222.9</c:v>
                </c:pt>
                <c:pt idx="49">
                  <c:v>222.9</c:v>
                </c:pt>
                <c:pt idx="50">
                  <c:v>222.9</c:v>
                </c:pt>
                <c:pt idx="51">
                  <c:v>222.9</c:v>
                </c:pt>
                <c:pt idx="52">
                  <c:v>222.9</c:v>
                </c:pt>
                <c:pt idx="53">
                  <c:v>222.9</c:v>
                </c:pt>
                <c:pt idx="54">
                  <c:v>222.9</c:v>
                </c:pt>
                <c:pt idx="55">
                  <c:v>222.9</c:v>
                </c:pt>
                <c:pt idx="56">
                  <c:v>222.9</c:v>
                </c:pt>
                <c:pt idx="57">
                  <c:v>222.9</c:v>
                </c:pt>
                <c:pt idx="58">
                  <c:v>222.9</c:v>
                </c:pt>
                <c:pt idx="59">
                  <c:v>223.9</c:v>
                </c:pt>
                <c:pt idx="60">
                  <c:v>223.9</c:v>
                </c:pt>
                <c:pt idx="61">
                  <c:v>223.9</c:v>
                </c:pt>
                <c:pt idx="62">
                  <c:v>223.9</c:v>
                </c:pt>
                <c:pt idx="63">
                  <c:v>223.9</c:v>
                </c:pt>
                <c:pt idx="64">
                  <c:v>223.9</c:v>
                </c:pt>
                <c:pt idx="65">
                  <c:v>223.9</c:v>
                </c:pt>
                <c:pt idx="66">
                  <c:v>223.9</c:v>
                </c:pt>
                <c:pt idx="67">
                  <c:v>223.9</c:v>
                </c:pt>
                <c:pt idx="68">
                  <c:v>223.9</c:v>
                </c:pt>
                <c:pt idx="70">
                  <c:v>223.9</c:v>
                </c:pt>
                <c:pt idx="72">
                  <c:v>223.9</c:v>
                </c:pt>
                <c:pt idx="73">
                  <c:v>223.9</c:v>
                </c:pt>
                <c:pt idx="74">
                  <c:v>223.9</c:v>
                </c:pt>
                <c:pt idx="75">
                  <c:v>223.9</c:v>
                </c:pt>
                <c:pt idx="76">
                  <c:v>223.9</c:v>
                </c:pt>
                <c:pt idx="77">
                  <c:v>223.9</c:v>
                </c:pt>
                <c:pt idx="78">
                  <c:v>223.9</c:v>
                </c:pt>
                <c:pt idx="79">
                  <c:v>223.9</c:v>
                </c:pt>
                <c:pt idx="80">
                  <c:v>223.9</c:v>
                </c:pt>
                <c:pt idx="81">
                  <c:v>223.9</c:v>
                </c:pt>
                <c:pt idx="82">
                  <c:v>223.9</c:v>
                </c:pt>
                <c:pt idx="83">
                  <c:v>223.9</c:v>
                </c:pt>
                <c:pt idx="84">
                  <c:v>223.9</c:v>
                </c:pt>
                <c:pt idx="85">
                  <c:v>223.9</c:v>
                </c:pt>
                <c:pt idx="86">
                  <c:v>223.9</c:v>
                </c:pt>
                <c:pt idx="87">
                  <c:v>223.9</c:v>
                </c:pt>
                <c:pt idx="88">
                  <c:v>223.9</c:v>
                </c:pt>
                <c:pt idx="89">
                  <c:v>223.9</c:v>
                </c:pt>
                <c:pt idx="90">
                  <c:v>223.9</c:v>
                </c:pt>
                <c:pt idx="91">
                  <c:v>223.9</c:v>
                </c:pt>
                <c:pt idx="92">
                  <c:v>223.9</c:v>
                </c:pt>
                <c:pt idx="93">
                  <c:v>223.9</c:v>
                </c:pt>
                <c:pt idx="94">
                  <c:v>223.9</c:v>
                </c:pt>
                <c:pt idx="95">
                  <c:v>223.9</c:v>
                </c:pt>
                <c:pt idx="96">
                  <c:v>223.9</c:v>
                </c:pt>
                <c:pt idx="97">
                  <c:v>223.9</c:v>
                </c:pt>
              </c:numCache>
            </c:numRef>
          </c:xVal>
          <c:yVal>
            <c:numRef>
              <c:f>Déplacements!$M$10:$M$200</c:f>
              <c:numCache>
                <c:formatCode>\+\ 0.0;\-\ 0.0;\±\ 0.0</c:formatCode>
                <c:ptCount val="191"/>
                <c:pt idx="0">
                  <c:v>0</c:v>
                </c:pt>
                <c:pt idx="1">
                  <c:v>-0.39999999999906777</c:v>
                </c:pt>
                <c:pt idx="2">
                  <c:v>-0.90000000000145519</c:v>
                </c:pt>
                <c:pt idx="3">
                  <c:v>-1.4999999999929514</c:v>
                </c:pt>
                <c:pt idx="4">
                  <c:v>-2.0999999999986585</c:v>
                </c:pt>
                <c:pt idx="5">
                  <c:v>-3.0000000000001137</c:v>
                </c:pt>
                <c:pt idx="6">
                  <c:v>-2.6000000000010459</c:v>
                </c:pt>
                <c:pt idx="7">
                  <c:v>-3.3999999999991815</c:v>
                </c:pt>
                <c:pt idx="8">
                  <c:v>-3.7999999999982492</c:v>
                </c:pt>
                <c:pt idx="9">
                  <c:v>-3.3999999999991815</c:v>
                </c:pt>
                <c:pt idx="10">
                  <c:v>-4.4000000000039563</c:v>
                </c:pt>
                <c:pt idx="11">
                  <c:v>-3.7999999999982492</c:v>
                </c:pt>
                <c:pt idx="12">
                  <c:v>-4.4000000000039563</c:v>
                </c:pt>
                <c:pt idx="13">
                  <c:v>-4.9000000000063437</c:v>
                </c:pt>
                <c:pt idx="14">
                  <c:v>-5.49999999999784</c:v>
                </c:pt>
                <c:pt idx="15">
                  <c:v>-5.8999999999969077</c:v>
                </c:pt>
                <c:pt idx="16">
                  <c:v>-6.3999999999992951</c:v>
                </c:pt>
                <c:pt idx="17">
                  <c:v>-6.9000000000016826</c:v>
                </c:pt>
                <c:pt idx="18">
                  <c:v>-6.6000000000059345</c:v>
                </c:pt>
                <c:pt idx="19">
                  <c:v>-6.5000000000026148</c:v>
                </c:pt>
                <c:pt idx="20">
                  <c:v>-7.5999999999964984</c:v>
                </c:pt>
                <c:pt idx="21">
                  <c:v>-7.9999999999955662</c:v>
                </c:pt>
                <c:pt idx="22">
                  <c:v>-8.3000000000055252</c:v>
                </c:pt>
                <c:pt idx="23">
                  <c:v>-8.399999999994634</c:v>
                </c:pt>
                <c:pt idx="24">
                  <c:v>-8.4999999999979536</c:v>
                </c:pt>
                <c:pt idx="25">
                  <c:v>-8.4999999999979536</c:v>
                </c:pt>
                <c:pt idx="26">
                  <c:v>-9.6999999999951569</c:v>
                </c:pt>
                <c:pt idx="27">
                  <c:v>-9.5833333333388282</c:v>
                </c:pt>
                <c:pt idx="28">
                  <c:v>-9.0000000000003411</c:v>
                </c:pt>
                <c:pt idx="29">
                  <c:v>-10.499999999993292</c:v>
                </c:pt>
                <c:pt idx="30">
                  <c:v>-9.9000000000017963</c:v>
                </c:pt>
                <c:pt idx="31">
                  <c:v>-9.9000000000017963</c:v>
                </c:pt>
                <c:pt idx="32">
                  <c:v>-9.9000000000017963</c:v>
                </c:pt>
                <c:pt idx="33">
                  <c:v>-10.499999999993292</c:v>
                </c:pt>
                <c:pt idx="34">
                  <c:v>-10.300000000000864</c:v>
                </c:pt>
                <c:pt idx="35">
                  <c:v>-10.499999999993292</c:v>
                </c:pt>
                <c:pt idx="36">
                  <c:v>-10.699999999999932</c:v>
                </c:pt>
                <c:pt idx="37">
                  <c:v>-11.099999999999</c:v>
                </c:pt>
                <c:pt idx="38">
                  <c:v>-11.200000000002319</c:v>
                </c:pt>
                <c:pt idx="39">
                  <c:v>-11.600000000001387</c:v>
                </c:pt>
                <c:pt idx="40">
                  <c:v>-11.399999999994748</c:v>
                </c:pt>
                <c:pt idx="41">
                  <c:v>-11.300000000005639</c:v>
                </c:pt>
                <c:pt idx="42">
                  <c:v>-11.600000000001387</c:v>
                </c:pt>
                <c:pt idx="43">
                  <c:v>-12.199999999992883</c:v>
                </c:pt>
                <c:pt idx="44">
                  <c:v>-11.700000000004707</c:v>
                </c:pt>
                <c:pt idx="45">
                  <c:v>-12.500000000002842</c:v>
                </c:pt>
                <c:pt idx="46">
                  <c:v>-12.299999999996203</c:v>
                </c:pt>
                <c:pt idx="47">
                  <c:v>-12.699999999995271</c:v>
                </c:pt>
                <c:pt idx="48">
                  <c:v>-13.00000000000523</c:v>
                </c:pt>
                <c:pt idx="49">
                  <c:v>-12.90000000000191</c:v>
                </c:pt>
                <c:pt idx="50">
                  <c:v>-13.499999999993406</c:v>
                </c:pt>
                <c:pt idx="51">
                  <c:v>-13.800000000003365</c:v>
                </c:pt>
                <c:pt idx="52">
                  <c:v>-14.499999999998181</c:v>
                </c:pt>
                <c:pt idx="53">
                  <c:v>-14.099999999999113</c:v>
                </c:pt>
                <c:pt idx="54">
                  <c:v>-14.300000000005753</c:v>
                </c:pt>
                <c:pt idx="55">
                  <c:v>-15.799999999998704</c:v>
                </c:pt>
                <c:pt idx="56">
                  <c:v>-15.500000000002956</c:v>
                </c:pt>
                <c:pt idx="57">
                  <c:v>-15.699999999995384</c:v>
                </c:pt>
                <c:pt idx="58">
                  <c:v>-16.300000000001091</c:v>
                </c:pt>
                <c:pt idx="59">
                  <c:v>-15.100000000003888</c:v>
                </c:pt>
                <c:pt idx="60">
                  <c:v>-15.900000000002024</c:v>
                </c:pt>
                <c:pt idx="61">
                  <c:v>-16.400000000004411</c:v>
                </c:pt>
                <c:pt idx="62">
                  <c:v>-15.900000000002024</c:v>
                </c:pt>
                <c:pt idx="63">
                  <c:v>-17.600000000001614</c:v>
                </c:pt>
                <c:pt idx="64">
                  <c:v>-17.499999999998295</c:v>
                </c:pt>
                <c:pt idx="68">
                  <c:v>-18.900000000002137</c:v>
                </c:pt>
                <c:pt idx="72">
                  <c:v>-19.599999999996953</c:v>
                </c:pt>
                <c:pt idx="73">
                  <c:v>-19.599999999996953</c:v>
                </c:pt>
                <c:pt idx="74">
                  <c:v>-20.600000000001728</c:v>
                </c:pt>
                <c:pt idx="75">
                  <c:v>-20.899999999997476</c:v>
                </c:pt>
                <c:pt idx="76">
                  <c:v>-21.799999999998931</c:v>
                </c:pt>
                <c:pt idx="77">
                  <c:v>-20.800000000008367</c:v>
                </c:pt>
                <c:pt idx="78">
                  <c:v>-21.699999999995612</c:v>
                </c:pt>
                <c:pt idx="79">
                  <c:v>-21.399999999999864</c:v>
                </c:pt>
                <c:pt idx="80">
                  <c:v>-21.900000000002251</c:v>
                </c:pt>
                <c:pt idx="81">
                  <c:v>-22.300000000001319</c:v>
                </c:pt>
                <c:pt idx="82">
                  <c:v>-22.999999999996135</c:v>
                </c:pt>
                <c:pt idx="83">
                  <c:v>-21.799999999998931</c:v>
                </c:pt>
                <c:pt idx="84">
                  <c:v>-22.199999999997999</c:v>
                </c:pt>
                <c:pt idx="85">
                  <c:v>-22.800000000003706</c:v>
                </c:pt>
                <c:pt idx="86">
                  <c:v>-23.700000000005161</c:v>
                </c:pt>
                <c:pt idx="87">
                  <c:v>-22.599999999997067</c:v>
                </c:pt>
                <c:pt idx="88">
                  <c:v>-22.999999999996135</c:v>
                </c:pt>
                <c:pt idx="89">
                  <c:v>-22.800000000003706</c:v>
                </c:pt>
                <c:pt idx="90">
                  <c:v>-23.499999999998522</c:v>
                </c:pt>
                <c:pt idx="91">
                  <c:v>-23.399999999995202</c:v>
                </c:pt>
                <c:pt idx="92">
                  <c:v>-23.499999999998522</c:v>
                </c:pt>
                <c:pt idx="93">
                  <c:v>-24.399999999999977</c:v>
                </c:pt>
                <c:pt idx="94">
                  <c:v>-24.399999999999977</c:v>
                </c:pt>
                <c:pt idx="95">
                  <c:v>-25.300000000001432</c:v>
                </c:pt>
                <c:pt idx="96">
                  <c:v>-24.799999999999045</c:v>
                </c:pt>
                <c:pt idx="97">
                  <c:v>-30.000000000001137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DD4-48A2-B795-B42972D22FFC}"/>
            </c:ext>
          </c:extLst>
        </c:ser>
        <c:ser>
          <c:idx val="11"/>
          <c:order val="1"/>
          <c:tx>
            <c:strRef>
              <c:f>Déplacements!$I$9</c:f>
              <c:strCache>
                <c:ptCount val="1"/>
                <c:pt idx="0">
                  <c:v>DZ haut gauche</c:v>
                </c:pt>
              </c:strCache>
            </c:strRef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circle"/>
            <c:size val="3"/>
          </c:marker>
          <c:xVal>
            <c:numRef>
              <c:f>'Résultats observations'!$C$10:$C$200</c:f>
              <c:numCache>
                <c:formatCode>0.0</c:formatCode>
                <c:ptCount val="191"/>
                <c:pt idx="0">
                  <c:v>184.3</c:v>
                </c:pt>
                <c:pt idx="1">
                  <c:v>185.03</c:v>
                </c:pt>
                <c:pt idx="2">
                  <c:v>187.2</c:v>
                </c:pt>
                <c:pt idx="3">
                  <c:v>188.17</c:v>
                </c:pt>
                <c:pt idx="4">
                  <c:v>189.2</c:v>
                </c:pt>
                <c:pt idx="5">
                  <c:v>191.5</c:v>
                </c:pt>
                <c:pt idx="6">
                  <c:v>192.5</c:v>
                </c:pt>
                <c:pt idx="7">
                  <c:v>193.04</c:v>
                </c:pt>
                <c:pt idx="8">
                  <c:v>193.6</c:v>
                </c:pt>
                <c:pt idx="9">
                  <c:v>193.6</c:v>
                </c:pt>
                <c:pt idx="10">
                  <c:v>194.8</c:v>
                </c:pt>
                <c:pt idx="11">
                  <c:v>194.8</c:v>
                </c:pt>
                <c:pt idx="12">
                  <c:v>195.4</c:v>
                </c:pt>
                <c:pt idx="13">
                  <c:v>196.35</c:v>
                </c:pt>
                <c:pt idx="14">
                  <c:v>196.35</c:v>
                </c:pt>
                <c:pt idx="15">
                  <c:v>198.3</c:v>
                </c:pt>
                <c:pt idx="16">
                  <c:v>199.4</c:v>
                </c:pt>
                <c:pt idx="17">
                  <c:v>200.6</c:v>
                </c:pt>
                <c:pt idx="18">
                  <c:v>202.58</c:v>
                </c:pt>
                <c:pt idx="19">
                  <c:v>203.6</c:v>
                </c:pt>
                <c:pt idx="20">
                  <c:v>203.6</c:v>
                </c:pt>
                <c:pt idx="21">
                  <c:v>206.32</c:v>
                </c:pt>
                <c:pt idx="22">
                  <c:v>206.32</c:v>
                </c:pt>
                <c:pt idx="23">
                  <c:v>206.32</c:v>
                </c:pt>
                <c:pt idx="24">
                  <c:v>206.32</c:v>
                </c:pt>
                <c:pt idx="25">
                  <c:v>207.2</c:v>
                </c:pt>
                <c:pt idx="26">
                  <c:v>208.3</c:v>
                </c:pt>
                <c:pt idx="27">
                  <c:v>212.65</c:v>
                </c:pt>
                <c:pt idx="28">
                  <c:v>213.5</c:v>
                </c:pt>
                <c:pt idx="29">
                  <c:v>215</c:v>
                </c:pt>
                <c:pt idx="30">
                  <c:v>215</c:v>
                </c:pt>
                <c:pt idx="31">
                  <c:v>215.55</c:v>
                </c:pt>
                <c:pt idx="32">
                  <c:v>216.87</c:v>
                </c:pt>
                <c:pt idx="33">
                  <c:v>217.7</c:v>
                </c:pt>
                <c:pt idx="34">
                  <c:v>218.7</c:v>
                </c:pt>
                <c:pt idx="35">
                  <c:v>218.7</c:v>
                </c:pt>
                <c:pt idx="36">
                  <c:v>220.5</c:v>
                </c:pt>
                <c:pt idx="37">
                  <c:v>221.7</c:v>
                </c:pt>
                <c:pt idx="38">
                  <c:v>222.9</c:v>
                </c:pt>
                <c:pt idx="39">
                  <c:v>222.9</c:v>
                </c:pt>
                <c:pt idx="40">
                  <c:v>222.9</c:v>
                </c:pt>
                <c:pt idx="41">
                  <c:v>222.9</c:v>
                </c:pt>
                <c:pt idx="42">
                  <c:v>222.9</c:v>
                </c:pt>
                <c:pt idx="43">
                  <c:v>222.9</c:v>
                </c:pt>
                <c:pt idx="44">
                  <c:v>222.9</c:v>
                </c:pt>
                <c:pt idx="45">
                  <c:v>222.9</c:v>
                </c:pt>
                <c:pt idx="46">
                  <c:v>222.9</c:v>
                </c:pt>
                <c:pt idx="47">
                  <c:v>222.9</c:v>
                </c:pt>
                <c:pt idx="48">
                  <c:v>222.9</c:v>
                </c:pt>
                <c:pt idx="49">
                  <c:v>222.9</c:v>
                </c:pt>
                <c:pt idx="50">
                  <c:v>222.9</c:v>
                </c:pt>
                <c:pt idx="51">
                  <c:v>222.9</c:v>
                </c:pt>
                <c:pt idx="52">
                  <c:v>222.9</c:v>
                </c:pt>
                <c:pt idx="53">
                  <c:v>222.9</c:v>
                </c:pt>
                <c:pt idx="54">
                  <c:v>222.9</c:v>
                </c:pt>
                <c:pt idx="55">
                  <c:v>222.9</c:v>
                </c:pt>
                <c:pt idx="56">
                  <c:v>222.9</c:v>
                </c:pt>
                <c:pt idx="57">
                  <c:v>222.9</c:v>
                </c:pt>
                <c:pt idx="58">
                  <c:v>222.9</c:v>
                </c:pt>
                <c:pt idx="59">
                  <c:v>223.9</c:v>
                </c:pt>
                <c:pt idx="60">
                  <c:v>223.9</c:v>
                </c:pt>
                <c:pt idx="61">
                  <c:v>223.9</c:v>
                </c:pt>
                <c:pt idx="62">
                  <c:v>223.9</c:v>
                </c:pt>
                <c:pt idx="63">
                  <c:v>223.9</c:v>
                </c:pt>
                <c:pt idx="64">
                  <c:v>223.9</c:v>
                </c:pt>
                <c:pt idx="65">
                  <c:v>223.9</c:v>
                </c:pt>
                <c:pt idx="66">
                  <c:v>223.9</c:v>
                </c:pt>
                <c:pt idx="67">
                  <c:v>223.9</c:v>
                </c:pt>
                <c:pt idx="68">
                  <c:v>223.9</c:v>
                </c:pt>
                <c:pt idx="70">
                  <c:v>223.9</c:v>
                </c:pt>
                <c:pt idx="72">
                  <c:v>223.9</c:v>
                </c:pt>
                <c:pt idx="73">
                  <c:v>223.9</c:v>
                </c:pt>
                <c:pt idx="74">
                  <c:v>223.9</c:v>
                </c:pt>
                <c:pt idx="75">
                  <c:v>223.9</c:v>
                </c:pt>
                <c:pt idx="76">
                  <c:v>223.9</c:v>
                </c:pt>
                <c:pt idx="77">
                  <c:v>223.9</c:v>
                </c:pt>
                <c:pt idx="78">
                  <c:v>223.9</c:v>
                </c:pt>
                <c:pt idx="79">
                  <c:v>223.9</c:v>
                </c:pt>
                <c:pt idx="80">
                  <c:v>223.9</c:v>
                </c:pt>
                <c:pt idx="81">
                  <c:v>223.9</c:v>
                </c:pt>
                <c:pt idx="82">
                  <c:v>223.9</c:v>
                </c:pt>
                <c:pt idx="83">
                  <c:v>223.9</c:v>
                </c:pt>
                <c:pt idx="84">
                  <c:v>223.9</c:v>
                </c:pt>
                <c:pt idx="85">
                  <c:v>223.9</c:v>
                </c:pt>
                <c:pt idx="86">
                  <c:v>223.9</c:v>
                </c:pt>
                <c:pt idx="87">
                  <c:v>223.9</c:v>
                </c:pt>
                <c:pt idx="88">
                  <c:v>223.9</c:v>
                </c:pt>
                <c:pt idx="89">
                  <c:v>223.9</c:v>
                </c:pt>
                <c:pt idx="90">
                  <c:v>223.9</c:v>
                </c:pt>
                <c:pt idx="91">
                  <c:v>223.9</c:v>
                </c:pt>
                <c:pt idx="92">
                  <c:v>223.9</c:v>
                </c:pt>
                <c:pt idx="93">
                  <c:v>223.9</c:v>
                </c:pt>
                <c:pt idx="94">
                  <c:v>223.9</c:v>
                </c:pt>
                <c:pt idx="95">
                  <c:v>223.9</c:v>
                </c:pt>
                <c:pt idx="96">
                  <c:v>223.9</c:v>
                </c:pt>
                <c:pt idx="97">
                  <c:v>223.9</c:v>
                </c:pt>
              </c:numCache>
            </c:numRef>
          </c:xVal>
          <c:yVal>
            <c:numRef>
              <c:f>Déplacements!$I$10:$I$200</c:f>
              <c:numCache>
                <c:formatCode>\+\ 0.0;\-\ 0.0;\±\ 0.0</c:formatCode>
                <c:ptCount val="191"/>
                <c:pt idx="0">
                  <c:v>0</c:v>
                </c:pt>
                <c:pt idx="1">
                  <c:v>-0.34999999999740794</c:v>
                </c:pt>
                <c:pt idx="2">
                  <c:v>-0.64999999999315605</c:v>
                </c:pt>
                <c:pt idx="3">
                  <c:v>-1.5499999999946112</c:v>
                </c:pt>
                <c:pt idx="4">
                  <c:v>0</c:v>
                </c:pt>
                <c:pt idx="5">
                  <c:v>-2.5499999999993861</c:v>
                </c:pt>
                <c:pt idx="6">
                  <c:v>-2.1500000000003183</c:v>
                </c:pt>
                <c:pt idx="7">
                  <c:v>-2.9499999999984539</c:v>
                </c:pt>
                <c:pt idx="8">
                  <c:v>-3.4500000000008413</c:v>
                </c:pt>
                <c:pt idx="9">
                  <c:v>-3.0499999999875627</c:v>
                </c:pt>
                <c:pt idx="10">
                  <c:v>-4.1499999999956572</c:v>
                </c:pt>
                <c:pt idx="11">
                  <c:v>-3.7499999999965894</c:v>
                </c:pt>
                <c:pt idx="12">
                  <c:v>-4.1499999999956572</c:v>
                </c:pt>
                <c:pt idx="13">
                  <c:v>-4.9499999999937927</c:v>
                </c:pt>
                <c:pt idx="14">
                  <c:v>-5.4499999999961801</c:v>
                </c:pt>
                <c:pt idx="15">
                  <c:v>-5.8499999999952479</c:v>
                </c:pt>
                <c:pt idx="16">
                  <c:v>-6.450000000000955</c:v>
                </c:pt>
                <c:pt idx="17">
                  <c:v>-7.0499999999924512</c:v>
                </c:pt>
                <c:pt idx="18">
                  <c:v>-6.7499999999967031</c:v>
                </c:pt>
                <c:pt idx="19">
                  <c:v>-6.8500000000000227</c:v>
                </c:pt>
                <c:pt idx="20">
                  <c:v>-7.8499999999905867</c:v>
                </c:pt>
                <c:pt idx="21">
                  <c:v>-8.3499999999929742</c:v>
                </c:pt>
                <c:pt idx="22">
                  <c:v>-8.7499999999920419</c:v>
                </c:pt>
                <c:pt idx="23">
                  <c:v>-8.9499999999986812</c:v>
                </c:pt>
                <c:pt idx="24">
                  <c:v>-8.8499999999953616</c:v>
                </c:pt>
                <c:pt idx="25">
                  <c:v>-9.2499999999944293</c:v>
                </c:pt>
                <c:pt idx="26">
                  <c:v>-9.9999999999909051</c:v>
                </c:pt>
                <c:pt idx="27">
                  <c:v>-10.099999999980014</c:v>
                </c:pt>
                <c:pt idx="28">
                  <c:v>-9.7499999999968168</c:v>
                </c:pt>
                <c:pt idx="29">
                  <c:v>-11.04999999999734</c:v>
                </c:pt>
                <c:pt idx="30">
                  <c:v>-10.249999999999204</c:v>
                </c:pt>
                <c:pt idx="32">
                  <c:v>-10.749999999987381</c:v>
                </c:pt>
                <c:pt idx="33">
                  <c:v>-11.349999999993088</c:v>
                </c:pt>
                <c:pt idx="34">
                  <c:v>-11.150000000000659</c:v>
                </c:pt>
                <c:pt idx="35">
                  <c:v>-11.549999999999727</c:v>
                </c:pt>
                <c:pt idx="37">
                  <c:v>-11.849999999995475</c:v>
                </c:pt>
                <c:pt idx="38">
                  <c:v>-11.949999999998795</c:v>
                </c:pt>
                <c:pt idx="39">
                  <c:v>-12.349999999997863</c:v>
                </c:pt>
                <c:pt idx="40">
                  <c:v>-12.349999999997863</c:v>
                </c:pt>
                <c:pt idx="41">
                  <c:v>-12.649999999993611</c:v>
                </c:pt>
                <c:pt idx="42">
                  <c:v>-12.249999999994543</c:v>
                </c:pt>
                <c:pt idx="43">
                  <c:v>-13.049999999992679</c:v>
                </c:pt>
                <c:pt idx="44">
                  <c:v>-12.74999999999693</c:v>
                </c:pt>
                <c:pt idx="45">
                  <c:v>-13.749999999987494</c:v>
                </c:pt>
                <c:pt idx="46">
                  <c:v>-13.349999999988427</c:v>
                </c:pt>
                <c:pt idx="47">
                  <c:v>-13.949999999994134</c:v>
                </c:pt>
                <c:pt idx="48">
                  <c:v>-14.150000000000773</c:v>
                </c:pt>
                <c:pt idx="49">
                  <c:v>-14.249999999989882</c:v>
                </c:pt>
                <c:pt idx="50">
                  <c:v>-14.849999999995589</c:v>
                </c:pt>
                <c:pt idx="51">
                  <c:v>-15.049999999988017</c:v>
                </c:pt>
                <c:pt idx="52">
                  <c:v>-15.749999999997044</c:v>
                </c:pt>
                <c:pt idx="53">
                  <c:v>-15.450000000001296</c:v>
                </c:pt>
                <c:pt idx="54">
                  <c:v>-15.749999999997044</c:v>
                </c:pt>
                <c:pt idx="55">
                  <c:v>-17.449999999996635</c:v>
                </c:pt>
                <c:pt idx="56">
                  <c:v>-16.949999999994247</c:v>
                </c:pt>
                <c:pt idx="57">
                  <c:v>-17.349999999993315</c:v>
                </c:pt>
                <c:pt idx="58">
                  <c:v>-17.749999999992383</c:v>
                </c:pt>
                <c:pt idx="59">
                  <c:v>-17.049999999997567</c:v>
                </c:pt>
                <c:pt idx="60">
                  <c:v>-17.649999999989063</c:v>
                </c:pt>
                <c:pt idx="61">
                  <c:v>-18.24999999999477</c:v>
                </c:pt>
                <c:pt idx="62">
                  <c:v>-17.749999999992383</c:v>
                </c:pt>
                <c:pt idx="63">
                  <c:v>-19.349999999988654</c:v>
                </c:pt>
                <c:pt idx="64">
                  <c:v>-19.549999999995293</c:v>
                </c:pt>
                <c:pt idx="65">
                  <c:v>-20.550000000000068</c:v>
                </c:pt>
                <c:pt idx="66">
                  <c:v>-20.449999999996749</c:v>
                </c:pt>
                <c:pt idx="67">
                  <c:v>-20.449999999996749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DD4-48A2-B795-B42972D22FFC}"/>
            </c:ext>
          </c:extLst>
        </c:ser>
        <c:ser>
          <c:idx val="12"/>
          <c:order val="2"/>
          <c:tx>
            <c:strRef>
              <c:f>Déplacements!$Q$9</c:f>
              <c:strCache>
                <c:ptCount val="1"/>
                <c:pt idx="0">
                  <c:v>DZ haut droit</c:v>
                </c:pt>
              </c:strCache>
            </c:strRef>
          </c:tx>
          <c:spPr>
            <a:ln w="12700">
              <a:solidFill>
                <a:srgbClr val="800000"/>
              </a:solidFill>
              <a:prstDash val="solid"/>
            </a:ln>
          </c:spPr>
          <c:marker>
            <c:symbol val="circle"/>
            <c:size val="3"/>
          </c:marker>
          <c:xVal>
            <c:numRef>
              <c:f>'Résultats observations'!$C$10:$C$200</c:f>
              <c:numCache>
                <c:formatCode>0.0</c:formatCode>
                <c:ptCount val="191"/>
                <c:pt idx="0">
                  <c:v>184.3</c:v>
                </c:pt>
                <c:pt idx="1">
                  <c:v>185.03</c:v>
                </c:pt>
                <c:pt idx="2">
                  <c:v>187.2</c:v>
                </c:pt>
                <c:pt idx="3">
                  <c:v>188.17</c:v>
                </c:pt>
                <c:pt idx="4">
                  <c:v>189.2</c:v>
                </c:pt>
                <c:pt idx="5">
                  <c:v>191.5</c:v>
                </c:pt>
                <c:pt idx="6">
                  <c:v>192.5</c:v>
                </c:pt>
                <c:pt idx="7">
                  <c:v>193.04</c:v>
                </c:pt>
                <c:pt idx="8">
                  <c:v>193.6</c:v>
                </c:pt>
                <c:pt idx="9">
                  <c:v>193.6</c:v>
                </c:pt>
                <c:pt idx="10">
                  <c:v>194.8</c:v>
                </c:pt>
                <c:pt idx="11">
                  <c:v>194.8</c:v>
                </c:pt>
                <c:pt idx="12">
                  <c:v>195.4</c:v>
                </c:pt>
                <c:pt idx="13">
                  <c:v>196.35</c:v>
                </c:pt>
                <c:pt idx="14">
                  <c:v>196.35</c:v>
                </c:pt>
                <c:pt idx="15">
                  <c:v>198.3</c:v>
                </c:pt>
                <c:pt idx="16">
                  <c:v>199.4</c:v>
                </c:pt>
                <c:pt idx="17">
                  <c:v>200.6</c:v>
                </c:pt>
                <c:pt idx="18">
                  <c:v>202.58</c:v>
                </c:pt>
                <c:pt idx="19">
                  <c:v>203.6</c:v>
                </c:pt>
                <c:pt idx="20">
                  <c:v>203.6</c:v>
                </c:pt>
                <c:pt idx="21">
                  <c:v>206.32</c:v>
                </c:pt>
                <c:pt idx="22">
                  <c:v>206.32</c:v>
                </c:pt>
                <c:pt idx="23">
                  <c:v>206.32</c:v>
                </c:pt>
                <c:pt idx="24">
                  <c:v>206.32</c:v>
                </c:pt>
                <c:pt idx="25">
                  <c:v>207.2</c:v>
                </c:pt>
                <c:pt idx="26">
                  <c:v>208.3</c:v>
                </c:pt>
                <c:pt idx="27">
                  <c:v>212.65</c:v>
                </c:pt>
                <c:pt idx="28">
                  <c:v>213.5</c:v>
                </c:pt>
                <c:pt idx="29">
                  <c:v>215</c:v>
                </c:pt>
                <c:pt idx="30">
                  <c:v>215</c:v>
                </c:pt>
                <c:pt idx="31">
                  <c:v>215.55</c:v>
                </c:pt>
                <c:pt idx="32">
                  <c:v>216.87</c:v>
                </c:pt>
                <c:pt idx="33">
                  <c:v>217.7</c:v>
                </c:pt>
                <c:pt idx="34">
                  <c:v>218.7</c:v>
                </c:pt>
                <c:pt idx="35">
                  <c:v>218.7</c:v>
                </c:pt>
                <c:pt idx="36">
                  <c:v>220.5</c:v>
                </c:pt>
                <c:pt idx="37">
                  <c:v>221.7</c:v>
                </c:pt>
                <c:pt idx="38">
                  <c:v>222.9</c:v>
                </c:pt>
                <c:pt idx="39">
                  <c:v>222.9</c:v>
                </c:pt>
                <c:pt idx="40">
                  <c:v>222.9</c:v>
                </c:pt>
                <c:pt idx="41">
                  <c:v>222.9</c:v>
                </c:pt>
                <c:pt idx="42">
                  <c:v>222.9</c:v>
                </c:pt>
                <c:pt idx="43">
                  <c:v>222.9</c:v>
                </c:pt>
                <c:pt idx="44">
                  <c:v>222.9</c:v>
                </c:pt>
                <c:pt idx="45">
                  <c:v>222.9</c:v>
                </c:pt>
                <c:pt idx="46">
                  <c:v>222.9</c:v>
                </c:pt>
                <c:pt idx="47">
                  <c:v>222.9</c:v>
                </c:pt>
                <c:pt idx="48">
                  <c:v>222.9</c:v>
                </c:pt>
                <c:pt idx="49">
                  <c:v>222.9</c:v>
                </c:pt>
                <c:pt idx="50">
                  <c:v>222.9</c:v>
                </c:pt>
                <c:pt idx="51">
                  <c:v>222.9</c:v>
                </c:pt>
                <c:pt idx="52">
                  <c:v>222.9</c:v>
                </c:pt>
                <c:pt idx="53">
                  <c:v>222.9</c:v>
                </c:pt>
                <c:pt idx="54">
                  <c:v>222.9</c:v>
                </c:pt>
                <c:pt idx="55">
                  <c:v>222.9</c:v>
                </c:pt>
                <c:pt idx="56">
                  <c:v>222.9</c:v>
                </c:pt>
                <c:pt idx="57">
                  <c:v>222.9</c:v>
                </c:pt>
                <c:pt idx="58">
                  <c:v>222.9</c:v>
                </c:pt>
                <c:pt idx="59">
                  <c:v>223.9</c:v>
                </c:pt>
                <c:pt idx="60">
                  <c:v>223.9</c:v>
                </c:pt>
                <c:pt idx="61">
                  <c:v>223.9</c:v>
                </c:pt>
                <c:pt idx="62">
                  <c:v>223.9</c:v>
                </c:pt>
                <c:pt idx="63">
                  <c:v>223.9</c:v>
                </c:pt>
                <c:pt idx="64">
                  <c:v>223.9</c:v>
                </c:pt>
                <c:pt idx="65">
                  <c:v>223.9</c:v>
                </c:pt>
                <c:pt idx="66">
                  <c:v>223.9</c:v>
                </c:pt>
                <c:pt idx="67">
                  <c:v>223.9</c:v>
                </c:pt>
                <c:pt idx="68">
                  <c:v>223.9</c:v>
                </c:pt>
                <c:pt idx="70">
                  <c:v>223.9</c:v>
                </c:pt>
                <c:pt idx="72">
                  <c:v>223.9</c:v>
                </c:pt>
                <c:pt idx="73">
                  <c:v>223.9</c:v>
                </c:pt>
                <c:pt idx="74">
                  <c:v>223.9</c:v>
                </c:pt>
                <c:pt idx="75">
                  <c:v>223.9</c:v>
                </c:pt>
                <c:pt idx="76">
                  <c:v>223.9</c:v>
                </c:pt>
                <c:pt idx="77">
                  <c:v>223.9</c:v>
                </c:pt>
                <c:pt idx="78">
                  <c:v>223.9</c:v>
                </c:pt>
                <c:pt idx="79">
                  <c:v>223.9</c:v>
                </c:pt>
                <c:pt idx="80">
                  <c:v>223.9</c:v>
                </c:pt>
                <c:pt idx="81">
                  <c:v>223.9</c:v>
                </c:pt>
                <c:pt idx="82">
                  <c:v>223.9</c:v>
                </c:pt>
                <c:pt idx="83">
                  <c:v>223.9</c:v>
                </c:pt>
                <c:pt idx="84">
                  <c:v>223.9</c:v>
                </c:pt>
                <c:pt idx="85">
                  <c:v>223.9</c:v>
                </c:pt>
                <c:pt idx="86">
                  <c:v>223.9</c:v>
                </c:pt>
                <c:pt idx="87">
                  <c:v>223.9</c:v>
                </c:pt>
                <c:pt idx="88">
                  <c:v>223.9</c:v>
                </c:pt>
                <c:pt idx="89">
                  <c:v>223.9</c:v>
                </c:pt>
                <c:pt idx="90">
                  <c:v>223.9</c:v>
                </c:pt>
                <c:pt idx="91">
                  <c:v>223.9</c:v>
                </c:pt>
                <c:pt idx="92">
                  <c:v>223.9</c:v>
                </c:pt>
                <c:pt idx="93">
                  <c:v>223.9</c:v>
                </c:pt>
                <c:pt idx="94">
                  <c:v>223.9</c:v>
                </c:pt>
                <c:pt idx="95">
                  <c:v>223.9</c:v>
                </c:pt>
                <c:pt idx="96">
                  <c:v>223.9</c:v>
                </c:pt>
                <c:pt idx="97">
                  <c:v>223.9</c:v>
                </c:pt>
              </c:numCache>
            </c:numRef>
          </c:xVal>
          <c:yVal>
            <c:numRef>
              <c:f>Déplacements!$Q$10:$Q$200</c:f>
              <c:numCache>
                <c:formatCode>\+\ 0.0;\-\ 0.0;\±\ 0.0</c:formatCode>
                <c:ptCount val="191"/>
                <c:pt idx="0">
                  <c:v>0</c:v>
                </c:pt>
                <c:pt idx="1">
                  <c:v>-0.24999999999408828</c:v>
                </c:pt>
                <c:pt idx="2">
                  <c:v>-0.74999999999647571</c:v>
                </c:pt>
                <c:pt idx="3">
                  <c:v>-0.84999999999979536</c:v>
                </c:pt>
                <c:pt idx="4">
                  <c:v>-1.1499999999955435</c:v>
                </c:pt>
                <c:pt idx="5">
                  <c:v>-2.3499999999927468</c:v>
                </c:pt>
                <c:pt idx="6">
                  <c:v>-2.0499999999969987</c:v>
                </c:pt>
                <c:pt idx="7">
                  <c:v>-2.5499999999993861</c:v>
                </c:pt>
                <c:pt idx="8">
                  <c:v>-3.1499999999908823</c:v>
                </c:pt>
                <c:pt idx="9">
                  <c:v>-2.4499999999960664</c:v>
                </c:pt>
                <c:pt idx="10">
                  <c:v>-3.5500000000041609</c:v>
                </c:pt>
                <c:pt idx="11">
                  <c:v>-2.9499999999984539</c:v>
                </c:pt>
                <c:pt idx="12">
                  <c:v>-3.249999999994202</c:v>
                </c:pt>
                <c:pt idx="13">
                  <c:v>-3.9500000000032287</c:v>
                </c:pt>
                <c:pt idx="14">
                  <c:v>-4.4499999999914053</c:v>
                </c:pt>
                <c:pt idx="15">
                  <c:v>-4.7500000000013642</c:v>
                </c:pt>
                <c:pt idx="16">
                  <c:v>-4.9499999999937927</c:v>
                </c:pt>
                <c:pt idx="17">
                  <c:v>-5.4499999999961801</c:v>
                </c:pt>
                <c:pt idx="18">
                  <c:v>-5.4499999999961801</c:v>
                </c:pt>
                <c:pt idx="19">
                  <c:v>-5.150000000000432</c:v>
                </c:pt>
                <c:pt idx="20">
                  <c:v>-6.0500000000018872</c:v>
                </c:pt>
                <c:pt idx="21">
                  <c:v>-6.2499999999943157</c:v>
                </c:pt>
                <c:pt idx="22">
                  <c:v>-6.6499999999933834</c:v>
                </c:pt>
                <c:pt idx="23">
                  <c:v>-7.0499999999924512</c:v>
                </c:pt>
                <c:pt idx="24">
                  <c:v>-6.7499999999967031</c:v>
                </c:pt>
                <c:pt idx="25">
                  <c:v>-6.9500000000033424</c:v>
                </c:pt>
                <c:pt idx="26">
                  <c:v>-7.6999999999998181</c:v>
                </c:pt>
                <c:pt idx="27">
                  <c:v>-7.8500000000047976</c:v>
                </c:pt>
                <c:pt idx="28">
                  <c:v>-7.3500000000024102</c:v>
                </c:pt>
                <c:pt idx="29">
                  <c:v>-8.1500000000005457</c:v>
                </c:pt>
                <c:pt idx="30">
                  <c:v>-8.049999999997226</c:v>
                </c:pt>
                <c:pt idx="31">
                  <c:v>-7.8500000000047976</c:v>
                </c:pt>
                <c:pt idx="32">
                  <c:v>-8.2500000000038654</c:v>
                </c:pt>
                <c:pt idx="33">
                  <c:v>-8.6500000000029331</c:v>
                </c:pt>
                <c:pt idx="34">
                  <c:v>-8.4499999999962938</c:v>
                </c:pt>
                <c:pt idx="35">
                  <c:v>-8.6500000000029331</c:v>
                </c:pt>
                <c:pt idx="36">
                  <c:v>-8.8499999999953616</c:v>
                </c:pt>
                <c:pt idx="37">
                  <c:v>-8.9499999999986812</c:v>
                </c:pt>
                <c:pt idx="38">
                  <c:v>-8.9499999999986812</c:v>
                </c:pt>
                <c:pt idx="39">
                  <c:v>-9.349999999997749</c:v>
                </c:pt>
                <c:pt idx="40">
                  <c:v>-9.4500000000010687</c:v>
                </c:pt>
                <c:pt idx="41">
                  <c:v>-9.4500000000010687</c:v>
                </c:pt>
                <c:pt idx="42">
                  <c:v>-9.5500000000043883</c:v>
                </c:pt>
                <c:pt idx="43">
                  <c:v>-9.9500000000034561</c:v>
                </c:pt>
                <c:pt idx="44">
                  <c:v>-9.5500000000043883</c:v>
                </c:pt>
                <c:pt idx="45">
                  <c:v>-10.549999999994952</c:v>
                </c:pt>
                <c:pt idx="46">
                  <c:v>-10.149999999995885</c:v>
                </c:pt>
                <c:pt idx="47">
                  <c:v>-10.649999999998272</c:v>
                </c:pt>
                <c:pt idx="48">
                  <c:v>-10.649999999998272</c:v>
                </c:pt>
                <c:pt idx="49">
                  <c:v>-10.549999999994952</c:v>
                </c:pt>
                <c:pt idx="50">
                  <c:v>-11.04999999999734</c:v>
                </c:pt>
                <c:pt idx="51">
                  <c:v>-11.650000000003047</c:v>
                </c:pt>
                <c:pt idx="52">
                  <c:v>-12.050000000002115</c:v>
                </c:pt>
                <c:pt idx="53">
                  <c:v>-11.949999999998795</c:v>
                </c:pt>
                <c:pt idx="54">
                  <c:v>-11.849999999995475</c:v>
                </c:pt>
                <c:pt idx="55">
                  <c:v>-13.249999999999318</c:v>
                </c:pt>
                <c:pt idx="56">
                  <c:v>-12.85000000000025</c:v>
                </c:pt>
                <c:pt idx="57">
                  <c:v>-13.149999999995998</c:v>
                </c:pt>
                <c:pt idx="58">
                  <c:v>-13.750000000001705</c:v>
                </c:pt>
                <c:pt idx="59">
                  <c:v>-12.74999999999693</c:v>
                </c:pt>
                <c:pt idx="60">
                  <c:v>-13.549999999995066</c:v>
                </c:pt>
                <c:pt idx="61">
                  <c:v>-13.750000000001705</c:v>
                </c:pt>
                <c:pt idx="62">
                  <c:v>-13.449999999991746</c:v>
                </c:pt>
                <c:pt idx="63">
                  <c:v>-14.749999999992269</c:v>
                </c:pt>
                <c:pt idx="64">
                  <c:v>-14.65000000000316</c:v>
                </c:pt>
                <c:pt idx="65">
                  <c:v>-15.450000000001296</c:v>
                </c:pt>
                <c:pt idx="66">
                  <c:v>-15.450000000001296</c:v>
                </c:pt>
                <c:pt idx="67">
                  <c:v>-14.949999999998909</c:v>
                </c:pt>
                <c:pt idx="68">
                  <c:v>-15.749999999997044</c:v>
                </c:pt>
                <c:pt idx="72">
                  <c:v>-16.450000000006071</c:v>
                </c:pt>
                <c:pt idx="73">
                  <c:v>-16.149999999996112</c:v>
                </c:pt>
                <c:pt idx="74">
                  <c:v>-17.250000000004206</c:v>
                </c:pt>
                <c:pt idx="75">
                  <c:v>-17.250000000004206</c:v>
                </c:pt>
                <c:pt idx="76">
                  <c:v>-18.550000000004729</c:v>
                </c:pt>
                <c:pt idx="77">
                  <c:v>-17.449999999996635</c:v>
                </c:pt>
                <c:pt idx="78">
                  <c:v>-18.34999999999809</c:v>
                </c:pt>
                <c:pt idx="79">
                  <c:v>-17.849999999995703</c:v>
                </c:pt>
                <c:pt idx="80">
                  <c:v>-18.24999999999477</c:v>
                </c:pt>
                <c:pt idx="81">
                  <c:v>-18.950000000003797</c:v>
                </c:pt>
                <c:pt idx="82">
                  <c:v>-19.450000000006185</c:v>
                </c:pt>
                <c:pt idx="83">
                  <c:v>-18.34999999999809</c:v>
                </c:pt>
                <c:pt idx="84">
                  <c:v>-18.749999999997158</c:v>
                </c:pt>
                <c:pt idx="85">
                  <c:v>-19.249999999999545</c:v>
                </c:pt>
                <c:pt idx="86">
                  <c:v>-19.949999999994361</c:v>
                </c:pt>
                <c:pt idx="87">
                  <c:v>-18.950000000003797</c:v>
                </c:pt>
                <c:pt idx="88">
                  <c:v>-19.350000000002865</c:v>
                </c:pt>
                <c:pt idx="89">
                  <c:v>-19.249999999999545</c:v>
                </c:pt>
                <c:pt idx="90">
                  <c:v>-19.549999999995293</c:v>
                </c:pt>
                <c:pt idx="91">
                  <c:v>-19.750000000001933</c:v>
                </c:pt>
                <c:pt idx="92">
                  <c:v>-19.750000000001933</c:v>
                </c:pt>
                <c:pt idx="93">
                  <c:v>-20.449999999996749</c:v>
                </c:pt>
                <c:pt idx="94">
                  <c:v>-20.449999999996749</c:v>
                </c:pt>
                <c:pt idx="95">
                  <c:v>-21.249999999994884</c:v>
                </c:pt>
                <c:pt idx="96">
                  <c:v>-20.550000000000068</c:v>
                </c:pt>
                <c:pt idx="97">
                  <c:v>-25.249999999999773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DD4-48A2-B795-B42972D22FFC}"/>
            </c:ext>
          </c:extLst>
        </c:ser>
        <c:ser>
          <c:idx val="13"/>
          <c:order val="3"/>
          <c:tx>
            <c:strRef>
              <c:f>Déplacements!$E$9</c:f>
              <c:strCache>
                <c:ptCount val="1"/>
                <c:pt idx="0">
                  <c:v>DZ inter gauche</c:v>
                </c:pt>
              </c:strCache>
            </c:strRef>
          </c:tx>
          <c:spPr>
            <a:ln w="12700"/>
          </c:spPr>
          <c:marker>
            <c:symbol val="circle"/>
            <c:size val="3"/>
          </c:marker>
          <c:xVal>
            <c:numRef>
              <c:f>'Résultats observations'!$C$10:$C$200</c:f>
              <c:numCache>
                <c:formatCode>0.0</c:formatCode>
                <c:ptCount val="191"/>
                <c:pt idx="0">
                  <c:v>184.3</c:v>
                </c:pt>
                <c:pt idx="1">
                  <c:v>185.03</c:v>
                </c:pt>
                <c:pt idx="2">
                  <c:v>187.2</c:v>
                </c:pt>
                <c:pt idx="3">
                  <c:v>188.17</c:v>
                </c:pt>
                <c:pt idx="4">
                  <c:v>189.2</c:v>
                </c:pt>
                <c:pt idx="5">
                  <c:v>191.5</c:v>
                </c:pt>
                <c:pt idx="6">
                  <c:v>192.5</c:v>
                </c:pt>
                <c:pt idx="7">
                  <c:v>193.04</c:v>
                </c:pt>
                <c:pt idx="8">
                  <c:v>193.6</c:v>
                </c:pt>
                <c:pt idx="9">
                  <c:v>193.6</c:v>
                </c:pt>
                <c:pt idx="10">
                  <c:v>194.8</c:v>
                </c:pt>
                <c:pt idx="11">
                  <c:v>194.8</c:v>
                </c:pt>
                <c:pt idx="12">
                  <c:v>195.4</c:v>
                </c:pt>
                <c:pt idx="13">
                  <c:v>196.35</c:v>
                </c:pt>
                <c:pt idx="14">
                  <c:v>196.35</c:v>
                </c:pt>
                <c:pt idx="15">
                  <c:v>198.3</c:v>
                </c:pt>
                <c:pt idx="16">
                  <c:v>199.4</c:v>
                </c:pt>
                <c:pt idx="17">
                  <c:v>200.6</c:v>
                </c:pt>
                <c:pt idx="18">
                  <c:v>202.58</c:v>
                </c:pt>
                <c:pt idx="19">
                  <c:v>203.6</c:v>
                </c:pt>
                <c:pt idx="20">
                  <c:v>203.6</c:v>
                </c:pt>
                <c:pt idx="21">
                  <c:v>206.32</c:v>
                </c:pt>
                <c:pt idx="22">
                  <c:v>206.32</c:v>
                </c:pt>
                <c:pt idx="23">
                  <c:v>206.32</c:v>
                </c:pt>
                <c:pt idx="24">
                  <c:v>206.32</c:v>
                </c:pt>
                <c:pt idx="25">
                  <c:v>207.2</c:v>
                </c:pt>
                <c:pt idx="26">
                  <c:v>208.3</c:v>
                </c:pt>
                <c:pt idx="27">
                  <c:v>212.65</c:v>
                </c:pt>
                <c:pt idx="28">
                  <c:v>213.5</c:v>
                </c:pt>
                <c:pt idx="29">
                  <c:v>215</c:v>
                </c:pt>
                <c:pt idx="30">
                  <c:v>215</c:v>
                </c:pt>
                <c:pt idx="31">
                  <c:v>215.55</c:v>
                </c:pt>
                <c:pt idx="32">
                  <c:v>216.87</c:v>
                </c:pt>
                <c:pt idx="33">
                  <c:v>217.7</c:v>
                </c:pt>
                <c:pt idx="34">
                  <c:v>218.7</c:v>
                </c:pt>
                <c:pt idx="35">
                  <c:v>218.7</c:v>
                </c:pt>
                <c:pt idx="36">
                  <c:v>220.5</c:v>
                </c:pt>
                <c:pt idx="37">
                  <c:v>221.7</c:v>
                </c:pt>
                <c:pt idx="38">
                  <c:v>222.9</c:v>
                </c:pt>
                <c:pt idx="39">
                  <c:v>222.9</c:v>
                </c:pt>
                <c:pt idx="40">
                  <c:v>222.9</c:v>
                </c:pt>
                <c:pt idx="41">
                  <c:v>222.9</c:v>
                </c:pt>
                <c:pt idx="42">
                  <c:v>222.9</c:v>
                </c:pt>
                <c:pt idx="43">
                  <c:v>222.9</c:v>
                </c:pt>
                <c:pt idx="44">
                  <c:v>222.9</c:v>
                </c:pt>
                <c:pt idx="45">
                  <c:v>222.9</c:v>
                </c:pt>
                <c:pt idx="46">
                  <c:v>222.9</c:v>
                </c:pt>
                <c:pt idx="47">
                  <c:v>222.9</c:v>
                </c:pt>
                <c:pt idx="48">
                  <c:v>222.9</c:v>
                </c:pt>
                <c:pt idx="49">
                  <c:v>222.9</c:v>
                </c:pt>
                <c:pt idx="50">
                  <c:v>222.9</c:v>
                </c:pt>
                <c:pt idx="51">
                  <c:v>222.9</c:v>
                </c:pt>
                <c:pt idx="52">
                  <c:v>222.9</c:v>
                </c:pt>
                <c:pt idx="53">
                  <c:v>222.9</c:v>
                </c:pt>
                <c:pt idx="54">
                  <c:v>222.9</c:v>
                </c:pt>
                <c:pt idx="55">
                  <c:v>222.9</c:v>
                </c:pt>
                <c:pt idx="56">
                  <c:v>222.9</c:v>
                </c:pt>
                <c:pt idx="57">
                  <c:v>222.9</c:v>
                </c:pt>
                <c:pt idx="58">
                  <c:v>222.9</c:v>
                </c:pt>
                <c:pt idx="59">
                  <c:v>223.9</c:v>
                </c:pt>
                <c:pt idx="60">
                  <c:v>223.9</c:v>
                </c:pt>
                <c:pt idx="61">
                  <c:v>223.9</c:v>
                </c:pt>
                <c:pt idx="62">
                  <c:v>223.9</c:v>
                </c:pt>
                <c:pt idx="63">
                  <c:v>223.9</c:v>
                </c:pt>
                <c:pt idx="64">
                  <c:v>223.9</c:v>
                </c:pt>
                <c:pt idx="65">
                  <c:v>223.9</c:v>
                </c:pt>
                <c:pt idx="66">
                  <c:v>223.9</c:v>
                </c:pt>
                <c:pt idx="67">
                  <c:v>223.9</c:v>
                </c:pt>
                <c:pt idx="68">
                  <c:v>223.9</c:v>
                </c:pt>
                <c:pt idx="70">
                  <c:v>223.9</c:v>
                </c:pt>
                <c:pt idx="72">
                  <c:v>223.9</c:v>
                </c:pt>
                <c:pt idx="73">
                  <c:v>223.9</c:v>
                </c:pt>
                <c:pt idx="74">
                  <c:v>223.9</c:v>
                </c:pt>
                <c:pt idx="75">
                  <c:v>223.9</c:v>
                </c:pt>
                <c:pt idx="76">
                  <c:v>223.9</c:v>
                </c:pt>
                <c:pt idx="77">
                  <c:v>223.9</c:v>
                </c:pt>
                <c:pt idx="78">
                  <c:v>223.9</c:v>
                </c:pt>
                <c:pt idx="79">
                  <c:v>223.9</c:v>
                </c:pt>
                <c:pt idx="80">
                  <c:v>223.9</c:v>
                </c:pt>
                <c:pt idx="81">
                  <c:v>223.9</c:v>
                </c:pt>
                <c:pt idx="82">
                  <c:v>223.9</c:v>
                </c:pt>
                <c:pt idx="83">
                  <c:v>223.9</c:v>
                </c:pt>
                <c:pt idx="84">
                  <c:v>223.9</c:v>
                </c:pt>
                <c:pt idx="85">
                  <c:v>223.9</c:v>
                </c:pt>
                <c:pt idx="86">
                  <c:v>223.9</c:v>
                </c:pt>
                <c:pt idx="87">
                  <c:v>223.9</c:v>
                </c:pt>
                <c:pt idx="88">
                  <c:v>223.9</c:v>
                </c:pt>
                <c:pt idx="89">
                  <c:v>223.9</c:v>
                </c:pt>
                <c:pt idx="90">
                  <c:v>223.9</c:v>
                </c:pt>
                <c:pt idx="91">
                  <c:v>223.9</c:v>
                </c:pt>
                <c:pt idx="92">
                  <c:v>223.9</c:v>
                </c:pt>
                <c:pt idx="93">
                  <c:v>223.9</c:v>
                </c:pt>
                <c:pt idx="94">
                  <c:v>223.9</c:v>
                </c:pt>
                <c:pt idx="95">
                  <c:v>223.9</c:v>
                </c:pt>
                <c:pt idx="96">
                  <c:v>223.9</c:v>
                </c:pt>
                <c:pt idx="97">
                  <c:v>223.9</c:v>
                </c:pt>
              </c:numCache>
            </c:numRef>
          </c:xVal>
          <c:yVal>
            <c:numRef>
              <c:f>Déplacements!$E$10:$E$200</c:f>
              <c:numCache>
                <c:formatCode>\+\ 0.0;\-\ 0.0;\±\ 0.0</c:formatCode>
                <c:ptCount val="191"/>
                <c:pt idx="0">
                  <c:v>0</c:v>
                </c:pt>
                <c:pt idx="1">
                  <c:v>-0.15000000000497948</c:v>
                </c:pt>
                <c:pt idx="2">
                  <c:v>-0.75000000001068656</c:v>
                </c:pt>
                <c:pt idx="3">
                  <c:v>-0.84999999999979536</c:v>
                </c:pt>
                <c:pt idx="4">
                  <c:v>-1.1500000000097543</c:v>
                </c:pt>
                <c:pt idx="5">
                  <c:v>-1.2499999999988631</c:v>
                </c:pt>
                <c:pt idx="6">
                  <c:v>-1.0500000000064347</c:v>
                </c:pt>
                <c:pt idx="7">
                  <c:v>-1.4500000000055024</c:v>
                </c:pt>
                <c:pt idx="8">
                  <c:v>-1.8500000000045702</c:v>
                </c:pt>
                <c:pt idx="9">
                  <c:v>-1.4500000000055024</c:v>
                </c:pt>
                <c:pt idx="10">
                  <c:v>-2.1500000000003183</c:v>
                </c:pt>
                <c:pt idx="11">
                  <c:v>-1.7500000000012506</c:v>
                </c:pt>
                <c:pt idx="12">
                  <c:v>-1.8500000000045702</c:v>
                </c:pt>
                <c:pt idx="13">
                  <c:v>-2.3500000000069576</c:v>
                </c:pt>
                <c:pt idx="14">
                  <c:v>-2.6500000000027057</c:v>
                </c:pt>
                <c:pt idx="15">
                  <c:v>-3.0500000000017735</c:v>
                </c:pt>
                <c:pt idx="16">
                  <c:v>-3.1500000000050932</c:v>
                </c:pt>
                <c:pt idx="17">
                  <c:v>-3.5500000000041609</c:v>
                </c:pt>
                <c:pt idx="18">
                  <c:v>-3.4500000000008413</c:v>
                </c:pt>
                <c:pt idx="19">
                  <c:v>-3.2500000000084128</c:v>
                </c:pt>
                <c:pt idx="20">
                  <c:v>-4.0500000000065484</c:v>
                </c:pt>
                <c:pt idx="21">
                  <c:v>-4.4500000000056161</c:v>
                </c:pt>
                <c:pt idx="22">
                  <c:v>-4.3500000000022965</c:v>
                </c:pt>
                <c:pt idx="23">
                  <c:v>-4.6499999999980446</c:v>
                </c:pt>
                <c:pt idx="24">
                  <c:v>-4.5500000000089358</c:v>
                </c:pt>
                <c:pt idx="25">
                  <c:v>-4.5500000000089358</c:v>
                </c:pt>
                <c:pt idx="26">
                  <c:v>-5.2500000000179625</c:v>
                </c:pt>
                <c:pt idx="27">
                  <c:v>-5.3000000000196223</c:v>
                </c:pt>
                <c:pt idx="28">
                  <c:v>-4.6499999999980446</c:v>
                </c:pt>
                <c:pt idx="29">
                  <c:v>-5.5499999999994998</c:v>
                </c:pt>
                <c:pt idx="30">
                  <c:v>-5.6500000000028194</c:v>
                </c:pt>
                <c:pt idx="31">
                  <c:v>-5.150000000000432</c:v>
                </c:pt>
                <c:pt idx="32">
                  <c:v>-5.2500000000037517</c:v>
                </c:pt>
                <c:pt idx="33">
                  <c:v>-5.7500000000061391</c:v>
                </c:pt>
                <c:pt idx="34">
                  <c:v>-5.5499999999994998</c:v>
                </c:pt>
                <c:pt idx="35">
                  <c:v>-5.7500000000061391</c:v>
                </c:pt>
                <c:pt idx="36">
                  <c:v>-5.8500000000094587</c:v>
                </c:pt>
                <c:pt idx="37">
                  <c:v>-5.7500000000061391</c:v>
                </c:pt>
                <c:pt idx="38">
                  <c:v>-5.7500000000061391</c:v>
                </c:pt>
                <c:pt idx="39">
                  <c:v>-6.2500000000085265</c:v>
                </c:pt>
                <c:pt idx="40">
                  <c:v>-6.1500000000052069</c:v>
                </c:pt>
                <c:pt idx="41">
                  <c:v>-6.0500000000018872</c:v>
                </c:pt>
                <c:pt idx="42">
                  <c:v>-6.0500000000018872</c:v>
                </c:pt>
                <c:pt idx="43">
                  <c:v>-6.6500000000075943</c:v>
                </c:pt>
                <c:pt idx="44">
                  <c:v>-5.9499999999985675</c:v>
                </c:pt>
                <c:pt idx="45">
                  <c:v>-6.9500000000033424</c:v>
                </c:pt>
                <c:pt idx="46">
                  <c:v>-6.5500000000042746</c:v>
                </c:pt>
                <c:pt idx="47">
                  <c:v>-6.7500000000109139</c:v>
                </c:pt>
                <c:pt idx="48">
                  <c:v>-6.7500000000109139</c:v>
                </c:pt>
                <c:pt idx="49">
                  <c:v>-6.7500000000109139</c:v>
                </c:pt>
                <c:pt idx="50">
                  <c:v>-7.2499999999990905</c:v>
                </c:pt>
                <c:pt idx="51">
                  <c:v>-7.6499999999981583</c:v>
                </c:pt>
                <c:pt idx="52">
                  <c:v>-7.8500000000047976</c:v>
                </c:pt>
                <c:pt idx="53">
                  <c:v>-7.7500000000014779</c:v>
                </c:pt>
                <c:pt idx="54">
                  <c:v>-7.7500000000014779</c:v>
                </c:pt>
                <c:pt idx="55">
                  <c:v>-8.5499999999996135</c:v>
                </c:pt>
                <c:pt idx="56">
                  <c:v>-8.1500000000005457</c:v>
                </c:pt>
                <c:pt idx="57">
                  <c:v>-8.2500000000038654</c:v>
                </c:pt>
                <c:pt idx="58">
                  <c:v>-8.6500000000029331</c:v>
                </c:pt>
                <c:pt idx="59">
                  <c:v>-7.5500000000090495</c:v>
                </c:pt>
                <c:pt idx="60">
                  <c:v>-8.1500000000005457</c:v>
                </c:pt>
                <c:pt idx="61">
                  <c:v>-8.350000000007185</c:v>
                </c:pt>
                <c:pt idx="62">
                  <c:v>-7.7500000000014779</c:v>
                </c:pt>
                <c:pt idx="63">
                  <c:v>-9.0500000000020009</c:v>
                </c:pt>
                <c:pt idx="64">
                  <c:v>-8.5499999999996135</c:v>
                </c:pt>
                <c:pt idx="65">
                  <c:v>-9.1500000000053205</c:v>
                </c:pt>
                <c:pt idx="66">
                  <c:v>-8.7500000000062528</c:v>
                </c:pt>
                <c:pt idx="68">
                  <c:v>-8.350000000007185</c:v>
                </c:pt>
                <c:pt idx="71">
                  <c:v>0</c:v>
                </c:pt>
                <c:pt idx="72">
                  <c:v>-9.1500000000053205</c:v>
                </c:pt>
                <c:pt idx="73">
                  <c:v>-8.9500000000128921</c:v>
                </c:pt>
                <c:pt idx="74">
                  <c:v>-9.4500000000152795</c:v>
                </c:pt>
                <c:pt idx="75">
                  <c:v>-9.1500000000053205</c:v>
                </c:pt>
                <c:pt idx="76">
                  <c:v>-9.1500000000053205</c:v>
                </c:pt>
                <c:pt idx="77">
                  <c:v>-9.1500000000053205</c:v>
                </c:pt>
                <c:pt idx="78">
                  <c:v>-9.8500000000143473</c:v>
                </c:pt>
                <c:pt idx="79">
                  <c:v>-8.9500000000128921</c:v>
                </c:pt>
                <c:pt idx="80">
                  <c:v>-9.2500000000086402</c:v>
                </c:pt>
                <c:pt idx="81">
                  <c:v>-9.7500000000110276</c:v>
                </c:pt>
                <c:pt idx="82">
                  <c:v>-9.9500000000176669</c:v>
                </c:pt>
                <c:pt idx="83">
                  <c:v>-8.9500000000128921</c:v>
                </c:pt>
                <c:pt idx="84">
                  <c:v>-9.1500000000053205</c:v>
                </c:pt>
                <c:pt idx="85">
                  <c:v>-9.5500000000043883</c:v>
                </c:pt>
                <c:pt idx="86">
                  <c:v>-10.650000000012483</c:v>
                </c:pt>
                <c:pt idx="87">
                  <c:v>-9.3500000000119599</c:v>
                </c:pt>
                <c:pt idx="88">
                  <c:v>-9.650000000007708</c:v>
                </c:pt>
                <c:pt idx="89">
                  <c:v>-9.650000000007708</c:v>
                </c:pt>
                <c:pt idx="90">
                  <c:v>-9.7500000000110276</c:v>
                </c:pt>
                <c:pt idx="91">
                  <c:v>-9.7500000000110276</c:v>
                </c:pt>
                <c:pt idx="93">
                  <c:v>-9.9500000000176669</c:v>
                </c:pt>
                <c:pt idx="94">
                  <c:v>-10.250000000013415</c:v>
                </c:pt>
                <c:pt idx="95">
                  <c:v>-10.650000000012483</c:v>
                </c:pt>
                <c:pt idx="96">
                  <c:v>-9.7500000000110276</c:v>
                </c:pt>
                <c:pt idx="97">
                  <c:v>-10.850000000004911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DD4-48A2-B795-B42972D22FFC}"/>
            </c:ext>
          </c:extLst>
        </c:ser>
        <c:ser>
          <c:idx val="14"/>
          <c:order val="4"/>
          <c:tx>
            <c:strRef>
              <c:f>Déplacements!$U$9</c:f>
              <c:strCache>
                <c:ptCount val="1"/>
                <c:pt idx="0">
                  <c:v>DZ inter droit</c:v>
                </c:pt>
              </c:strCache>
            </c:strRef>
          </c:tx>
          <c:spPr>
            <a:ln w="12700"/>
          </c:spPr>
          <c:marker>
            <c:symbol val="circle"/>
            <c:size val="3"/>
          </c:marker>
          <c:xVal>
            <c:numRef>
              <c:f>'Résultats observations'!$C$10:$C$200</c:f>
              <c:numCache>
                <c:formatCode>0.0</c:formatCode>
                <c:ptCount val="191"/>
                <c:pt idx="0">
                  <c:v>184.3</c:v>
                </c:pt>
                <c:pt idx="1">
                  <c:v>185.03</c:v>
                </c:pt>
                <c:pt idx="2">
                  <c:v>187.2</c:v>
                </c:pt>
                <c:pt idx="3">
                  <c:v>188.17</c:v>
                </c:pt>
                <c:pt idx="4">
                  <c:v>189.2</c:v>
                </c:pt>
                <c:pt idx="5">
                  <c:v>191.5</c:v>
                </c:pt>
                <c:pt idx="6">
                  <c:v>192.5</c:v>
                </c:pt>
                <c:pt idx="7">
                  <c:v>193.04</c:v>
                </c:pt>
                <c:pt idx="8">
                  <c:v>193.6</c:v>
                </c:pt>
                <c:pt idx="9">
                  <c:v>193.6</c:v>
                </c:pt>
                <c:pt idx="10">
                  <c:v>194.8</c:v>
                </c:pt>
                <c:pt idx="11">
                  <c:v>194.8</c:v>
                </c:pt>
                <c:pt idx="12">
                  <c:v>195.4</c:v>
                </c:pt>
                <c:pt idx="13">
                  <c:v>196.35</c:v>
                </c:pt>
                <c:pt idx="14">
                  <c:v>196.35</c:v>
                </c:pt>
                <c:pt idx="15">
                  <c:v>198.3</c:v>
                </c:pt>
                <c:pt idx="16">
                  <c:v>199.4</c:v>
                </c:pt>
                <c:pt idx="17">
                  <c:v>200.6</c:v>
                </c:pt>
                <c:pt idx="18">
                  <c:v>202.58</c:v>
                </c:pt>
                <c:pt idx="19">
                  <c:v>203.6</c:v>
                </c:pt>
                <c:pt idx="20">
                  <c:v>203.6</c:v>
                </c:pt>
                <c:pt idx="21">
                  <c:v>206.32</c:v>
                </c:pt>
                <c:pt idx="22">
                  <c:v>206.32</c:v>
                </c:pt>
                <c:pt idx="23">
                  <c:v>206.32</c:v>
                </c:pt>
                <c:pt idx="24">
                  <c:v>206.32</c:v>
                </c:pt>
                <c:pt idx="25">
                  <c:v>207.2</c:v>
                </c:pt>
                <c:pt idx="26">
                  <c:v>208.3</c:v>
                </c:pt>
                <c:pt idx="27">
                  <c:v>212.65</c:v>
                </c:pt>
                <c:pt idx="28">
                  <c:v>213.5</c:v>
                </c:pt>
                <c:pt idx="29">
                  <c:v>215</c:v>
                </c:pt>
                <c:pt idx="30">
                  <c:v>215</c:v>
                </c:pt>
                <c:pt idx="31">
                  <c:v>215.55</c:v>
                </c:pt>
                <c:pt idx="32">
                  <c:v>216.87</c:v>
                </c:pt>
                <c:pt idx="33">
                  <c:v>217.7</c:v>
                </c:pt>
                <c:pt idx="34">
                  <c:v>218.7</c:v>
                </c:pt>
                <c:pt idx="35">
                  <c:v>218.7</c:v>
                </c:pt>
                <c:pt idx="36">
                  <c:v>220.5</c:v>
                </c:pt>
                <c:pt idx="37">
                  <c:v>221.7</c:v>
                </c:pt>
                <c:pt idx="38">
                  <c:v>222.9</c:v>
                </c:pt>
                <c:pt idx="39">
                  <c:v>222.9</c:v>
                </c:pt>
                <c:pt idx="40">
                  <c:v>222.9</c:v>
                </c:pt>
                <c:pt idx="41">
                  <c:v>222.9</c:v>
                </c:pt>
                <c:pt idx="42">
                  <c:v>222.9</c:v>
                </c:pt>
                <c:pt idx="43">
                  <c:v>222.9</c:v>
                </c:pt>
                <c:pt idx="44">
                  <c:v>222.9</c:v>
                </c:pt>
                <c:pt idx="45">
                  <c:v>222.9</c:v>
                </c:pt>
                <c:pt idx="46">
                  <c:v>222.9</c:v>
                </c:pt>
                <c:pt idx="47">
                  <c:v>222.9</c:v>
                </c:pt>
                <c:pt idx="48">
                  <c:v>222.9</c:v>
                </c:pt>
                <c:pt idx="49">
                  <c:v>222.9</c:v>
                </c:pt>
                <c:pt idx="50">
                  <c:v>222.9</c:v>
                </c:pt>
                <c:pt idx="51">
                  <c:v>222.9</c:v>
                </c:pt>
                <c:pt idx="52">
                  <c:v>222.9</c:v>
                </c:pt>
                <c:pt idx="53">
                  <c:v>222.9</c:v>
                </c:pt>
                <c:pt idx="54">
                  <c:v>222.9</c:v>
                </c:pt>
                <c:pt idx="55">
                  <c:v>222.9</c:v>
                </c:pt>
                <c:pt idx="56">
                  <c:v>222.9</c:v>
                </c:pt>
                <c:pt idx="57">
                  <c:v>222.9</c:v>
                </c:pt>
                <c:pt idx="58">
                  <c:v>222.9</c:v>
                </c:pt>
                <c:pt idx="59">
                  <c:v>223.9</c:v>
                </c:pt>
                <c:pt idx="60">
                  <c:v>223.9</c:v>
                </c:pt>
                <c:pt idx="61">
                  <c:v>223.9</c:v>
                </c:pt>
                <c:pt idx="62">
                  <c:v>223.9</c:v>
                </c:pt>
                <c:pt idx="63">
                  <c:v>223.9</c:v>
                </c:pt>
                <c:pt idx="64">
                  <c:v>223.9</c:v>
                </c:pt>
                <c:pt idx="65">
                  <c:v>223.9</c:v>
                </c:pt>
                <c:pt idx="66">
                  <c:v>223.9</c:v>
                </c:pt>
                <c:pt idx="67">
                  <c:v>223.9</c:v>
                </c:pt>
                <c:pt idx="68">
                  <c:v>223.9</c:v>
                </c:pt>
                <c:pt idx="70">
                  <c:v>223.9</c:v>
                </c:pt>
                <c:pt idx="72">
                  <c:v>223.9</c:v>
                </c:pt>
                <c:pt idx="73">
                  <c:v>223.9</c:v>
                </c:pt>
                <c:pt idx="74">
                  <c:v>223.9</c:v>
                </c:pt>
                <c:pt idx="75">
                  <c:v>223.9</c:v>
                </c:pt>
                <c:pt idx="76">
                  <c:v>223.9</c:v>
                </c:pt>
                <c:pt idx="77">
                  <c:v>223.9</c:v>
                </c:pt>
                <c:pt idx="78">
                  <c:v>223.9</c:v>
                </c:pt>
                <c:pt idx="79">
                  <c:v>223.9</c:v>
                </c:pt>
                <c:pt idx="80">
                  <c:v>223.9</c:v>
                </c:pt>
                <c:pt idx="81">
                  <c:v>223.9</c:v>
                </c:pt>
                <c:pt idx="82">
                  <c:v>223.9</c:v>
                </c:pt>
                <c:pt idx="83">
                  <c:v>223.9</c:v>
                </c:pt>
                <c:pt idx="84">
                  <c:v>223.9</c:v>
                </c:pt>
                <c:pt idx="85">
                  <c:v>223.9</c:v>
                </c:pt>
                <c:pt idx="86">
                  <c:v>223.9</c:v>
                </c:pt>
                <c:pt idx="87">
                  <c:v>223.9</c:v>
                </c:pt>
                <c:pt idx="88">
                  <c:v>223.9</c:v>
                </c:pt>
                <c:pt idx="89">
                  <c:v>223.9</c:v>
                </c:pt>
                <c:pt idx="90">
                  <c:v>223.9</c:v>
                </c:pt>
                <c:pt idx="91">
                  <c:v>223.9</c:v>
                </c:pt>
                <c:pt idx="92">
                  <c:v>223.9</c:v>
                </c:pt>
                <c:pt idx="93">
                  <c:v>223.9</c:v>
                </c:pt>
                <c:pt idx="94">
                  <c:v>223.9</c:v>
                </c:pt>
                <c:pt idx="95">
                  <c:v>223.9</c:v>
                </c:pt>
                <c:pt idx="96">
                  <c:v>223.9</c:v>
                </c:pt>
                <c:pt idx="97">
                  <c:v>223.9</c:v>
                </c:pt>
              </c:numCache>
            </c:numRef>
          </c:xVal>
          <c:yVal>
            <c:numRef>
              <c:f>Déplacements!$U$10:$U$200</c:f>
              <c:numCache>
                <c:formatCode>\+\ 0.0;\-\ 0.0;\±\ 0.0</c:formatCode>
                <c:ptCount val="191"/>
                <c:pt idx="0">
                  <c:v>0</c:v>
                </c:pt>
                <c:pt idx="1">
                  <c:v>-0.15000000000497948</c:v>
                </c:pt>
                <c:pt idx="2">
                  <c:v>-0.95000000000311502</c:v>
                </c:pt>
                <c:pt idx="3">
                  <c:v>-0.25000000000829914</c:v>
                </c:pt>
                <c:pt idx="4">
                  <c:v>-0.84999999999979536</c:v>
                </c:pt>
                <c:pt idx="5">
                  <c:v>-0.95000000000311502</c:v>
                </c:pt>
                <c:pt idx="6">
                  <c:v>-0.35000000001161879</c:v>
                </c:pt>
                <c:pt idx="7">
                  <c:v>0</c:v>
                </c:pt>
                <c:pt idx="8">
                  <c:v>-1.1500000000097543</c:v>
                </c:pt>
                <c:pt idx="9">
                  <c:v>-0.55000000000404725</c:v>
                </c:pt>
                <c:pt idx="10">
                  <c:v>-1.0500000000064347</c:v>
                </c:pt>
                <c:pt idx="11">
                  <c:v>-0.65000000000736691</c:v>
                </c:pt>
                <c:pt idx="12">
                  <c:v>-0.35000000001161879</c:v>
                </c:pt>
                <c:pt idx="13">
                  <c:v>-0.75000000001068656</c:v>
                </c:pt>
                <c:pt idx="14">
                  <c:v>-0.84999999999979536</c:v>
                </c:pt>
                <c:pt idx="15">
                  <c:v>-0.95000000000311502</c:v>
                </c:pt>
                <c:pt idx="16">
                  <c:v>-1.0500000000064347</c:v>
                </c:pt>
                <c:pt idx="17">
                  <c:v>-1.3500000000021828</c:v>
                </c:pt>
                <c:pt idx="18">
                  <c:v>-0.75000000001068656</c:v>
                </c:pt>
                <c:pt idx="19">
                  <c:v>-0.4500000000007276</c:v>
                </c:pt>
                <c:pt idx="20">
                  <c:v>-1.1500000000097543</c:v>
                </c:pt>
                <c:pt idx="21">
                  <c:v>-1.1500000000097543</c:v>
                </c:pt>
                <c:pt idx="22">
                  <c:v>-1.1500000000097543</c:v>
                </c:pt>
                <c:pt idx="23">
                  <c:v>-1.250000000013074</c:v>
                </c:pt>
                <c:pt idx="24">
                  <c:v>-0.84999999999979536</c:v>
                </c:pt>
                <c:pt idx="25">
                  <c:v>-0.95000000000311502</c:v>
                </c:pt>
                <c:pt idx="26">
                  <c:v>-1.5999999999962711</c:v>
                </c:pt>
                <c:pt idx="27">
                  <c:v>-1.3833333333224118</c:v>
                </c:pt>
                <c:pt idx="28">
                  <c:v>-0.75000000001068656</c:v>
                </c:pt>
                <c:pt idx="29">
                  <c:v>-1.8500000000045702</c:v>
                </c:pt>
                <c:pt idx="30">
                  <c:v>-1.0500000000064347</c:v>
                </c:pt>
                <c:pt idx="31">
                  <c:v>-1.250000000013074</c:v>
                </c:pt>
                <c:pt idx="32">
                  <c:v>-1.0500000000064347</c:v>
                </c:pt>
                <c:pt idx="33">
                  <c:v>-1.4500000000055024</c:v>
                </c:pt>
                <c:pt idx="34">
                  <c:v>-1.0500000000064347</c:v>
                </c:pt>
                <c:pt idx="35">
                  <c:v>-1.1500000000097543</c:v>
                </c:pt>
                <c:pt idx="36">
                  <c:v>-1.250000000013074</c:v>
                </c:pt>
                <c:pt idx="37">
                  <c:v>-1.250000000013074</c:v>
                </c:pt>
                <c:pt idx="38">
                  <c:v>-1.1500000000097543</c:v>
                </c:pt>
                <c:pt idx="39">
                  <c:v>-1.3500000000021828</c:v>
                </c:pt>
                <c:pt idx="40">
                  <c:v>-1.250000000013074</c:v>
                </c:pt>
                <c:pt idx="41">
                  <c:v>-1.3500000000021828</c:v>
                </c:pt>
                <c:pt idx="42">
                  <c:v>-1.1500000000097543</c:v>
                </c:pt>
                <c:pt idx="43">
                  <c:v>-1.6500000000121418</c:v>
                </c:pt>
                <c:pt idx="44">
                  <c:v>-0.95000000000311502</c:v>
                </c:pt>
                <c:pt idx="45">
                  <c:v>-1.8500000000045702</c:v>
                </c:pt>
                <c:pt idx="46">
                  <c:v>-1.3500000000021828</c:v>
                </c:pt>
                <c:pt idx="47">
                  <c:v>-1.4500000000055024</c:v>
                </c:pt>
                <c:pt idx="48">
                  <c:v>-1.4500000000055024</c:v>
                </c:pt>
                <c:pt idx="49">
                  <c:v>-1.250000000013074</c:v>
                </c:pt>
                <c:pt idx="50">
                  <c:v>-1.4500000000055024</c:v>
                </c:pt>
                <c:pt idx="51">
                  <c:v>-1.9500000000078899</c:v>
                </c:pt>
                <c:pt idx="52">
                  <c:v>-1.9500000000078899</c:v>
                </c:pt>
                <c:pt idx="53">
                  <c:v>-1.7500000000012506</c:v>
                </c:pt>
                <c:pt idx="54">
                  <c:v>-1.6500000000121418</c:v>
                </c:pt>
                <c:pt idx="55">
                  <c:v>-1.7500000000012506</c:v>
                </c:pt>
                <c:pt idx="56">
                  <c:v>-1.6500000000121418</c:v>
                </c:pt>
                <c:pt idx="57">
                  <c:v>-1.7500000000012506</c:v>
                </c:pt>
                <c:pt idx="58">
                  <c:v>-2.1500000000003183</c:v>
                </c:pt>
                <c:pt idx="59">
                  <c:v>-0.84999999999979536</c:v>
                </c:pt>
                <c:pt idx="60">
                  <c:v>-1.5500000000088221</c:v>
                </c:pt>
                <c:pt idx="61">
                  <c:v>-1.6500000000121418</c:v>
                </c:pt>
                <c:pt idx="62">
                  <c:v>-0.95000000000311502</c:v>
                </c:pt>
                <c:pt idx="63">
                  <c:v>-2.250000000003638</c:v>
                </c:pt>
                <c:pt idx="64">
                  <c:v>-1.9500000000078899</c:v>
                </c:pt>
                <c:pt idx="65">
                  <c:v>-2.3500000000069576</c:v>
                </c:pt>
                <c:pt idx="66">
                  <c:v>-1.9500000000078899</c:v>
                </c:pt>
                <c:pt idx="67">
                  <c:v>-0.65000000000736691</c:v>
                </c:pt>
                <c:pt idx="68">
                  <c:v>-1.1500000000097543</c:v>
                </c:pt>
                <c:pt idx="72">
                  <c:v>-1.6500000000121418</c:v>
                </c:pt>
                <c:pt idx="73">
                  <c:v>-1.1500000000097543</c:v>
                </c:pt>
                <c:pt idx="74">
                  <c:v>-1.8500000000187811</c:v>
                </c:pt>
                <c:pt idx="75">
                  <c:v>-1.6500000000121418</c:v>
                </c:pt>
                <c:pt idx="76">
                  <c:v>-2.6500000000169166</c:v>
                </c:pt>
                <c:pt idx="77">
                  <c:v>-1.1500000000097543</c:v>
                </c:pt>
                <c:pt idx="78">
                  <c:v>-2.0500000000112095</c:v>
                </c:pt>
                <c:pt idx="79">
                  <c:v>-1.3500000000163936</c:v>
                </c:pt>
                <c:pt idx="80">
                  <c:v>-1.5500000000088221</c:v>
                </c:pt>
                <c:pt idx="81">
                  <c:v>-1.8500000000187811</c:v>
                </c:pt>
                <c:pt idx="82">
                  <c:v>-2.2500000000178488</c:v>
                </c:pt>
                <c:pt idx="83">
                  <c:v>-1.250000000013074</c:v>
                </c:pt>
                <c:pt idx="84">
                  <c:v>-1.3500000000163936</c:v>
                </c:pt>
                <c:pt idx="85">
                  <c:v>-1.9500000000078899</c:v>
                </c:pt>
                <c:pt idx="86">
                  <c:v>-2.6500000000169166</c:v>
                </c:pt>
                <c:pt idx="87">
                  <c:v>-1.5500000000088221</c:v>
                </c:pt>
                <c:pt idx="88">
                  <c:v>-1.8500000000187811</c:v>
                </c:pt>
                <c:pt idx="89">
                  <c:v>-1.9500000000078899</c:v>
                </c:pt>
                <c:pt idx="90">
                  <c:v>-1.8500000000187811</c:v>
                </c:pt>
                <c:pt idx="91">
                  <c:v>-1.8500000000187811</c:v>
                </c:pt>
                <c:pt idx="92">
                  <c:v>-1.8500000000187811</c:v>
                </c:pt>
                <c:pt idx="93">
                  <c:v>-2.0500000000112095</c:v>
                </c:pt>
                <c:pt idx="94">
                  <c:v>-1.9500000000078899</c:v>
                </c:pt>
                <c:pt idx="95">
                  <c:v>-2.4500000000102773</c:v>
                </c:pt>
                <c:pt idx="96">
                  <c:v>-1.5500000000088221</c:v>
                </c:pt>
                <c:pt idx="97">
                  <c:v>-1.9500000000078899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DD4-48A2-B795-B42972D22F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9070648"/>
        <c:axId val="519071040"/>
      </c:scatterChart>
      <c:valAx>
        <c:axId val="519070648"/>
        <c:scaling>
          <c:orientation val="minMax"/>
          <c:min val="180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PM front</a:t>
                </a:r>
              </a:p>
            </c:rich>
          </c:tx>
          <c:layout>
            <c:manualLayout>
              <c:xMode val="edge"/>
              <c:yMode val="edge"/>
              <c:x val="0.43927912392593438"/>
              <c:y val="0.9432044643068267"/>
            </c:manualLayout>
          </c:layout>
          <c:overlay val="0"/>
          <c:spPr>
            <a:noFill/>
            <a:ln w="25400">
              <a:noFill/>
            </a:ln>
          </c:spPr>
        </c:title>
        <c:numFmt formatCode="#,##0.00" sourceLinked="0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519071040"/>
        <c:crossesAt val="0"/>
        <c:crossBetween val="midCat"/>
      </c:valAx>
      <c:valAx>
        <c:axId val="519071040"/>
        <c:scaling>
          <c:orientation val="minMax"/>
          <c:max val="15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/>
        <c:title>
          <c:tx>
            <c:rich>
              <a:bodyPr/>
              <a:lstStyle/>
              <a:p>
                <a:pPr>
                  <a:defRPr b="1"/>
                </a:pPr>
                <a:r>
                  <a:rPr lang="fr-FR" b="1"/>
                  <a:t>D2placements en Z  [mm]</a:t>
                </a:r>
              </a:p>
            </c:rich>
          </c:tx>
          <c:overlay val="0"/>
        </c:title>
        <c:numFmt formatCode="\+\ 0.0;\-\ 0.0;\±\ 0.0" sourceLinked="0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519070648"/>
        <c:crosses val="autoZero"/>
        <c:crossBetween val="midCat"/>
        <c:majorUnit val="5"/>
        <c:minorUnit val="1"/>
      </c:valAx>
    </c:plotArea>
    <c:legend>
      <c:legendPos val="r"/>
      <c:layout>
        <c:manualLayout>
          <c:xMode val="edge"/>
          <c:yMode val="edge"/>
          <c:x val="0.10816646929636417"/>
          <c:y val="3.6162237203630522E-2"/>
          <c:w val="0.24517664360597907"/>
          <c:h val="0.23016340840330946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0"/>
    <c:dispBlanksAs val="span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899999956" l="0.78740157499999996" r="0.78740157499999996" t="0.98425196899999956" header="0.49212598450000478" footer="0.49212598450000478"/>
    <c:pageSetup paperSize="9" orientation="landscape"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fr-FR"/>
              <a:t>Déplacement en PM
</a:t>
            </a:r>
          </a:p>
        </c:rich>
      </c:tx>
      <c:layout>
        <c:manualLayout>
          <c:xMode val="edge"/>
          <c:yMode val="edge"/>
          <c:x val="0.48552406794562025"/>
          <c:y val="6.0355867678702317E-2"/>
        </c:manualLayout>
      </c:layout>
      <c:overlay val="0"/>
      <c:spPr>
        <a:solidFill>
          <a:schemeClr val="bg1"/>
        </a:solidFill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6758248843572708E-2"/>
          <c:y val="2.1578345894185801E-2"/>
          <c:w val="0.81613267472675455"/>
          <c:h val="0.80144620006483069"/>
        </c:manualLayout>
      </c:layout>
      <c:scatterChart>
        <c:scatterStyle val="lineMarker"/>
        <c:varyColors val="0"/>
        <c:ser>
          <c:idx val="10"/>
          <c:order val="0"/>
          <c:tx>
            <c:strRef>
              <c:f>Déplacements!$K$9</c:f>
              <c:strCache>
                <c:ptCount val="1"/>
                <c:pt idx="0">
                  <c:v>DPM centre haut</c:v>
                </c:pt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circle"/>
            <c:size val="3"/>
          </c:marker>
          <c:xVal>
            <c:numRef>
              <c:f>'Résultats observations'!$C$10:$C$200</c:f>
              <c:numCache>
                <c:formatCode>0.0</c:formatCode>
                <c:ptCount val="191"/>
                <c:pt idx="0">
                  <c:v>184.3</c:v>
                </c:pt>
                <c:pt idx="1">
                  <c:v>185.03</c:v>
                </c:pt>
                <c:pt idx="2">
                  <c:v>187.2</c:v>
                </c:pt>
                <c:pt idx="3">
                  <c:v>188.17</c:v>
                </c:pt>
                <c:pt idx="4">
                  <c:v>189.2</c:v>
                </c:pt>
                <c:pt idx="5">
                  <c:v>191.5</c:v>
                </c:pt>
                <c:pt idx="6">
                  <c:v>192.5</c:v>
                </c:pt>
                <c:pt idx="7">
                  <c:v>193.04</c:v>
                </c:pt>
                <c:pt idx="8">
                  <c:v>193.6</c:v>
                </c:pt>
                <c:pt idx="9">
                  <c:v>193.6</c:v>
                </c:pt>
                <c:pt idx="10">
                  <c:v>194.8</c:v>
                </c:pt>
                <c:pt idx="11">
                  <c:v>194.8</c:v>
                </c:pt>
                <c:pt idx="12">
                  <c:v>195.4</c:v>
                </c:pt>
                <c:pt idx="13">
                  <c:v>196.35</c:v>
                </c:pt>
                <c:pt idx="14">
                  <c:v>196.35</c:v>
                </c:pt>
                <c:pt idx="15">
                  <c:v>198.3</c:v>
                </c:pt>
                <c:pt idx="16">
                  <c:v>199.4</c:v>
                </c:pt>
                <c:pt idx="17">
                  <c:v>200.6</c:v>
                </c:pt>
                <c:pt idx="18">
                  <c:v>202.58</c:v>
                </c:pt>
                <c:pt idx="19">
                  <c:v>203.6</c:v>
                </c:pt>
                <c:pt idx="20">
                  <c:v>203.6</c:v>
                </c:pt>
                <c:pt idx="21">
                  <c:v>206.32</c:v>
                </c:pt>
                <c:pt idx="22">
                  <c:v>206.32</c:v>
                </c:pt>
                <c:pt idx="23">
                  <c:v>206.32</c:v>
                </c:pt>
                <c:pt idx="24">
                  <c:v>206.32</c:v>
                </c:pt>
                <c:pt idx="25">
                  <c:v>207.2</c:v>
                </c:pt>
                <c:pt idx="26">
                  <c:v>208.3</c:v>
                </c:pt>
                <c:pt idx="27">
                  <c:v>212.65</c:v>
                </c:pt>
                <c:pt idx="28">
                  <c:v>213.5</c:v>
                </c:pt>
                <c:pt idx="29">
                  <c:v>215</c:v>
                </c:pt>
                <c:pt idx="30">
                  <c:v>215</c:v>
                </c:pt>
                <c:pt idx="31">
                  <c:v>215.55</c:v>
                </c:pt>
                <c:pt idx="32">
                  <c:v>216.87</c:v>
                </c:pt>
                <c:pt idx="33">
                  <c:v>217.7</c:v>
                </c:pt>
                <c:pt idx="34">
                  <c:v>218.7</c:v>
                </c:pt>
                <c:pt idx="35">
                  <c:v>218.7</c:v>
                </c:pt>
                <c:pt idx="36">
                  <c:v>220.5</c:v>
                </c:pt>
                <c:pt idx="37">
                  <c:v>221.7</c:v>
                </c:pt>
                <c:pt idx="38">
                  <c:v>222.9</c:v>
                </c:pt>
                <c:pt idx="39">
                  <c:v>222.9</c:v>
                </c:pt>
                <c:pt idx="40">
                  <c:v>222.9</c:v>
                </c:pt>
                <c:pt idx="41">
                  <c:v>222.9</c:v>
                </c:pt>
                <c:pt idx="42">
                  <c:v>222.9</c:v>
                </c:pt>
                <c:pt idx="43">
                  <c:v>222.9</c:v>
                </c:pt>
                <c:pt idx="44">
                  <c:v>222.9</c:v>
                </c:pt>
                <c:pt idx="45">
                  <c:v>222.9</c:v>
                </c:pt>
                <c:pt idx="46">
                  <c:v>222.9</c:v>
                </c:pt>
                <c:pt idx="47">
                  <c:v>222.9</c:v>
                </c:pt>
                <c:pt idx="48">
                  <c:v>222.9</c:v>
                </c:pt>
                <c:pt idx="49">
                  <c:v>222.9</c:v>
                </c:pt>
                <c:pt idx="50">
                  <c:v>222.9</c:v>
                </c:pt>
                <c:pt idx="51">
                  <c:v>222.9</c:v>
                </c:pt>
                <c:pt idx="52">
                  <c:v>222.9</c:v>
                </c:pt>
                <c:pt idx="53">
                  <c:v>222.9</c:v>
                </c:pt>
                <c:pt idx="54">
                  <c:v>222.9</c:v>
                </c:pt>
                <c:pt idx="55">
                  <c:v>222.9</c:v>
                </c:pt>
                <c:pt idx="56">
                  <c:v>222.9</c:v>
                </c:pt>
                <c:pt idx="57">
                  <c:v>222.9</c:v>
                </c:pt>
                <c:pt idx="58">
                  <c:v>222.9</c:v>
                </c:pt>
                <c:pt idx="59">
                  <c:v>223.9</c:v>
                </c:pt>
                <c:pt idx="60">
                  <c:v>223.9</c:v>
                </c:pt>
                <c:pt idx="61">
                  <c:v>223.9</c:v>
                </c:pt>
                <c:pt idx="62">
                  <c:v>223.9</c:v>
                </c:pt>
                <c:pt idx="63">
                  <c:v>223.9</c:v>
                </c:pt>
                <c:pt idx="64">
                  <c:v>223.9</c:v>
                </c:pt>
                <c:pt idx="65">
                  <c:v>223.9</c:v>
                </c:pt>
                <c:pt idx="66">
                  <c:v>223.9</c:v>
                </c:pt>
                <c:pt idx="67">
                  <c:v>223.9</c:v>
                </c:pt>
                <c:pt idx="68">
                  <c:v>223.9</c:v>
                </c:pt>
                <c:pt idx="70">
                  <c:v>223.9</c:v>
                </c:pt>
                <c:pt idx="72">
                  <c:v>223.9</c:v>
                </c:pt>
                <c:pt idx="73">
                  <c:v>223.9</c:v>
                </c:pt>
                <c:pt idx="74">
                  <c:v>223.9</c:v>
                </c:pt>
                <c:pt idx="75">
                  <c:v>223.9</c:v>
                </c:pt>
                <c:pt idx="76">
                  <c:v>223.9</c:v>
                </c:pt>
                <c:pt idx="77">
                  <c:v>223.9</c:v>
                </c:pt>
                <c:pt idx="78">
                  <c:v>223.9</c:v>
                </c:pt>
                <c:pt idx="79">
                  <c:v>223.9</c:v>
                </c:pt>
                <c:pt idx="80">
                  <c:v>223.9</c:v>
                </c:pt>
                <c:pt idx="81">
                  <c:v>223.9</c:v>
                </c:pt>
                <c:pt idx="82">
                  <c:v>223.9</c:v>
                </c:pt>
                <c:pt idx="83">
                  <c:v>223.9</c:v>
                </c:pt>
                <c:pt idx="84">
                  <c:v>223.9</c:v>
                </c:pt>
                <c:pt idx="85">
                  <c:v>223.9</c:v>
                </c:pt>
                <c:pt idx="86">
                  <c:v>223.9</c:v>
                </c:pt>
                <c:pt idx="87">
                  <c:v>223.9</c:v>
                </c:pt>
                <c:pt idx="88">
                  <c:v>223.9</c:v>
                </c:pt>
                <c:pt idx="89">
                  <c:v>223.9</c:v>
                </c:pt>
                <c:pt idx="90">
                  <c:v>223.9</c:v>
                </c:pt>
                <c:pt idx="91">
                  <c:v>223.9</c:v>
                </c:pt>
                <c:pt idx="92">
                  <c:v>223.9</c:v>
                </c:pt>
                <c:pt idx="93">
                  <c:v>223.9</c:v>
                </c:pt>
                <c:pt idx="94">
                  <c:v>223.9</c:v>
                </c:pt>
                <c:pt idx="95">
                  <c:v>223.9</c:v>
                </c:pt>
                <c:pt idx="96">
                  <c:v>223.9</c:v>
                </c:pt>
                <c:pt idx="97">
                  <c:v>223.9</c:v>
                </c:pt>
              </c:numCache>
            </c:numRef>
          </c:xVal>
          <c:yVal>
            <c:numRef>
              <c:f>Déplacements!$K$10:$K$200</c:f>
              <c:numCache>
                <c:formatCode>\+\ 0.0;\-\ 0.0;\±\ 0.0</c:formatCode>
                <c:ptCount val="191"/>
                <c:pt idx="0">
                  <c:v>0</c:v>
                </c:pt>
                <c:pt idx="1">
                  <c:v>0.40000000001327862</c:v>
                </c:pt>
                <c:pt idx="2">
                  <c:v>0.90000000000145519</c:v>
                </c:pt>
                <c:pt idx="3">
                  <c:v>0.69999999999481588</c:v>
                </c:pt>
                <c:pt idx="4">
                  <c:v>-0.59999999999149622</c:v>
                </c:pt>
                <c:pt idx="5">
                  <c:v>-1.2000000000114142</c:v>
                </c:pt>
                <c:pt idx="6">
                  <c:v>-1.0686999999904856</c:v>
                </c:pt>
                <c:pt idx="7">
                  <c:v>-1.7209699263105449</c:v>
                </c:pt>
                <c:pt idx="8">
                  <c:v>-0.87519999999585707</c:v>
                </c:pt>
                <c:pt idx="9">
                  <c:v>-0.85079999999493339</c:v>
                </c:pt>
                <c:pt idx="10">
                  <c:v>-2.300899999994499</c:v>
                </c:pt>
                <c:pt idx="11">
                  <c:v>-2.0106999999995878</c:v>
                </c:pt>
                <c:pt idx="12">
                  <c:v>-1.5999999999962711</c:v>
                </c:pt>
                <c:pt idx="13">
                  <c:v>-1.90000000000623</c:v>
                </c:pt>
                <c:pt idx="14">
                  <c:v>-2.9000000000110049</c:v>
                </c:pt>
                <c:pt idx="15">
                  <c:v>-2.9000000000110049</c:v>
                </c:pt>
                <c:pt idx="16">
                  <c:v>-3.2999999999958618</c:v>
                </c:pt>
                <c:pt idx="17">
                  <c:v>-3.5000000000025011</c:v>
                </c:pt>
                <c:pt idx="18">
                  <c:v>-3.0860804203314274</c:v>
                </c:pt>
                <c:pt idx="19">
                  <c:v>-3.2999999999958618</c:v>
                </c:pt>
                <c:pt idx="20">
                  <c:v>-3.7000000000091404</c:v>
                </c:pt>
                <c:pt idx="21">
                  <c:v>-3.2999999999958618</c:v>
                </c:pt>
                <c:pt idx="22">
                  <c:v>-4.6000000000105956</c:v>
                </c:pt>
                <c:pt idx="23">
                  <c:v>-4.199999999997317</c:v>
                </c:pt>
                <c:pt idx="24">
                  <c:v>-4.5662151851786348</c:v>
                </c:pt>
                <c:pt idx="25">
                  <c:v>-4.500000000007276</c:v>
                </c:pt>
                <c:pt idx="26">
                  <c:v>-4.599545461701382</c:v>
                </c:pt>
                <c:pt idx="27">
                  <c:v>-4.2190166107616278</c:v>
                </c:pt>
                <c:pt idx="28">
                  <c:v>-4.5422464690716424</c:v>
                </c:pt>
                <c:pt idx="29">
                  <c:v>-4.4333208995226414</c:v>
                </c:pt>
                <c:pt idx="30">
                  <c:v>-4.8986644992510264</c:v>
                </c:pt>
                <c:pt idx="31">
                  <c:v>-5.4180444434450692</c:v>
                </c:pt>
                <c:pt idx="32">
                  <c:v>-4.675140853208859</c:v>
                </c:pt>
                <c:pt idx="33">
                  <c:v>-4.9709972496714272</c:v>
                </c:pt>
                <c:pt idx="34">
                  <c:v>-4.8999999999921329</c:v>
                </c:pt>
                <c:pt idx="35">
                  <c:v>-5.3000000000054115</c:v>
                </c:pt>
                <c:pt idx="36">
                  <c:v>-5.2000000000020918</c:v>
                </c:pt>
                <c:pt idx="37">
                  <c:v>-5.5000000000120508</c:v>
                </c:pt>
                <c:pt idx="38">
                  <c:v>-5.5000000000120508</c:v>
                </c:pt>
                <c:pt idx="39">
                  <c:v>-5.2000000000020918</c:v>
                </c:pt>
                <c:pt idx="40">
                  <c:v>-5.8999999999969077</c:v>
                </c:pt>
                <c:pt idx="41">
                  <c:v>-5.3000000000054115</c:v>
                </c:pt>
                <c:pt idx="42">
                  <c:v>-5.3000000000054115</c:v>
                </c:pt>
                <c:pt idx="43">
                  <c:v>-6.0947140828204738</c:v>
                </c:pt>
                <c:pt idx="44">
                  <c:v>-5.7999999999935881</c:v>
                </c:pt>
                <c:pt idx="45">
                  <c:v>-5.8999999999969077</c:v>
                </c:pt>
                <c:pt idx="46">
                  <c:v>-5.7999999999935881</c:v>
                </c:pt>
                <c:pt idx="47">
                  <c:v>-6.100000000003547</c:v>
                </c:pt>
                <c:pt idx="48">
                  <c:v>-6.400000000013506</c:v>
                </c:pt>
                <c:pt idx="49">
                  <c:v>-6.100000000003547</c:v>
                </c:pt>
                <c:pt idx="50">
                  <c:v>-6.2000000000068667</c:v>
                </c:pt>
                <c:pt idx="51">
                  <c:v>-6.100000000003547</c:v>
                </c:pt>
                <c:pt idx="52">
                  <c:v>-6.2000000000068667</c:v>
                </c:pt>
                <c:pt idx="53">
                  <c:v>-5.7999999999935881</c:v>
                </c:pt>
                <c:pt idx="54">
                  <c:v>-6.5999999999917236</c:v>
                </c:pt>
                <c:pt idx="55">
                  <c:v>-7.1000000000083219</c:v>
                </c:pt>
                <c:pt idx="56">
                  <c:v>-6.6999999999950433</c:v>
                </c:pt>
                <c:pt idx="57">
                  <c:v>-6.7953525438326778</c:v>
                </c:pt>
                <c:pt idx="58">
                  <c:v>-7.4476270760044372</c:v>
                </c:pt>
                <c:pt idx="59">
                  <c:v>-7.1818382023138838</c:v>
                </c:pt>
                <c:pt idx="60">
                  <c:v>-7.1517705810890675</c:v>
                </c:pt>
                <c:pt idx="61">
                  <c:v>-7.3752941216298495</c:v>
                </c:pt>
                <c:pt idx="62">
                  <c:v>-7.7012182448754629</c:v>
                </c:pt>
                <c:pt idx="63">
                  <c:v>-7.4959910048164602</c:v>
                </c:pt>
                <c:pt idx="64">
                  <c:v>-7.7195146508870494</c:v>
                </c:pt>
                <c:pt idx="68">
                  <c:v>-8.190957057365722</c:v>
                </c:pt>
                <c:pt idx="72">
                  <c:v>-7.0375990996751625</c:v>
                </c:pt>
                <c:pt idx="73">
                  <c:v>-8.3726419724712287</c:v>
                </c:pt>
                <c:pt idx="74">
                  <c:v>-6.317430817460945</c:v>
                </c:pt>
                <c:pt idx="75">
                  <c:v>-7.4667762714284436</c:v>
                </c:pt>
                <c:pt idx="76">
                  <c:v>-7.3174308174657199</c:v>
                </c:pt>
                <c:pt idx="77">
                  <c:v>-7.188789791371164</c:v>
                </c:pt>
                <c:pt idx="78">
                  <c:v>-7.8288667171477755</c:v>
                </c:pt>
                <c:pt idx="79">
                  <c:v>-8.3125066244633672</c:v>
                </c:pt>
                <c:pt idx="80">
                  <c:v>-7.2127586129511201</c:v>
                </c:pt>
                <c:pt idx="81">
                  <c:v>-7.0436978008672213</c:v>
                </c:pt>
                <c:pt idx="82">
                  <c:v>-7.9133970739917459</c:v>
                </c:pt>
                <c:pt idx="83">
                  <c:v>-7.4301834522714216</c:v>
                </c:pt>
                <c:pt idx="84">
                  <c:v>-8.0279950520605325</c:v>
                </c:pt>
                <c:pt idx="85">
                  <c:v>-7.8044715044143231</c:v>
                </c:pt>
                <c:pt idx="86">
                  <c:v>-8.5234062730137339</c:v>
                </c:pt>
                <c:pt idx="87">
                  <c:v>-7.9072982672414582</c:v>
                </c:pt>
                <c:pt idx="88">
                  <c:v>-7.9495633964654644</c:v>
                </c:pt>
                <c:pt idx="89">
                  <c:v>-8.070260279652075</c:v>
                </c:pt>
                <c:pt idx="90">
                  <c:v>-7.9979275292032526</c:v>
                </c:pt>
                <c:pt idx="91">
                  <c:v>-8.5173074733688736</c:v>
                </c:pt>
                <c:pt idx="92">
                  <c:v>-7.7683049780148394</c:v>
                </c:pt>
                <c:pt idx="93">
                  <c:v>-9.0549839219420392</c:v>
                </c:pt>
                <c:pt idx="94">
                  <c:v>-8.462844737806563</c:v>
                </c:pt>
                <c:pt idx="95">
                  <c:v>-8.7830963470310053</c:v>
                </c:pt>
                <c:pt idx="96">
                  <c:v>-8.9159907311398001</c:v>
                </c:pt>
                <c:pt idx="97">
                  <c:v>-10.251459995089363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8FF-407F-9CB8-5E8BB184FA48}"/>
            </c:ext>
          </c:extLst>
        </c:ser>
        <c:ser>
          <c:idx val="11"/>
          <c:order val="1"/>
          <c:tx>
            <c:strRef>
              <c:f>Déplacements!$G$9</c:f>
              <c:strCache>
                <c:ptCount val="1"/>
                <c:pt idx="0">
                  <c:v>DPM haut gauche</c:v>
                </c:pt>
              </c:strCache>
            </c:strRef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circle"/>
            <c:size val="3"/>
          </c:marker>
          <c:xVal>
            <c:numRef>
              <c:f>'Résultats observations'!$C$10:$C$200</c:f>
              <c:numCache>
                <c:formatCode>0.0</c:formatCode>
                <c:ptCount val="191"/>
                <c:pt idx="0">
                  <c:v>184.3</c:v>
                </c:pt>
                <c:pt idx="1">
                  <c:v>185.03</c:v>
                </c:pt>
                <c:pt idx="2">
                  <c:v>187.2</c:v>
                </c:pt>
                <c:pt idx="3">
                  <c:v>188.17</c:v>
                </c:pt>
                <c:pt idx="4">
                  <c:v>189.2</c:v>
                </c:pt>
                <c:pt idx="5">
                  <c:v>191.5</c:v>
                </c:pt>
                <c:pt idx="6">
                  <c:v>192.5</c:v>
                </c:pt>
                <c:pt idx="7">
                  <c:v>193.04</c:v>
                </c:pt>
                <c:pt idx="8">
                  <c:v>193.6</c:v>
                </c:pt>
                <c:pt idx="9">
                  <c:v>193.6</c:v>
                </c:pt>
                <c:pt idx="10">
                  <c:v>194.8</c:v>
                </c:pt>
                <c:pt idx="11">
                  <c:v>194.8</c:v>
                </c:pt>
                <c:pt idx="12">
                  <c:v>195.4</c:v>
                </c:pt>
                <c:pt idx="13">
                  <c:v>196.35</c:v>
                </c:pt>
                <c:pt idx="14">
                  <c:v>196.35</c:v>
                </c:pt>
                <c:pt idx="15">
                  <c:v>198.3</c:v>
                </c:pt>
                <c:pt idx="16">
                  <c:v>199.4</c:v>
                </c:pt>
                <c:pt idx="17">
                  <c:v>200.6</c:v>
                </c:pt>
                <c:pt idx="18">
                  <c:v>202.58</c:v>
                </c:pt>
                <c:pt idx="19">
                  <c:v>203.6</c:v>
                </c:pt>
                <c:pt idx="20">
                  <c:v>203.6</c:v>
                </c:pt>
                <c:pt idx="21">
                  <c:v>206.32</c:v>
                </c:pt>
                <c:pt idx="22">
                  <c:v>206.32</c:v>
                </c:pt>
                <c:pt idx="23">
                  <c:v>206.32</c:v>
                </c:pt>
                <c:pt idx="24">
                  <c:v>206.32</c:v>
                </c:pt>
                <c:pt idx="25">
                  <c:v>207.2</c:v>
                </c:pt>
                <c:pt idx="26">
                  <c:v>208.3</c:v>
                </c:pt>
                <c:pt idx="27">
                  <c:v>212.65</c:v>
                </c:pt>
                <c:pt idx="28">
                  <c:v>213.5</c:v>
                </c:pt>
                <c:pt idx="29">
                  <c:v>215</c:v>
                </c:pt>
                <c:pt idx="30">
                  <c:v>215</c:v>
                </c:pt>
                <c:pt idx="31">
                  <c:v>215.55</c:v>
                </c:pt>
                <c:pt idx="32">
                  <c:v>216.87</c:v>
                </c:pt>
                <c:pt idx="33">
                  <c:v>217.7</c:v>
                </c:pt>
                <c:pt idx="34">
                  <c:v>218.7</c:v>
                </c:pt>
                <c:pt idx="35">
                  <c:v>218.7</c:v>
                </c:pt>
                <c:pt idx="36">
                  <c:v>220.5</c:v>
                </c:pt>
                <c:pt idx="37">
                  <c:v>221.7</c:v>
                </c:pt>
                <c:pt idx="38">
                  <c:v>222.9</c:v>
                </c:pt>
                <c:pt idx="39">
                  <c:v>222.9</c:v>
                </c:pt>
                <c:pt idx="40">
                  <c:v>222.9</c:v>
                </c:pt>
                <c:pt idx="41">
                  <c:v>222.9</c:v>
                </c:pt>
                <c:pt idx="42">
                  <c:v>222.9</c:v>
                </c:pt>
                <c:pt idx="43">
                  <c:v>222.9</c:v>
                </c:pt>
                <c:pt idx="44">
                  <c:v>222.9</c:v>
                </c:pt>
                <c:pt idx="45">
                  <c:v>222.9</c:v>
                </c:pt>
                <c:pt idx="46">
                  <c:v>222.9</c:v>
                </c:pt>
                <c:pt idx="47">
                  <c:v>222.9</c:v>
                </c:pt>
                <c:pt idx="48">
                  <c:v>222.9</c:v>
                </c:pt>
                <c:pt idx="49">
                  <c:v>222.9</c:v>
                </c:pt>
                <c:pt idx="50">
                  <c:v>222.9</c:v>
                </c:pt>
                <c:pt idx="51">
                  <c:v>222.9</c:v>
                </c:pt>
                <c:pt idx="52">
                  <c:v>222.9</c:v>
                </c:pt>
                <c:pt idx="53">
                  <c:v>222.9</c:v>
                </c:pt>
                <c:pt idx="54">
                  <c:v>222.9</c:v>
                </c:pt>
                <c:pt idx="55">
                  <c:v>222.9</c:v>
                </c:pt>
                <c:pt idx="56">
                  <c:v>222.9</c:v>
                </c:pt>
                <c:pt idx="57">
                  <c:v>222.9</c:v>
                </c:pt>
                <c:pt idx="58">
                  <c:v>222.9</c:v>
                </c:pt>
                <c:pt idx="59">
                  <c:v>223.9</c:v>
                </c:pt>
                <c:pt idx="60">
                  <c:v>223.9</c:v>
                </c:pt>
                <c:pt idx="61">
                  <c:v>223.9</c:v>
                </c:pt>
                <c:pt idx="62">
                  <c:v>223.9</c:v>
                </c:pt>
                <c:pt idx="63">
                  <c:v>223.9</c:v>
                </c:pt>
                <c:pt idx="64">
                  <c:v>223.9</c:v>
                </c:pt>
                <c:pt idx="65">
                  <c:v>223.9</c:v>
                </c:pt>
                <c:pt idx="66">
                  <c:v>223.9</c:v>
                </c:pt>
                <c:pt idx="67">
                  <c:v>223.9</c:v>
                </c:pt>
                <c:pt idx="68">
                  <c:v>223.9</c:v>
                </c:pt>
                <c:pt idx="70">
                  <c:v>223.9</c:v>
                </c:pt>
                <c:pt idx="72">
                  <c:v>223.9</c:v>
                </c:pt>
                <c:pt idx="73">
                  <c:v>223.9</c:v>
                </c:pt>
                <c:pt idx="74">
                  <c:v>223.9</c:v>
                </c:pt>
                <c:pt idx="75">
                  <c:v>223.9</c:v>
                </c:pt>
                <c:pt idx="76">
                  <c:v>223.9</c:v>
                </c:pt>
                <c:pt idx="77">
                  <c:v>223.9</c:v>
                </c:pt>
                <c:pt idx="78">
                  <c:v>223.9</c:v>
                </c:pt>
                <c:pt idx="79">
                  <c:v>223.9</c:v>
                </c:pt>
                <c:pt idx="80">
                  <c:v>223.9</c:v>
                </c:pt>
                <c:pt idx="81">
                  <c:v>223.9</c:v>
                </c:pt>
                <c:pt idx="82">
                  <c:v>223.9</c:v>
                </c:pt>
                <c:pt idx="83">
                  <c:v>223.9</c:v>
                </c:pt>
                <c:pt idx="84">
                  <c:v>223.9</c:v>
                </c:pt>
                <c:pt idx="85">
                  <c:v>223.9</c:v>
                </c:pt>
                <c:pt idx="86">
                  <c:v>223.9</c:v>
                </c:pt>
                <c:pt idx="87">
                  <c:v>223.9</c:v>
                </c:pt>
                <c:pt idx="88">
                  <c:v>223.9</c:v>
                </c:pt>
                <c:pt idx="89">
                  <c:v>223.9</c:v>
                </c:pt>
                <c:pt idx="90">
                  <c:v>223.9</c:v>
                </c:pt>
                <c:pt idx="91">
                  <c:v>223.9</c:v>
                </c:pt>
                <c:pt idx="92">
                  <c:v>223.9</c:v>
                </c:pt>
                <c:pt idx="93">
                  <c:v>223.9</c:v>
                </c:pt>
                <c:pt idx="94">
                  <c:v>223.9</c:v>
                </c:pt>
                <c:pt idx="95">
                  <c:v>223.9</c:v>
                </c:pt>
                <c:pt idx="96">
                  <c:v>223.9</c:v>
                </c:pt>
                <c:pt idx="97">
                  <c:v>223.9</c:v>
                </c:pt>
              </c:numCache>
            </c:numRef>
          </c:xVal>
          <c:yVal>
            <c:numRef>
              <c:f>Déplacements!$G$10:$G$200</c:f>
              <c:numCache>
                <c:formatCode>\+\ 0.0;\-\ 0.0;\±\ 0.0</c:formatCode>
                <c:ptCount val="191"/>
                <c:pt idx="0">
                  <c:v>0</c:v>
                </c:pt>
                <c:pt idx="1">
                  <c:v>0.59999999999149622</c:v>
                </c:pt>
                <c:pt idx="2">
                  <c:v>0.99999999997635314</c:v>
                </c:pt>
                <c:pt idx="3">
                  <c:v>0</c:v>
                </c:pt>
                <c:pt idx="5">
                  <c:v>-1.6999999999995907</c:v>
                </c:pt>
                <c:pt idx="6">
                  <c:v>-1.3102000000060343</c:v>
                </c:pt>
                <c:pt idx="7">
                  <c:v>-2.6814397401437873</c:v>
                </c:pt>
                <c:pt idx="8">
                  <c:v>-1.6906000000176391</c:v>
                </c:pt>
                <c:pt idx="9">
                  <c:v>-1.8897000000208664</c:v>
                </c:pt>
                <c:pt idx="10">
                  <c:v>-3.3882000000176049</c:v>
                </c:pt>
                <c:pt idx="11">
                  <c:v>-3.9921000000049389</c:v>
                </c:pt>
                <c:pt idx="12">
                  <c:v>-3.1000000000176442</c:v>
                </c:pt>
                <c:pt idx="13">
                  <c:v>-3.6000000000058208</c:v>
                </c:pt>
                <c:pt idx="14">
                  <c:v>-4.7000000000139153</c:v>
                </c:pt>
                <c:pt idx="15">
                  <c:v>-4.8000000000172349</c:v>
                </c:pt>
                <c:pt idx="16">
                  <c:v>-4.9000000000205546</c:v>
                </c:pt>
                <c:pt idx="17">
                  <c:v>-5.5000000000120508</c:v>
                </c:pt>
                <c:pt idx="18">
                  <c:v>-5.0674402060622015</c:v>
                </c:pt>
                <c:pt idx="19">
                  <c:v>-5.5000000000120508</c:v>
                </c:pt>
                <c:pt idx="20">
                  <c:v>-5.8000000000220098</c:v>
                </c:pt>
                <c:pt idx="21">
                  <c:v>-5.6000000000153705</c:v>
                </c:pt>
                <c:pt idx="22">
                  <c:v>-6.700000000023465</c:v>
                </c:pt>
                <c:pt idx="23">
                  <c:v>-6.5000000000168257</c:v>
                </c:pt>
                <c:pt idx="24">
                  <c:v>-6.9039931065901783</c:v>
                </c:pt>
                <c:pt idx="25">
                  <c:v>-7.3000000000149612</c:v>
                </c:pt>
                <c:pt idx="26">
                  <c:v>-7.0490850970372776</c:v>
                </c:pt>
                <c:pt idx="27">
                  <c:v>-6.7480751112327653</c:v>
                </c:pt>
                <c:pt idx="28">
                  <c:v>-7.1941770875127986</c:v>
                </c:pt>
                <c:pt idx="29">
                  <c:v>-7.3571390999234154</c:v>
                </c:pt>
                <c:pt idx="30">
                  <c:v>-6.8377590573618363</c:v>
                </c:pt>
                <c:pt idx="32">
                  <c:v>-7.8102850932850743</c:v>
                </c:pt>
                <c:pt idx="33">
                  <c:v>-7.5806627459940046</c:v>
                </c:pt>
                <c:pt idx="34">
                  <c:v>-8.0000000000097771</c:v>
                </c:pt>
                <c:pt idx="35">
                  <c:v>-8.300000000019736</c:v>
                </c:pt>
                <c:pt idx="37">
                  <c:v>-8.4999999999979536</c:v>
                </c:pt>
                <c:pt idx="38">
                  <c:v>-8.4999999999979536</c:v>
                </c:pt>
                <c:pt idx="39">
                  <c:v>-8.2000000000164164</c:v>
                </c:pt>
                <c:pt idx="40">
                  <c:v>-9.0000000000145519</c:v>
                </c:pt>
                <c:pt idx="41">
                  <c:v>-8.8000000000079126</c:v>
                </c:pt>
                <c:pt idx="42">
                  <c:v>-8.2000000000164164</c:v>
                </c:pt>
                <c:pt idx="43">
                  <c:v>-9.0607976092655917</c:v>
                </c:pt>
                <c:pt idx="44">
                  <c:v>-9.1000000000178716</c:v>
                </c:pt>
                <c:pt idx="45">
                  <c:v>-9.2000000000211912</c:v>
                </c:pt>
                <c:pt idx="46">
                  <c:v>-8.9000000000112323</c:v>
                </c:pt>
                <c:pt idx="47">
                  <c:v>-9.6000000000060481</c:v>
                </c:pt>
                <c:pt idx="48">
                  <c:v>-10.000000000019327</c:v>
                </c:pt>
                <c:pt idx="49">
                  <c:v>-9.6000000000060481</c:v>
                </c:pt>
                <c:pt idx="50">
                  <c:v>-9.8000000000126875</c:v>
                </c:pt>
                <c:pt idx="51">
                  <c:v>-9.3999999999994088</c:v>
                </c:pt>
                <c:pt idx="52">
                  <c:v>-9.3999999999994088</c:v>
                </c:pt>
                <c:pt idx="53">
                  <c:v>-9.5000000000027285</c:v>
                </c:pt>
                <c:pt idx="54">
                  <c:v>-10.300000000000864</c:v>
                </c:pt>
                <c:pt idx="55">
                  <c:v>-11.099999999999</c:v>
                </c:pt>
                <c:pt idx="56">
                  <c:v>-10.600000000010823</c:v>
                </c:pt>
                <c:pt idx="57">
                  <c:v>-10.69169687858107</c:v>
                </c:pt>
                <c:pt idx="58">
                  <c:v>-11.301706084708485</c:v>
                </c:pt>
                <c:pt idx="59">
                  <c:v>-11.217175727892936</c:v>
                </c:pt>
                <c:pt idx="60">
                  <c:v>-11.313903789499591</c:v>
                </c:pt>
                <c:pt idx="61">
                  <c:v>-11.712586948846138</c:v>
                </c:pt>
                <c:pt idx="62">
                  <c:v>-12.080776095814372</c:v>
                </c:pt>
                <c:pt idx="63">
                  <c:v>-11.652025315243009</c:v>
                </c:pt>
                <c:pt idx="64">
                  <c:v>-12.280330920276583</c:v>
                </c:pt>
                <c:pt idx="65">
                  <c:v>-12.195800465036655</c:v>
                </c:pt>
                <c:pt idx="66">
                  <c:v>-12.147436536167788</c:v>
                </c:pt>
                <c:pt idx="67">
                  <c:v>-12.020640951760697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8FF-407F-9CB8-5E8BB184FA48}"/>
            </c:ext>
          </c:extLst>
        </c:ser>
        <c:ser>
          <c:idx val="12"/>
          <c:order val="2"/>
          <c:tx>
            <c:strRef>
              <c:f>Déplacements!$O$9</c:f>
              <c:strCache>
                <c:ptCount val="1"/>
                <c:pt idx="0">
                  <c:v>DPM haut droit</c:v>
                </c:pt>
              </c:strCache>
            </c:strRef>
          </c:tx>
          <c:spPr>
            <a:ln w="12700">
              <a:solidFill>
                <a:srgbClr val="800000"/>
              </a:solidFill>
              <a:prstDash val="solid"/>
            </a:ln>
          </c:spPr>
          <c:marker>
            <c:symbol val="circle"/>
            <c:size val="3"/>
          </c:marker>
          <c:xVal>
            <c:numRef>
              <c:f>'Résultats observations'!$C$10:$C$200</c:f>
              <c:numCache>
                <c:formatCode>0.0</c:formatCode>
                <c:ptCount val="191"/>
                <c:pt idx="0">
                  <c:v>184.3</c:v>
                </c:pt>
                <c:pt idx="1">
                  <c:v>185.03</c:v>
                </c:pt>
                <c:pt idx="2">
                  <c:v>187.2</c:v>
                </c:pt>
                <c:pt idx="3">
                  <c:v>188.17</c:v>
                </c:pt>
                <c:pt idx="4">
                  <c:v>189.2</c:v>
                </c:pt>
                <c:pt idx="5">
                  <c:v>191.5</c:v>
                </c:pt>
                <c:pt idx="6">
                  <c:v>192.5</c:v>
                </c:pt>
                <c:pt idx="7">
                  <c:v>193.04</c:v>
                </c:pt>
                <c:pt idx="8">
                  <c:v>193.6</c:v>
                </c:pt>
                <c:pt idx="9">
                  <c:v>193.6</c:v>
                </c:pt>
                <c:pt idx="10">
                  <c:v>194.8</c:v>
                </c:pt>
                <c:pt idx="11">
                  <c:v>194.8</c:v>
                </c:pt>
                <c:pt idx="12">
                  <c:v>195.4</c:v>
                </c:pt>
                <c:pt idx="13">
                  <c:v>196.35</c:v>
                </c:pt>
                <c:pt idx="14">
                  <c:v>196.35</c:v>
                </c:pt>
                <c:pt idx="15">
                  <c:v>198.3</c:v>
                </c:pt>
                <c:pt idx="16">
                  <c:v>199.4</c:v>
                </c:pt>
                <c:pt idx="17">
                  <c:v>200.6</c:v>
                </c:pt>
                <c:pt idx="18">
                  <c:v>202.58</c:v>
                </c:pt>
                <c:pt idx="19">
                  <c:v>203.6</c:v>
                </c:pt>
                <c:pt idx="20">
                  <c:v>203.6</c:v>
                </c:pt>
                <c:pt idx="21">
                  <c:v>206.32</c:v>
                </c:pt>
                <c:pt idx="22">
                  <c:v>206.32</c:v>
                </c:pt>
                <c:pt idx="23">
                  <c:v>206.32</c:v>
                </c:pt>
                <c:pt idx="24">
                  <c:v>206.32</c:v>
                </c:pt>
                <c:pt idx="25">
                  <c:v>207.2</c:v>
                </c:pt>
                <c:pt idx="26">
                  <c:v>208.3</c:v>
                </c:pt>
                <c:pt idx="27">
                  <c:v>212.65</c:v>
                </c:pt>
                <c:pt idx="28">
                  <c:v>213.5</c:v>
                </c:pt>
                <c:pt idx="29">
                  <c:v>215</c:v>
                </c:pt>
                <c:pt idx="30">
                  <c:v>215</c:v>
                </c:pt>
                <c:pt idx="31">
                  <c:v>215.55</c:v>
                </c:pt>
                <c:pt idx="32">
                  <c:v>216.87</c:v>
                </c:pt>
                <c:pt idx="33">
                  <c:v>217.7</c:v>
                </c:pt>
                <c:pt idx="34">
                  <c:v>218.7</c:v>
                </c:pt>
                <c:pt idx="35">
                  <c:v>218.7</c:v>
                </c:pt>
                <c:pt idx="36">
                  <c:v>220.5</c:v>
                </c:pt>
                <c:pt idx="37">
                  <c:v>221.7</c:v>
                </c:pt>
                <c:pt idx="38">
                  <c:v>222.9</c:v>
                </c:pt>
                <c:pt idx="39">
                  <c:v>222.9</c:v>
                </c:pt>
                <c:pt idx="40">
                  <c:v>222.9</c:v>
                </c:pt>
                <c:pt idx="41">
                  <c:v>222.9</c:v>
                </c:pt>
                <c:pt idx="42">
                  <c:v>222.9</c:v>
                </c:pt>
                <c:pt idx="43">
                  <c:v>222.9</c:v>
                </c:pt>
                <c:pt idx="44">
                  <c:v>222.9</c:v>
                </c:pt>
                <c:pt idx="45">
                  <c:v>222.9</c:v>
                </c:pt>
                <c:pt idx="46">
                  <c:v>222.9</c:v>
                </c:pt>
                <c:pt idx="47">
                  <c:v>222.9</c:v>
                </c:pt>
                <c:pt idx="48">
                  <c:v>222.9</c:v>
                </c:pt>
                <c:pt idx="49">
                  <c:v>222.9</c:v>
                </c:pt>
                <c:pt idx="50">
                  <c:v>222.9</c:v>
                </c:pt>
                <c:pt idx="51">
                  <c:v>222.9</c:v>
                </c:pt>
                <c:pt idx="52">
                  <c:v>222.9</c:v>
                </c:pt>
                <c:pt idx="53">
                  <c:v>222.9</c:v>
                </c:pt>
                <c:pt idx="54">
                  <c:v>222.9</c:v>
                </c:pt>
                <c:pt idx="55">
                  <c:v>222.9</c:v>
                </c:pt>
                <c:pt idx="56">
                  <c:v>222.9</c:v>
                </c:pt>
                <c:pt idx="57">
                  <c:v>222.9</c:v>
                </c:pt>
                <c:pt idx="58">
                  <c:v>222.9</c:v>
                </c:pt>
                <c:pt idx="59">
                  <c:v>223.9</c:v>
                </c:pt>
                <c:pt idx="60">
                  <c:v>223.9</c:v>
                </c:pt>
                <c:pt idx="61">
                  <c:v>223.9</c:v>
                </c:pt>
                <c:pt idx="62">
                  <c:v>223.9</c:v>
                </c:pt>
                <c:pt idx="63">
                  <c:v>223.9</c:v>
                </c:pt>
                <c:pt idx="64">
                  <c:v>223.9</c:v>
                </c:pt>
                <c:pt idx="65">
                  <c:v>223.9</c:v>
                </c:pt>
                <c:pt idx="66">
                  <c:v>223.9</c:v>
                </c:pt>
                <c:pt idx="67">
                  <c:v>223.9</c:v>
                </c:pt>
                <c:pt idx="68">
                  <c:v>223.9</c:v>
                </c:pt>
                <c:pt idx="70">
                  <c:v>223.9</c:v>
                </c:pt>
                <c:pt idx="72">
                  <c:v>223.9</c:v>
                </c:pt>
                <c:pt idx="73">
                  <c:v>223.9</c:v>
                </c:pt>
                <c:pt idx="74">
                  <c:v>223.9</c:v>
                </c:pt>
                <c:pt idx="75">
                  <c:v>223.9</c:v>
                </c:pt>
                <c:pt idx="76">
                  <c:v>223.9</c:v>
                </c:pt>
                <c:pt idx="77">
                  <c:v>223.9</c:v>
                </c:pt>
                <c:pt idx="78">
                  <c:v>223.9</c:v>
                </c:pt>
                <c:pt idx="79">
                  <c:v>223.9</c:v>
                </c:pt>
                <c:pt idx="80">
                  <c:v>223.9</c:v>
                </c:pt>
                <c:pt idx="81">
                  <c:v>223.9</c:v>
                </c:pt>
                <c:pt idx="82">
                  <c:v>223.9</c:v>
                </c:pt>
                <c:pt idx="83">
                  <c:v>223.9</c:v>
                </c:pt>
                <c:pt idx="84">
                  <c:v>223.9</c:v>
                </c:pt>
                <c:pt idx="85">
                  <c:v>223.9</c:v>
                </c:pt>
                <c:pt idx="86">
                  <c:v>223.9</c:v>
                </c:pt>
                <c:pt idx="87">
                  <c:v>223.9</c:v>
                </c:pt>
                <c:pt idx="88">
                  <c:v>223.9</c:v>
                </c:pt>
                <c:pt idx="89">
                  <c:v>223.9</c:v>
                </c:pt>
                <c:pt idx="90">
                  <c:v>223.9</c:v>
                </c:pt>
                <c:pt idx="91">
                  <c:v>223.9</c:v>
                </c:pt>
                <c:pt idx="92">
                  <c:v>223.9</c:v>
                </c:pt>
                <c:pt idx="93">
                  <c:v>223.9</c:v>
                </c:pt>
                <c:pt idx="94">
                  <c:v>223.9</c:v>
                </c:pt>
                <c:pt idx="95">
                  <c:v>223.9</c:v>
                </c:pt>
                <c:pt idx="96">
                  <c:v>223.9</c:v>
                </c:pt>
                <c:pt idx="97">
                  <c:v>223.9</c:v>
                </c:pt>
              </c:numCache>
            </c:numRef>
          </c:xVal>
          <c:yVal>
            <c:numRef>
              <c:f>Déplacements!$O$10:$O$200</c:f>
              <c:numCache>
                <c:formatCode>\+\ 0.0;\-\ 0.0;\±\ 0.0</c:formatCode>
                <c:ptCount val="191"/>
                <c:pt idx="0">
                  <c:v>0</c:v>
                </c:pt>
                <c:pt idx="1">
                  <c:v>0.69999999999481588</c:v>
                </c:pt>
                <c:pt idx="2">
                  <c:v>0.69999999999481588</c:v>
                </c:pt>
                <c:pt idx="3">
                  <c:v>0.69999999999481588</c:v>
                </c:pt>
                <c:pt idx="4">
                  <c:v>0.20000000000663931</c:v>
                </c:pt>
                <c:pt idx="5">
                  <c:v>-1.6999999999995907</c:v>
                </c:pt>
                <c:pt idx="6">
                  <c:v>-1.5841000000023087</c:v>
                </c:pt>
                <c:pt idx="7">
                  <c:v>-2.1940717712993774</c:v>
                </c:pt>
                <c:pt idx="8">
                  <c:v>-1.4328999999975167</c:v>
                </c:pt>
                <c:pt idx="9">
                  <c:v>-1.4506999999923664</c:v>
                </c:pt>
                <c:pt idx="10">
                  <c:v>-2.9913999999848784</c:v>
                </c:pt>
                <c:pt idx="11">
                  <c:v>-3.2812000000035368</c:v>
                </c:pt>
                <c:pt idx="12">
                  <c:v>-2.299999999991087</c:v>
                </c:pt>
                <c:pt idx="13">
                  <c:v>-2.7000000000043656</c:v>
                </c:pt>
                <c:pt idx="14">
                  <c:v>-4.199999999997317</c:v>
                </c:pt>
                <c:pt idx="15">
                  <c:v>-3.899999999987358</c:v>
                </c:pt>
                <c:pt idx="16">
                  <c:v>-3.9999999999906777</c:v>
                </c:pt>
                <c:pt idx="17">
                  <c:v>-4.0999999999939973</c:v>
                </c:pt>
                <c:pt idx="18">
                  <c:v>-4.253721926744447</c:v>
                </c:pt>
                <c:pt idx="19">
                  <c:v>-4.0999999999939973</c:v>
                </c:pt>
                <c:pt idx="20">
                  <c:v>-4.5999999999821739</c:v>
                </c:pt>
                <c:pt idx="21">
                  <c:v>-4.0999999999939973</c:v>
                </c:pt>
                <c:pt idx="22">
                  <c:v>-5.4999999999836291</c:v>
                </c:pt>
                <c:pt idx="23">
                  <c:v>-5.2000000000020918</c:v>
                </c:pt>
                <c:pt idx="24">
                  <c:v>-5.1478163070726168</c:v>
                </c:pt>
                <c:pt idx="25">
                  <c:v>-5.5999999999869488</c:v>
                </c:pt>
                <c:pt idx="26">
                  <c:v>-5.4227533908317582</c:v>
                </c:pt>
                <c:pt idx="27">
                  <c:v>-4.9123083977917759</c:v>
                </c:pt>
                <c:pt idx="28">
                  <c:v>-5.4319014883503769</c:v>
                </c:pt>
                <c:pt idx="29">
                  <c:v>-5.2746118915365514</c:v>
                </c:pt>
                <c:pt idx="30">
                  <c:v>-5.951281530911956</c:v>
                </c:pt>
                <c:pt idx="31">
                  <c:v>-6.120342244571475</c:v>
                </c:pt>
                <c:pt idx="32">
                  <c:v>-5.7399554912365147</c:v>
                </c:pt>
                <c:pt idx="33">
                  <c:v>-5.9935466601643839</c:v>
                </c:pt>
                <c:pt idx="34">
                  <c:v>-5.8999999999969077</c:v>
                </c:pt>
                <c:pt idx="35">
                  <c:v>-6.2000000000068667</c:v>
                </c:pt>
                <c:pt idx="36">
                  <c:v>-5.8999999999969077</c:v>
                </c:pt>
                <c:pt idx="37">
                  <c:v>-6.0000000000002274</c:v>
                </c:pt>
                <c:pt idx="38">
                  <c:v>-6.100000000003547</c:v>
                </c:pt>
                <c:pt idx="39">
                  <c:v>-5.5999999999869488</c:v>
                </c:pt>
                <c:pt idx="40">
                  <c:v>-6.6999999999950433</c:v>
                </c:pt>
                <c:pt idx="41">
                  <c:v>-6.3999999999850843</c:v>
                </c:pt>
                <c:pt idx="42">
                  <c:v>-6.3999999999850843</c:v>
                </c:pt>
                <c:pt idx="43">
                  <c:v>-6.6218523706993437</c:v>
                </c:pt>
                <c:pt idx="44">
                  <c:v>-6.7999999999983629</c:v>
                </c:pt>
                <c:pt idx="45">
                  <c:v>-6.7999999999983629</c:v>
                </c:pt>
                <c:pt idx="46">
                  <c:v>-6.5999999999917236</c:v>
                </c:pt>
                <c:pt idx="47">
                  <c:v>-7.0000000000050022</c:v>
                </c:pt>
                <c:pt idx="48">
                  <c:v>-7.3999999999898591</c:v>
                </c:pt>
                <c:pt idx="49">
                  <c:v>-6.7999999999983629</c:v>
                </c:pt>
                <c:pt idx="50">
                  <c:v>-7.0000000000050022</c:v>
                </c:pt>
                <c:pt idx="51">
                  <c:v>-7.0999999999799002</c:v>
                </c:pt>
                <c:pt idx="52">
                  <c:v>-7.0000000000050022</c:v>
                </c:pt>
                <c:pt idx="53">
                  <c:v>-6.6999999999950433</c:v>
                </c:pt>
                <c:pt idx="54">
                  <c:v>-7.0999999999799002</c:v>
                </c:pt>
                <c:pt idx="55">
                  <c:v>-7.9000000000064574</c:v>
                </c:pt>
                <c:pt idx="56">
                  <c:v>-7.4999999999931788</c:v>
                </c:pt>
                <c:pt idx="57">
                  <c:v>-7.8357719691553029</c:v>
                </c:pt>
                <c:pt idx="58">
                  <c:v>-8.3128867840969178</c:v>
                </c:pt>
                <c:pt idx="59">
                  <c:v>-7.8719383971304069</c:v>
                </c:pt>
                <c:pt idx="60">
                  <c:v>-8.0592956151974704</c:v>
                </c:pt>
                <c:pt idx="61">
                  <c:v>-8.1438259720414408</c:v>
                </c:pt>
                <c:pt idx="62">
                  <c:v>-8.6087431806163295</c:v>
                </c:pt>
                <c:pt idx="63">
                  <c:v>-7.9503700526970533</c:v>
                </c:pt>
                <c:pt idx="64">
                  <c:v>-8.2222576276080872</c:v>
                </c:pt>
                <c:pt idx="65">
                  <c:v>-7.9987339815659197</c:v>
                </c:pt>
                <c:pt idx="66">
                  <c:v>-7.9503700526970533</c:v>
                </c:pt>
                <c:pt idx="67">
                  <c:v>-7.7207475999045982</c:v>
                </c:pt>
                <c:pt idx="68">
                  <c:v>-8.6815024277200337</c:v>
                </c:pt>
                <c:pt idx="72">
                  <c:v>-7.6126748197111738</c:v>
                </c:pt>
                <c:pt idx="73">
                  <c:v>-9.0867108833379007</c:v>
                </c:pt>
                <c:pt idx="74">
                  <c:v>-7.0738488475967642</c:v>
                </c:pt>
                <c:pt idx="75">
                  <c:v>-7.8666924781600756</c:v>
                </c:pt>
                <c:pt idx="76">
                  <c:v>-7.6738488475882605</c:v>
                </c:pt>
                <c:pt idx="77">
                  <c:v>-7.5464408759842172</c:v>
                </c:pt>
                <c:pt idx="78">
                  <c:v>-8.7603604744401764</c:v>
                </c:pt>
                <c:pt idx="79">
                  <c:v>-8.1747464810462134</c:v>
                </c:pt>
                <c:pt idx="80">
                  <c:v>-7.5159468565288989</c:v>
                </c:pt>
                <c:pt idx="81">
                  <c:v>-7.7033040817013898</c:v>
                </c:pt>
                <c:pt idx="82">
                  <c:v>-8.5730033547974926</c:v>
                </c:pt>
                <c:pt idx="83">
                  <c:v>-8.5791020560179732</c:v>
                </c:pt>
                <c:pt idx="84">
                  <c:v>-8.6392372984960275</c:v>
                </c:pt>
                <c:pt idx="85">
                  <c:v>-8.3250844959366077</c:v>
                </c:pt>
                <c:pt idx="86">
                  <c:v>-8.7782304892982665</c:v>
                </c:pt>
                <c:pt idx="87">
                  <c:v>-8.7420641668529697</c:v>
                </c:pt>
                <c:pt idx="88">
                  <c:v>-8.4762752931624163</c:v>
                </c:pt>
                <c:pt idx="89">
                  <c:v>-8.2344552339748134</c:v>
                </c:pt>
                <c:pt idx="90">
                  <c:v>-7.8963336098354375</c:v>
                </c:pt>
                <c:pt idx="91">
                  <c:v>-9.35817206712386</c:v>
                </c:pt>
                <c:pt idx="92">
                  <c:v>-8.0592957206988558</c:v>
                </c:pt>
                <c:pt idx="93">
                  <c:v>-8.8928284673954749</c:v>
                </c:pt>
                <c:pt idx="94">
                  <c:v>-8.6632061200759836</c:v>
                </c:pt>
                <c:pt idx="95">
                  <c:v>-9.1102533138212038</c:v>
                </c:pt>
                <c:pt idx="96">
                  <c:v>-8.8021993109066443</c:v>
                </c:pt>
                <c:pt idx="97">
                  <c:v>-9.7629541316166524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8FF-407F-9CB8-5E8BB184FA48}"/>
            </c:ext>
          </c:extLst>
        </c:ser>
        <c:ser>
          <c:idx val="13"/>
          <c:order val="3"/>
          <c:tx>
            <c:strRef>
              <c:f>Déplacements!$C$9</c:f>
              <c:strCache>
                <c:ptCount val="1"/>
                <c:pt idx="0">
                  <c:v>DPM inter gauche</c:v>
                </c:pt>
              </c:strCache>
            </c:strRef>
          </c:tx>
          <c:spPr>
            <a:ln w="12700"/>
          </c:spPr>
          <c:marker>
            <c:symbol val="circle"/>
            <c:size val="3"/>
          </c:marker>
          <c:xVal>
            <c:numRef>
              <c:f>'Résultats observations'!$C$10:$C$200</c:f>
              <c:numCache>
                <c:formatCode>0.0</c:formatCode>
                <c:ptCount val="191"/>
                <c:pt idx="0">
                  <c:v>184.3</c:v>
                </c:pt>
                <c:pt idx="1">
                  <c:v>185.03</c:v>
                </c:pt>
                <c:pt idx="2">
                  <c:v>187.2</c:v>
                </c:pt>
                <c:pt idx="3">
                  <c:v>188.17</c:v>
                </c:pt>
                <c:pt idx="4">
                  <c:v>189.2</c:v>
                </c:pt>
                <c:pt idx="5">
                  <c:v>191.5</c:v>
                </c:pt>
                <c:pt idx="6">
                  <c:v>192.5</c:v>
                </c:pt>
                <c:pt idx="7">
                  <c:v>193.04</c:v>
                </c:pt>
                <c:pt idx="8">
                  <c:v>193.6</c:v>
                </c:pt>
                <c:pt idx="9">
                  <c:v>193.6</c:v>
                </c:pt>
                <c:pt idx="10">
                  <c:v>194.8</c:v>
                </c:pt>
                <c:pt idx="11">
                  <c:v>194.8</c:v>
                </c:pt>
                <c:pt idx="12">
                  <c:v>195.4</c:v>
                </c:pt>
                <c:pt idx="13">
                  <c:v>196.35</c:v>
                </c:pt>
                <c:pt idx="14">
                  <c:v>196.35</c:v>
                </c:pt>
                <c:pt idx="15">
                  <c:v>198.3</c:v>
                </c:pt>
                <c:pt idx="16">
                  <c:v>199.4</c:v>
                </c:pt>
                <c:pt idx="17">
                  <c:v>200.6</c:v>
                </c:pt>
                <c:pt idx="18">
                  <c:v>202.58</c:v>
                </c:pt>
                <c:pt idx="19">
                  <c:v>203.6</c:v>
                </c:pt>
                <c:pt idx="20">
                  <c:v>203.6</c:v>
                </c:pt>
                <c:pt idx="21">
                  <c:v>206.32</c:v>
                </c:pt>
                <c:pt idx="22">
                  <c:v>206.32</c:v>
                </c:pt>
                <c:pt idx="23">
                  <c:v>206.32</c:v>
                </c:pt>
                <c:pt idx="24">
                  <c:v>206.32</c:v>
                </c:pt>
                <c:pt idx="25">
                  <c:v>207.2</c:v>
                </c:pt>
                <c:pt idx="26">
                  <c:v>208.3</c:v>
                </c:pt>
                <c:pt idx="27">
                  <c:v>212.65</c:v>
                </c:pt>
                <c:pt idx="28">
                  <c:v>213.5</c:v>
                </c:pt>
                <c:pt idx="29">
                  <c:v>215</c:v>
                </c:pt>
                <c:pt idx="30">
                  <c:v>215</c:v>
                </c:pt>
                <c:pt idx="31">
                  <c:v>215.55</c:v>
                </c:pt>
                <c:pt idx="32">
                  <c:v>216.87</c:v>
                </c:pt>
                <c:pt idx="33">
                  <c:v>217.7</c:v>
                </c:pt>
                <c:pt idx="34">
                  <c:v>218.7</c:v>
                </c:pt>
                <c:pt idx="35">
                  <c:v>218.7</c:v>
                </c:pt>
                <c:pt idx="36">
                  <c:v>220.5</c:v>
                </c:pt>
                <c:pt idx="37">
                  <c:v>221.7</c:v>
                </c:pt>
                <c:pt idx="38">
                  <c:v>222.9</c:v>
                </c:pt>
                <c:pt idx="39">
                  <c:v>222.9</c:v>
                </c:pt>
                <c:pt idx="40">
                  <c:v>222.9</c:v>
                </c:pt>
                <c:pt idx="41">
                  <c:v>222.9</c:v>
                </c:pt>
                <c:pt idx="42">
                  <c:v>222.9</c:v>
                </c:pt>
                <c:pt idx="43">
                  <c:v>222.9</c:v>
                </c:pt>
                <c:pt idx="44">
                  <c:v>222.9</c:v>
                </c:pt>
                <c:pt idx="45">
                  <c:v>222.9</c:v>
                </c:pt>
                <c:pt idx="46">
                  <c:v>222.9</c:v>
                </c:pt>
                <c:pt idx="47">
                  <c:v>222.9</c:v>
                </c:pt>
                <c:pt idx="48">
                  <c:v>222.9</c:v>
                </c:pt>
                <c:pt idx="49">
                  <c:v>222.9</c:v>
                </c:pt>
                <c:pt idx="50">
                  <c:v>222.9</c:v>
                </c:pt>
                <c:pt idx="51">
                  <c:v>222.9</c:v>
                </c:pt>
                <c:pt idx="52">
                  <c:v>222.9</c:v>
                </c:pt>
                <c:pt idx="53">
                  <c:v>222.9</c:v>
                </c:pt>
                <c:pt idx="54">
                  <c:v>222.9</c:v>
                </c:pt>
                <c:pt idx="55">
                  <c:v>222.9</c:v>
                </c:pt>
                <c:pt idx="56">
                  <c:v>222.9</c:v>
                </c:pt>
                <c:pt idx="57">
                  <c:v>222.9</c:v>
                </c:pt>
                <c:pt idx="58">
                  <c:v>222.9</c:v>
                </c:pt>
                <c:pt idx="59">
                  <c:v>223.9</c:v>
                </c:pt>
                <c:pt idx="60">
                  <c:v>223.9</c:v>
                </c:pt>
                <c:pt idx="61">
                  <c:v>223.9</c:v>
                </c:pt>
                <c:pt idx="62">
                  <c:v>223.9</c:v>
                </c:pt>
                <c:pt idx="63">
                  <c:v>223.9</c:v>
                </c:pt>
                <c:pt idx="64">
                  <c:v>223.9</c:v>
                </c:pt>
                <c:pt idx="65">
                  <c:v>223.9</c:v>
                </c:pt>
                <c:pt idx="66">
                  <c:v>223.9</c:v>
                </c:pt>
                <c:pt idx="67">
                  <c:v>223.9</c:v>
                </c:pt>
                <c:pt idx="68">
                  <c:v>223.9</c:v>
                </c:pt>
                <c:pt idx="70">
                  <c:v>223.9</c:v>
                </c:pt>
                <c:pt idx="72">
                  <c:v>223.9</c:v>
                </c:pt>
                <c:pt idx="73">
                  <c:v>223.9</c:v>
                </c:pt>
                <c:pt idx="74">
                  <c:v>223.9</c:v>
                </c:pt>
                <c:pt idx="75">
                  <c:v>223.9</c:v>
                </c:pt>
                <c:pt idx="76">
                  <c:v>223.9</c:v>
                </c:pt>
                <c:pt idx="77">
                  <c:v>223.9</c:v>
                </c:pt>
                <c:pt idx="78">
                  <c:v>223.9</c:v>
                </c:pt>
                <c:pt idx="79">
                  <c:v>223.9</c:v>
                </c:pt>
                <c:pt idx="80">
                  <c:v>223.9</c:v>
                </c:pt>
                <c:pt idx="81">
                  <c:v>223.9</c:v>
                </c:pt>
                <c:pt idx="82">
                  <c:v>223.9</c:v>
                </c:pt>
                <c:pt idx="83">
                  <c:v>223.9</c:v>
                </c:pt>
                <c:pt idx="84">
                  <c:v>223.9</c:v>
                </c:pt>
                <c:pt idx="85">
                  <c:v>223.9</c:v>
                </c:pt>
                <c:pt idx="86">
                  <c:v>223.9</c:v>
                </c:pt>
                <c:pt idx="87">
                  <c:v>223.9</c:v>
                </c:pt>
                <c:pt idx="88">
                  <c:v>223.9</c:v>
                </c:pt>
                <c:pt idx="89">
                  <c:v>223.9</c:v>
                </c:pt>
                <c:pt idx="90">
                  <c:v>223.9</c:v>
                </c:pt>
                <c:pt idx="91">
                  <c:v>223.9</c:v>
                </c:pt>
                <c:pt idx="92">
                  <c:v>223.9</c:v>
                </c:pt>
                <c:pt idx="93">
                  <c:v>223.9</c:v>
                </c:pt>
                <c:pt idx="94">
                  <c:v>223.9</c:v>
                </c:pt>
                <c:pt idx="95">
                  <c:v>223.9</c:v>
                </c:pt>
                <c:pt idx="96">
                  <c:v>223.9</c:v>
                </c:pt>
                <c:pt idx="97">
                  <c:v>223.9</c:v>
                </c:pt>
              </c:numCache>
            </c:numRef>
          </c:xVal>
          <c:yVal>
            <c:numRef>
              <c:f>Déplacements!$C$10:$C$200</c:f>
              <c:numCache>
                <c:formatCode>\+\ 0.0;\-\ 0.0;\±\ 0.0</c:formatCode>
                <c:ptCount val="191"/>
                <c:pt idx="0">
                  <c:v>0</c:v>
                </c:pt>
                <c:pt idx="1">
                  <c:v>0.49999999998817657</c:v>
                </c:pt>
                <c:pt idx="2">
                  <c:v>1.1999999999829924</c:v>
                </c:pt>
                <c:pt idx="3">
                  <c:v>0.49999999998817657</c:v>
                </c:pt>
                <c:pt idx="4">
                  <c:v>-0.50000000001659828</c:v>
                </c:pt>
                <c:pt idx="5">
                  <c:v>0.10000000000331966</c:v>
                </c:pt>
                <c:pt idx="6">
                  <c:v>-0.32269999999812171</c:v>
                </c:pt>
                <c:pt idx="7">
                  <c:v>-1.0656118906240408</c:v>
                </c:pt>
                <c:pt idx="8">
                  <c:v>3.5999999852265319E-3</c:v>
                </c:pt>
                <c:pt idx="9">
                  <c:v>7.6399999983323141E-2</c:v>
                </c:pt>
                <c:pt idx="10">
                  <c:v>-1.3375000000053205</c:v>
                </c:pt>
                <c:pt idx="11">
                  <c:v>-1.4520999999945161</c:v>
                </c:pt>
                <c:pt idx="12">
                  <c:v>-1.5999999999962711</c:v>
                </c:pt>
                <c:pt idx="13">
                  <c:v>-1.90000000000623</c:v>
                </c:pt>
                <c:pt idx="14">
                  <c:v>-3.0000000000143245</c:v>
                </c:pt>
                <c:pt idx="15">
                  <c:v>-3.1999999999925421</c:v>
                </c:pt>
                <c:pt idx="16">
                  <c:v>-3.1999999999925421</c:v>
                </c:pt>
                <c:pt idx="17">
                  <c:v>-3.6000000000058208</c:v>
                </c:pt>
                <c:pt idx="18">
                  <c:v>-3.4520387476675296</c:v>
                </c:pt>
                <c:pt idx="19">
                  <c:v>-3.8000000000124601</c:v>
                </c:pt>
                <c:pt idx="20">
                  <c:v>-4.0999999999939973</c:v>
                </c:pt>
                <c:pt idx="21">
                  <c:v>-3.7000000000091404</c:v>
                </c:pt>
                <c:pt idx="22">
                  <c:v>-5.2000000000020918</c:v>
                </c:pt>
                <c:pt idx="23">
                  <c:v>-4.7000000000139153</c:v>
                </c:pt>
                <c:pt idx="24">
                  <c:v>-5.0833644081365037</c:v>
                </c:pt>
                <c:pt idx="25">
                  <c:v>-4.9999999999954525</c:v>
                </c:pt>
                <c:pt idx="26">
                  <c:v>-5.3040517971965073</c:v>
                </c:pt>
                <c:pt idx="27">
                  <c:v>-4.959831471836651</c:v>
                </c:pt>
                <c:pt idx="28">
                  <c:v>-5.3434808733356931</c:v>
                </c:pt>
                <c:pt idx="29">
                  <c:v>-5.1922900761383062</c:v>
                </c:pt>
                <c:pt idx="30">
                  <c:v>-5.6938001038417951</c:v>
                </c:pt>
                <c:pt idx="31">
                  <c:v>-5.7722316539070562</c:v>
                </c:pt>
                <c:pt idx="32">
                  <c:v>-5.8811573218804369</c:v>
                </c:pt>
                <c:pt idx="33">
                  <c:v>-5.8689597155421325</c:v>
                </c:pt>
                <c:pt idx="34">
                  <c:v>-6.0000000000002274</c:v>
                </c:pt>
                <c:pt idx="35">
                  <c:v>-6.3000000000101863</c:v>
                </c:pt>
                <c:pt idx="36">
                  <c:v>-6.100000000003547</c:v>
                </c:pt>
                <c:pt idx="37">
                  <c:v>-6.100000000003547</c:v>
                </c:pt>
                <c:pt idx="38">
                  <c:v>-6.2000000000068667</c:v>
                </c:pt>
                <c:pt idx="39">
                  <c:v>-6.2000000000068667</c:v>
                </c:pt>
                <c:pt idx="40">
                  <c:v>-6.9000000000016826</c:v>
                </c:pt>
                <c:pt idx="41">
                  <c:v>-6.400000000013506</c:v>
                </c:pt>
                <c:pt idx="42">
                  <c:v>-6.3000000000101863</c:v>
                </c:pt>
                <c:pt idx="43">
                  <c:v>-6.9203436997895551</c:v>
                </c:pt>
                <c:pt idx="44">
                  <c:v>-6.5999999999917236</c:v>
                </c:pt>
                <c:pt idx="45">
                  <c:v>-7.0000000000050022</c:v>
                </c:pt>
                <c:pt idx="46">
                  <c:v>-6.5999999999917236</c:v>
                </c:pt>
                <c:pt idx="47">
                  <c:v>-7.1000000000083219</c:v>
                </c:pt>
                <c:pt idx="48">
                  <c:v>-6.7999999999983629</c:v>
                </c:pt>
                <c:pt idx="49">
                  <c:v>-6.9000000000016826</c:v>
                </c:pt>
                <c:pt idx="50">
                  <c:v>-6.7999999999983629</c:v>
                </c:pt>
                <c:pt idx="51">
                  <c:v>-7.1000000000083219</c:v>
                </c:pt>
                <c:pt idx="52">
                  <c:v>-6.6999999999950433</c:v>
                </c:pt>
                <c:pt idx="53">
                  <c:v>-6.7999999999983629</c:v>
                </c:pt>
                <c:pt idx="54">
                  <c:v>-7.2000000000116415</c:v>
                </c:pt>
                <c:pt idx="55">
                  <c:v>-7.9000000000064574</c:v>
                </c:pt>
                <c:pt idx="56">
                  <c:v>-7.2000000000116415</c:v>
                </c:pt>
                <c:pt idx="57">
                  <c:v>-7.6693460896706256</c:v>
                </c:pt>
                <c:pt idx="58">
                  <c:v>-7.608784554435033</c:v>
                </c:pt>
                <c:pt idx="59">
                  <c:v>-7.3913598135391112</c:v>
                </c:pt>
                <c:pt idx="60">
                  <c:v>-7.6693460896706256</c:v>
                </c:pt>
                <c:pt idx="61">
                  <c:v>-7.6632473884217234</c:v>
                </c:pt>
                <c:pt idx="62">
                  <c:v>-7.9830726065495128</c:v>
                </c:pt>
                <c:pt idx="63">
                  <c:v>-7.6449509824101369</c:v>
                </c:pt>
                <c:pt idx="64">
                  <c:v>-7.8684745229793407</c:v>
                </c:pt>
                <c:pt idx="65">
                  <c:v>-7.8262092953309548</c:v>
                </c:pt>
                <c:pt idx="66">
                  <c:v>-7.288532945182169</c:v>
                </c:pt>
                <c:pt idx="68">
                  <c:v>-8.2370902649984146</c:v>
                </c:pt>
                <c:pt idx="71">
                  <c:v>0</c:v>
                </c:pt>
                <c:pt idx="72">
                  <c:v>-6.8963749766055571</c:v>
                </c:pt>
                <c:pt idx="73">
                  <c:v>-9.3973998117178326</c:v>
                </c:pt>
                <c:pt idx="74">
                  <c:v>-6.951448749617839</c:v>
                </c:pt>
                <c:pt idx="75">
                  <c:v>-8.4793366098381284</c:v>
                </c:pt>
                <c:pt idx="76">
                  <c:v>-8.6514487496174297</c:v>
                </c:pt>
                <c:pt idx="77">
                  <c:v>-7.9839254872240417</c:v>
                </c:pt>
                <c:pt idx="78">
                  <c:v>-6.9926765486627573</c:v>
                </c:pt>
                <c:pt idx="79">
                  <c:v>-8.6841373532138277</c:v>
                </c:pt>
                <c:pt idx="80">
                  <c:v>-7.5970133392218031</c:v>
                </c:pt>
                <c:pt idx="81">
                  <c:v>-7.3434221703223557</c:v>
                </c:pt>
                <c:pt idx="82">
                  <c:v>-7.9834990960989671</c:v>
                </c:pt>
                <c:pt idx="83">
                  <c:v>-8.0318630249394118</c:v>
                </c:pt>
                <c:pt idx="84">
                  <c:v>-7.971301489732241</c:v>
                </c:pt>
                <c:pt idx="85">
                  <c:v>-7.790043071281616</c:v>
                </c:pt>
                <c:pt idx="86">
                  <c:v>-8.6841373532138277</c:v>
                </c:pt>
                <c:pt idx="87">
                  <c:v>-8.3699846490787877</c:v>
                </c:pt>
                <c:pt idx="88">
                  <c:v>-8.6357734243449613</c:v>
                </c:pt>
                <c:pt idx="89">
                  <c:v>-8.3216206218423849</c:v>
                </c:pt>
                <c:pt idx="90">
                  <c:v>-8.5451442679129741</c:v>
                </c:pt>
                <c:pt idx="91">
                  <c:v>-9.2035173957754068</c:v>
                </c:pt>
                <c:pt idx="93">
                  <c:v>-9.3725782078308839</c:v>
                </c:pt>
                <c:pt idx="94">
                  <c:v>-9.7712614727072378</c:v>
                </c:pt>
                <c:pt idx="95">
                  <c:v>-9.5599355314277545</c:v>
                </c:pt>
                <c:pt idx="96">
                  <c:v>-8.9738950484843372</c:v>
                </c:pt>
                <c:pt idx="97">
                  <c:v>-10.925472318206175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8FF-407F-9CB8-5E8BB184FA48}"/>
            </c:ext>
          </c:extLst>
        </c:ser>
        <c:ser>
          <c:idx val="14"/>
          <c:order val="4"/>
          <c:tx>
            <c:strRef>
              <c:f>Déplacements!$S$9</c:f>
              <c:strCache>
                <c:ptCount val="1"/>
                <c:pt idx="0">
                  <c:v>DPM inter droit</c:v>
                </c:pt>
              </c:strCache>
            </c:strRef>
          </c:tx>
          <c:spPr>
            <a:ln w="12700"/>
          </c:spPr>
          <c:marker>
            <c:symbol val="circle"/>
            <c:size val="3"/>
          </c:marker>
          <c:xVal>
            <c:numRef>
              <c:f>'Résultats observations'!$C$10:$C$200</c:f>
              <c:numCache>
                <c:formatCode>0.0</c:formatCode>
                <c:ptCount val="191"/>
                <c:pt idx="0">
                  <c:v>184.3</c:v>
                </c:pt>
                <c:pt idx="1">
                  <c:v>185.03</c:v>
                </c:pt>
                <c:pt idx="2">
                  <c:v>187.2</c:v>
                </c:pt>
                <c:pt idx="3">
                  <c:v>188.17</c:v>
                </c:pt>
                <c:pt idx="4">
                  <c:v>189.2</c:v>
                </c:pt>
                <c:pt idx="5">
                  <c:v>191.5</c:v>
                </c:pt>
                <c:pt idx="6">
                  <c:v>192.5</c:v>
                </c:pt>
                <c:pt idx="7">
                  <c:v>193.04</c:v>
                </c:pt>
                <c:pt idx="8">
                  <c:v>193.6</c:v>
                </c:pt>
                <c:pt idx="9">
                  <c:v>193.6</c:v>
                </c:pt>
                <c:pt idx="10">
                  <c:v>194.8</c:v>
                </c:pt>
                <c:pt idx="11">
                  <c:v>194.8</c:v>
                </c:pt>
                <c:pt idx="12">
                  <c:v>195.4</c:v>
                </c:pt>
                <c:pt idx="13">
                  <c:v>196.35</c:v>
                </c:pt>
                <c:pt idx="14">
                  <c:v>196.35</c:v>
                </c:pt>
                <c:pt idx="15">
                  <c:v>198.3</c:v>
                </c:pt>
                <c:pt idx="16">
                  <c:v>199.4</c:v>
                </c:pt>
                <c:pt idx="17">
                  <c:v>200.6</c:v>
                </c:pt>
                <c:pt idx="18">
                  <c:v>202.58</c:v>
                </c:pt>
                <c:pt idx="19">
                  <c:v>203.6</c:v>
                </c:pt>
                <c:pt idx="20">
                  <c:v>203.6</c:v>
                </c:pt>
                <c:pt idx="21">
                  <c:v>206.32</c:v>
                </c:pt>
                <c:pt idx="22">
                  <c:v>206.32</c:v>
                </c:pt>
                <c:pt idx="23">
                  <c:v>206.32</c:v>
                </c:pt>
                <c:pt idx="24">
                  <c:v>206.32</c:v>
                </c:pt>
                <c:pt idx="25">
                  <c:v>207.2</c:v>
                </c:pt>
                <c:pt idx="26">
                  <c:v>208.3</c:v>
                </c:pt>
                <c:pt idx="27">
                  <c:v>212.65</c:v>
                </c:pt>
                <c:pt idx="28">
                  <c:v>213.5</c:v>
                </c:pt>
                <c:pt idx="29">
                  <c:v>215</c:v>
                </c:pt>
                <c:pt idx="30">
                  <c:v>215</c:v>
                </c:pt>
                <c:pt idx="31">
                  <c:v>215.55</c:v>
                </c:pt>
                <c:pt idx="32">
                  <c:v>216.87</c:v>
                </c:pt>
                <c:pt idx="33">
                  <c:v>217.7</c:v>
                </c:pt>
                <c:pt idx="34">
                  <c:v>218.7</c:v>
                </c:pt>
                <c:pt idx="35">
                  <c:v>218.7</c:v>
                </c:pt>
                <c:pt idx="36">
                  <c:v>220.5</c:v>
                </c:pt>
                <c:pt idx="37">
                  <c:v>221.7</c:v>
                </c:pt>
                <c:pt idx="38">
                  <c:v>222.9</c:v>
                </c:pt>
                <c:pt idx="39">
                  <c:v>222.9</c:v>
                </c:pt>
                <c:pt idx="40">
                  <c:v>222.9</c:v>
                </c:pt>
                <c:pt idx="41">
                  <c:v>222.9</c:v>
                </c:pt>
                <c:pt idx="42">
                  <c:v>222.9</c:v>
                </c:pt>
                <c:pt idx="43">
                  <c:v>222.9</c:v>
                </c:pt>
                <c:pt idx="44">
                  <c:v>222.9</c:v>
                </c:pt>
                <c:pt idx="45">
                  <c:v>222.9</c:v>
                </c:pt>
                <c:pt idx="46">
                  <c:v>222.9</c:v>
                </c:pt>
                <c:pt idx="47">
                  <c:v>222.9</c:v>
                </c:pt>
                <c:pt idx="48">
                  <c:v>222.9</c:v>
                </c:pt>
                <c:pt idx="49">
                  <c:v>222.9</c:v>
                </c:pt>
                <c:pt idx="50">
                  <c:v>222.9</c:v>
                </c:pt>
                <c:pt idx="51">
                  <c:v>222.9</c:v>
                </c:pt>
                <c:pt idx="52">
                  <c:v>222.9</c:v>
                </c:pt>
                <c:pt idx="53">
                  <c:v>222.9</c:v>
                </c:pt>
                <c:pt idx="54">
                  <c:v>222.9</c:v>
                </c:pt>
                <c:pt idx="55">
                  <c:v>222.9</c:v>
                </c:pt>
                <c:pt idx="56">
                  <c:v>222.9</c:v>
                </c:pt>
                <c:pt idx="57">
                  <c:v>222.9</c:v>
                </c:pt>
                <c:pt idx="58">
                  <c:v>222.9</c:v>
                </c:pt>
                <c:pt idx="59">
                  <c:v>223.9</c:v>
                </c:pt>
                <c:pt idx="60">
                  <c:v>223.9</c:v>
                </c:pt>
                <c:pt idx="61">
                  <c:v>223.9</c:v>
                </c:pt>
                <c:pt idx="62">
                  <c:v>223.9</c:v>
                </c:pt>
                <c:pt idx="63">
                  <c:v>223.9</c:v>
                </c:pt>
                <c:pt idx="64">
                  <c:v>223.9</c:v>
                </c:pt>
                <c:pt idx="65">
                  <c:v>223.9</c:v>
                </c:pt>
                <c:pt idx="66">
                  <c:v>223.9</c:v>
                </c:pt>
                <c:pt idx="67">
                  <c:v>223.9</c:v>
                </c:pt>
                <c:pt idx="68">
                  <c:v>223.9</c:v>
                </c:pt>
                <c:pt idx="70">
                  <c:v>223.9</c:v>
                </c:pt>
                <c:pt idx="72">
                  <c:v>223.9</c:v>
                </c:pt>
                <c:pt idx="73">
                  <c:v>223.9</c:v>
                </c:pt>
                <c:pt idx="74">
                  <c:v>223.9</c:v>
                </c:pt>
                <c:pt idx="75">
                  <c:v>223.9</c:v>
                </c:pt>
                <c:pt idx="76">
                  <c:v>223.9</c:v>
                </c:pt>
                <c:pt idx="77">
                  <c:v>223.9</c:v>
                </c:pt>
                <c:pt idx="78">
                  <c:v>223.9</c:v>
                </c:pt>
                <c:pt idx="79">
                  <c:v>223.9</c:v>
                </c:pt>
                <c:pt idx="80">
                  <c:v>223.9</c:v>
                </c:pt>
                <c:pt idx="81">
                  <c:v>223.9</c:v>
                </c:pt>
                <c:pt idx="82">
                  <c:v>223.9</c:v>
                </c:pt>
                <c:pt idx="83">
                  <c:v>223.9</c:v>
                </c:pt>
                <c:pt idx="84">
                  <c:v>223.9</c:v>
                </c:pt>
                <c:pt idx="85">
                  <c:v>223.9</c:v>
                </c:pt>
                <c:pt idx="86">
                  <c:v>223.9</c:v>
                </c:pt>
                <c:pt idx="87">
                  <c:v>223.9</c:v>
                </c:pt>
                <c:pt idx="88">
                  <c:v>223.9</c:v>
                </c:pt>
                <c:pt idx="89">
                  <c:v>223.9</c:v>
                </c:pt>
                <c:pt idx="90">
                  <c:v>223.9</c:v>
                </c:pt>
                <c:pt idx="91">
                  <c:v>223.9</c:v>
                </c:pt>
                <c:pt idx="92">
                  <c:v>223.9</c:v>
                </c:pt>
                <c:pt idx="93">
                  <c:v>223.9</c:v>
                </c:pt>
                <c:pt idx="94">
                  <c:v>223.9</c:v>
                </c:pt>
                <c:pt idx="95">
                  <c:v>223.9</c:v>
                </c:pt>
                <c:pt idx="96">
                  <c:v>223.9</c:v>
                </c:pt>
                <c:pt idx="97">
                  <c:v>223.9</c:v>
                </c:pt>
              </c:numCache>
            </c:numRef>
          </c:xVal>
          <c:yVal>
            <c:numRef>
              <c:f>Déplacements!$S$10:$S$200</c:f>
              <c:numCache>
                <c:formatCode>\+\ 0.0;\-\ 0.0;\±\ 0.0</c:formatCode>
                <c:ptCount val="191"/>
                <c:pt idx="0">
                  <c:v>0</c:v>
                </c:pt>
                <c:pt idx="1">
                  <c:v>1.0000000000047748</c:v>
                </c:pt>
                <c:pt idx="2">
                  <c:v>0.20000000000663931</c:v>
                </c:pt>
                <c:pt idx="3">
                  <c:v>2.4999999999977263</c:v>
                </c:pt>
                <c:pt idx="4">
                  <c:v>0.49999999998817657</c:v>
                </c:pt>
                <c:pt idx="5">
                  <c:v>-0.20000000000663931</c:v>
                </c:pt>
                <c:pt idx="6">
                  <c:v>-0.10499999999069587</c:v>
                </c:pt>
                <c:pt idx="7">
                  <c:v>0</c:v>
                </c:pt>
                <c:pt idx="8">
                  <c:v>0.44479999999680331</c:v>
                </c:pt>
                <c:pt idx="9">
                  <c:v>0.24569999999357606</c:v>
                </c:pt>
                <c:pt idx="10">
                  <c:v>-0.99299999999402644</c:v>
                </c:pt>
                <c:pt idx="11">
                  <c:v>-0.92029999998999301</c:v>
                </c:pt>
                <c:pt idx="12">
                  <c:v>0.20000000000663931</c:v>
                </c:pt>
                <c:pt idx="13">
                  <c:v>0.10000000000331966</c:v>
                </c:pt>
                <c:pt idx="14">
                  <c:v>-1.1000000000080945</c:v>
                </c:pt>
                <c:pt idx="15">
                  <c:v>-0.90000000000145519</c:v>
                </c:pt>
                <c:pt idx="16">
                  <c:v>-1.0000000000047748</c:v>
                </c:pt>
                <c:pt idx="17">
                  <c:v>-1.0000000000047748</c:v>
                </c:pt>
                <c:pt idx="18">
                  <c:v>-0.84795030460327325</c:v>
                </c:pt>
                <c:pt idx="19">
                  <c:v>-0.79999999999813554</c:v>
                </c:pt>
                <c:pt idx="20">
                  <c:v>-1.2000000000114142</c:v>
                </c:pt>
                <c:pt idx="21">
                  <c:v>-0.20000000000663931</c:v>
                </c:pt>
                <c:pt idx="22">
                  <c:v>-1.90000000000623</c:v>
                </c:pt>
                <c:pt idx="23">
                  <c:v>-1.5999999999962711</c:v>
                </c:pt>
                <c:pt idx="24">
                  <c:v>-1.3555591319516225</c:v>
                </c:pt>
                <c:pt idx="25">
                  <c:v>-1.6999999999995907</c:v>
                </c:pt>
                <c:pt idx="26">
                  <c:v>-1.4755238385930625</c:v>
                </c:pt>
                <c:pt idx="27">
                  <c:v>-0.71432363844792235</c:v>
                </c:pt>
                <c:pt idx="28">
                  <c:v>-1.0658014366526913</c:v>
                </c:pt>
                <c:pt idx="29">
                  <c:v>-1.0836714515392032</c:v>
                </c:pt>
                <c:pt idx="30">
                  <c:v>-1.8570690541821477</c:v>
                </c:pt>
                <c:pt idx="31">
                  <c:v>-1.9838646385892389</c:v>
                </c:pt>
                <c:pt idx="32">
                  <c:v>-1.3860531443583568</c:v>
                </c:pt>
                <c:pt idx="33">
                  <c:v>-1.5006511223987218</c:v>
                </c:pt>
                <c:pt idx="34">
                  <c:v>-1.4999999999929514</c:v>
                </c:pt>
                <c:pt idx="35">
                  <c:v>-1.90000000000623</c:v>
                </c:pt>
                <c:pt idx="36">
                  <c:v>-1.5999999999962711</c:v>
                </c:pt>
                <c:pt idx="37">
                  <c:v>-1.5999999999962711</c:v>
                </c:pt>
                <c:pt idx="38">
                  <c:v>-1.6999999999995907</c:v>
                </c:pt>
                <c:pt idx="39">
                  <c:v>-1.3000000000147338</c:v>
                </c:pt>
                <c:pt idx="40">
                  <c:v>-2.299999999991087</c:v>
                </c:pt>
                <c:pt idx="41">
                  <c:v>-1.6999999999995907</c:v>
                </c:pt>
                <c:pt idx="42">
                  <c:v>-1.3999999999896318</c:v>
                </c:pt>
                <c:pt idx="43">
                  <c:v>-2.008259949747071</c:v>
                </c:pt>
                <c:pt idx="44">
                  <c:v>-2.1000000000128694</c:v>
                </c:pt>
                <c:pt idx="45">
                  <c:v>-2.0000000000095497</c:v>
                </c:pt>
                <c:pt idx="46">
                  <c:v>-2.0000000000095497</c:v>
                </c:pt>
                <c:pt idx="47">
                  <c:v>-2.0000000000095497</c:v>
                </c:pt>
                <c:pt idx="48">
                  <c:v>-2.7000000000043656</c:v>
                </c:pt>
                <c:pt idx="49">
                  <c:v>-2.1000000000128694</c:v>
                </c:pt>
                <c:pt idx="50">
                  <c:v>-2.1000000000128694</c:v>
                </c:pt>
                <c:pt idx="51">
                  <c:v>-2.0000000000095497</c:v>
                </c:pt>
                <c:pt idx="52">
                  <c:v>-1.90000000000623</c:v>
                </c:pt>
                <c:pt idx="53">
                  <c:v>-1.6999999999995907</c:v>
                </c:pt>
                <c:pt idx="54">
                  <c:v>-2.200000000016189</c:v>
                </c:pt>
                <c:pt idx="55">
                  <c:v>-2.6000000000010459</c:v>
                </c:pt>
                <c:pt idx="56">
                  <c:v>-2.3999999999944066</c:v>
                </c:pt>
                <c:pt idx="57">
                  <c:v>-2.7694600514962531</c:v>
                </c:pt>
                <c:pt idx="58">
                  <c:v>-2.9324219584339062</c:v>
                </c:pt>
                <c:pt idx="59">
                  <c:v>-2.7633611463784291</c:v>
                </c:pt>
                <c:pt idx="60">
                  <c:v>-2.7755587527451553</c:v>
                </c:pt>
                <c:pt idx="61">
                  <c:v>-2.6849295962563247</c:v>
                </c:pt>
                <c:pt idx="62">
                  <c:v>-3.4579008006687673</c:v>
                </c:pt>
                <c:pt idx="63">
                  <c:v>-2.7149972175095627</c:v>
                </c:pt>
                <c:pt idx="64">
                  <c:v>-3.3555003305139053</c:v>
                </c:pt>
                <c:pt idx="65">
                  <c:v>-2.8178239803366978</c:v>
                </c:pt>
                <c:pt idx="66">
                  <c:v>-2.9084531368255284</c:v>
                </c:pt>
                <c:pt idx="67">
                  <c:v>-1.8753655656666979</c:v>
                </c:pt>
                <c:pt idx="68">
                  <c:v>-2.7093247035168133</c:v>
                </c:pt>
                <c:pt idx="72">
                  <c:v>-1.9184834771976966</c:v>
                </c:pt>
                <c:pt idx="73">
                  <c:v>-3.4831486972848325</c:v>
                </c:pt>
                <c:pt idx="74">
                  <c:v>-1.3598891266326518</c:v>
                </c:pt>
                <c:pt idx="75">
                  <c:v>-1.6348246870450112</c:v>
                </c:pt>
                <c:pt idx="76">
                  <c:v>-1.8598891266492501</c:v>
                </c:pt>
                <c:pt idx="77">
                  <c:v>-1.6831886158854559</c:v>
                </c:pt>
                <c:pt idx="78">
                  <c:v>-2.7764115350237262</c:v>
                </c:pt>
                <c:pt idx="79">
                  <c:v>-1.6892875210317015</c:v>
                </c:pt>
                <c:pt idx="80">
                  <c:v>-1.8339531203537263</c:v>
                </c:pt>
                <c:pt idx="81">
                  <c:v>-1.121117052974796</c:v>
                </c:pt>
                <c:pt idx="82">
                  <c:v>-2.3533330645193473</c:v>
                </c:pt>
                <c:pt idx="83">
                  <c:v>-2.6735847721965911</c:v>
                </c:pt>
                <c:pt idx="84">
                  <c:v>-2.3350367569037189</c:v>
                </c:pt>
                <c:pt idx="85">
                  <c:v>-2.3350367569037189</c:v>
                </c:pt>
                <c:pt idx="86">
                  <c:v>-3.0239040026742714</c:v>
                </c:pt>
                <c:pt idx="87">
                  <c:v>-2.4923263537459661</c:v>
                </c:pt>
                <c:pt idx="88">
                  <c:v>-2.2204386733335468</c:v>
                </c:pt>
                <c:pt idx="89">
                  <c:v>-2.6613871658298649</c:v>
                </c:pt>
                <c:pt idx="90">
                  <c:v>-1.7794902863386142</c:v>
                </c:pt>
                <c:pt idx="91">
                  <c:v>-2.7520163222618521</c:v>
                </c:pt>
                <c:pt idx="92">
                  <c:v>-2.2082411724682061</c:v>
                </c:pt>
                <c:pt idx="93">
                  <c:v>-3.2835938728226211</c:v>
                </c:pt>
                <c:pt idx="94">
                  <c:v>-3.1929647163622121</c:v>
                </c:pt>
                <c:pt idx="95">
                  <c:v>-3.1628971935333539</c:v>
                </c:pt>
                <c:pt idx="96">
                  <c:v>-3.0661691319266993</c:v>
                </c:pt>
                <c:pt idx="97">
                  <c:v>-3.4713775875445663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8FF-407F-9CB8-5E8BB184FA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9071824"/>
        <c:axId val="519072216"/>
      </c:scatterChart>
      <c:valAx>
        <c:axId val="519071824"/>
        <c:scaling>
          <c:orientation val="minMax"/>
          <c:min val="180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PM front</a:t>
                </a:r>
              </a:p>
            </c:rich>
          </c:tx>
          <c:layout>
            <c:manualLayout>
              <c:xMode val="edge"/>
              <c:yMode val="edge"/>
              <c:x val="0.43927912392593438"/>
              <c:y val="0.9432044643068267"/>
            </c:manualLayout>
          </c:layout>
          <c:overlay val="0"/>
          <c:spPr>
            <a:noFill/>
            <a:ln w="25400">
              <a:noFill/>
            </a:ln>
          </c:spPr>
        </c:title>
        <c:numFmt formatCode="#,##0.00" sourceLinked="0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519072216"/>
        <c:crossesAt val="0"/>
        <c:crossBetween val="midCat"/>
      </c:valAx>
      <c:valAx>
        <c:axId val="519072216"/>
        <c:scaling>
          <c:orientation val="minMax"/>
          <c:max val="15"/>
          <c:min val="-15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/>
        <c:title>
          <c:tx>
            <c:rich>
              <a:bodyPr/>
              <a:lstStyle/>
              <a:p>
                <a:pPr>
                  <a:defRPr b="1"/>
                </a:pPr>
                <a:r>
                  <a:rPr lang="fr-FR" b="1"/>
                  <a:t>D2placements en PM  [mm]</a:t>
                </a:r>
              </a:p>
            </c:rich>
          </c:tx>
          <c:overlay val="0"/>
        </c:title>
        <c:numFmt formatCode="\+\ 0.0;\-\ 0.0;\±\ 0.0" sourceLinked="0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519071824"/>
        <c:crosses val="autoZero"/>
        <c:crossBetween val="midCat"/>
        <c:majorUnit val="5"/>
        <c:minorUnit val="1"/>
      </c:valAx>
    </c:plotArea>
    <c:legend>
      <c:legendPos val="r"/>
      <c:layout>
        <c:manualLayout>
          <c:xMode val="edge"/>
          <c:yMode val="edge"/>
          <c:x val="0.10816646929636417"/>
          <c:y val="3.6162237203630522E-2"/>
          <c:w val="0.24517664360597907"/>
          <c:h val="0.23016340840330946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0"/>
    <c:dispBlanksAs val="span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899999956" l="0.78740157499999996" r="0.78740157499999996" t="0.98425196899999956" header="0.49212598450000489" footer="0.49212598450000489"/>
    <c:pageSetup paperSize="9" orientation="landscape"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fr-FR"/>
              <a:t>Déplacement en déport
</a:t>
            </a:r>
          </a:p>
        </c:rich>
      </c:tx>
      <c:layout>
        <c:manualLayout>
          <c:xMode val="edge"/>
          <c:yMode val="edge"/>
          <c:x val="0.48552406794562025"/>
          <c:y val="6.0355867678702317E-2"/>
        </c:manualLayout>
      </c:layout>
      <c:overlay val="0"/>
      <c:spPr>
        <a:solidFill>
          <a:schemeClr val="bg1"/>
        </a:solidFill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6758248843572708E-2"/>
          <c:y val="2.1578345894185801E-2"/>
          <c:w val="0.81613267472675455"/>
          <c:h val="0.80144620006483069"/>
        </c:manualLayout>
      </c:layout>
      <c:scatterChart>
        <c:scatterStyle val="lineMarker"/>
        <c:varyColors val="0"/>
        <c:ser>
          <c:idx val="10"/>
          <c:order val="0"/>
          <c:tx>
            <c:strRef>
              <c:f>Déplacements!$L$9</c:f>
              <c:strCache>
                <c:ptCount val="1"/>
                <c:pt idx="0">
                  <c:v>DH centre haut</c:v>
                </c:pt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circle"/>
            <c:size val="3"/>
          </c:marker>
          <c:xVal>
            <c:numRef>
              <c:f>'Résultats observations'!$C$10:$C$200</c:f>
              <c:numCache>
                <c:formatCode>0.0</c:formatCode>
                <c:ptCount val="191"/>
                <c:pt idx="0">
                  <c:v>184.3</c:v>
                </c:pt>
                <c:pt idx="1">
                  <c:v>185.03</c:v>
                </c:pt>
                <c:pt idx="2">
                  <c:v>187.2</c:v>
                </c:pt>
                <c:pt idx="3">
                  <c:v>188.17</c:v>
                </c:pt>
                <c:pt idx="4">
                  <c:v>189.2</c:v>
                </c:pt>
                <c:pt idx="5">
                  <c:v>191.5</c:v>
                </c:pt>
                <c:pt idx="6">
                  <c:v>192.5</c:v>
                </c:pt>
                <c:pt idx="7">
                  <c:v>193.04</c:v>
                </c:pt>
                <c:pt idx="8">
                  <c:v>193.6</c:v>
                </c:pt>
                <c:pt idx="9">
                  <c:v>193.6</c:v>
                </c:pt>
                <c:pt idx="10">
                  <c:v>194.8</c:v>
                </c:pt>
                <c:pt idx="11">
                  <c:v>194.8</c:v>
                </c:pt>
                <c:pt idx="12">
                  <c:v>195.4</c:v>
                </c:pt>
                <c:pt idx="13">
                  <c:v>196.35</c:v>
                </c:pt>
                <c:pt idx="14">
                  <c:v>196.35</c:v>
                </c:pt>
                <c:pt idx="15">
                  <c:v>198.3</c:v>
                </c:pt>
                <c:pt idx="16">
                  <c:v>199.4</c:v>
                </c:pt>
                <c:pt idx="17">
                  <c:v>200.6</c:v>
                </c:pt>
                <c:pt idx="18">
                  <c:v>202.58</c:v>
                </c:pt>
                <c:pt idx="19">
                  <c:v>203.6</c:v>
                </c:pt>
                <c:pt idx="20">
                  <c:v>203.6</c:v>
                </c:pt>
                <c:pt idx="21">
                  <c:v>206.32</c:v>
                </c:pt>
                <c:pt idx="22">
                  <c:v>206.32</c:v>
                </c:pt>
                <c:pt idx="23">
                  <c:v>206.32</c:v>
                </c:pt>
                <c:pt idx="24">
                  <c:v>206.32</c:v>
                </c:pt>
                <c:pt idx="25">
                  <c:v>207.2</c:v>
                </c:pt>
                <c:pt idx="26">
                  <c:v>208.3</c:v>
                </c:pt>
                <c:pt idx="27">
                  <c:v>212.65</c:v>
                </c:pt>
                <c:pt idx="28">
                  <c:v>213.5</c:v>
                </c:pt>
                <c:pt idx="29">
                  <c:v>215</c:v>
                </c:pt>
                <c:pt idx="30">
                  <c:v>215</c:v>
                </c:pt>
                <c:pt idx="31">
                  <c:v>215.55</c:v>
                </c:pt>
                <c:pt idx="32">
                  <c:v>216.87</c:v>
                </c:pt>
                <c:pt idx="33">
                  <c:v>217.7</c:v>
                </c:pt>
                <c:pt idx="34">
                  <c:v>218.7</c:v>
                </c:pt>
                <c:pt idx="35">
                  <c:v>218.7</c:v>
                </c:pt>
                <c:pt idx="36">
                  <c:v>220.5</c:v>
                </c:pt>
                <c:pt idx="37">
                  <c:v>221.7</c:v>
                </c:pt>
                <c:pt idx="38">
                  <c:v>222.9</c:v>
                </c:pt>
                <c:pt idx="39">
                  <c:v>222.9</c:v>
                </c:pt>
                <c:pt idx="40">
                  <c:v>222.9</c:v>
                </c:pt>
                <c:pt idx="41">
                  <c:v>222.9</c:v>
                </c:pt>
                <c:pt idx="42">
                  <c:v>222.9</c:v>
                </c:pt>
                <c:pt idx="43">
                  <c:v>222.9</c:v>
                </c:pt>
                <c:pt idx="44">
                  <c:v>222.9</c:v>
                </c:pt>
                <c:pt idx="45">
                  <c:v>222.9</c:v>
                </c:pt>
                <c:pt idx="46">
                  <c:v>222.9</c:v>
                </c:pt>
                <c:pt idx="47">
                  <c:v>222.9</c:v>
                </c:pt>
                <c:pt idx="48">
                  <c:v>222.9</c:v>
                </c:pt>
                <c:pt idx="49">
                  <c:v>222.9</c:v>
                </c:pt>
                <c:pt idx="50">
                  <c:v>222.9</c:v>
                </c:pt>
                <c:pt idx="51">
                  <c:v>222.9</c:v>
                </c:pt>
                <c:pt idx="52">
                  <c:v>222.9</c:v>
                </c:pt>
                <c:pt idx="53">
                  <c:v>222.9</c:v>
                </c:pt>
                <c:pt idx="54">
                  <c:v>222.9</c:v>
                </c:pt>
                <c:pt idx="55">
                  <c:v>222.9</c:v>
                </c:pt>
                <c:pt idx="56">
                  <c:v>222.9</c:v>
                </c:pt>
                <c:pt idx="57">
                  <c:v>222.9</c:v>
                </c:pt>
                <c:pt idx="58">
                  <c:v>222.9</c:v>
                </c:pt>
                <c:pt idx="59">
                  <c:v>223.9</c:v>
                </c:pt>
                <c:pt idx="60">
                  <c:v>223.9</c:v>
                </c:pt>
                <c:pt idx="61">
                  <c:v>223.9</c:v>
                </c:pt>
                <c:pt idx="62">
                  <c:v>223.9</c:v>
                </c:pt>
                <c:pt idx="63">
                  <c:v>223.9</c:v>
                </c:pt>
                <c:pt idx="64">
                  <c:v>223.9</c:v>
                </c:pt>
                <c:pt idx="65">
                  <c:v>223.9</c:v>
                </c:pt>
                <c:pt idx="66">
                  <c:v>223.9</c:v>
                </c:pt>
                <c:pt idx="67">
                  <c:v>223.9</c:v>
                </c:pt>
                <c:pt idx="68">
                  <c:v>223.9</c:v>
                </c:pt>
                <c:pt idx="70">
                  <c:v>223.9</c:v>
                </c:pt>
                <c:pt idx="72">
                  <c:v>223.9</c:v>
                </c:pt>
                <c:pt idx="73">
                  <c:v>223.9</c:v>
                </c:pt>
                <c:pt idx="74">
                  <c:v>223.9</c:v>
                </c:pt>
                <c:pt idx="75">
                  <c:v>223.9</c:v>
                </c:pt>
                <c:pt idx="76">
                  <c:v>223.9</c:v>
                </c:pt>
                <c:pt idx="77">
                  <c:v>223.9</c:v>
                </c:pt>
                <c:pt idx="78">
                  <c:v>223.9</c:v>
                </c:pt>
                <c:pt idx="79">
                  <c:v>223.9</c:v>
                </c:pt>
                <c:pt idx="80">
                  <c:v>223.9</c:v>
                </c:pt>
                <c:pt idx="81">
                  <c:v>223.9</c:v>
                </c:pt>
                <c:pt idx="82">
                  <c:v>223.9</c:v>
                </c:pt>
                <c:pt idx="83">
                  <c:v>223.9</c:v>
                </c:pt>
                <c:pt idx="84">
                  <c:v>223.9</c:v>
                </c:pt>
                <c:pt idx="85">
                  <c:v>223.9</c:v>
                </c:pt>
                <c:pt idx="86">
                  <c:v>223.9</c:v>
                </c:pt>
                <c:pt idx="87">
                  <c:v>223.9</c:v>
                </c:pt>
                <c:pt idx="88">
                  <c:v>223.9</c:v>
                </c:pt>
                <c:pt idx="89">
                  <c:v>223.9</c:v>
                </c:pt>
                <c:pt idx="90">
                  <c:v>223.9</c:v>
                </c:pt>
                <c:pt idx="91">
                  <c:v>223.9</c:v>
                </c:pt>
                <c:pt idx="92">
                  <c:v>223.9</c:v>
                </c:pt>
                <c:pt idx="93">
                  <c:v>223.9</c:v>
                </c:pt>
                <c:pt idx="94">
                  <c:v>223.9</c:v>
                </c:pt>
                <c:pt idx="95">
                  <c:v>223.9</c:v>
                </c:pt>
                <c:pt idx="96">
                  <c:v>223.9</c:v>
                </c:pt>
                <c:pt idx="97">
                  <c:v>223.9</c:v>
                </c:pt>
              </c:numCache>
            </c:numRef>
          </c:xVal>
          <c:yVal>
            <c:numRef>
              <c:f>Déplacements!$L$10:$L$200</c:f>
              <c:numCache>
                <c:formatCode>\+\ 0.0;\-\ 0.0;\±\ 0.0</c:formatCode>
                <c:ptCount val="191"/>
                <c:pt idx="0">
                  <c:v>0</c:v>
                </c:pt>
                <c:pt idx="1">
                  <c:v>0.59999999999998943</c:v>
                </c:pt>
                <c:pt idx="2">
                  <c:v>0.40000000000001146</c:v>
                </c:pt>
                <c:pt idx="3">
                  <c:v>0.9000000000000119</c:v>
                </c:pt>
                <c:pt idx="4">
                  <c:v>-0.40000000000001146</c:v>
                </c:pt>
                <c:pt idx="5">
                  <c:v>2.0999999999999908</c:v>
                </c:pt>
                <c:pt idx="6">
                  <c:v>0.65322899999997741</c:v>
                </c:pt>
                <c:pt idx="7">
                  <c:v>1.3420960832648543</c:v>
                </c:pt>
                <c:pt idx="8">
                  <c:v>1.1848059999999827</c:v>
                </c:pt>
                <c:pt idx="9">
                  <c:v>2.0789010000000219</c:v>
                </c:pt>
                <c:pt idx="10">
                  <c:v>1.4026580000000011</c:v>
                </c:pt>
                <c:pt idx="11">
                  <c:v>2.2000240000000226</c:v>
                </c:pt>
                <c:pt idx="12">
                  <c:v>0.40000000000001146</c:v>
                </c:pt>
                <c:pt idx="13">
                  <c:v>0.69999999999997842</c:v>
                </c:pt>
                <c:pt idx="14">
                  <c:v>1.8000000000000238</c:v>
                </c:pt>
                <c:pt idx="15">
                  <c:v>1.6999999999999793</c:v>
                </c:pt>
                <c:pt idx="16">
                  <c:v>1.5999999999999903</c:v>
                </c:pt>
                <c:pt idx="17">
                  <c:v>1.6999999999999793</c:v>
                </c:pt>
                <c:pt idx="18">
                  <c:v>2.1398890533373405</c:v>
                </c:pt>
                <c:pt idx="19">
                  <c:v>1.9000000000000128</c:v>
                </c:pt>
                <c:pt idx="20">
                  <c:v>1.5999999999999903</c:v>
                </c:pt>
                <c:pt idx="21">
                  <c:v>2.3000000000000242</c:v>
                </c:pt>
                <c:pt idx="22">
                  <c:v>1.3000000000000234</c:v>
                </c:pt>
                <c:pt idx="23">
                  <c:v>1.5999999999999903</c:v>
                </c:pt>
                <c:pt idx="24">
                  <c:v>2.0013221481431365</c:v>
                </c:pt>
                <c:pt idx="25">
                  <c:v>2.0999999999999908</c:v>
                </c:pt>
                <c:pt idx="26">
                  <c:v>1.5995893814840234</c:v>
                </c:pt>
                <c:pt idx="27">
                  <c:v>1.3356915544688319</c:v>
                </c:pt>
                <c:pt idx="28">
                  <c:v>1.2401221026775433</c:v>
                </c:pt>
                <c:pt idx="29">
                  <c:v>1.9529582755826169</c:v>
                </c:pt>
                <c:pt idx="30">
                  <c:v>1.2945850421979266</c:v>
                </c:pt>
                <c:pt idx="31">
                  <c:v>1.9350880989065233</c:v>
                </c:pt>
                <c:pt idx="32">
                  <c:v>1.2884861862586527</c:v>
                </c:pt>
                <c:pt idx="33">
                  <c:v>1.9228905980473998</c:v>
                </c:pt>
                <c:pt idx="34">
                  <c:v>1.5999999999999903</c:v>
                </c:pt>
                <c:pt idx="35">
                  <c:v>1.6999999999999793</c:v>
                </c:pt>
                <c:pt idx="36">
                  <c:v>2.1999999999999797</c:v>
                </c:pt>
                <c:pt idx="37">
                  <c:v>1.6999999999999793</c:v>
                </c:pt>
                <c:pt idx="38">
                  <c:v>1.9000000000000128</c:v>
                </c:pt>
                <c:pt idx="39">
                  <c:v>1.5999999999999903</c:v>
                </c:pt>
                <c:pt idx="40">
                  <c:v>2.5000000000000022</c:v>
                </c:pt>
                <c:pt idx="41">
                  <c:v>1.9000000000000128</c:v>
                </c:pt>
                <c:pt idx="42">
                  <c:v>1.9000000000000128</c:v>
                </c:pt>
                <c:pt idx="43">
                  <c:v>1.7298609643722207</c:v>
                </c:pt>
                <c:pt idx="44">
                  <c:v>1.5999999999999903</c:v>
                </c:pt>
                <c:pt idx="45">
                  <c:v>1.6999999999999793</c:v>
                </c:pt>
                <c:pt idx="46">
                  <c:v>1.9000000000000128</c:v>
                </c:pt>
                <c:pt idx="47">
                  <c:v>2.0000000000000018</c:v>
                </c:pt>
                <c:pt idx="48">
                  <c:v>2.0999999999999908</c:v>
                </c:pt>
                <c:pt idx="49">
                  <c:v>1.6999999999999793</c:v>
                </c:pt>
                <c:pt idx="50">
                  <c:v>2.0000000000000018</c:v>
                </c:pt>
                <c:pt idx="51">
                  <c:v>1.8000000000000238</c:v>
                </c:pt>
                <c:pt idx="52">
                  <c:v>2.6999999999999802</c:v>
                </c:pt>
                <c:pt idx="53">
                  <c:v>1.8000000000000238</c:v>
                </c:pt>
                <c:pt idx="54">
                  <c:v>2.4000000000000132</c:v>
                </c:pt>
                <c:pt idx="55">
                  <c:v>2.5000000000000022</c:v>
                </c:pt>
                <c:pt idx="56">
                  <c:v>2.5999999999999912</c:v>
                </c:pt>
                <c:pt idx="57">
                  <c:v>2.2858338260651201</c:v>
                </c:pt>
                <c:pt idx="58">
                  <c:v>2.9747011281501257</c:v>
                </c:pt>
                <c:pt idx="59">
                  <c:v>2.8779730102427847</c:v>
                </c:pt>
                <c:pt idx="60">
                  <c:v>2.3402965053574976</c:v>
                </c:pt>
                <c:pt idx="61">
                  <c:v>2.3463954104793738</c:v>
                </c:pt>
                <c:pt idx="62">
                  <c:v>3.5184762779759682</c:v>
                </c:pt>
                <c:pt idx="63">
                  <c:v>2.8418066877772818</c:v>
                </c:pt>
                <c:pt idx="64">
                  <c:v>2.8479055437019007</c:v>
                </c:pt>
                <c:pt idx="68">
                  <c:v>1.9660085587208664</c:v>
                </c:pt>
                <c:pt idx="72">
                  <c:v>-3.3932843762962683E-2</c:v>
                </c:pt>
                <c:pt idx="73">
                  <c:v>0.22618362140192083</c:v>
                </c:pt>
                <c:pt idx="74">
                  <c:v>-0.77758617875478553</c:v>
                </c:pt>
                <c:pt idx="75">
                  <c:v>-1.0064588304940503</c:v>
                </c:pt>
                <c:pt idx="76">
                  <c:v>-0.47758617875476306</c:v>
                </c:pt>
                <c:pt idx="77">
                  <c:v>-0.65613970550487677</c:v>
                </c:pt>
                <c:pt idx="78">
                  <c:v>0.47977483949507294</c:v>
                </c:pt>
                <c:pt idx="79">
                  <c:v>-0.84916933918555149</c:v>
                </c:pt>
                <c:pt idx="80">
                  <c:v>0.10506029074897061</c:v>
                </c:pt>
                <c:pt idx="81">
                  <c:v>-0.25745654611347701</c:v>
                </c:pt>
                <c:pt idx="82">
                  <c:v>0.66103315243176697</c:v>
                </c:pt>
                <c:pt idx="83">
                  <c:v>0.33468289826155129</c:v>
                </c:pt>
                <c:pt idx="84">
                  <c:v>1.3799679702833356</c:v>
                </c:pt>
                <c:pt idx="85">
                  <c:v>1.3738693253533274</c:v>
                </c:pt>
                <c:pt idx="86">
                  <c:v>1.259271241764004</c:v>
                </c:pt>
                <c:pt idx="87">
                  <c:v>0.88455690402089449</c:v>
                </c:pt>
                <c:pt idx="88">
                  <c:v>0.97518595497514404</c:v>
                </c:pt>
                <c:pt idx="89">
                  <c:v>1.4705972322309746</c:v>
                </c:pt>
                <c:pt idx="90">
                  <c:v>0.84229167640342828</c:v>
                </c:pt>
                <c:pt idx="91">
                  <c:v>1.4827947331300662</c:v>
                </c:pt>
                <c:pt idx="92">
                  <c:v>1.0597163610214233</c:v>
                </c:pt>
                <c:pt idx="93">
                  <c:v>1.4527272665605384</c:v>
                </c:pt>
                <c:pt idx="94">
                  <c:v>1.8392129250497935</c:v>
                </c:pt>
                <c:pt idx="95">
                  <c:v>1.579522851019366</c:v>
                </c:pt>
                <c:pt idx="96">
                  <c:v>1.6278869345703328</c:v>
                </c:pt>
                <c:pt idx="97">
                  <c:v>0.232708917675295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76B-4504-8646-FF6319412C13}"/>
            </c:ext>
          </c:extLst>
        </c:ser>
        <c:ser>
          <c:idx val="11"/>
          <c:order val="1"/>
          <c:tx>
            <c:strRef>
              <c:f>Déplacements!$H$9</c:f>
              <c:strCache>
                <c:ptCount val="1"/>
                <c:pt idx="0">
                  <c:v>DH haut gauche</c:v>
                </c:pt>
              </c:strCache>
            </c:strRef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circle"/>
            <c:size val="3"/>
          </c:marker>
          <c:xVal>
            <c:numRef>
              <c:f>'Résultats observations'!$C$10:$C$200</c:f>
              <c:numCache>
                <c:formatCode>0.0</c:formatCode>
                <c:ptCount val="191"/>
                <c:pt idx="0">
                  <c:v>184.3</c:v>
                </c:pt>
                <c:pt idx="1">
                  <c:v>185.03</c:v>
                </c:pt>
                <c:pt idx="2">
                  <c:v>187.2</c:v>
                </c:pt>
                <c:pt idx="3">
                  <c:v>188.17</c:v>
                </c:pt>
                <c:pt idx="4">
                  <c:v>189.2</c:v>
                </c:pt>
                <c:pt idx="5">
                  <c:v>191.5</c:v>
                </c:pt>
                <c:pt idx="6">
                  <c:v>192.5</c:v>
                </c:pt>
                <c:pt idx="7">
                  <c:v>193.04</c:v>
                </c:pt>
                <c:pt idx="8">
                  <c:v>193.6</c:v>
                </c:pt>
                <c:pt idx="9">
                  <c:v>193.6</c:v>
                </c:pt>
                <c:pt idx="10">
                  <c:v>194.8</c:v>
                </c:pt>
                <c:pt idx="11">
                  <c:v>194.8</c:v>
                </c:pt>
                <c:pt idx="12">
                  <c:v>195.4</c:v>
                </c:pt>
                <c:pt idx="13">
                  <c:v>196.35</c:v>
                </c:pt>
                <c:pt idx="14">
                  <c:v>196.35</c:v>
                </c:pt>
                <c:pt idx="15">
                  <c:v>198.3</c:v>
                </c:pt>
                <c:pt idx="16">
                  <c:v>199.4</c:v>
                </c:pt>
                <c:pt idx="17">
                  <c:v>200.6</c:v>
                </c:pt>
                <c:pt idx="18">
                  <c:v>202.58</c:v>
                </c:pt>
                <c:pt idx="19">
                  <c:v>203.6</c:v>
                </c:pt>
                <c:pt idx="20">
                  <c:v>203.6</c:v>
                </c:pt>
                <c:pt idx="21">
                  <c:v>206.32</c:v>
                </c:pt>
                <c:pt idx="22">
                  <c:v>206.32</c:v>
                </c:pt>
                <c:pt idx="23">
                  <c:v>206.32</c:v>
                </c:pt>
                <c:pt idx="24">
                  <c:v>206.32</c:v>
                </c:pt>
                <c:pt idx="25">
                  <c:v>207.2</c:v>
                </c:pt>
                <c:pt idx="26">
                  <c:v>208.3</c:v>
                </c:pt>
                <c:pt idx="27">
                  <c:v>212.65</c:v>
                </c:pt>
                <c:pt idx="28">
                  <c:v>213.5</c:v>
                </c:pt>
                <c:pt idx="29">
                  <c:v>215</c:v>
                </c:pt>
                <c:pt idx="30">
                  <c:v>215</c:v>
                </c:pt>
                <c:pt idx="31">
                  <c:v>215.55</c:v>
                </c:pt>
                <c:pt idx="32">
                  <c:v>216.87</c:v>
                </c:pt>
                <c:pt idx="33">
                  <c:v>217.7</c:v>
                </c:pt>
                <c:pt idx="34">
                  <c:v>218.7</c:v>
                </c:pt>
                <c:pt idx="35">
                  <c:v>218.7</c:v>
                </c:pt>
                <c:pt idx="36">
                  <c:v>220.5</c:v>
                </c:pt>
                <c:pt idx="37">
                  <c:v>221.7</c:v>
                </c:pt>
                <c:pt idx="38">
                  <c:v>222.9</c:v>
                </c:pt>
                <c:pt idx="39">
                  <c:v>222.9</c:v>
                </c:pt>
                <c:pt idx="40">
                  <c:v>222.9</c:v>
                </c:pt>
                <c:pt idx="41">
                  <c:v>222.9</c:v>
                </c:pt>
                <c:pt idx="42">
                  <c:v>222.9</c:v>
                </c:pt>
                <c:pt idx="43">
                  <c:v>222.9</c:v>
                </c:pt>
                <c:pt idx="44">
                  <c:v>222.9</c:v>
                </c:pt>
                <c:pt idx="45">
                  <c:v>222.9</c:v>
                </c:pt>
                <c:pt idx="46">
                  <c:v>222.9</c:v>
                </c:pt>
                <c:pt idx="47">
                  <c:v>222.9</c:v>
                </c:pt>
                <c:pt idx="48">
                  <c:v>222.9</c:v>
                </c:pt>
                <c:pt idx="49">
                  <c:v>222.9</c:v>
                </c:pt>
                <c:pt idx="50">
                  <c:v>222.9</c:v>
                </c:pt>
                <c:pt idx="51">
                  <c:v>222.9</c:v>
                </c:pt>
                <c:pt idx="52">
                  <c:v>222.9</c:v>
                </c:pt>
                <c:pt idx="53">
                  <c:v>222.9</c:v>
                </c:pt>
                <c:pt idx="54">
                  <c:v>222.9</c:v>
                </c:pt>
                <c:pt idx="55">
                  <c:v>222.9</c:v>
                </c:pt>
                <c:pt idx="56">
                  <c:v>222.9</c:v>
                </c:pt>
                <c:pt idx="57">
                  <c:v>222.9</c:v>
                </c:pt>
                <c:pt idx="58">
                  <c:v>222.9</c:v>
                </c:pt>
                <c:pt idx="59">
                  <c:v>223.9</c:v>
                </c:pt>
                <c:pt idx="60">
                  <c:v>223.9</c:v>
                </c:pt>
                <c:pt idx="61">
                  <c:v>223.9</c:v>
                </c:pt>
                <c:pt idx="62">
                  <c:v>223.9</c:v>
                </c:pt>
                <c:pt idx="63">
                  <c:v>223.9</c:v>
                </c:pt>
                <c:pt idx="64">
                  <c:v>223.9</c:v>
                </c:pt>
                <c:pt idx="65">
                  <c:v>223.9</c:v>
                </c:pt>
                <c:pt idx="66">
                  <c:v>223.9</c:v>
                </c:pt>
                <c:pt idx="67">
                  <c:v>223.9</c:v>
                </c:pt>
                <c:pt idx="68">
                  <c:v>223.9</c:v>
                </c:pt>
                <c:pt idx="70">
                  <c:v>223.9</c:v>
                </c:pt>
                <c:pt idx="72">
                  <c:v>223.9</c:v>
                </c:pt>
                <c:pt idx="73">
                  <c:v>223.9</c:v>
                </c:pt>
                <c:pt idx="74">
                  <c:v>223.9</c:v>
                </c:pt>
                <c:pt idx="75">
                  <c:v>223.9</c:v>
                </c:pt>
                <c:pt idx="76">
                  <c:v>223.9</c:v>
                </c:pt>
                <c:pt idx="77">
                  <c:v>223.9</c:v>
                </c:pt>
                <c:pt idx="78">
                  <c:v>223.9</c:v>
                </c:pt>
                <c:pt idx="79">
                  <c:v>223.9</c:v>
                </c:pt>
                <c:pt idx="80">
                  <c:v>223.9</c:v>
                </c:pt>
                <c:pt idx="81">
                  <c:v>223.9</c:v>
                </c:pt>
                <c:pt idx="82">
                  <c:v>223.9</c:v>
                </c:pt>
                <c:pt idx="83">
                  <c:v>223.9</c:v>
                </c:pt>
                <c:pt idx="84">
                  <c:v>223.9</c:v>
                </c:pt>
                <c:pt idx="85">
                  <c:v>223.9</c:v>
                </c:pt>
                <c:pt idx="86">
                  <c:v>223.9</c:v>
                </c:pt>
                <c:pt idx="87">
                  <c:v>223.9</c:v>
                </c:pt>
                <c:pt idx="88">
                  <c:v>223.9</c:v>
                </c:pt>
                <c:pt idx="89">
                  <c:v>223.9</c:v>
                </c:pt>
                <c:pt idx="90">
                  <c:v>223.9</c:v>
                </c:pt>
                <c:pt idx="91">
                  <c:v>223.9</c:v>
                </c:pt>
                <c:pt idx="92">
                  <c:v>223.9</c:v>
                </c:pt>
                <c:pt idx="93">
                  <c:v>223.9</c:v>
                </c:pt>
                <c:pt idx="94">
                  <c:v>223.9</c:v>
                </c:pt>
                <c:pt idx="95">
                  <c:v>223.9</c:v>
                </c:pt>
                <c:pt idx="96">
                  <c:v>223.9</c:v>
                </c:pt>
                <c:pt idx="97">
                  <c:v>223.9</c:v>
                </c:pt>
              </c:numCache>
            </c:numRef>
          </c:xVal>
          <c:yVal>
            <c:numRef>
              <c:f>Déplacements!$H$10:$H$200</c:f>
              <c:numCache>
                <c:formatCode>\+\ 0.0;\-\ 0.0;\±\ 0.0</c:formatCode>
                <c:ptCount val="191"/>
                <c:pt idx="0">
                  <c:v>0</c:v>
                </c:pt>
                <c:pt idx="1">
                  <c:v>0.50000000000016698</c:v>
                </c:pt>
                <c:pt idx="2">
                  <c:v>0.40000000000017799</c:v>
                </c:pt>
                <c:pt idx="3">
                  <c:v>1.3000000000000789</c:v>
                </c:pt>
                <c:pt idx="4">
                  <c:v>0</c:v>
                </c:pt>
                <c:pt idx="5">
                  <c:v>2.6000000000001577</c:v>
                </c:pt>
                <c:pt idx="6">
                  <c:v>1.1352790000001001</c:v>
                </c:pt>
                <c:pt idx="7">
                  <c:v>1.7095482365681036</c:v>
                </c:pt>
                <c:pt idx="8">
                  <c:v>1.9509420000001221</c:v>
                </c:pt>
                <c:pt idx="9">
                  <c:v>2.8511350000000046</c:v>
                </c:pt>
                <c:pt idx="10">
                  <c:v>2.0419970000000731</c:v>
                </c:pt>
                <c:pt idx="11">
                  <c:v>2.8637590000000213</c:v>
                </c:pt>
                <c:pt idx="12">
                  <c:v>1.1000000000001009</c:v>
                </c:pt>
                <c:pt idx="13">
                  <c:v>1.4000000000000679</c:v>
                </c:pt>
                <c:pt idx="14">
                  <c:v>2.5000000000001688</c:v>
                </c:pt>
                <c:pt idx="15">
                  <c:v>2.5000000000001688</c:v>
                </c:pt>
                <c:pt idx="16">
                  <c:v>2.4000000000001798</c:v>
                </c:pt>
                <c:pt idx="17">
                  <c:v>2.5000000000001688</c:v>
                </c:pt>
                <c:pt idx="18">
                  <c:v>2.8036237832764765</c:v>
                </c:pt>
                <c:pt idx="19">
                  <c:v>2.7000000000001467</c:v>
                </c:pt>
                <c:pt idx="20">
                  <c:v>2.3000000000001908</c:v>
                </c:pt>
                <c:pt idx="21">
                  <c:v>3.0000000000001137</c:v>
                </c:pt>
                <c:pt idx="22">
                  <c:v>2.4000000000001798</c:v>
                </c:pt>
                <c:pt idx="23">
                  <c:v>2.6000000000001577</c:v>
                </c:pt>
                <c:pt idx="24">
                  <c:v>2.7195197683571593</c:v>
                </c:pt>
                <c:pt idx="25">
                  <c:v>3.0000000000001137</c:v>
                </c:pt>
                <c:pt idx="26">
                  <c:v>2.3208366090183841</c:v>
                </c:pt>
                <c:pt idx="27">
                  <c:v>2.1485841905193315</c:v>
                </c:pt>
                <c:pt idx="28">
                  <c:v>1.9221534496816073</c:v>
                </c:pt>
                <c:pt idx="29">
                  <c:v>2.5081937779016794</c:v>
                </c:pt>
                <c:pt idx="30">
                  <c:v>1.8676905101535635</c:v>
                </c:pt>
                <c:pt idx="32">
                  <c:v>2.296867787413337</c:v>
                </c:pt>
                <c:pt idx="33">
                  <c:v>2.5142926338492799</c:v>
                </c:pt>
                <c:pt idx="34">
                  <c:v>2.3000000000001908</c:v>
                </c:pt>
                <c:pt idx="35">
                  <c:v>2.4000000000001798</c:v>
                </c:pt>
                <c:pt idx="37">
                  <c:v>2.6000000000001577</c:v>
                </c:pt>
                <c:pt idx="38">
                  <c:v>2.8000000000001357</c:v>
                </c:pt>
                <c:pt idx="39">
                  <c:v>2.2000000000002018</c:v>
                </c:pt>
                <c:pt idx="40">
                  <c:v>3.3000000000000806</c:v>
                </c:pt>
                <c:pt idx="41">
                  <c:v>2.7000000000001467</c:v>
                </c:pt>
                <c:pt idx="42">
                  <c:v>2.6000000000001577</c:v>
                </c:pt>
                <c:pt idx="43">
                  <c:v>2.3757259396497421</c:v>
                </c:pt>
                <c:pt idx="44">
                  <c:v>2.6000000000001577</c:v>
                </c:pt>
                <c:pt idx="45">
                  <c:v>2.6000000000001577</c:v>
                </c:pt>
                <c:pt idx="46">
                  <c:v>2.8000000000001357</c:v>
                </c:pt>
                <c:pt idx="47">
                  <c:v>2.9000000000001247</c:v>
                </c:pt>
                <c:pt idx="48">
                  <c:v>2.9000000000001247</c:v>
                </c:pt>
                <c:pt idx="49">
                  <c:v>2.7000000000001467</c:v>
                </c:pt>
                <c:pt idx="50">
                  <c:v>2.9000000000001247</c:v>
                </c:pt>
                <c:pt idx="51">
                  <c:v>2.8000000000001357</c:v>
                </c:pt>
                <c:pt idx="52">
                  <c:v>3.6000000000000476</c:v>
                </c:pt>
                <c:pt idx="53">
                  <c:v>2.7000000000001467</c:v>
                </c:pt>
                <c:pt idx="54">
                  <c:v>3.0000000000001137</c:v>
                </c:pt>
                <c:pt idx="55">
                  <c:v>3.5000000000000586</c:v>
                </c:pt>
                <c:pt idx="56">
                  <c:v>3.5000000000000586</c:v>
                </c:pt>
                <c:pt idx="57">
                  <c:v>3.2702468166321275</c:v>
                </c:pt>
                <c:pt idx="58">
                  <c:v>3.8684846457339717</c:v>
                </c:pt>
                <c:pt idx="59">
                  <c:v>3.6872263327971666</c:v>
                </c:pt>
                <c:pt idx="60">
                  <c:v>3.4214376138248515</c:v>
                </c:pt>
                <c:pt idx="61">
                  <c:v>3.5665296042910466</c:v>
                </c:pt>
                <c:pt idx="62">
                  <c:v>4.829239571904953</c:v>
                </c:pt>
                <c:pt idx="63">
                  <c:v>4.1464710765852786</c:v>
                </c:pt>
                <c:pt idx="64">
                  <c:v>4.0741384316114182</c:v>
                </c:pt>
                <c:pt idx="65">
                  <c:v>3.892879907674951</c:v>
                </c:pt>
                <c:pt idx="66">
                  <c:v>4.0257743480645036</c:v>
                </c:pt>
                <c:pt idx="67">
                  <c:v>3.7538867731501391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76B-4504-8646-FF6319412C13}"/>
            </c:ext>
          </c:extLst>
        </c:ser>
        <c:ser>
          <c:idx val="12"/>
          <c:order val="2"/>
          <c:tx>
            <c:strRef>
              <c:f>Déplacements!$P$9</c:f>
              <c:strCache>
                <c:ptCount val="1"/>
                <c:pt idx="0">
                  <c:v>DH haut droit</c:v>
                </c:pt>
              </c:strCache>
            </c:strRef>
          </c:tx>
          <c:spPr>
            <a:ln w="12700">
              <a:solidFill>
                <a:srgbClr val="800000"/>
              </a:solidFill>
              <a:prstDash val="solid"/>
            </a:ln>
          </c:spPr>
          <c:marker>
            <c:symbol val="circle"/>
            <c:size val="3"/>
          </c:marker>
          <c:xVal>
            <c:numRef>
              <c:f>'Résultats observations'!$C$10:$C$200</c:f>
              <c:numCache>
                <c:formatCode>0.0</c:formatCode>
                <c:ptCount val="191"/>
                <c:pt idx="0">
                  <c:v>184.3</c:v>
                </c:pt>
                <c:pt idx="1">
                  <c:v>185.03</c:v>
                </c:pt>
                <c:pt idx="2">
                  <c:v>187.2</c:v>
                </c:pt>
                <c:pt idx="3">
                  <c:v>188.17</c:v>
                </c:pt>
                <c:pt idx="4">
                  <c:v>189.2</c:v>
                </c:pt>
                <c:pt idx="5">
                  <c:v>191.5</c:v>
                </c:pt>
                <c:pt idx="6">
                  <c:v>192.5</c:v>
                </c:pt>
                <c:pt idx="7">
                  <c:v>193.04</c:v>
                </c:pt>
                <c:pt idx="8">
                  <c:v>193.6</c:v>
                </c:pt>
                <c:pt idx="9">
                  <c:v>193.6</c:v>
                </c:pt>
                <c:pt idx="10">
                  <c:v>194.8</c:v>
                </c:pt>
                <c:pt idx="11">
                  <c:v>194.8</c:v>
                </c:pt>
                <c:pt idx="12">
                  <c:v>195.4</c:v>
                </c:pt>
                <c:pt idx="13">
                  <c:v>196.35</c:v>
                </c:pt>
                <c:pt idx="14">
                  <c:v>196.35</c:v>
                </c:pt>
                <c:pt idx="15">
                  <c:v>198.3</c:v>
                </c:pt>
                <c:pt idx="16">
                  <c:v>199.4</c:v>
                </c:pt>
                <c:pt idx="17">
                  <c:v>200.6</c:v>
                </c:pt>
                <c:pt idx="18">
                  <c:v>202.58</c:v>
                </c:pt>
                <c:pt idx="19">
                  <c:v>203.6</c:v>
                </c:pt>
                <c:pt idx="20">
                  <c:v>203.6</c:v>
                </c:pt>
                <c:pt idx="21">
                  <c:v>206.32</c:v>
                </c:pt>
                <c:pt idx="22">
                  <c:v>206.32</c:v>
                </c:pt>
                <c:pt idx="23">
                  <c:v>206.32</c:v>
                </c:pt>
                <c:pt idx="24">
                  <c:v>206.32</c:v>
                </c:pt>
                <c:pt idx="25">
                  <c:v>207.2</c:v>
                </c:pt>
                <c:pt idx="26">
                  <c:v>208.3</c:v>
                </c:pt>
                <c:pt idx="27">
                  <c:v>212.65</c:v>
                </c:pt>
                <c:pt idx="28">
                  <c:v>213.5</c:v>
                </c:pt>
                <c:pt idx="29">
                  <c:v>215</c:v>
                </c:pt>
                <c:pt idx="30">
                  <c:v>215</c:v>
                </c:pt>
                <c:pt idx="31">
                  <c:v>215.55</c:v>
                </c:pt>
                <c:pt idx="32">
                  <c:v>216.87</c:v>
                </c:pt>
                <c:pt idx="33">
                  <c:v>217.7</c:v>
                </c:pt>
                <c:pt idx="34">
                  <c:v>218.7</c:v>
                </c:pt>
                <c:pt idx="35">
                  <c:v>218.7</c:v>
                </c:pt>
                <c:pt idx="36">
                  <c:v>220.5</c:v>
                </c:pt>
                <c:pt idx="37">
                  <c:v>221.7</c:v>
                </c:pt>
                <c:pt idx="38">
                  <c:v>222.9</c:v>
                </c:pt>
                <c:pt idx="39">
                  <c:v>222.9</c:v>
                </c:pt>
                <c:pt idx="40">
                  <c:v>222.9</c:v>
                </c:pt>
                <c:pt idx="41">
                  <c:v>222.9</c:v>
                </c:pt>
                <c:pt idx="42">
                  <c:v>222.9</c:v>
                </c:pt>
                <c:pt idx="43">
                  <c:v>222.9</c:v>
                </c:pt>
                <c:pt idx="44">
                  <c:v>222.9</c:v>
                </c:pt>
                <c:pt idx="45">
                  <c:v>222.9</c:v>
                </c:pt>
                <c:pt idx="46">
                  <c:v>222.9</c:v>
                </c:pt>
                <c:pt idx="47">
                  <c:v>222.9</c:v>
                </c:pt>
                <c:pt idx="48">
                  <c:v>222.9</c:v>
                </c:pt>
                <c:pt idx="49">
                  <c:v>222.9</c:v>
                </c:pt>
                <c:pt idx="50">
                  <c:v>222.9</c:v>
                </c:pt>
                <c:pt idx="51">
                  <c:v>222.9</c:v>
                </c:pt>
                <c:pt idx="52">
                  <c:v>222.9</c:v>
                </c:pt>
                <c:pt idx="53">
                  <c:v>222.9</c:v>
                </c:pt>
                <c:pt idx="54">
                  <c:v>222.9</c:v>
                </c:pt>
                <c:pt idx="55">
                  <c:v>222.9</c:v>
                </c:pt>
                <c:pt idx="56">
                  <c:v>222.9</c:v>
                </c:pt>
                <c:pt idx="57">
                  <c:v>222.9</c:v>
                </c:pt>
                <c:pt idx="58">
                  <c:v>222.9</c:v>
                </c:pt>
                <c:pt idx="59">
                  <c:v>223.9</c:v>
                </c:pt>
                <c:pt idx="60">
                  <c:v>223.9</c:v>
                </c:pt>
                <c:pt idx="61">
                  <c:v>223.9</c:v>
                </c:pt>
                <c:pt idx="62">
                  <c:v>223.9</c:v>
                </c:pt>
                <c:pt idx="63">
                  <c:v>223.9</c:v>
                </c:pt>
                <c:pt idx="64">
                  <c:v>223.9</c:v>
                </c:pt>
                <c:pt idx="65">
                  <c:v>223.9</c:v>
                </c:pt>
                <c:pt idx="66">
                  <c:v>223.9</c:v>
                </c:pt>
                <c:pt idx="67">
                  <c:v>223.9</c:v>
                </c:pt>
                <c:pt idx="68">
                  <c:v>223.9</c:v>
                </c:pt>
                <c:pt idx="70">
                  <c:v>223.9</c:v>
                </c:pt>
                <c:pt idx="72">
                  <c:v>223.9</c:v>
                </c:pt>
                <c:pt idx="73">
                  <c:v>223.9</c:v>
                </c:pt>
                <c:pt idx="74">
                  <c:v>223.9</c:v>
                </c:pt>
                <c:pt idx="75">
                  <c:v>223.9</c:v>
                </c:pt>
                <c:pt idx="76">
                  <c:v>223.9</c:v>
                </c:pt>
                <c:pt idx="77">
                  <c:v>223.9</c:v>
                </c:pt>
                <c:pt idx="78">
                  <c:v>223.9</c:v>
                </c:pt>
                <c:pt idx="79">
                  <c:v>223.9</c:v>
                </c:pt>
                <c:pt idx="80">
                  <c:v>223.9</c:v>
                </c:pt>
                <c:pt idx="81">
                  <c:v>223.9</c:v>
                </c:pt>
                <c:pt idx="82">
                  <c:v>223.9</c:v>
                </c:pt>
                <c:pt idx="83">
                  <c:v>223.9</c:v>
                </c:pt>
                <c:pt idx="84">
                  <c:v>223.9</c:v>
                </c:pt>
                <c:pt idx="85">
                  <c:v>223.9</c:v>
                </c:pt>
                <c:pt idx="86">
                  <c:v>223.9</c:v>
                </c:pt>
                <c:pt idx="87">
                  <c:v>223.9</c:v>
                </c:pt>
                <c:pt idx="88">
                  <c:v>223.9</c:v>
                </c:pt>
                <c:pt idx="89">
                  <c:v>223.9</c:v>
                </c:pt>
                <c:pt idx="90">
                  <c:v>223.9</c:v>
                </c:pt>
                <c:pt idx="91">
                  <c:v>223.9</c:v>
                </c:pt>
                <c:pt idx="92">
                  <c:v>223.9</c:v>
                </c:pt>
                <c:pt idx="93">
                  <c:v>223.9</c:v>
                </c:pt>
                <c:pt idx="94">
                  <c:v>223.9</c:v>
                </c:pt>
                <c:pt idx="95">
                  <c:v>223.9</c:v>
                </c:pt>
                <c:pt idx="96">
                  <c:v>223.9</c:v>
                </c:pt>
                <c:pt idx="97">
                  <c:v>223.9</c:v>
                </c:pt>
              </c:numCache>
            </c:numRef>
          </c:xVal>
          <c:yVal>
            <c:numRef>
              <c:f>Déplacements!$P$10:$P$200</c:f>
              <c:numCache>
                <c:formatCode>\+\ 0.0;\-\ 0.0;\±\ 0.0</c:formatCode>
                <c:ptCount val="191"/>
                <c:pt idx="0">
                  <c:v>0</c:v>
                </c:pt>
                <c:pt idx="1">
                  <c:v>0.59999999999993392</c:v>
                </c:pt>
                <c:pt idx="2">
                  <c:v>0.79999999999991189</c:v>
                </c:pt>
                <c:pt idx="3">
                  <c:v>1.3999999999998458</c:v>
                </c:pt>
                <c:pt idx="4">
                  <c:v>9.9999999999988987E-2</c:v>
                </c:pt>
                <c:pt idx="5">
                  <c:v>2.4999999999999467</c:v>
                </c:pt>
                <c:pt idx="6">
                  <c:v>1.1550139999998432</c:v>
                </c:pt>
                <c:pt idx="7">
                  <c:v>1.753251604003303</c:v>
                </c:pt>
                <c:pt idx="8">
                  <c:v>1.7772199999999128</c:v>
                </c:pt>
                <c:pt idx="9">
                  <c:v>2.7619439999999607</c:v>
                </c:pt>
                <c:pt idx="10">
                  <c:v>2.0434359999998986</c:v>
                </c:pt>
                <c:pt idx="11">
                  <c:v>2.9013639999999619</c:v>
                </c:pt>
                <c:pt idx="12">
                  <c:v>1.3999999999998458</c:v>
                </c:pt>
                <c:pt idx="13">
                  <c:v>1.4999999999998348</c:v>
                </c:pt>
                <c:pt idx="14">
                  <c:v>2.7999999999999137</c:v>
                </c:pt>
                <c:pt idx="15">
                  <c:v>2.6999999999999247</c:v>
                </c:pt>
                <c:pt idx="16">
                  <c:v>2.6999999999999247</c:v>
                </c:pt>
                <c:pt idx="17">
                  <c:v>2.7999999999999137</c:v>
                </c:pt>
                <c:pt idx="18">
                  <c:v>3.3305409271253694</c:v>
                </c:pt>
                <c:pt idx="19">
                  <c:v>3.2999999999998586</c:v>
                </c:pt>
                <c:pt idx="20">
                  <c:v>2.8999999999999027</c:v>
                </c:pt>
                <c:pt idx="21">
                  <c:v>3.7000000000000366</c:v>
                </c:pt>
                <c:pt idx="22">
                  <c:v>3.0999999999998806</c:v>
                </c:pt>
                <c:pt idx="23">
                  <c:v>2.9999999999998916</c:v>
                </c:pt>
                <c:pt idx="24">
                  <c:v>3.3549361890670149</c:v>
                </c:pt>
                <c:pt idx="25">
                  <c:v>3.6000000000000476</c:v>
                </c:pt>
                <c:pt idx="26">
                  <c:v>3.1163786796530868</c:v>
                </c:pt>
                <c:pt idx="27">
                  <c:v>2.9682376515474118</c:v>
                </c:pt>
                <c:pt idx="28">
                  <c:v>2.7810933616936317</c:v>
                </c:pt>
                <c:pt idx="29">
                  <c:v>3.6268237639767165</c:v>
                </c:pt>
                <c:pt idx="30">
                  <c:v>3.4215966294248723</c:v>
                </c:pt>
                <c:pt idx="31">
                  <c:v>3.7841132552960399</c:v>
                </c:pt>
                <c:pt idx="32">
                  <c:v>2.9684505305975772</c:v>
                </c:pt>
                <c:pt idx="33">
                  <c:v>3.5122256804120955</c:v>
                </c:pt>
                <c:pt idx="34">
                  <c:v>3.1999999999998696</c:v>
                </c:pt>
                <c:pt idx="35">
                  <c:v>3.3999999999998476</c:v>
                </c:pt>
                <c:pt idx="36">
                  <c:v>3.6000000000000476</c:v>
                </c:pt>
                <c:pt idx="37">
                  <c:v>3.3999999999998476</c:v>
                </c:pt>
                <c:pt idx="38">
                  <c:v>3.7000000000000366</c:v>
                </c:pt>
                <c:pt idx="39">
                  <c:v>3.4999999999998366</c:v>
                </c:pt>
                <c:pt idx="40">
                  <c:v>4.3999999999999595</c:v>
                </c:pt>
                <c:pt idx="41">
                  <c:v>3.9000000000000146</c:v>
                </c:pt>
                <c:pt idx="42">
                  <c:v>3.7000000000000366</c:v>
                </c:pt>
                <c:pt idx="43">
                  <c:v>3.439892986264681</c:v>
                </c:pt>
                <c:pt idx="44">
                  <c:v>3.4999999999998366</c:v>
                </c:pt>
                <c:pt idx="45">
                  <c:v>3.8000000000000256</c:v>
                </c:pt>
                <c:pt idx="46">
                  <c:v>3.9000000000000146</c:v>
                </c:pt>
                <c:pt idx="47">
                  <c:v>3.9000000000000146</c:v>
                </c:pt>
                <c:pt idx="48">
                  <c:v>4.0999999999999925</c:v>
                </c:pt>
                <c:pt idx="49">
                  <c:v>3.9000000000000146</c:v>
                </c:pt>
                <c:pt idx="50">
                  <c:v>4.2999999999999705</c:v>
                </c:pt>
                <c:pt idx="51">
                  <c:v>3.9000000000000146</c:v>
                </c:pt>
                <c:pt idx="52">
                  <c:v>4.8999999999999044</c:v>
                </c:pt>
                <c:pt idx="53">
                  <c:v>4.0999999999999925</c:v>
                </c:pt>
                <c:pt idx="54">
                  <c:v>4.7999999999999154</c:v>
                </c:pt>
                <c:pt idx="55">
                  <c:v>5.1999999999998714</c:v>
                </c:pt>
                <c:pt idx="56">
                  <c:v>5.0999999999998824</c:v>
                </c:pt>
                <c:pt idx="57">
                  <c:v>4.8598926562080091</c:v>
                </c:pt>
                <c:pt idx="58">
                  <c:v>5.4097666619785656</c:v>
                </c:pt>
                <c:pt idx="59">
                  <c:v>5.1740454095634547</c:v>
                </c:pt>
                <c:pt idx="60">
                  <c:v>4.8659915121509467</c:v>
                </c:pt>
                <c:pt idx="61">
                  <c:v>5.0472498251166176</c:v>
                </c:pt>
                <c:pt idx="62">
                  <c:v>6.0441710737813015</c:v>
                </c:pt>
                <c:pt idx="63">
                  <c:v>5.5788274248622649</c:v>
                </c:pt>
                <c:pt idx="64">
                  <c:v>5.4520318404069901</c:v>
                </c:pt>
                <c:pt idx="65">
                  <c:v>5.4459329844591675</c:v>
                </c:pt>
                <c:pt idx="66">
                  <c:v>5.5788274248622649</c:v>
                </c:pt>
                <c:pt idx="67">
                  <c:v>5.7962523204733163</c:v>
                </c:pt>
                <c:pt idx="68">
                  <c:v>5.0171820983442306</c:v>
                </c:pt>
                <c:pt idx="72">
                  <c:v>3.1984992690405889</c:v>
                </c:pt>
                <c:pt idx="73">
                  <c:v>3.2834560661947343</c:v>
                </c:pt>
                <c:pt idx="74">
                  <c:v>2.3768767607723618</c:v>
                </c:pt>
                <c:pt idx="75">
                  <c:v>2.0869801477936267</c:v>
                </c:pt>
                <c:pt idx="76">
                  <c:v>2.3768767607723618</c:v>
                </c:pt>
                <c:pt idx="77">
                  <c:v>2.3466699616141451</c:v>
                </c:pt>
                <c:pt idx="78">
                  <c:v>3.7666696316056569</c:v>
                </c:pt>
                <c:pt idx="79">
                  <c:v>2.2743373166536074</c:v>
                </c:pt>
                <c:pt idx="80">
                  <c:v>3.4642881989839225</c:v>
                </c:pt>
                <c:pt idx="81">
                  <c:v>3.1562340413830992</c:v>
                </c:pt>
                <c:pt idx="82">
                  <c:v>4.0747237399949565</c:v>
                </c:pt>
                <c:pt idx="83">
                  <c:v>3.8512000376129674</c:v>
                </c:pt>
                <c:pt idx="84">
                  <c:v>4.9265530473994179</c:v>
                </c:pt>
                <c:pt idx="85">
                  <c:v>4.9627193698622563</c:v>
                </c:pt>
                <c:pt idx="86">
                  <c:v>4.7513933793954521</c:v>
                </c:pt>
                <c:pt idx="87">
                  <c:v>4.4372405768697831</c:v>
                </c:pt>
                <c:pt idx="88">
                  <c:v>4.3405124589577238</c:v>
                </c:pt>
                <c:pt idx="89">
                  <c:v>5.0049845974633467</c:v>
                </c:pt>
                <c:pt idx="90">
                  <c:v>4.2799509237194666</c:v>
                </c:pt>
                <c:pt idx="91">
                  <c:v>4.8119549638230286</c:v>
                </c:pt>
                <c:pt idx="92">
                  <c:v>4.8659914629560763</c:v>
                </c:pt>
                <c:pt idx="93">
                  <c:v>5.4703281971875128</c:v>
                </c:pt>
                <c:pt idx="94">
                  <c:v>5.6877530436254542</c:v>
                </c:pt>
                <c:pt idx="95">
                  <c:v>5.6999505444943477</c:v>
                </c:pt>
                <c:pt idx="96">
                  <c:v>5.5125933756206003</c:v>
                </c:pt>
                <c:pt idx="97">
                  <c:v>4.7335234136991478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76B-4504-8646-FF6319412C13}"/>
            </c:ext>
          </c:extLst>
        </c:ser>
        <c:ser>
          <c:idx val="13"/>
          <c:order val="3"/>
          <c:tx>
            <c:strRef>
              <c:f>Déplacements!$D$9</c:f>
              <c:strCache>
                <c:ptCount val="1"/>
                <c:pt idx="0">
                  <c:v>DH inter gauche</c:v>
                </c:pt>
              </c:strCache>
            </c:strRef>
          </c:tx>
          <c:spPr>
            <a:ln w="12700"/>
          </c:spPr>
          <c:marker>
            <c:symbol val="circle"/>
            <c:size val="3"/>
          </c:marker>
          <c:xVal>
            <c:numRef>
              <c:f>'Résultats observations'!$C$10:$C$200</c:f>
              <c:numCache>
                <c:formatCode>0.0</c:formatCode>
                <c:ptCount val="191"/>
                <c:pt idx="0">
                  <c:v>184.3</c:v>
                </c:pt>
                <c:pt idx="1">
                  <c:v>185.03</c:v>
                </c:pt>
                <c:pt idx="2">
                  <c:v>187.2</c:v>
                </c:pt>
                <c:pt idx="3">
                  <c:v>188.17</c:v>
                </c:pt>
                <c:pt idx="4">
                  <c:v>189.2</c:v>
                </c:pt>
                <c:pt idx="5">
                  <c:v>191.5</c:v>
                </c:pt>
                <c:pt idx="6">
                  <c:v>192.5</c:v>
                </c:pt>
                <c:pt idx="7">
                  <c:v>193.04</c:v>
                </c:pt>
                <c:pt idx="8">
                  <c:v>193.6</c:v>
                </c:pt>
                <c:pt idx="9">
                  <c:v>193.6</c:v>
                </c:pt>
                <c:pt idx="10">
                  <c:v>194.8</c:v>
                </c:pt>
                <c:pt idx="11">
                  <c:v>194.8</c:v>
                </c:pt>
                <c:pt idx="12">
                  <c:v>195.4</c:v>
                </c:pt>
                <c:pt idx="13">
                  <c:v>196.35</c:v>
                </c:pt>
                <c:pt idx="14">
                  <c:v>196.35</c:v>
                </c:pt>
                <c:pt idx="15">
                  <c:v>198.3</c:v>
                </c:pt>
                <c:pt idx="16">
                  <c:v>199.4</c:v>
                </c:pt>
                <c:pt idx="17">
                  <c:v>200.6</c:v>
                </c:pt>
                <c:pt idx="18">
                  <c:v>202.58</c:v>
                </c:pt>
                <c:pt idx="19">
                  <c:v>203.6</c:v>
                </c:pt>
                <c:pt idx="20">
                  <c:v>203.6</c:v>
                </c:pt>
                <c:pt idx="21">
                  <c:v>206.32</c:v>
                </c:pt>
                <c:pt idx="22">
                  <c:v>206.32</c:v>
                </c:pt>
                <c:pt idx="23">
                  <c:v>206.32</c:v>
                </c:pt>
                <c:pt idx="24">
                  <c:v>206.32</c:v>
                </c:pt>
                <c:pt idx="25">
                  <c:v>207.2</c:v>
                </c:pt>
                <c:pt idx="26">
                  <c:v>208.3</c:v>
                </c:pt>
                <c:pt idx="27">
                  <c:v>212.65</c:v>
                </c:pt>
                <c:pt idx="28">
                  <c:v>213.5</c:v>
                </c:pt>
                <c:pt idx="29">
                  <c:v>215</c:v>
                </c:pt>
                <c:pt idx="30">
                  <c:v>215</c:v>
                </c:pt>
                <c:pt idx="31">
                  <c:v>215.55</c:v>
                </c:pt>
                <c:pt idx="32">
                  <c:v>216.87</c:v>
                </c:pt>
                <c:pt idx="33">
                  <c:v>217.7</c:v>
                </c:pt>
                <c:pt idx="34">
                  <c:v>218.7</c:v>
                </c:pt>
                <c:pt idx="35">
                  <c:v>218.7</c:v>
                </c:pt>
                <c:pt idx="36">
                  <c:v>220.5</c:v>
                </c:pt>
                <c:pt idx="37">
                  <c:v>221.7</c:v>
                </c:pt>
                <c:pt idx="38">
                  <c:v>222.9</c:v>
                </c:pt>
                <c:pt idx="39">
                  <c:v>222.9</c:v>
                </c:pt>
                <c:pt idx="40">
                  <c:v>222.9</c:v>
                </c:pt>
                <c:pt idx="41">
                  <c:v>222.9</c:v>
                </c:pt>
                <c:pt idx="42">
                  <c:v>222.9</c:v>
                </c:pt>
                <c:pt idx="43">
                  <c:v>222.9</c:v>
                </c:pt>
                <c:pt idx="44">
                  <c:v>222.9</c:v>
                </c:pt>
                <c:pt idx="45">
                  <c:v>222.9</c:v>
                </c:pt>
                <c:pt idx="46">
                  <c:v>222.9</c:v>
                </c:pt>
                <c:pt idx="47">
                  <c:v>222.9</c:v>
                </c:pt>
                <c:pt idx="48">
                  <c:v>222.9</c:v>
                </c:pt>
                <c:pt idx="49">
                  <c:v>222.9</c:v>
                </c:pt>
                <c:pt idx="50">
                  <c:v>222.9</c:v>
                </c:pt>
                <c:pt idx="51">
                  <c:v>222.9</c:v>
                </c:pt>
                <c:pt idx="52">
                  <c:v>222.9</c:v>
                </c:pt>
                <c:pt idx="53">
                  <c:v>222.9</c:v>
                </c:pt>
                <c:pt idx="54">
                  <c:v>222.9</c:v>
                </c:pt>
                <c:pt idx="55">
                  <c:v>222.9</c:v>
                </c:pt>
                <c:pt idx="56">
                  <c:v>222.9</c:v>
                </c:pt>
                <c:pt idx="57">
                  <c:v>222.9</c:v>
                </c:pt>
                <c:pt idx="58">
                  <c:v>222.9</c:v>
                </c:pt>
                <c:pt idx="59">
                  <c:v>223.9</c:v>
                </c:pt>
                <c:pt idx="60">
                  <c:v>223.9</c:v>
                </c:pt>
                <c:pt idx="61">
                  <c:v>223.9</c:v>
                </c:pt>
                <c:pt idx="62">
                  <c:v>223.9</c:v>
                </c:pt>
                <c:pt idx="63">
                  <c:v>223.9</c:v>
                </c:pt>
                <c:pt idx="64">
                  <c:v>223.9</c:v>
                </c:pt>
                <c:pt idx="65">
                  <c:v>223.9</c:v>
                </c:pt>
                <c:pt idx="66">
                  <c:v>223.9</c:v>
                </c:pt>
                <c:pt idx="67">
                  <c:v>223.9</c:v>
                </c:pt>
                <c:pt idx="68">
                  <c:v>223.9</c:v>
                </c:pt>
                <c:pt idx="70">
                  <c:v>223.9</c:v>
                </c:pt>
                <c:pt idx="72">
                  <c:v>223.9</c:v>
                </c:pt>
                <c:pt idx="73">
                  <c:v>223.9</c:v>
                </c:pt>
                <c:pt idx="74">
                  <c:v>223.9</c:v>
                </c:pt>
                <c:pt idx="75">
                  <c:v>223.9</c:v>
                </c:pt>
                <c:pt idx="76">
                  <c:v>223.9</c:v>
                </c:pt>
                <c:pt idx="77">
                  <c:v>223.9</c:v>
                </c:pt>
                <c:pt idx="78">
                  <c:v>223.9</c:v>
                </c:pt>
                <c:pt idx="79">
                  <c:v>223.9</c:v>
                </c:pt>
                <c:pt idx="80">
                  <c:v>223.9</c:v>
                </c:pt>
                <c:pt idx="81">
                  <c:v>223.9</c:v>
                </c:pt>
                <c:pt idx="82">
                  <c:v>223.9</c:v>
                </c:pt>
                <c:pt idx="83">
                  <c:v>223.9</c:v>
                </c:pt>
                <c:pt idx="84">
                  <c:v>223.9</c:v>
                </c:pt>
                <c:pt idx="85">
                  <c:v>223.9</c:v>
                </c:pt>
                <c:pt idx="86">
                  <c:v>223.9</c:v>
                </c:pt>
                <c:pt idx="87">
                  <c:v>223.9</c:v>
                </c:pt>
                <c:pt idx="88">
                  <c:v>223.9</c:v>
                </c:pt>
                <c:pt idx="89">
                  <c:v>223.9</c:v>
                </c:pt>
                <c:pt idx="90">
                  <c:v>223.9</c:v>
                </c:pt>
                <c:pt idx="91">
                  <c:v>223.9</c:v>
                </c:pt>
                <c:pt idx="92">
                  <c:v>223.9</c:v>
                </c:pt>
                <c:pt idx="93">
                  <c:v>223.9</c:v>
                </c:pt>
                <c:pt idx="94">
                  <c:v>223.9</c:v>
                </c:pt>
                <c:pt idx="95">
                  <c:v>223.9</c:v>
                </c:pt>
                <c:pt idx="96">
                  <c:v>223.9</c:v>
                </c:pt>
                <c:pt idx="97">
                  <c:v>223.9</c:v>
                </c:pt>
              </c:numCache>
            </c:numRef>
          </c:xVal>
          <c:yVal>
            <c:numRef>
              <c:f>Déplacements!$D$10:$D$200</c:f>
              <c:numCache>
                <c:formatCode>\+\ 0.0;\-\ 0.0;\±\ 0.0</c:formatCode>
                <c:ptCount val="191"/>
                <c:pt idx="0">
                  <c:v>0</c:v>
                </c:pt>
                <c:pt idx="1">
                  <c:v>0.50000000000016698</c:v>
                </c:pt>
                <c:pt idx="2">
                  <c:v>0.60000000000037801</c:v>
                </c:pt>
                <c:pt idx="3">
                  <c:v>1.8000000000002458</c:v>
                </c:pt>
                <c:pt idx="4">
                  <c:v>0.50000000000016698</c:v>
                </c:pt>
                <c:pt idx="5">
                  <c:v>2.8000000000001357</c:v>
                </c:pt>
                <c:pt idx="6">
                  <c:v>1.2842800000001375</c:v>
                </c:pt>
                <c:pt idx="7">
                  <c:v>1.9308821512047381</c:v>
                </c:pt>
                <c:pt idx="8">
                  <c:v>1.7674940000000916</c:v>
                </c:pt>
                <c:pt idx="9">
                  <c:v>2.7944830000001808</c:v>
                </c:pt>
                <c:pt idx="10">
                  <c:v>1.8040870000000098</c:v>
                </c:pt>
                <c:pt idx="11">
                  <c:v>2.5230210000000142</c:v>
                </c:pt>
                <c:pt idx="12">
                  <c:v>0.50000000000016698</c:v>
                </c:pt>
                <c:pt idx="13">
                  <c:v>0.70000000000014495</c:v>
                </c:pt>
                <c:pt idx="14">
                  <c:v>1.7000000000000348</c:v>
                </c:pt>
                <c:pt idx="15">
                  <c:v>1.5000000000000568</c:v>
                </c:pt>
                <c:pt idx="16">
                  <c:v>1.3000000000000789</c:v>
                </c:pt>
                <c:pt idx="17">
                  <c:v>1.3000000000000789</c:v>
                </c:pt>
                <c:pt idx="18">
                  <c:v>1.3696632158577415</c:v>
                </c:pt>
                <c:pt idx="19">
                  <c:v>1.1000000000001009</c:v>
                </c:pt>
                <c:pt idx="20">
                  <c:v>0.300000000000189</c:v>
                </c:pt>
                <c:pt idx="21">
                  <c:v>1.2000000000003119</c:v>
                </c:pt>
                <c:pt idx="22">
                  <c:v>0.40000000000040004</c:v>
                </c:pt>
                <c:pt idx="23">
                  <c:v>0.300000000000189</c:v>
                </c:pt>
                <c:pt idx="24">
                  <c:v>0.60888961075011849</c:v>
                </c:pt>
                <c:pt idx="25">
                  <c:v>0.50000000000016698</c:v>
                </c:pt>
                <c:pt idx="26">
                  <c:v>-0.10089700403081991</c:v>
                </c:pt>
                <c:pt idx="27">
                  <c:v>-0.60240697545577149</c:v>
                </c:pt>
                <c:pt idx="28">
                  <c:v>-0.72615326202551955</c:v>
                </c:pt>
                <c:pt idx="29">
                  <c:v>-0.10394635110522188</c:v>
                </c:pt>
                <c:pt idx="30">
                  <c:v>-0.44816683119375256</c:v>
                </c:pt>
                <c:pt idx="31">
                  <c:v>-4.3384766677423414E-2</c:v>
                </c:pt>
                <c:pt idx="32">
                  <c:v>-0.75622072858072542</c:v>
                </c:pt>
                <c:pt idx="33">
                  <c:v>-0.30917348565306924</c:v>
                </c:pt>
                <c:pt idx="34">
                  <c:v>-0.69999999999970086</c:v>
                </c:pt>
                <c:pt idx="35">
                  <c:v>-0.69999999999970086</c:v>
                </c:pt>
                <c:pt idx="36">
                  <c:v>-0.29999999999974492</c:v>
                </c:pt>
                <c:pt idx="37">
                  <c:v>-0.99999999999988987</c:v>
                </c:pt>
                <c:pt idx="38">
                  <c:v>-0.59999999999993392</c:v>
                </c:pt>
                <c:pt idx="39">
                  <c:v>-0.99999999999988987</c:v>
                </c:pt>
                <c:pt idx="40">
                  <c:v>-9.9999999999766942E-2</c:v>
                </c:pt>
                <c:pt idx="41">
                  <c:v>-0.89999999999967883</c:v>
                </c:pt>
                <c:pt idx="42">
                  <c:v>-0.79999999999991189</c:v>
                </c:pt>
                <c:pt idx="43">
                  <c:v>-1.1305088862005874</c:v>
                </c:pt>
                <c:pt idx="44">
                  <c:v>-1.0999999999996568</c:v>
                </c:pt>
                <c:pt idx="45">
                  <c:v>-0.89999999999967883</c:v>
                </c:pt>
                <c:pt idx="46">
                  <c:v>-0.99999999999988987</c:v>
                </c:pt>
                <c:pt idx="47">
                  <c:v>-0.89999999999967883</c:v>
                </c:pt>
                <c:pt idx="48">
                  <c:v>-0.99999999999988987</c:v>
                </c:pt>
                <c:pt idx="49">
                  <c:v>-1.0999999999996568</c:v>
                </c:pt>
                <c:pt idx="50">
                  <c:v>-0.89999999999967883</c:v>
                </c:pt>
                <c:pt idx="51">
                  <c:v>-1.0999999999996568</c:v>
                </c:pt>
                <c:pt idx="52">
                  <c:v>-0.19999999999997797</c:v>
                </c:pt>
                <c:pt idx="53">
                  <c:v>-1.2999999999996348</c:v>
                </c:pt>
                <c:pt idx="54">
                  <c:v>-0.99999999999988987</c:v>
                </c:pt>
                <c:pt idx="55">
                  <c:v>-0.29999999999974492</c:v>
                </c:pt>
                <c:pt idx="56">
                  <c:v>-0.59999999999993392</c:v>
                </c:pt>
                <c:pt idx="57">
                  <c:v>-0.70743046488264127</c:v>
                </c:pt>
                <c:pt idx="58">
                  <c:v>-0.12748878156543242</c:v>
                </c:pt>
                <c:pt idx="59">
                  <c:v>-0.3571111780962255</c:v>
                </c:pt>
                <c:pt idx="60">
                  <c:v>-0.70743046488264127</c:v>
                </c:pt>
                <c:pt idx="61">
                  <c:v>-0.48390676249976394</c:v>
                </c:pt>
                <c:pt idx="62">
                  <c:v>0.91169764551457533</c:v>
                </c:pt>
                <c:pt idx="63">
                  <c:v>0.18666397175826077</c:v>
                </c:pt>
                <c:pt idx="64">
                  <c:v>0.19276287689162785</c:v>
                </c:pt>
                <c:pt idx="65">
                  <c:v>0.10213361490452044</c:v>
                </c:pt>
                <c:pt idx="66">
                  <c:v>0.13220129246382939</c:v>
                </c:pt>
                <c:pt idx="68">
                  <c:v>-0.19982147572861209</c:v>
                </c:pt>
                <c:pt idx="71">
                  <c:v>0</c:v>
                </c:pt>
                <c:pt idx="72">
                  <c:v>-1.8917086713998721</c:v>
                </c:pt>
                <c:pt idx="73">
                  <c:v>-1.7339927889414852</c:v>
                </c:pt>
                <c:pt idx="74">
                  <c:v>-2.1751855467933012</c:v>
                </c:pt>
                <c:pt idx="75">
                  <c:v>-2.5195880471060583</c:v>
                </c:pt>
                <c:pt idx="76">
                  <c:v>-1.9751855467933233</c:v>
                </c:pt>
                <c:pt idx="77">
                  <c:v>-2.3988911076155972</c:v>
                </c:pt>
                <c:pt idx="78">
                  <c:v>-0.50220311931203909</c:v>
                </c:pt>
                <c:pt idx="79">
                  <c:v>-0.18762392563376196</c:v>
                </c:pt>
                <c:pt idx="80">
                  <c:v>-1.3357360207169044</c:v>
                </c:pt>
                <c:pt idx="81">
                  <c:v>-1.8795111705265377</c:v>
                </c:pt>
                <c:pt idx="82">
                  <c:v>-0.74359662554579486</c:v>
                </c:pt>
                <c:pt idx="83">
                  <c:v>-0.87649106590959036</c:v>
                </c:pt>
                <c:pt idx="84">
                  <c:v>-0.29654938263012909</c:v>
                </c:pt>
                <c:pt idx="85">
                  <c:v>-0.21201897657352475</c:v>
                </c:pt>
                <c:pt idx="86">
                  <c:v>-0.18762392563376196</c:v>
                </c:pt>
                <c:pt idx="87">
                  <c:v>-0.15145739216748666</c:v>
                </c:pt>
                <c:pt idx="88">
                  <c:v>-5.4729485252202892E-2</c:v>
                </c:pt>
                <c:pt idx="89">
                  <c:v>-1.8563162762941232E-2</c:v>
                </c:pt>
                <c:pt idx="90">
                  <c:v>-1.246430683510269E-2</c:v>
                </c:pt>
                <c:pt idx="91">
                  <c:v>0.45287934209525815</c:v>
                </c:pt>
                <c:pt idx="93">
                  <c:v>0.81539617897607997</c:v>
                </c:pt>
                <c:pt idx="94">
                  <c:v>0.96048812024829289</c:v>
                </c:pt>
                <c:pt idx="95">
                  <c:v>0.50734223236226228</c:v>
                </c:pt>
                <c:pt idx="96">
                  <c:v>0.67030418851121709</c:v>
                </c:pt>
                <c:pt idx="97">
                  <c:v>-0.35015949062433549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76B-4504-8646-FF6319412C13}"/>
            </c:ext>
          </c:extLst>
        </c:ser>
        <c:ser>
          <c:idx val="14"/>
          <c:order val="4"/>
          <c:tx>
            <c:strRef>
              <c:f>Déplacements!$T$9</c:f>
              <c:strCache>
                <c:ptCount val="1"/>
                <c:pt idx="0">
                  <c:v>DH inter droit</c:v>
                </c:pt>
              </c:strCache>
            </c:strRef>
          </c:tx>
          <c:spPr>
            <a:ln w="12700"/>
          </c:spPr>
          <c:marker>
            <c:symbol val="circle"/>
            <c:size val="3"/>
          </c:marker>
          <c:xVal>
            <c:numRef>
              <c:f>'Résultats observations'!$C$10:$C$200</c:f>
              <c:numCache>
                <c:formatCode>0.0</c:formatCode>
                <c:ptCount val="191"/>
                <c:pt idx="0">
                  <c:v>184.3</c:v>
                </c:pt>
                <c:pt idx="1">
                  <c:v>185.03</c:v>
                </c:pt>
                <c:pt idx="2">
                  <c:v>187.2</c:v>
                </c:pt>
                <c:pt idx="3">
                  <c:v>188.17</c:v>
                </c:pt>
                <c:pt idx="4">
                  <c:v>189.2</c:v>
                </c:pt>
                <c:pt idx="5">
                  <c:v>191.5</c:v>
                </c:pt>
                <c:pt idx="6">
                  <c:v>192.5</c:v>
                </c:pt>
                <c:pt idx="7">
                  <c:v>193.04</c:v>
                </c:pt>
                <c:pt idx="8">
                  <c:v>193.6</c:v>
                </c:pt>
                <c:pt idx="9">
                  <c:v>193.6</c:v>
                </c:pt>
                <c:pt idx="10">
                  <c:v>194.8</c:v>
                </c:pt>
                <c:pt idx="11">
                  <c:v>194.8</c:v>
                </c:pt>
                <c:pt idx="12">
                  <c:v>195.4</c:v>
                </c:pt>
                <c:pt idx="13">
                  <c:v>196.35</c:v>
                </c:pt>
                <c:pt idx="14">
                  <c:v>196.35</c:v>
                </c:pt>
                <c:pt idx="15">
                  <c:v>198.3</c:v>
                </c:pt>
                <c:pt idx="16">
                  <c:v>199.4</c:v>
                </c:pt>
                <c:pt idx="17">
                  <c:v>200.6</c:v>
                </c:pt>
                <c:pt idx="18">
                  <c:v>202.58</c:v>
                </c:pt>
                <c:pt idx="19">
                  <c:v>203.6</c:v>
                </c:pt>
                <c:pt idx="20">
                  <c:v>203.6</c:v>
                </c:pt>
                <c:pt idx="21">
                  <c:v>206.32</c:v>
                </c:pt>
                <c:pt idx="22">
                  <c:v>206.32</c:v>
                </c:pt>
                <c:pt idx="23">
                  <c:v>206.32</c:v>
                </c:pt>
                <c:pt idx="24">
                  <c:v>206.32</c:v>
                </c:pt>
                <c:pt idx="25">
                  <c:v>207.2</c:v>
                </c:pt>
                <c:pt idx="26">
                  <c:v>208.3</c:v>
                </c:pt>
                <c:pt idx="27">
                  <c:v>212.65</c:v>
                </c:pt>
                <c:pt idx="28">
                  <c:v>213.5</c:v>
                </c:pt>
                <c:pt idx="29">
                  <c:v>215</c:v>
                </c:pt>
                <c:pt idx="30">
                  <c:v>215</c:v>
                </c:pt>
                <c:pt idx="31">
                  <c:v>215.55</c:v>
                </c:pt>
                <c:pt idx="32">
                  <c:v>216.87</c:v>
                </c:pt>
                <c:pt idx="33">
                  <c:v>217.7</c:v>
                </c:pt>
                <c:pt idx="34">
                  <c:v>218.7</c:v>
                </c:pt>
                <c:pt idx="35">
                  <c:v>218.7</c:v>
                </c:pt>
                <c:pt idx="36">
                  <c:v>220.5</c:v>
                </c:pt>
                <c:pt idx="37">
                  <c:v>221.7</c:v>
                </c:pt>
                <c:pt idx="38">
                  <c:v>222.9</c:v>
                </c:pt>
                <c:pt idx="39">
                  <c:v>222.9</c:v>
                </c:pt>
                <c:pt idx="40">
                  <c:v>222.9</c:v>
                </c:pt>
                <c:pt idx="41">
                  <c:v>222.9</c:v>
                </c:pt>
                <c:pt idx="42">
                  <c:v>222.9</c:v>
                </c:pt>
                <c:pt idx="43">
                  <c:v>222.9</c:v>
                </c:pt>
                <c:pt idx="44">
                  <c:v>222.9</c:v>
                </c:pt>
                <c:pt idx="45">
                  <c:v>222.9</c:v>
                </c:pt>
                <c:pt idx="46">
                  <c:v>222.9</c:v>
                </c:pt>
                <c:pt idx="47">
                  <c:v>222.9</c:v>
                </c:pt>
                <c:pt idx="48">
                  <c:v>222.9</c:v>
                </c:pt>
                <c:pt idx="49">
                  <c:v>222.9</c:v>
                </c:pt>
                <c:pt idx="50">
                  <c:v>222.9</c:v>
                </c:pt>
                <c:pt idx="51">
                  <c:v>222.9</c:v>
                </c:pt>
                <c:pt idx="52">
                  <c:v>222.9</c:v>
                </c:pt>
                <c:pt idx="53">
                  <c:v>222.9</c:v>
                </c:pt>
                <c:pt idx="54">
                  <c:v>222.9</c:v>
                </c:pt>
                <c:pt idx="55">
                  <c:v>222.9</c:v>
                </c:pt>
                <c:pt idx="56">
                  <c:v>222.9</c:v>
                </c:pt>
                <c:pt idx="57">
                  <c:v>222.9</c:v>
                </c:pt>
                <c:pt idx="58">
                  <c:v>222.9</c:v>
                </c:pt>
                <c:pt idx="59">
                  <c:v>223.9</c:v>
                </c:pt>
                <c:pt idx="60">
                  <c:v>223.9</c:v>
                </c:pt>
                <c:pt idx="61">
                  <c:v>223.9</c:v>
                </c:pt>
                <c:pt idx="62">
                  <c:v>223.9</c:v>
                </c:pt>
                <c:pt idx="63">
                  <c:v>223.9</c:v>
                </c:pt>
                <c:pt idx="64">
                  <c:v>223.9</c:v>
                </c:pt>
                <c:pt idx="65">
                  <c:v>223.9</c:v>
                </c:pt>
                <c:pt idx="66">
                  <c:v>223.9</c:v>
                </c:pt>
                <c:pt idx="67">
                  <c:v>223.9</c:v>
                </c:pt>
                <c:pt idx="68">
                  <c:v>223.9</c:v>
                </c:pt>
                <c:pt idx="70">
                  <c:v>223.9</c:v>
                </c:pt>
                <c:pt idx="72">
                  <c:v>223.9</c:v>
                </c:pt>
                <c:pt idx="73">
                  <c:v>223.9</c:v>
                </c:pt>
                <c:pt idx="74">
                  <c:v>223.9</c:v>
                </c:pt>
                <c:pt idx="75">
                  <c:v>223.9</c:v>
                </c:pt>
                <c:pt idx="76">
                  <c:v>223.9</c:v>
                </c:pt>
                <c:pt idx="77">
                  <c:v>223.9</c:v>
                </c:pt>
                <c:pt idx="78">
                  <c:v>223.9</c:v>
                </c:pt>
                <c:pt idx="79">
                  <c:v>223.9</c:v>
                </c:pt>
                <c:pt idx="80">
                  <c:v>223.9</c:v>
                </c:pt>
                <c:pt idx="81">
                  <c:v>223.9</c:v>
                </c:pt>
                <c:pt idx="82">
                  <c:v>223.9</c:v>
                </c:pt>
                <c:pt idx="83">
                  <c:v>223.9</c:v>
                </c:pt>
                <c:pt idx="84">
                  <c:v>223.9</c:v>
                </c:pt>
                <c:pt idx="85">
                  <c:v>223.9</c:v>
                </c:pt>
                <c:pt idx="86">
                  <c:v>223.9</c:v>
                </c:pt>
                <c:pt idx="87">
                  <c:v>223.9</c:v>
                </c:pt>
                <c:pt idx="88">
                  <c:v>223.9</c:v>
                </c:pt>
                <c:pt idx="89">
                  <c:v>223.9</c:v>
                </c:pt>
                <c:pt idx="90">
                  <c:v>223.9</c:v>
                </c:pt>
                <c:pt idx="91">
                  <c:v>223.9</c:v>
                </c:pt>
                <c:pt idx="92">
                  <c:v>223.9</c:v>
                </c:pt>
                <c:pt idx="93">
                  <c:v>223.9</c:v>
                </c:pt>
                <c:pt idx="94">
                  <c:v>223.9</c:v>
                </c:pt>
                <c:pt idx="95">
                  <c:v>223.9</c:v>
                </c:pt>
                <c:pt idx="96">
                  <c:v>223.9</c:v>
                </c:pt>
                <c:pt idx="97">
                  <c:v>223.9</c:v>
                </c:pt>
              </c:numCache>
            </c:numRef>
          </c:xVal>
          <c:yVal>
            <c:numRef>
              <c:f>Déplacements!$T$10:$T$200</c:f>
              <c:numCache>
                <c:formatCode>\+\ 0.0;\-\ 0.0;\±\ 0.0</c:formatCode>
                <c:ptCount val="191"/>
                <c:pt idx="0">
                  <c:v>0</c:v>
                </c:pt>
                <c:pt idx="1">
                  <c:v>0.60000000000037801</c:v>
                </c:pt>
                <c:pt idx="2">
                  <c:v>-0.29999999999974492</c:v>
                </c:pt>
                <c:pt idx="3">
                  <c:v>1.5000000000000568</c:v>
                </c:pt>
                <c:pt idx="4">
                  <c:v>-1.3999999999998458</c:v>
                </c:pt>
                <c:pt idx="5">
                  <c:v>1.2000000000003119</c:v>
                </c:pt>
                <c:pt idx="6">
                  <c:v>-0.5295369999998023</c:v>
                </c:pt>
                <c:pt idx="7">
                  <c:v>0</c:v>
                </c:pt>
                <c:pt idx="8">
                  <c:v>-5.2421999999996416E-2</c:v>
                </c:pt>
                <c:pt idx="9">
                  <c:v>0.84777100000010819</c:v>
                </c:pt>
                <c:pt idx="10">
                  <c:v>-0.28161799999981696</c:v>
                </c:pt>
                <c:pt idx="11">
                  <c:v>0.74537100000027223</c:v>
                </c:pt>
                <c:pt idx="12">
                  <c:v>-1.1999999999998678</c:v>
                </c:pt>
                <c:pt idx="13">
                  <c:v>-0.99999999999988987</c:v>
                </c:pt>
                <c:pt idx="14">
                  <c:v>0</c:v>
                </c:pt>
                <c:pt idx="15">
                  <c:v>-0.19999999999997797</c:v>
                </c:pt>
                <c:pt idx="16">
                  <c:v>-0.49999999999972289</c:v>
                </c:pt>
                <c:pt idx="17">
                  <c:v>-0.39999999999995595</c:v>
                </c:pt>
                <c:pt idx="18">
                  <c:v>0.11706527372989939</c:v>
                </c:pt>
                <c:pt idx="19">
                  <c:v>-9.9999999999766942E-2</c:v>
                </c:pt>
                <c:pt idx="20">
                  <c:v>-0.59999999999993392</c:v>
                </c:pt>
                <c:pt idx="21">
                  <c:v>0.40000000000040004</c:v>
                </c:pt>
                <c:pt idx="22">
                  <c:v>-0.79999999999991189</c:v>
                </c:pt>
                <c:pt idx="23">
                  <c:v>-0.69999999999970086</c:v>
                </c:pt>
                <c:pt idx="24">
                  <c:v>-0.45067869768944391</c:v>
                </c:pt>
                <c:pt idx="25">
                  <c:v>-9.9999999999766942E-2</c:v>
                </c:pt>
                <c:pt idx="26">
                  <c:v>-1.0215429594477854</c:v>
                </c:pt>
                <c:pt idx="27">
                  <c:v>-0.99757429965841027</c:v>
                </c:pt>
                <c:pt idx="28">
                  <c:v>-1.3086068118322025</c:v>
                </c:pt>
                <c:pt idx="29">
                  <c:v>-0.32388306406350154</c:v>
                </c:pt>
                <c:pt idx="30">
                  <c:v>-0.79489912854358025</c:v>
                </c:pt>
                <c:pt idx="31">
                  <c:v>-0.52301155365652718</c:v>
                </c:pt>
                <c:pt idx="32">
                  <c:v>-1.5682966748675753</c:v>
                </c:pt>
                <c:pt idx="33">
                  <c:v>-0.84936185704709288</c:v>
                </c:pt>
                <c:pt idx="34">
                  <c:v>-1.1999999999998678</c:v>
                </c:pt>
                <c:pt idx="35">
                  <c:v>-1.1999999999998678</c:v>
                </c:pt>
                <c:pt idx="36">
                  <c:v>-0.69999999999970086</c:v>
                </c:pt>
                <c:pt idx="37">
                  <c:v>-1.0999999999996568</c:v>
                </c:pt>
                <c:pt idx="38">
                  <c:v>-0.89999999999967883</c:v>
                </c:pt>
                <c:pt idx="39">
                  <c:v>-1.1999999999998678</c:v>
                </c:pt>
                <c:pt idx="40">
                  <c:v>-0.19999999999997797</c:v>
                </c:pt>
                <c:pt idx="41">
                  <c:v>-1.1999999999998678</c:v>
                </c:pt>
                <c:pt idx="42">
                  <c:v>-1.2999999999996348</c:v>
                </c:pt>
                <c:pt idx="43">
                  <c:v>-1.4171058284730975</c:v>
                </c:pt>
                <c:pt idx="44">
                  <c:v>-1.1999999999998678</c:v>
                </c:pt>
                <c:pt idx="45">
                  <c:v>-0.99999999999988987</c:v>
                </c:pt>
                <c:pt idx="46">
                  <c:v>-1.0999999999996568</c:v>
                </c:pt>
                <c:pt idx="47">
                  <c:v>-1.1999999999998678</c:v>
                </c:pt>
                <c:pt idx="48">
                  <c:v>-1.2999999999996348</c:v>
                </c:pt>
                <c:pt idx="49">
                  <c:v>-1.2999999999996348</c:v>
                </c:pt>
                <c:pt idx="50">
                  <c:v>-1.3999999999998458</c:v>
                </c:pt>
                <c:pt idx="51">
                  <c:v>-1.3999999999998458</c:v>
                </c:pt>
                <c:pt idx="52">
                  <c:v>-0.39999999999995595</c:v>
                </c:pt>
                <c:pt idx="53">
                  <c:v>-1.4999999999996128</c:v>
                </c:pt>
                <c:pt idx="54">
                  <c:v>-1.0999999999996568</c:v>
                </c:pt>
                <c:pt idx="55">
                  <c:v>-0.89999999999967883</c:v>
                </c:pt>
                <c:pt idx="56">
                  <c:v>-0.99999999999988987</c:v>
                </c:pt>
                <c:pt idx="57">
                  <c:v>-1.4410746992723489</c:v>
                </c:pt>
                <c:pt idx="58">
                  <c:v>-0.85503432185474182</c:v>
                </c:pt>
                <c:pt idx="59">
                  <c:v>-1.217551158732455</c:v>
                </c:pt>
                <c:pt idx="60">
                  <c:v>-1.6645984016561144</c:v>
                </c:pt>
                <c:pt idx="61">
                  <c:v>-1.6223332232399024</c:v>
                </c:pt>
                <c:pt idx="62">
                  <c:v>-0.43805454547740652</c:v>
                </c:pt>
                <c:pt idx="63">
                  <c:v>-1.0846567183291356</c:v>
                </c:pt>
                <c:pt idx="64">
                  <c:v>-1.6040368172407504</c:v>
                </c:pt>
                <c:pt idx="65">
                  <c:v>-1.5739691396601252</c:v>
                </c:pt>
                <c:pt idx="66">
                  <c:v>-1.6162343180896599</c:v>
                </c:pt>
                <c:pt idx="67">
                  <c:v>-1.4654699120186798</c:v>
                </c:pt>
                <c:pt idx="68">
                  <c:v>-2.5164276598692581</c:v>
                </c:pt>
                <c:pt idx="72">
                  <c:v>-4.6854298251934878</c:v>
                </c:pt>
                <c:pt idx="73">
                  <c:v>-4.6427382064617717</c:v>
                </c:pt>
                <c:pt idx="74">
                  <c:v>-5.6860853571696346</c:v>
                </c:pt>
                <c:pt idx="75">
                  <c:v>-5.7668814799347601</c:v>
                </c:pt>
                <c:pt idx="76">
                  <c:v>-6.1860853571698016</c:v>
                </c:pt>
                <c:pt idx="77">
                  <c:v>-5.899775920315431</c:v>
                </c:pt>
                <c:pt idx="78">
                  <c:v>-4.9751873657788437</c:v>
                </c:pt>
                <c:pt idx="79">
                  <c:v>-6.1232994608619862</c:v>
                </c:pt>
                <c:pt idx="80">
                  <c:v>-4.8666881381334015</c:v>
                </c:pt>
                <c:pt idx="81">
                  <c:v>-4.9756137569088033</c:v>
                </c:pt>
                <c:pt idx="82">
                  <c:v>-4.2261850814222512</c:v>
                </c:pt>
                <c:pt idx="83">
                  <c:v>-4.4858749444416368</c:v>
                </c:pt>
                <c:pt idx="84">
                  <c:v>-3.5556141361419158</c:v>
                </c:pt>
                <c:pt idx="85">
                  <c:v>-3.5556141361419158</c:v>
                </c:pt>
                <c:pt idx="86">
                  <c:v>-4.2078885136032085</c:v>
                </c:pt>
                <c:pt idx="87">
                  <c:v>-4.4013445384365468</c:v>
                </c:pt>
                <c:pt idx="88">
                  <c:v>-4.2745489047808505</c:v>
                </c:pt>
                <c:pt idx="89">
                  <c:v>-4.0388277015210861</c:v>
                </c:pt>
                <c:pt idx="90">
                  <c:v>-4.5102701571861914</c:v>
                </c:pt>
                <c:pt idx="91">
                  <c:v>-4.0810928799399626</c:v>
                </c:pt>
                <c:pt idx="92">
                  <c:v>-3.8275017110476206</c:v>
                </c:pt>
                <c:pt idx="93">
                  <c:v>-3.8876370661529158</c:v>
                </c:pt>
                <c:pt idx="94">
                  <c:v>-3.8453718877180521</c:v>
                </c:pt>
                <c:pt idx="95">
                  <c:v>-4.3830481816149458</c:v>
                </c:pt>
                <c:pt idx="96">
                  <c:v>-4.1172594626370795</c:v>
                </c:pt>
                <c:pt idx="97">
                  <c:v>-5.8509854947921269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76B-4504-8646-FF6319412C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9073000"/>
        <c:axId val="519073392"/>
      </c:scatterChart>
      <c:valAx>
        <c:axId val="519073000"/>
        <c:scaling>
          <c:orientation val="minMax"/>
          <c:min val="180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PM front</a:t>
                </a:r>
              </a:p>
            </c:rich>
          </c:tx>
          <c:layout>
            <c:manualLayout>
              <c:xMode val="edge"/>
              <c:yMode val="edge"/>
              <c:x val="0.43927912392593438"/>
              <c:y val="0.9432044643068267"/>
            </c:manualLayout>
          </c:layout>
          <c:overlay val="0"/>
          <c:spPr>
            <a:noFill/>
            <a:ln w="25400">
              <a:noFill/>
            </a:ln>
          </c:spPr>
        </c:title>
        <c:numFmt formatCode="#,##0.00" sourceLinked="0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519073392"/>
        <c:crossesAt val="0"/>
        <c:crossBetween val="midCat"/>
      </c:valAx>
      <c:valAx>
        <c:axId val="519073392"/>
        <c:scaling>
          <c:orientation val="minMax"/>
          <c:max val="15"/>
          <c:min val="-15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/>
        <c:title>
          <c:tx>
            <c:rich>
              <a:bodyPr/>
              <a:lstStyle/>
              <a:p>
                <a:pPr>
                  <a:defRPr b="1"/>
                </a:pPr>
                <a:r>
                  <a:rPr lang="fr-FR" b="1"/>
                  <a:t>D2placements en déport [mm]</a:t>
                </a:r>
              </a:p>
            </c:rich>
          </c:tx>
          <c:overlay val="0"/>
        </c:title>
        <c:numFmt formatCode="\+\ 0.0;\-\ 0.0;\±\ 0.0" sourceLinked="0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519073000"/>
        <c:crosses val="autoZero"/>
        <c:crossBetween val="midCat"/>
        <c:majorUnit val="5"/>
        <c:minorUnit val="1"/>
      </c:valAx>
    </c:plotArea>
    <c:legend>
      <c:legendPos val="r"/>
      <c:layout>
        <c:manualLayout>
          <c:xMode val="edge"/>
          <c:yMode val="edge"/>
          <c:x val="0.10816646929636417"/>
          <c:y val="3.6162237203630522E-2"/>
          <c:w val="0.24517664360597907"/>
          <c:h val="0.23016340840330946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0"/>
    <c:dispBlanksAs val="span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899999956" l="0.78740157499999996" r="0.78740157499999996" t="0.98425196899999956" header="0.49212598450000489" footer="0.49212598450000489"/>
    <c:pageSetup paperSize="9" orientation="landscape"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fr-FR"/>
              <a:t>Déplacement en Z
</a:t>
            </a:r>
          </a:p>
        </c:rich>
      </c:tx>
      <c:layout>
        <c:manualLayout>
          <c:xMode val="edge"/>
          <c:yMode val="edge"/>
          <c:x val="0.48552406794561997"/>
          <c:y val="6.0355867678702317E-2"/>
        </c:manualLayout>
      </c:layout>
      <c:overlay val="0"/>
      <c:spPr>
        <a:solidFill>
          <a:schemeClr val="bg1"/>
        </a:solidFill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6758248843572708E-2"/>
          <c:y val="2.1578345894185801E-2"/>
          <c:w val="0.81613267472675477"/>
          <c:h val="0.80144620006483069"/>
        </c:manualLayout>
      </c:layout>
      <c:scatterChart>
        <c:scatterStyle val="lineMarker"/>
        <c:varyColors val="0"/>
        <c:ser>
          <c:idx val="10"/>
          <c:order val="0"/>
          <c:tx>
            <c:strRef>
              <c:f>Déplacements!$M$9</c:f>
              <c:strCache>
                <c:ptCount val="1"/>
                <c:pt idx="0">
                  <c:v>DZ centre haut</c:v>
                </c:pt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circle"/>
            <c:size val="3"/>
          </c:marker>
          <c:xVal>
            <c:numRef>
              <c:f>'Résultats observations'!$C$10:$C$200</c:f>
              <c:numCache>
                <c:formatCode>0.0</c:formatCode>
                <c:ptCount val="191"/>
                <c:pt idx="0">
                  <c:v>184.3</c:v>
                </c:pt>
                <c:pt idx="1">
                  <c:v>185.03</c:v>
                </c:pt>
                <c:pt idx="2">
                  <c:v>187.2</c:v>
                </c:pt>
                <c:pt idx="3">
                  <c:v>188.17</c:v>
                </c:pt>
                <c:pt idx="4">
                  <c:v>189.2</c:v>
                </c:pt>
                <c:pt idx="5">
                  <c:v>191.5</c:v>
                </c:pt>
                <c:pt idx="6">
                  <c:v>192.5</c:v>
                </c:pt>
                <c:pt idx="7">
                  <c:v>193.04</c:v>
                </c:pt>
                <c:pt idx="8">
                  <c:v>193.6</c:v>
                </c:pt>
                <c:pt idx="9">
                  <c:v>193.6</c:v>
                </c:pt>
                <c:pt idx="10">
                  <c:v>194.8</c:v>
                </c:pt>
                <c:pt idx="11">
                  <c:v>194.8</c:v>
                </c:pt>
                <c:pt idx="12">
                  <c:v>195.4</c:v>
                </c:pt>
                <c:pt idx="13">
                  <c:v>196.35</c:v>
                </c:pt>
                <c:pt idx="14">
                  <c:v>196.35</c:v>
                </c:pt>
                <c:pt idx="15">
                  <c:v>198.3</c:v>
                </c:pt>
                <c:pt idx="16">
                  <c:v>199.4</c:v>
                </c:pt>
                <c:pt idx="17">
                  <c:v>200.6</c:v>
                </c:pt>
                <c:pt idx="18">
                  <c:v>202.58</c:v>
                </c:pt>
                <c:pt idx="19">
                  <c:v>203.6</c:v>
                </c:pt>
                <c:pt idx="20">
                  <c:v>203.6</c:v>
                </c:pt>
                <c:pt idx="21">
                  <c:v>206.32</c:v>
                </c:pt>
                <c:pt idx="22">
                  <c:v>206.32</c:v>
                </c:pt>
                <c:pt idx="23">
                  <c:v>206.32</c:v>
                </c:pt>
                <c:pt idx="24">
                  <c:v>206.32</c:v>
                </c:pt>
                <c:pt idx="25">
                  <c:v>207.2</c:v>
                </c:pt>
                <c:pt idx="26">
                  <c:v>208.3</c:v>
                </c:pt>
                <c:pt idx="27">
                  <c:v>212.65</c:v>
                </c:pt>
                <c:pt idx="28">
                  <c:v>213.5</c:v>
                </c:pt>
                <c:pt idx="29">
                  <c:v>215</c:v>
                </c:pt>
                <c:pt idx="30">
                  <c:v>215</c:v>
                </c:pt>
                <c:pt idx="31">
                  <c:v>215.55</c:v>
                </c:pt>
                <c:pt idx="32">
                  <c:v>216.87</c:v>
                </c:pt>
                <c:pt idx="33">
                  <c:v>217.7</c:v>
                </c:pt>
                <c:pt idx="34">
                  <c:v>218.7</c:v>
                </c:pt>
                <c:pt idx="35">
                  <c:v>218.7</c:v>
                </c:pt>
                <c:pt idx="36">
                  <c:v>220.5</c:v>
                </c:pt>
                <c:pt idx="37">
                  <c:v>221.7</c:v>
                </c:pt>
                <c:pt idx="38">
                  <c:v>222.9</c:v>
                </c:pt>
                <c:pt idx="39">
                  <c:v>222.9</c:v>
                </c:pt>
                <c:pt idx="40">
                  <c:v>222.9</c:v>
                </c:pt>
                <c:pt idx="41">
                  <c:v>222.9</c:v>
                </c:pt>
                <c:pt idx="42">
                  <c:v>222.9</c:v>
                </c:pt>
                <c:pt idx="43">
                  <c:v>222.9</c:v>
                </c:pt>
                <c:pt idx="44">
                  <c:v>222.9</c:v>
                </c:pt>
                <c:pt idx="45">
                  <c:v>222.9</c:v>
                </c:pt>
                <c:pt idx="46">
                  <c:v>222.9</c:v>
                </c:pt>
                <c:pt idx="47">
                  <c:v>222.9</c:v>
                </c:pt>
                <c:pt idx="48">
                  <c:v>222.9</c:v>
                </c:pt>
                <c:pt idx="49">
                  <c:v>222.9</c:v>
                </c:pt>
                <c:pt idx="50">
                  <c:v>222.9</c:v>
                </c:pt>
                <c:pt idx="51">
                  <c:v>222.9</c:v>
                </c:pt>
                <c:pt idx="52">
                  <c:v>222.9</c:v>
                </c:pt>
                <c:pt idx="53">
                  <c:v>222.9</c:v>
                </c:pt>
                <c:pt idx="54">
                  <c:v>222.9</c:v>
                </c:pt>
                <c:pt idx="55">
                  <c:v>222.9</c:v>
                </c:pt>
                <c:pt idx="56">
                  <c:v>222.9</c:v>
                </c:pt>
                <c:pt idx="57">
                  <c:v>222.9</c:v>
                </c:pt>
                <c:pt idx="58">
                  <c:v>222.9</c:v>
                </c:pt>
                <c:pt idx="59">
                  <c:v>223.9</c:v>
                </c:pt>
                <c:pt idx="60">
                  <c:v>223.9</c:v>
                </c:pt>
                <c:pt idx="61">
                  <c:v>223.9</c:v>
                </c:pt>
                <c:pt idx="62">
                  <c:v>223.9</c:v>
                </c:pt>
                <c:pt idx="63">
                  <c:v>223.9</c:v>
                </c:pt>
                <c:pt idx="64">
                  <c:v>223.9</c:v>
                </c:pt>
                <c:pt idx="65">
                  <c:v>223.9</c:v>
                </c:pt>
                <c:pt idx="66">
                  <c:v>223.9</c:v>
                </c:pt>
                <c:pt idx="67">
                  <c:v>223.9</c:v>
                </c:pt>
                <c:pt idx="68">
                  <c:v>223.9</c:v>
                </c:pt>
                <c:pt idx="70">
                  <c:v>223.9</c:v>
                </c:pt>
                <c:pt idx="72">
                  <c:v>223.9</c:v>
                </c:pt>
                <c:pt idx="73">
                  <c:v>223.9</c:v>
                </c:pt>
                <c:pt idx="74">
                  <c:v>223.9</c:v>
                </c:pt>
                <c:pt idx="75">
                  <c:v>223.9</c:v>
                </c:pt>
                <c:pt idx="76">
                  <c:v>223.9</c:v>
                </c:pt>
                <c:pt idx="77">
                  <c:v>223.9</c:v>
                </c:pt>
                <c:pt idx="78">
                  <c:v>223.9</c:v>
                </c:pt>
                <c:pt idx="79">
                  <c:v>223.9</c:v>
                </c:pt>
                <c:pt idx="80">
                  <c:v>223.9</c:v>
                </c:pt>
                <c:pt idx="81">
                  <c:v>223.9</c:v>
                </c:pt>
                <c:pt idx="82">
                  <c:v>223.9</c:v>
                </c:pt>
                <c:pt idx="83">
                  <c:v>223.9</c:v>
                </c:pt>
                <c:pt idx="84">
                  <c:v>223.9</c:v>
                </c:pt>
                <c:pt idx="85">
                  <c:v>223.9</c:v>
                </c:pt>
                <c:pt idx="86">
                  <c:v>223.9</c:v>
                </c:pt>
                <c:pt idx="87">
                  <c:v>223.9</c:v>
                </c:pt>
                <c:pt idx="88">
                  <c:v>223.9</c:v>
                </c:pt>
                <c:pt idx="89">
                  <c:v>223.9</c:v>
                </c:pt>
                <c:pt idx="90">
                  <c:v>223.9</c:v>
                </c:pt>
                <c:pt idx="91">
                  <c:v>223.9</c:v>
                </c:pt>
                <c:pt idx="92">
                  <c:v>223.9</c:v>
                </c:pt>
                <c:pt idx="93">
                  <c:v>223.9</c:v>
                </c:pt>
                <c:pt idx="94">
                  <c:v>223.9</c:v>
                </c:pt>
                <c:pt idx="95">
                  <c:v>223.9</c:v>
                </c:pt>
                <c:pt idx="96">
                  <c:v>223.9</c:v>
                </c:pt>
                <c:pt idx="97">
                  <c:v>223.9</c:v>
                </c:pt>
              </c:numCache>
            </c:numRef>
          </c:xVal>
          <c:yVal>
            <c:numRef>
              <c:f>Déplacements!$N$10:$N$200</c:f>
              <c:numCache>
                <c:formatCode>\+\ 0.0;\-\ 0.0;\±\ 0.0</c:formatCode>
                <c:ptCount val="191"/>
                <c:pt idx="0">
                  <c:v>0</c:v>
                </c:pt>
                <c:pt idx="1">
                  <c:v>0.82462112512951324</c:v>
                </c:pt>
                <c:pt idx="2">
                  <c:v>1.3341664064145999</c:v>
                </c:pt>
                <c:pt idx="3">
                  <c:v>1.8841443681341454</c:v>
                </c:pt>
                <c:pt idx="4">
                  <c:v>2.2203603311138873</c:v>
                </c:pt>
                <c:pt idx="5">
                  <c:v>3.8535697736031764</c:v>
                </c:pt>
                <c:pt idx="6">
                  <c:v>2.8859708620195863</c:v>
                </c:pt>
                <c:pt idx="7">
                  <c:v>4.0401682370879826</c:v>
                </c:pt>
                <c:pt idx="8">
                  <c:v>4.0755049132120309</c:v>
                </c:pt>
                <c:pt idx="9">
                  <c:v>4.0750079764077647</c:v>
                </c:pt>
                <c:pt idx="10">
                  <c:v>5.1596114461239724</c:v>
                </c:pt>
                <c:pt idx="11">
                  <c:v>4.8293912753639185</c:v>
                </c:pt>
                <c:pt idx="12">
                  <c:v>4.6989360497907278</c:v>
                </c:pt>
                <c:pt idx="13">
                  <c:v>5.301886456732718</c:v>
                </c:pt>
                <c:pt idx="14">
                  <c:v>6.4730209330760049</c:v>
                </c:pt>
                <c:pt idx="15">
                  <c:v>6.7904344485479919</c:v>
                </c:pt>
                <c:pt idx="16">
                  <c:v>7.3763134423615453</c:v>
                </c:pt>
                <c:pt idx="17">
                  <c:v>7.9214897588799964</c:v>
                </c:pt>
                <c:pt idx="18">
                  <c:v>7.5936168932481909</c:v>
                </c:pt>
                <c:pt idx="19">
                  <c:v>7.5332595866601286</c:v>
                </c:pt>
                <c:pt idx="20">
                  <c:v>8.6029064856020838</c:v>
                </c:pt>
                <c:pt idx="21">
                  <c:v>8.9543285622039726</c:v>
                </c:pt>
                <c:pt idx="22">
                  <c:v>9.578100020368824</c:v>
                </c:pt>
                <c:pt idx="23">
                  <c:v>9.5268042910457282</c:v>
                </c:pt>
                <c:pt idx="24">
                  <c:v>9.8542179526317266</c:v>
                </c:pt>
                <c:pt idx="25">
                  <c:v>9.8442876837296183</c:v>
                </c:pt>
                <c:pt idx="26">
                  <c:v>10.853778357950759</c:v>
                </c:pt>
                <c:pt idx="27">
                  <c:v>10.555778079726998</c:v>
                </c:pt>
                <c:pt idx="28">
                  <c:v>10.157258774657132</c:v>
                </c:pt>
                <c:pt idx="29">
                  <c:v>11.563666383296001</c:v>
                </c:pt>
                <c:pt idx="30">
                  <c:v>11.121279796306739</c:v>
                </c:pt>
                <c:pt idx="31">
                  <c:v>11.450317530169686</c:v>
                </c:pt>
                <c:pt idx="32">
                  <c:v>11.023934807933028</c:v>
                </c:pt>
                <c:pt idx="33">
                  <c:v>11.775326828082484</c:v>
                </c:pt>
                <c:pt idx="34">
                  <c:v>11.517812292268905</c:v>
                </c:pt>
                <c:pt idx="35">
                  <c:v>11.884022887890969</c:v>
                </c:pt>
                <c:pt idx="36">
                  <c:v>12.098346994528642</c:v>
                </c:pt>
                <c:pt idx="37">
                  <c:v>12.503999360209129</c:v>
                </c:pt>
                <c:pt idx="38">
                  <c:v>12.621410380784889</c:v>
                </c:pt>
                <c:pt idx="39">
                  <c:v>12.812493902439677</c:v>
                </c:pt>
                <c:pt idx="40">
                  <c:v>13.077461527370049</c:v>
                </c:pt>
                <c:pt idx="41">
                  <c:v>12.624975247507809</c:v>
                </c:pt>
                <c:pt idx="42">
                  <c:v>12.894184735767112</c:v>
                </c:pt>
                <c:pt idx="43">
                  <c:v>13.74692542742614</c:v>
                </c:pt>
                <c:pt idx="44">
                  <c:v>13.156367279763655</c:v>
                </c:pt>
                <c:pt idx="45">
                  <c:v>13.926593266123431</c:v>
                </c:pt>
                <c:pt idx="46">
                  <c:v>13.730986854550268</c:v>
                </c:pt>
                <c:pt idx="47">
                  <c:v>14.230249470755007</c:v>
                </c:pt>
                <c:pt idx="48">
                  <c:v>14.641379716417056</c:v>
                </c:pt>
                <c:pt idx="49">
                  <c:v>14.370455803491151</c:v>
                </c:pt>
                <c:pt idx="50">
                  <c:v>14.989663104950262</c:v>
                </c:pt>
                <c:pt idx="51">
                  <c:v>15.195064988348561</c:v>
                </c:pt>
                <c:pt idx="52">
                  <c:v>15.999374987793502</c:v>
                </c:pt>
                <c:pt idx="53">
                  <c:v>15.352198539619682</c:v>
                </c:pt>
                <c:pt idx="54">
                  <c:v>15.931415505222859</c:v>
                </c:pt>
                <c:pt idx="55">
                  <c:v>17.501428513126502</c:v>
                </c:pt>
                <c:pt idx="56">
                  <c:v>17.085081211396837</c:v>
                </c:pt>
                <c:pt idx="57">
                  <c:v>17.259543808432824</c:v>
                </c:pt>
                <c:pt idx="58">
                  <c:v>18.166067154590383</c:v>
                </c:pt>
                <c:pt idx="59">
                  <c:v>16.966777201696804</c:v>
                </c:pt>
                <c:pt idx="60">
                  <c:v>17.590759226866357</c:v>
                </c:pt>
                <c:pt idx="61">
                  <c:v>18.134512257102788</c:v>
                </c:pt>
                <c:pt idx="62">
                  <c:v>18.013840172876705</c:v>
                </c:pt>
                <c:pt idx="63">
                  <c:v>19.339745251554938</c:v>
                </c:pt>
                <c:pt idx="64">
                  <c:v>19.337824914685935</c:v>
                </c:pt>
                <c:pt idx="68">
                  <c:v>20.692195803458219</c:v>
                </c:pt>
                <c:pt idx="72">
                  <c:v>20.825199939628792</c:v>
                </c:pt>
                <c:pt idx="73">
                  <c:v>21.314602802530896</c:v>
                </c:pt>
                <c:pt idx="74">
                  <c:v>21.560950173841295</c:v>
                </c:pt>
                <c:pt idx="75">
                  <c:v>22.216563804174147</c:v>
                </c:pt>
                <c:pt idx="76">
                  <c:v>23.000280048870884</c:v>
                </c:pt>
                <c:pt idx="77">
                  <c:v>22.017021096824394</c:v>
                </c:pt>
                <c:pt idx="78">
                  <c:v>23.074040347786649</c:v>
                </c:pt>
                <c:pt idx="79">
                  <c:v>22.973438030655192</c:v>
                </c:pt>
                <c:pt idx="80">
                  <c:v>23.057426666336628</c:v>
                </c:pt>
                <c:pt idx="81">
                  <c:v>23.387388964635132</c:v>
                </c:pt>
                <c:pt idx="82">
                  <c:v>24.332258795251569</c:v>
                </c:pt>
                <c:pt idx="83">
                  <c:v>23.033880237093147</c:v>
                </c:pt>
                <c:pt idx="84">
                  <c:v>23.647262339535786</c:v>
                </c:pt>
                <c:pt idx="85">
                  <c:v>24.137880859481658</c:v>
                </c:pt>
                <c:pt idx="86">
                  <c:v>25.217537916208798</c:v>
                </c:pt>
                <c:pt idx="87">
                  <c:v>23.959712160279352</c:v>
                </c:pt>
                <c:pt idx="88">
                  <c:v>24.354600096101485</c:v>
                </c:pt>
                <c:pt idx="89">
                  <c:v>24.230801827445667</c:v>
                </c:pt>
                <c:pt idx="90">
                  <c:v>24.838001127918009</c:v>
                </c:pt>
                <c:pt idx="91">
                  <c:v>24.946005828915357</c:v>
                </c:pt>
                <c:pt idx="92">
                  <c:v>24.773363941887204</c:v>
                </c:pt>
                <c:pt idx="93">
                  <c:v>26.06651396596093</c:v>
                </c:pt>
                <c:pt idx="94">
                  <c:v>25.891358505105316</c:v>
                </c:pt>
                <c:pt idx="95">
                  <c:v>26.827740752403923</c:v>
                </c:pt>
                <c:pt idx="96">
                  <c:v>26.404259250913825</c:v>
                </c:pt>
                <c:pt idx="97">
                  <c:v>31.704046831143675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049-4342-B123-BD840131C2D5}"/>
            </c:ext>
          </c:extLst>
        </c:ser>
        <c:ser>
          <c:idx val="11"/>
          <c:order val="1"/>
          <c:tx>
            <c:strRef>
              <c:f>Déplacements!$I$9</c:f>
              <c:strCache>
                <c:ptCount val="1"/>
                <c:pt idx="0">
                  <c:v>DZ haut gauche</c:v>
                </c:pt>
              </c:strCache>
            </c:strRef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circle"/>
            <c:size val="3"/>
          </c:marker>
          <c:xVal>
            <c:numRef>
              <c:f>'Résultats observations'!$C$10:$C$200</c:f>
              <c:numCache>
                <c:formatCode>0.0</c:formatCode>
                <c:ptCount val="191"/>
                <c:pt idx="0">
                  <c:v>184.3</c:v>
                </c:pt>
                <c:pt idx="1">
                  <c:v>185.03</c:v>
                </c:pt>
                <c:pt idx="2">
                  <c:v>187.2</c:v>
                </c:pt>
                <c:pt idx="3">
                  <c:v>188.17</c:v>
                </c:pt>
                <c:pt idx="4">
                  <c:v>189.2</c:v>
                </c:pt>
                <c:pt idx="5">
                  <c:v>191.5</c:v>
                </c:pt>
                <c:pt idx="6">
                  <c:v>192.5</c:v>
                </c:pt>
                <c:pt idx="7">
                  <c:v>193.04</c:v>
                </c:pt>
                <c:pt idx="8">
                  <c:v>193.6</c:v>
                </c:pt>
                <c:pt idx="9">
                  <c:v>193.6</c:v>
                </c:pt>
                <c:pt idx="10">
                  <c:v>194.8</c:v>
                </c:pt>
                <c:pt idx="11">
                  <c:v>194.8</c:v>
                </c:pt>
                <c:pt idx="12">
                  <c:v>195.4</c:v>
                </c:pt>
                <c:pt idx="13">
                  <c:v>196.35</c:v>
                </c:pt>
                <c:pt idx="14">
                  <c:v>196.35</c:v>
                </c:pt>
                <c:pt idx="15">
                  <c:v>198.3</c:v>
                </c:pt>
                <c:pt idx="16">
                  <c:v>199.4</c:v>
                </c:pt>
                <c:pt idx="17">
                  <c:v>200.6</c:v>
                </c:pt>
                <c:pt idx="18">
                  <c:v>202.58</c:v>
                </c:pt>
                <c:pt idx="19">
                  <c:v>203.6</c:v>
                </c:pt>
                <c:pt idx="20">
                  <c:v>203.6</c:v>
                </c:pt>
                <c:pt idx="21">
                  <c:v>206.32</c:v>
                </c:pt>
                <c:pt idx="22">
                  <c:v>206.32</c:v>
                </c:pt>
                <c:pt idx="23">
                  <c:v>206.32</c:v>
                </c:pt>
                <c:pt idx="24">
                  <c:v>206.32</c:v>
                </c:pt>
                <c:pt idx="25">
                  <c:v>207.2</c:v>
                </c:pt>
                <c:pt idx="26">
                  <c:v>208.3</c:v>
                </c:pt>
                <c:pt idx="27">
                  <c:v>212.65</c:v>
                </c:pt>
                <c:pt idx="28">
                  <c:v>213.5</c:v>
                </c:pt>
                <c:pt idx="29">
                  <c:v>215</c:v>
                </c:pt>
                <c:pt idx="30">
                  <c:v>215</c:v>
                </c:pt>
                <c:pt idx="31">
                  <c:v>215.55</c:v>
                </c:pt>
                <c:pt idx="32">
                  <c:v>216.87</c:v>
                </c:pt>
                <c:pt idx="33">
                  <c:v>217.7</c:v>
                </c:pt>
                <c:pt idx="34">
                  <c:v>218.7</c:v>
                </c:pt>
                <c:pt idx="35">
                  <c:v>218.7</c:v>
                </c:pt>
                <c:pt idx="36">
                  <c:v>220.5</c:v>
                </c:pt>
                <c:pt idx="37">
                  <c:v>221.7</c:v>
                </c:pt>
                <c:pt idx="38">
                  <c:v>222.9</c:v>
                </c:pt>
                <c:pt idx="39">
                  <c:v>222.9</c:v>
                </c:pt>
                <c:pt idx="40">
                  <c:v>222.9</c:v>
                </c:pt>
                <c:pt idx="41">
                  <c:v>222.9</c:v>
                </c:pt>
                <c:pt idx="42">
                  <c:v>222.9</c:v>
                </c:pt>
                <c:pt idx="43">
                  <c:v>222.9</c:v>
                </c:pt>
                <c:pt idx="44">
                  <c:v>222.9</c:v>
                </c:pt>
                <c:pt idx="45">
                  <c:v>222.9</c:v>
                </c:pt>
                <c:pt idx="46">
                  <c:v>222.9</c:v>
                </c:pt>
                <c:pt idx="47">
                  <c:v>222.9</c:v>
                </c:pt>
                <c:pt idx="48">
                  <c:v>222.9</c:v>
                </c:pt>
                <c:pt idx="49">
                  <c:v>222.9</c:v>
                </c:pt>
                <c:pt idx="50">
                  <c:v>222.9</c:v>
                </c:pt>
                <c:pt idx="51">
                  <c:v>222.9</c:v>
                </c:pt>
                <c:pt idx="52">
                  <c:v>222.9</c:v>
                </c:pt>
                <c:pt idx="53">
                  <c:v>222.9</c:v>
                </c:pt>
                <c:pt idx="54">
                  <c:v>222.9</c:v>
                </c:pt>
                <c:pt idx="55">
                  <c:v>222.9</c:v>
                </c:pt>
                <c:pt idx="56">
                  <c:v>222.9</c:v>
                </c:pt>
                <c:pt idx="57">
                  <c:v>222.9</c:v>
                </c:pt>
                <c:pt idx="58">
                  <c:v>222.9</c:v>
                </c:pt>
                <c:pt idx="59">
                  <c:v>223.9</c:v>
                </c:pt>
                <c:pt idx="60">
                  <c:v>223.9</c:v>
                </c:pt>
                <c:pt idx="61">
                  <c:v>223.9</c:v>
                </c:pt>
                <c:pt idx="62">
                  <c:v>223.9</c:v>
                </c:pt>
                <c:pt idx="63">
                  <c:v>223.9</c:v>
                </c:pt>
                <c:pt idx="64">
                  <c:v>223.9</c:v>
                </c:pt>
                <c:pt idx="65">
                  <c:v>223.9</c:v>
                </c:pt>
                <c:pt idx="66">
                  <c:v>223.9</c:v>
                </c:pt>
                <c:pt idx="67">
                  <c:v>223.9</c:v>
                </c:pt>
                <c:pt idx="68">
                  <c:v>223.9</c:v>
                </c:pt>
                <c:pt idx="70">
                  <c:v>223.9</c:v>
                </c:pt>
                <c:pt idx="72">
                  <c:v>223.9</c:v>
                </c:pt>
                <c:pt idx="73">
                  <c:v>223.9</c:v>
                </c:pt>
                <c:pt idx="74">
                  <c:v>223.9</c:v>
                </c:pt>
                <c:pt idx="75">
                  <c:v>223.9</c:v>
                </c:pt>
                <c:pt idx="76">
                  <c:v>223.9</c:v>
                </c:pt>
                <c:pt idx="77">
                  <c:v>223.9</c:v>
                </c:pt>
                <c:pt idx="78">
                  <c:v>223.9</c:v>
                </c:pt>
                <c:pt idx="79">
                  <c:v>223.9</c:v>
                </c:pt>
                <c:pt idx="80">
                  <c:v>223.9</c:v>
                </c:pt>
                <c:pt idx="81">
                  <c:v>223.9</c:v>
                </c:pt>
                <c:pt idx="82">
                  <c:v>223.9</c:v>
                </c:pt>
                <c:pt idx="83">
                  <c:v>223.9</c:v>
                </c:pt>
                <c:pt idx="84">
                  <c:v>223.9</c:v>
                </c:pt>
                <c:pt idx="85">
                  <c:v>223.9</c:v>
                </c:pt>
                <c:pt idx="86">
                  <c:v>223.9</c:v>
                </c:pt>
                <c:pt idx="87">
                  <c:v>223.9</c:v>
                </c:pt>
                <c:pt idx="88">
                  <c:v>223.9</c:v>
                </c:pt>
                <c:pt idx="89">
                  <c:v>223.9</c:v>
                </c:pt>
                <c:pt idx="90">
                  <c:v>223.9</c:v>
                </c:pt>
                <c:pt idx="91">
                  <c:v>223.9</c:v>
                </c:pt>
                <c:pt idx="92">
                  <c:v>223.9</c:v>
                </c:pt>
                <c:pt idx="93">
                  <c:v>223.9</c:v>
                </c:pt>
                <c:pt idx="94">
                  <c:v>223.9</c:v>
                </c:pt>
                <c:pt idx="95">
                  <c:v>223.9</c:v>
                </c:pt>
                <c:pt idx="96">
                  <c:v>223.9</c:v>
                </c:pt>
                <c:pt idx="97">
                  <c:v>223.9</c:v>
                </c:pt>
              </c:numCache>
            </c:numRef>
          </c:xVal>
          <c:yVal>
            <c:numRef>
              <c:f>Déplacements!$J$10:$J$200</c:f>
              <c:numCache>
                <c:formatCode>\+\ 0.0;\-\ 0.0;\±\ 0.0</c:formatCode>
                <c:ptCount val="191"/>
                <c:pt idx="0">
                  <c:v>0</c:v>
                </c:pt>
                <c:pt idx="1">
                  <c:v>0.85586213842426051</c:v>
                </c:pt>
                <c:pt idx="2">
                  <c:v>1.2579745625186352</c:v>
                </c:pt>
                <c:pt idx="3">
                  <c:v>2.022992832410313</c:v>
                </c:pt>
                <c:pt idx="5">
                  <c:v>4.019017292821256</c:v>
                </c:pt>
                <c:pt idx="6">
                  <c:v>2.7618802377833855</c:v>
                </c:pt>
                <c:pt idx="7">
                  <c:v>4.3376461650492395</c:v>
                </c:pt>
                <c:pt idx="8">
                  <c:v>4.3089213322396498</c:v>
                </c:pt>
                <c:pt idx="9">
                  <c:v>4.5828415724556768</c:v>
                </c:pt>
                <c:pt idx="10">
                  <c:v>5.7334240195621806</c:v>
                </c:pt>
                <c:pt idx="11">
                  <c:v>6.1806535269415468</c:v>
                </c:pt>
                <c:pt idx="12">
                  <c:v>5.2955169719370714</c:v>
                </c:pt>
                <c:pt idx="13">
                  <c:v>6.2787339488132989</c:v>
                </c:pt>
                <c:pt idx="14">
                  <c:v>7.618562856608194</c:v>
                </c:pt>
                <c:pt idx="15">
                  <c:v>7.9694730064233674</c:v>
                </c:pt>
                <c:pt idx="16">
                  <c:v>8.4482246655859363</c:v>
                </c:pt>
                <c:pt idx="17">
                  <c:v>9.2845301442790831</c:v>
                </c:pt>
                <c:pt idx="18">
                  <c:v>8.8939168289412702</c:v>
                </c:pt>
                <c:pt idx="19">
                  <c:v>9.1903481979810575</c:v>
                </c:pt>
                <c:pt idx="20">
                  <c:v>10.027586948020367</c:v>
                </c:pt>
                <c:pt idx="21">
                  <c:v>10.492020777717489</c:v>
                </c:pt>
                <c:pt idx="22">
                  <c:v>11.278851891933684</c:v>
                </c:pt>
                <c:pt idx="23">
                  <c:v>11.362768148659725</c:v>
                </c:pt>
                <c:pt idx="24">
                  <c:v>11.549173502300846</c:v>
                </c:pt>
                <c:pt idx="25">
                  <c:v>12.15946133675814</c:v>
                </c:pt>
                <c:pt idx="26">
                  <c:v>12.452946770578082</c:v>
                </c:pt>
                <c:pt idx="27">
                  <c:v>12.335433990346063</c:v>
                </c:pt>
                <c:pt idx="28">
                  <c:v>12.268388559650163</c:v>
                </c:pt>
                <c:pt idx="29">
                  <c:v>13.510034484155391</c:v>
                </c:pt>
                <c:pt idx="30">
                  <c:v>12.462171430703206</c:v>
                </c:pt>
                <c:pt idx="32">
                  <c:v>13.484756389011141</c:v>
                </c:pt>
                <c:pt idx="33">
                  <c:v>13.878422645134179</c:v>
                </c:pt>
                <c:pt idx="34">
                  <c:v>13.914470884664354</c:v>
                </c:pt>
                <c:pt idx="35">
                  <c:v>14.424025097049789</c:v>
                </c:pt>
                <c:pt idx="37">
                  <c:v>14.813254200203909</c:v>
                </c:pt>
                <c:pt idx="38">
                  <c:v>14.929584722956536</c:v>
                </c:pt>
                <c:pt idx="39">
                  <c:v>14.986744142748861</c:v>
                </c:pt>
                <c:pt idx="40">
                  <c:v>15.633697579274381</c:v>
                </c:pt>
                <c:pt idx="41">
                  <c:v>15.644567747303803</c:v>
                </c:pt>
                <c:pt idx="42">
                  <c:v>14.968717379927259</c:v>
                </c:pt>
                <c:pt idx="43">
                  <c:v>16.063767523722653</c:v>
                </c:pt>
                <c:pt idx="44">
                  <c:v>15.878680675681082</c:v>
                </c:pt>
                <c:pt idx="45">
                  <c:v>16.747014659336955</c:v>
                </c:pt>
                <c:pt idx="46">
                  <c:v>16.287188216505992</c:v>
                </c:pt>
                <c:pt idx="47">
                  <c:v>17.180584972577424</c:v>
                </c:pt>
                <c:pt idx="48">
                  <c:v>17.567939549087967</c:v>
                </c:pt>
                <c:pt idx="49">
                  <c:v>17.392886476943055</c:v>
                </c:pt>
                <c:pt idx="50">
                  <c:v>18.026993648418429</c:v>
                </c:pt>
                <c:pt idx="51">
                  <c:v>17.963922177509815</c:v>
                </c:pt>
                <c:pt idx="52">
                  <c:v>18.691776266580341</c:v>
                </c:pt>
                <c:pt idx="53">
                  <c:v>18.33691631654823</c:v>
                </c:pt>
                <c:pt idx="54">
                  <c:v>19.056560550107811</c:v>
                </c:pt>
                <c:pt idx="55">
                  <c:v>20.97528307317593</c:v>
                </c:pt>
                <c:pt idx="56">
                  <c:v>20.295627607936513</c:v>
                </c:pt>
                <c:pt idx="57">
                  <c:v>20.640479558017077</c:v>
                </c:pt>
                <c:pt idx="58">
                  <c:v>21.395238579626678</c:v>
                </c:pt>
                <c:pt idx="59">
                  <c:v>20.739411017182245</c:v>
                </c:pt>
                <c:pt idx="60">
                  <c:v>21.242249275982115</c:v>
                </c:pt>
                <c:pt idx="61">
                  <c:v>21.976517614316752</c:v>
                </c:pt>
                <c:pt idx="62">
                  <c:v>22.007480680890811</c:v>
                </c:pt>
                <c:pt idx="63">
                  <c:v>22.964873531887417</c:v>
                </c:pt>
                <c:pt idx="64">
                  <c:v>23.443711981494104</c:v>
                </c:pt>
                <c:pt idx="65">
                  <c:v>24.211455201176371</c:v>
                </c:pt>
                <c:pt idx="66">
                  <c:v>24.124045545920055</c:v>
                </c:pt>
                <c:pt idx="67">
                  <c:v>24.016452169224429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49-4342-B123-BD840131C2D5}"/>
            </c:ext>
          </c:extLst>
        </c:ser>
        <c:ser>
          <c:idx val="12"/>
          <c:order val="2"/>
          <c:tx>
            <c:strRef>
              <c:f>Déplacements!$Q$9</c:f>
              <c:strCache>
                <c:ptCount val="1"/>
                <c:pt idx="0">
                  <c:v>DZ haut droit</c:v>
                </c:pt>
              </c:strCache>
            </c:strRef>
          </c:tx>
          <c:spPr>
            <a:ln w="12700">
              <a:solidFill>
                <a:srgbClr val="800000"/>
              </a:solidFill>
              <a:prstDash val="solid"/>
            </a:ln>
          </c:spPr>
          <c:marker>
            <c:symbol val="circle"/>
            <c:size val="3"/>
          </c:marker>
          <c:xVal>
            <c:numRef>
              <c:f>'Résultats observations'!$C$10:$C$200</c:f>
              <c:numCache>
                <c:formatCode>0.0</c:formatCode>
                <c:ptCount val="191"/>
                <c:pt idx="0">
                  <c:v>184.3</c:v>
                </c:pt>
                <c:pt idx="1">
                  <c:v>185.03</c:v>
                </c:pt>
                <c:pt idx="2">
                  <c:v>187.2</c:v>
                </c:pt>
                <c:pt idx="3">
                  <c:v>188.17</c:v>
                </c:pt>
                <c:pt idx="4">
                  <c:v>189.2</c:v>
                </c:pt>
                <c:pt idx="5">
                  <c:v>191.5</c:v>
                </c:pt>
                <c:pt idx="6">
                  <c:v>192.5</c:v>
                </c:pt>
                <c:pt idx="7">
                  <c:v>193.04</c:v>
                </c:pt>
                <c:pt idx="8">
                  <c:v>193.6</c:v>
                </c:pt>
                <c:pt idx="9">
                  <c:v>193.6</c:v>
                </c:pt>
                <c:pt idx="10">
                  <c:v>194.8</c:v>
                </c:pt>
                <c:pt idx="11">
                  <c:v>194.8</c:v>
                </c:pt>
                <c:pt idx="12">
                  <c:v>195.4</c:v>
                </c:pt>
                <c:pt idx="13">
                  <c:v>196.35</c:v>
                </c:pt>
                <c:pt idx="14">
                  <c:v>196.35</c:v>
                </c:pt>
                <c:pt idx="15">
                  <c:v>198.3</c:v>
                </c:pt>
                <c:pt idx="16">
                  <c:v>199.4</c:v>
                </c:pt>
                <c:pt idx="17">
                  <c:v>200.6</c:v>
                </c:pt>
                <c:pt idx="18">
                  <c:v>202.58</c:v>
                </c:pt>
                <c:pt idx="19">
                  <c:v>203.6</c:v>
                </c:pt>
                <c:pt idx="20">
                  <c:v>203.6</c:v>
                </c:pt>
                <c:pt idx="21">
                  <c:v>206.32</c:v>
                </c:pt>
                <c:pt idx="22">
                  <c:v>206.32</c:v>
                </c:pt>
                <c:pt idx="23">
                  <c:v>206.32</c:v>
                </c:pt>
                <c:pt idx="24">
                  <c:v>206.32</c:v>
                </c:pt>
                <c:pt idx="25">
                  <c:v>207.2</c:v>
                </c:pt>
                <c:pt idx="26">
                  <c:v>208.3</c:v>
                </c:pt>
                <c:pt idx="27">
                  <c:v>212.65</c:v>
                </c:pt>
                <c:pt idx="28">
                  <c:v>213.5</c:v>
                </c:pt>
                <c:pt idx="29">
                  <c:v>215</c:v>
                </c:pt>
                <c:pt idx="30">
                  <c:v>215</c:v>
                </c:pt>
                <c:pt idx="31">
                  <c:v>215.55</c:v>
                </c:pt>
                <c:pt idx="32">
                  <c:v>216.87</c:v>
                </c:pt>
                <c:pt idx="33">
                  <c:v>217.7</c:v>
                </c:pt>
                <c:pt idx="34">
                  <c:v>218.7</c:v>
                </c:pt>
                <c:pt idx="35">
                  <c:v>218.7</c:v>
                </c:pt>
                <c:pt idx="36">
                  <c:v>220.5</c:v>
                </c:pt>
                <c:pt idx="37">
                  <c:v>221.7</c:v>
                </c:pt>
                <c:pt idx="38">
                  <c:v>222.9</c:v>
                </c:pt>
                <c:pt idx="39">
                  <c:v>222.9</c:v>
                </c:pt>
                <c:pt idx="40">
                  <c:v>222.9</c:v>
                </c:pt>
                <c:pt idx="41">
                  <c:v>222.9</c:v>
                </c:pt>
                <c:pt idx="42">
                  <c:v>222.9</c:v>
                </c:pt>
                <c:pt idx="43">
                  <c:v>222.9</c:v>
                </c:pt>
                <c:pt idx="44">
                  <c:v>222.9</c:v>
                </c:pt>
                <c:pt idx="45">
                  <c:v>222.9</c:v>
                </c:pt>
                <c:pt idx="46">
                  <c:v>222.9</c:v>
                </c:pt>
                <c:pt idx="47">
                  <c:v>222.9</c:v>
                </c:pt>
                <c:pt idx="48">
                  <c:v>222.9</c:v>
                </c:pt>
                <c:pt idx="49">
                  <c:v>222.9</c:v>
                </c:pt>
                <c:pt idx="50">
                  <c:v>222.9</c:v>
                </c:pt>
                <c:pt idx="51">
                  <c:v>222.9</c:v>
                </c:pt>
                <c:pt idx="52">
                  <c:v>222.9</c:v>
                </c:pt>
                <c:pt idx="53">
                  <c:v>222.9</c:v>
                </c:pt>
                <c:pt idx="54">
                  <c:v>222.9</c:v>
                </c:pt>
                <c:pt idx="55">
                  <c:v>222.9</c:v>
                </c:pt>
                <c:pt idx="56">
                  <c:v>222.9</c:v>
                </c:pt>
                <c:pt idx="57">
                  <c:v>222.9</c:v>
                </c:pt>
                <c:pt idx="58">
                  <c:v>222.9</c:v>
                </c:pt>
                <c:pt idx="59">
                  <c:v>223.9</c:v>
                </c:pt>
                <c:pt idx="60">
                  <c:v>223.9</c:v>
                </c:pt>
                <c:pt idx="61">
                  <c:v>223.9</c:v>
                </c:pt>
                <c:pt idx="62">
                  <c:v>223.9</c:v>
                </c:pt>
                <c:pt idx="63">
                  <c:v>223.9</c:v>
                </c:pt>
                <c:pt idx="64">
                  <c:v>223.9</c:v>
                </c:pt>
                <c:pt idx="65">
                  <c:v>223.9</c:v>
                </c:pt>
                <c:pt idx="66">
                  <c:v>223.9</c:v>
                </c:pt>
                <c:pt idx="67">
                  <c:v>223.9</c:v>
                </c:pt>
                <c:pt idx="68">
                  <c:v>223.9</c:v>
                </c:pt>
                <c:pt idx="70">
                  <c:v>223.9</c:v>
                </c:pt>
                <c:pt idx="72">
                  <c:v>223.9</c:v>
                </c:pt>
                <c:pt idx="73">
                  <c:v>223.9</c:v>
                </c:pt>
                <c:pt idx="74">
                  <c:v>223.9</c:v>
                </c:pt>
                <c:pt idx="75">
                  <c:v>223.9</c:v>
                </c:pt>
                <c:pt idx="76">
                  <c:v>223.9</c:v>
                </c:pt>
                <c:pt idx="77">
                  <c:v>223.9</c:v>
                </c:pt>
                <c:pt idx="78">
                  <c:v>223.9</c:v>
                </c:pt>
                <c:pt idx="79">
                  <c:v>223.9</c:v>
                </c:pt>
                <c:pt idx="80">
                  <c:v>223.9</c:v>
                </c:pt>
                <c:pt idx="81">
                  <c:v>223.9</c:v>
                </c:pt>
                <c:pt idx="82">
                  <c:v>223.9</c:v>
                </c:pt>
                <c:pt idx="83">
                  <c:v>223.9</c:v>
                </c:pt>
                <c:pt idx="84">
                  <c:v>223.9</c:v>
                </c:pt>
                <c:pt idx="85">
                  <c:v>223.9</c:v>
                </c:pt>
                <c:pt idx="86">
                  <c:v>223.9</c:v>
                </c:pt>
                <c:pt idx="87">
                  <c:v>223.9</c:v>
                </c:pt>
                <c:pt idx="88">
                  <c:v>223.9</c:v>
                </c:pt>
                <c:pt idx="89">
                  <c:v>223.9</c:v>
                </c:pt>
                <c:pt idx="90">
                  <c:v>223.9</c:v>
                </c:pt>
                <c:pt idx="91">
                  <c:v>223.9</c:v>
                </c:pt>
                <c:pt idx="92">
                  <c:v>223.9</c:v>
                </c:pt>
                <c:pt idx="93">
                  <c:v>223.9</c:v>
                </c:pt>
                <c:pt idx="94">
                  <c:v>223.9</c:v>
                </c:pt>
                <c:pt idx="95">
                  <c:v>223.9</c:v>
                </c:pt>
                <c:pt idx="96">
                  <c:v>223.9</c:v>
                </c:pt>
                <c:pt idx="97">
                  <c:v>223.9</c:v>
                </c:pt>
              </c:numCache>
            </c:numRef>
          </c:xVal>
          <c:yVal>
            <c:numRef>
              <c:f>Déplacements!$R$10:$R$200</c:f>
              <c:numCache>
                <c:formatCode>\+\ 0.0;\-\ 0.0;\±\ 0.0</c:formatCode>
                <c:ptCount val="191"/>
                <c:pt idx="0">
                  <c:v>0</c:v>
                </c:pt>
                <c:pt idx="1">
                  <c:v>0.95524865872175246</c:v>
                </c:pt>
                <c:pt idx="2">
                  <c:v>1.3009611831208934</c:v>
                </c:pt>
                <c:pt idx="3">
                  <c:v>1.7811513130534313</c:v>
                </c:pt>
                <c:pt idx="4">
                  <c:v>1.1715374513827561</c:v>
                </c:pt>
                <c:pt idx="5">
                  <c:v>3.8291643997044904</c:v>
                </c:pt>
                <c:pt idx="6">
                  <c:v>2.836534884359903</c:v>
                </c:pt>
                <c:pt idx="7">
                  <c:v>3.7934604419381799</c:v>
                </c:pt>
                <c:pt idx="8">
                  <c:v>3.8902716278346339</c:v>
                </c:pt>
                <c:pt idx="9">
                  <c:v>3.9667827201769397</c:v>
                </c:pt>
                <c:pt idx="10">
                  <c:v>5.0721400459800652</c:v>
                </c:pt>
                <c:pt idx="11">
                  <c:v>5.2807846481853309</c:v>
                </c:pt>
                <c:pt idx="12">
                  <c:v>4.2204857540241596</c:v>
                </c:pt>
                <c:pt idx="13">
                  <c:v>5.0142297514223042</c:v>
                </c:pt>
                <c:pt idx="14">
                  <c:v>6.7292272959011044</c:v>
                </c:pt>
                <c:pt idx="15">
                  <c:v>6.7128607910423668</c:v>
                </c:pt>
                <c:pt idx="16">
                  <c:v>6.9132119886391132</c:v>
                </c:pt>
                <c:pt idx="17">
                  <c:v>7.3724148011291835</c:v>
                </c:pt>
                <c:pt idx="18">
                  <c:v>7.6739268368470892</c:v>
                </c:pt>
                <c:pt idx="19">
                  <c:v>7.3635928730446727</c:v>
                </c:pt>
                <c:pt idx="20">
                  <c:v>8.1346481177650372</c:v>
                </c:pt>
                <c:pt idx="21">
                  <c:v>8.3404136587989441</c:v>
                </c:pt>
                <c:pt idx="22">
                  <c:v>9.1696510293320976</c:v>
                </c:pt>
                <c:pt idx="23">
                  <c:v>9.2597246179308517</c:v>
                </c:pt>
                <c:pt idx="24">
                  <c:v>9.1278754134809343</c:v>
                </c:pt>
                <c:pt idx="25">
                  <c:v>9.6240583954951475</c:v>
                </c:pt>
                <c:pt idx="26">
                  <c:v>9.920084193834791</c:v>
                </c:pt>
                <c:pt idx="27">
                  <c:v>9.7243873098079874</c:v>
                </c:pt>
                <c:pt idx="28">
                  <c:v>9.5531426277238669</c:v>
                </c:pt>
                <c:pt idx="29">
                  <c:v>10.36329490178167</c:v>
                </c:pt>
                <c:pt idx="30">
                  <c:v>10.579582948047657</c:v>
                </c:pt>
                <c:pt idx="31">
                  <c:v>10.648971890265685</c:v>
                </c:pt>
                <c:pt idx="32">
                  <c:v>10.47956523878949</c:v>
                </c:pt>
                <c:pt idx="33">
                  <c:v>11.094180041704956</c:v>
                </c:pt>
                <c:pt idx="34">
                  <c:v>10.791315953112486</c:v>
                </c:pt>
                <c:pt idx="35">
                  <c:v>11.172399026177629</c:v>
                </c:pt>
                <c:pt idx="36">
                  <c:v>11.229091681871768</c:v>
                </c:pt>
                <c:pt idx="37">
                  <c:v>11.298783120317784</c:v>
                </c:pt>
                <c:pt idx="38">
                  <c:v>11.445632354746502</c:v>
                </c:pt>
                <c:pt idx="39">
                  <c:v>11.446942823296123</c:v>
                </c:pt>
                <c:pt idx="40">
                  <c:v>12.391630239801115</c:v>
                </c:pt>
                <c:pt idx="41">
                  <c:v>12.061198116266452</c:v>
                </c:pt>
                <c:pt idx="42">
                  <c:v>12.076940837807113</c:v>
                </c:pt>
                <c:pt idx="43">
                  <c:v>12.437214019882356</c:v>
                </c:pt>
                <c:pt idx="44">
                  <c:v>12.23488863864565</c:v>
                </c:pt>
                <c:pt idx="45">
                  <c:v>13.114209850382577</c:v>
                </c:pt>
                <c:pt idx="46">
                  <c:v>12.719768079639161</c:v>
                </c:pt>
                <c:pt idx="47">
                  <c:v>13.327884303220573</c:v>
                </c:pt>
                <c:pt idx="48">
                  <c:v>13.601194800450916</c:v>
                </c:pt>
                <c:pt idx="49">
                  <c:v>13.143534532228054</c:v>
                </c:pt>
                <c:pt idx="50">
                  <c:v>13.769259239334954</c:v>
                </c:pt>
                <c:pt idx="51">
                  <c:v>14.189520781188689</c:v>
                </c:pt>
                <c:pt idx="52">
                  <c:v>14.772017465468963</c:v>
                </c:pt>
                <c:pt idx="53">
                  <c:v>14.300437056254774</c:v>
                </c:pt>
                <c:pt idx="54">
                  <c:v>14.624380328738942</c:v>
                </c:pt>
                <c:pt idx="55">
                  <c:v>16.279204526022841</c:v>
                </c:pt>
                <c:pt idx="56">
                  <c:v>15.728397884079069</c:v>
                </c:pt>
                <c:pt idx="57">
                  <c:v>16.060522375762229</c:v>
                </c:pt>
                <c:pt idx="58">
                  <c:v>16.953824406968323</c:v>
                </c:pt>
                <c:pt idx="59">
                  <c:v>15.852465424291655</c:v>
                </c:pt>
                <c:pt idx="60">
                  <c:v>16.499473300967292</c:v>
                </c:pt>
                <c:pt idx="61">
                  <c:v>16.758852355101268</c:v>
                </c:pt>
                <c:pt idx="62">
                  <c:v>17.074687789787571</c:v>
                </c:pt>
                <c:pt idx="63">
                  <c:v>17.660526589289159</c:v>
                </c:pt>
                <c:pt idx="64">
                  <c:v>17.662181962703919</c:v>
                </c:pt>
                <c:pt idx="65">
                  <c:v>18.230206564356802</c:v>
                </c:pt>
                <c:pt idx="66">
                  <c:v>18.249224624932904</c:v>
                </c:pt>
                <c:pt idx="67">
                  <c:v>17.79631940778745</c:v>
                </c:pt>
                <c:pt idx="68">
                  <c:v>18.670915901753762</c:v>
                </c:pt>
                <c:pt idx="72">
                  <c:v>18.406132550998251</c:v>
                </c:pt>
                <c:pt idx="73">
                  <c:v>18.819455316663042</c:v>
                </c:pt>
                <c:pt idx="74">
                  <c:v>18.794982858589975</c:v>
                </c:pt>
                <c:pt idx="75">
                  <c:v>19.073616245572577</c:v>
                </c:pt>
                <c:pt idx="76">
                  <c:v>20.214846011575425</c:v>
                </c:pt>
                <c:pt idx="77">
                  <c:v>19.156151226260199</c:v>
                </c:pt>
                <c:pt idx="78">
                  <c:v>20.679802120806762</c:v>
                </c:pt>
                <c:pt idx="79">
                  <c:v>19.764149115485523</c:v>
                </c:pt>
                <c:pt idx="80">
                  <c:v>20.038793623259735</c:v>
                </c:pt>
                <c:pt idx="81">
                  <c:v>20.697951760966269</c:v>
                </c:pt>
                <c:pt idx="82">
                  <c:v>21.642602895190034</c:v>
                </c:pt>
                <c:pt idx="83">
                  <c:v>20.619292757444708</c:v>
                </c:pt>
                <c:pt idx="84">
                  <c:v>21.224274923503483</c:v>
                </c:pt>
                <c:pt idx="85">
                  <c:v>21.552218340775795</c:v>
                </c:pt>
                <c:pt idx="86">
                  <c:v>22.30774685101083</c:v>
                </c:pt>
                <c:pt idx="87">
                  <c:v>21.33577488244892</c:v>
                </c:pt>
                <c:pt idx="88">
                  <c:v>21.566404226294974</c:v>
                </c:pt>
                <c:pt idx="89">
                  <c:v>21.527160142972019</c:v>
                </c:pt>
                <c:pt idx="90">
                  <c:v>21.51447336996841</c:v>
                </c:pt>
                <c:pt idx="91">
                  <c:v>22.37840018883912</c:v>
                </c:pt>
                <c:pt idx="92">
                  <c:v>21.879045235825824</c:v>
                </c:pt>
                <c:pt idx="93">
                  <c:v>22.96104067187137</c:v>
                </c:pt>
                <c:pt idx="94">
                  <c:v>22.926058862439913</c:v>
                </c:pt>
                <c:pt idx="95">
                  <c:v>23.812783366323522</c:v>
                </c:pt>
                <c:pt idx="96">
                  <c:v>23.02541852896195</c:v>
                </c:pt>
                <c:pt idx="97">
                  <c:v>27.482431065756849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049-4342-B123-BD840131C2D5}"/>
            </c:ext>
          </c:extLst>
        </c:ser>
        <c:ser>
          <c:idx val="13"/>
          <c:order val="3"/>
          <c:tx>
            <c:strRef>
              <c:f>Déplacements!$E$9</c:f>
              <c:strCache>
                <c:ptCount val="1"/>
                <c:pt idx="0">
                  <c:v>DZ inter gauche</c:v>
                </c:pt>
              </c:strCache>
            </c:strRef>
          </c:tx>
          <c:spPr>
            <a:ln w="12700"/>
          </c:spPr>
          <c:marker>
            <c:symbol val="circle"/>
            <c:size val="3"/>
          </c:marker>
          <c:xVal>
            <c:numRef>
              <c:f>'Résultats observations'!$C$10:$C$200</c:f>
              <c:numCache>
                <c:formatCode>0.0</c:formatCode>
                <c:ptCount val="191"/>
                <c:pt idx="0">
                  <c:v>184.3</c:v>
                </c:pt>
                <c:pt idx="1">
                  <c:v>185.03</c:v>
                </c:pt>
                <c:pt idx="2">
                  <c:v>187.2</c:v>
                </c:pt>
                <c:pt idx="3">
                  <c:v>188.17</c:v>
                </c:pt>
                <c:pt idx="4">
                  <c:v>189.2</c:v>
                </c:pt>
                <c:pt idx="5">
                  <c:v>191.5</c:v>
                </c:pt>
                <c:pt idx="6">
                  <c:v>192.5</c:v>
                </c:pt>
                <c:pt idx="7">
                  <c:v>193.04</c:v>
                </c:pt>
                <c:pt idx="8">
                  <c:v>193.6</c:v>
                </c:pt>
                <c:pt idx="9">
                  <c:v>193.6</c:v>
                </c:pt>
                <c:pt idx="10">
                  <c:v>194.8</c:v>
                </c:pt>
                <c:pt idx="11">
                  <c:v>194.8</c:v>
                </c:pt>
                <c:pt idx="12">
                  <c:v>195.4</c:v>
                </c:pt>
                <c:pt idx="13">
                  <c:v>196.35</c:v>
                </c:pt>
                <c:pt idx="14">
                  <c:v>196.35</c:v>
                </c:pt>
                <c:pt idx="15">
                  <c:v>198.3</c:v>
                </c:pt>
                <c:pt idx="16">
                  <c:v>199.4</c:v>
                </c:pt>
                <c:pt idx="17">
                  <c:v>200.6</c:v>
                </c:pt>
                <c:pt idx="18">
                  <c:v>202.58</c:v>
                </c:pt>
                <c:pt idx="19">
                  <c:v>203.6</c:v>
                </c:pt>
                <c:pt idx="20">
                  <c:v>203.6</c:v>
                </c:pt>
                <c:pt idx="21">
                  <c:v>206.32</c:v>
                </c:pt>
                <c:pt idx="22">
                  <c:v>206.32</c:v>
                </c:pt>
                <c:pt idx="23">
                  <c:v>206.32</c:v>
                </c:pt>
                <c:pt idx="24">
                  <c:v>206.32</c:v>
                </c:pt>
                <c:pt idx="25">
                  <c:v>207.2</c:v>
                </c:pt>
                <c:pt idx="26">
                  <c:v>208.3</c:v>
                </c:pt>
                <c:pt idx="27">
                  <c:v>212.65</c:v>
                </c:pt>
                <c:pt idx="28">
                  <c:v>213.5</c:v>
                </c:pt>
                <c:pt idx="29">
                  <c:v>215</c:v>
                </c:pt>
                <c:pt idx="30">
                  <c:v>215</c:v>
                </c:pt>
                <c:pt idx="31">
                  <c:v>215.55</c:v>
                </c:pt>
                <c:pt idx="32">
                  <c:v>216.87</c:v>
                </c:pt>
                <c:pt idx="33">
                  <c:v>217.7</c:v>
                </c:pt>
                <c:pt idx="34">
                  <c:v>218.7</c:v>
                </c:pt>
                <c:pt idx="35">
                  <c:v>218.7</c:v>
                </c:pt>
                <c:pt idx="36">
                  <c:v>220.5</c:v>
                </c:pt>
                <c:pt idx="37">
                  <c:v>221.7</c:v>
                </c:pt>
                <c:pt idx="38">
                  <c:v>222.9</c:v>
                </c:pt>
                <c:pt idx="39">
                  <c:v>222.9</c:v>
                </c:pt>
                <c:pt idx="40">
                  <c:v>222.9</c:v>
                </c:pt>
                <c:pt idx="41">
                  <c:v>222.9</c:v>
                </c:pt>
                <c:pt idx="42">
                  <c:v>222.9</c:v>
                </c:pt>
                <c:pt idx="43">
                  <c:v>222.9</c:v>
                </c:pt>
                <c:pt idx="44">
                  <c:v>222.9</c:v>
                </c:pt>
                <c:pt idx="45">
                  <c:v>222.9</c:v>
                </c:pt>
                <c:pt idx="46">
                  <c:v>222.9</c:v>
                </c:pt>
                <c:pt idx="47">
                  <c:v>222.9</c:v>
                </c:pt>
                <c:pt idx="48">
                  <c:v>222.9</c:v>
                </c:pt>
                <c:pt idx="49">
                  <c:v>222.9</c:v>
                </c:pt>
                <c:pt idx="50">
                  <c:v>222.9</c:v>
                </c:pt>
                <c:pt idx="51">
                  <c:v>222.9</c:v>
                </c:pt>
                <c:pt idx="52">
                  <c:v>222.9</c:v>
                </c:pt>
                <c:pt idx="53">
                  <c:v>222.9</c:v>
                </c:pt>
                <c:pt idx="54">
                  <c:v>222.9</c:v>
                </c:pt>
                <c:pt idx="55">
                  <c:v>222.9</c:v>
                </c:pt>
                <c:pt idx="56">
                  <c:v>222.9</c:v>
                </c:pt>
                <c:pt idx="57">
                  <c:v>222.9</c:v>
                </c:pt>
                <c:pt idx="58">
                  <c:v>222.9</c:v>
                </c:pt>
                <c:pt idx="59">
                  <c:v>223.9</c:v>
                </c:pt>
                <c:pt idx="60">
                  <c:v>223.9</c:v>
                </c:pt>
                <c:pt idx="61">
                  <c:v>223.9</c:v>
                </c:pt>
                <c:pt idx="62">
                  <c:v>223.9</c:v>
                </c:pt>
                <c:pt idx="63">
                  <c:v>223.9</c:v>
                </c:pt>
                <c:pt idx="64">
                  <c:v>223.9</c:v>
                </c:pt>
                <c:pt idx="65">
                  <c:v>223.9</c:v>
                </c:pt>
                <c:pt idx="66">
                  <c:v>223.9</c:v>
                </c:pt>
                <c:pt idx="67">
                  <c:v>223.9</c:v>
                </c:pt>
                <c:pt idx="68">
                  <c:v>223.9</c:v>
                </c:pt>
                <c:pt idx="70">
                  <c:v>223.9</c:v>
                </c:pt>
                <c:pt idx="72">
                  <c:v>223.9</c:v>
                </c:pt>
                <c:pt idx="73">
                  <c:v>223.9</c:v>
                </c:pt>
                <c:pt idx="74">
                  <c:v>223.9</c:v>
                </c:pt>
                <c:pt idx="75">
                  <c:v>223.9</c:v>
                </c:pt>
                <c:pt idx="76">
                  <c:v>223.9</c:v>
                </c:pt>
                <c:pt idx="77">
                  <c:v>223.9</c:v>
                </c:pt>
                <c:pt idx="78">
                  <c:v>223.9</c:v>
                </c:pt>
                <c:pt idx="79">
                  <c:v>223.9</c:v>
                </c:pt>
                <c:pt idx="80">
                  <c:v>223.9</c:v>
                </c:pt>
                <c:pt idx="81">
                  <c:v>223.9</c:v>
                </c:pt>
                <c:pt idx="82">
                  <c:v>223.9</c:v>
                </c:pt>
                <c:pt idx="83">
                  <c:v>223.9</c:v>
                </c:pt>
                <c:pt idx="84">
                  <c:v>223.9</c:v>
                </c:pt>
                <c:pt idx="85">
                  <c:v>223.9</c:v>
                </c:pt>
                <c:pt idx="86">
                  <c:v>223.9</c:v>
                </c:pt>
                <c:pt idx="87">
                  <c:v>223.9</c:v>
                </c:pt>
                <c:pt idx="88">
                  <c:v>223.9</c:v>
                </c:pt>
                <c:pt idx="89">
                  <c:v>223.9</c:v>
                </c:pt>
                <c:pt idx="90">
                  <c:v>223.9</c:v>
                </c:pt>
                <c:pt idx="91">
                  <c:v>223.9</c:v>
                </c:pt>
                <c:pt idx="92">
                  <c:v>223.9</c:v>
                </c:pt>
                <c:pt idx="93">
                  <c:v>223.9</c:v>
                </c:pt>
                <c:pt idx="94">
                  <c:v>223.9</c:v>
                </c:pt>
                <c:pt idx="95">
                  <c:v>223.9</c:v>
                </c:pt>
                <c:pt idx="96">
                  <c:v>223.9</c:v>
                </c:pt>
                <c:pt idx="97">
                  <c:v>223.9</c:v>
                </c:pt>
              </c:numCache>
            </c:numRef>
          </c:xVal>
          <c:yVal>
            <c:numRef>
              <c:f>Déplacements!$F$10:$F$200</c:f>
              <c:numCache>
                <c:formatCode>\+\ 0.0;\-\ 0.0;\±\ 0.0</c:formatCode>
                <c:ptCount val="191"/>
                <c:pt idx="0">
                  <c:v>0</c:v>
                </c:pt>
                <c:pt idx="1">
                  <c:v>0.72284161473301844</c:v>
                </c:pt>
                <c:pt idx="2">
                  <c:v>1.5370426148860237</c:v>
                </c:pt>
                <c:pt idx="3">
                  <c:v>2.0524375751746295</c:v>
                </c:pt>
                <c:pt idx="4">
                  <c:v>1.3500000000145187</c:v>
                </c:pt>
                <c:pt idx="5">
                  <c:v>3.0679797913282583</c:v>
                </c:pt>
                <c:pt idx="6">
                  <c:v>1.6899734934053414</c:v>
                </c:pt>
                <c:pt idx="7">
                  <c:v>2.6393814774102542</c:v>
                </c:pt>
                <c:pt idx="8">
                  <c:v>2.558622285538279</c:v>
                </c:pt>
                <c:pt idx="9">
                  <c:v>3.1492018349580926</c:v>
                </c:pt>
                <c:pt idx="10">
                  <c:v>3.1090410344002599</c:v>
                </c:pt>
                <c:pt idx="11">
                  <c:v>3.3965761255166242</c:v>
                </c:pt>
                <c:pt idx="12">
                  <c:v>2.4964975465650161</c:v>
                </c:pt>
                <c:pt idx="13">
                  <c:v>3.1020154738583394</c:v>
                </c:pt>
                <c:pt idx="14">
                  <c:v>4.3488504228244507</c:v>
                </c:pt>
                <c:pt idx="15">
                  <c:v>4.6682437811197541</c:v>
                </c:pt>
                <c:pt idx="16">
                  <c:v>4.6746657634513893</c:v>
                </c:pt>
                <c:pt idx="17">
                  <c:v>5.2203927055415722</c:v>
                </c:pt>
                <c:pt idx="18">
                  <c:v>5.0690283921356745</c:v>
                </c:pt>
                <c:pt idx="19">
                  <c:v>5.1198144497774143</c:v>
                </c:pt>
                <c:pt idx="20">
                  <c:v>5.7708318291216845</c:v>
                </c:pt>
                <c:pt idx="21">
                  <c:v>5.9103722387103819</c:v>
                </c:pt>
                <c:pt idx="22">
                  <c:v>6.7913547985686957</c:v>
                </c:pt>
                <c:pt idx="23">
                  <c:v>6.6183457147623175</c:v>
                </c:pt>
                <c:pt idx="24">
                  <c:v>6.8493678733201167</c:v>
                </c:pt>
                <c:pt idx="25">
                  <c:v>6.7788273322187527</c:v>
                </c:pt>
                <c:pt idx="26">
                  <c:v>7.4636214851072467</c:v>
                </c:pt>
                <c:pt idx="27">
                  <c:v>7.2837368426726599</c:v>
                </c:pt>
                <c:pt idx="28">
                  <c:v>7.1205748646887006</c:v>
                </c:pt>
                <c:pt idx="29">
                  <c:v>7.6008671267603987</c:v>
                </c:pt>
                <c:pt idx="30">
                  <c:v>8.0338479653975874</c:v>
                </c:pt>
                <c:pt idx="31">
                  <c:v>7.7358283657505416</c:v>
                </c:pt>
                <c:pt idx="32">
                  <c:v>7.9197462860297758</c:v>
                </c:pt>
                <c:pt idx="33">
                  <c:v>8.2220907552129248</c:v>
                </c:pt>
                <c:pt idx="34">
                  <c:v>8.2032005948895801</c:v>
                </c:pt>
                <c:pt idx="35">
                  <c:v>8.5581832184289279</c:v>
                </c:pt>
                <c:pt idx="36">
                  <c:v>8.4570976108919194</c:v>
                </c:pt>
                <c:pt idx="37">
                  <c:v>8.4423041878454992</c:v>
                </c:pt>
                <c:pt idx="38">
                  <c:v>8.4771752370796065</c:v>
                </c:pt>
                <c:pt idx="39">
                  <c:v>8.8601636553842216</c:v>
                </c:pt>
                <c:pt idx="40">
                  <c:v>9.2435112376243271</c:v>
                </c:pt>
                <c:pt idx="41">
                  <c:v>8.8528244080742464</c:v>
                </c:pt>
                <c:pt idx="42">
                  <c:v>8.7711173746650459</c:v>
                </c:pt>
                <c:pt idx="43">
                  <c:v>9.663938496549763</c:v>
                </c:pt>
                <c:pt idx="44">
                  <c:v>8.9539097605388527</c:v>
                </c:pt>
                <c:pt idx="45">
                  <c:v>9.9051754149089106</c:v>
                </c:pt>
                <c:pt idx="46">
                  <c:v>9.3521387928081197</c:v>
                </c:pt>
                <c:pt idx="47">
                  <c:v>9.8378097155954851</c:v>
                </c:pt>
                <c:pt idx="48">
                  <c:v>9.6334054207286872</c:v>
                </c:pt>
                <c:pt idx="49">
                  <c:v>9.715065619962111</c:v>
                </c:pt>
                <c:pt idx="50">
                  <c:v>9.9806061940126654</c:v>
                </c:pt>
                <c:pt idx="51">
                  <c:v>10.49487970393607</c:v>
                </c:pt>
                <c:pt idx="52">
                  <c:v>10.322427040188218</c:v>
                </c:pt>
                <c:pt idx="53">
                  <c:v>10.391943995230136</c:v>
                </c:pt>
                <c:pt idx="54">
                  <c:v>10.625558808843435</c:v>
                </c:pt>
                <c:pt idx="55">
                  <c:v>11.64484864650869</c:v>
                </c:pt>
                <c:pt idx="56">
                  <c:v>10.891395686512196</c:v>
                </c:pt>
                <c:pt idx="57">
                  <c:v>11.286355802731631</c:v>
                </c:pt>
                <c:pt idx="58">
                  <c:v>11.520952902658916</c:v>
                </c:pt>
                <c:pt idx="59">
                  <c:v>10.571765618233259</c:v>
                </c:pt>
                <c:pt idx="60">
                  <c:v>11.213466337658444</c:v>
                </c:pt>
                <c:pt idx="61">
                  <c:v>11.343810042973454</c:v>
                </c:pt>
                <c:pt idx="62">
                  <c:v>11.163473511336019</c:v>
                </c:pt>
                <c:pt idx="63">
                  <c:v>11.848317136278995</c:v>
                </c:pt>
                <c:pt idx="64">
                  <c:v>11.621211160867695</c:v>
                </c:pt>
                <c:pt idx="65">
                  <c:v>12.040867211696817</c:v>
                </c:pt>
                <c:pt idx="66">
                  <c:v>11.388708867770939</c:v>
                </c:pt>
                <c:pt idx="68">
                  <c:v>11.730817731770195</c:v>
                </c:pt>
                <c:pt idx="72">
                  <c:v>11.612969022411889</c:v>
                </c:pt>
                <c:pt idx="73">
                  <c:v>13.092759610319215</c:v>
                </c:pt>
                <c:pt idx="74">
                  <c:v>11.931327331099029</c:v>
                </c:pt>
                <c:pt idx="75">
                  <c:v>12.726742445345481</c:v>
                </c:pt>
                <c:pt idx="76">
                  <c:v>12.746427868686018</c:v>
                </c:pt>
                <c:pt idx="77">
                  <c:v>12.378216540836576</c:v>
                </c:pt>
                <c:pt idx="78">
                  <c:v>12.090170937068983</c:v>
                </c:pt>
                <c:pt idx="79">
                  <c:v>12.472046516397567</c:v>
                </c:pt>
                <c:pt idx="80">
                  <c:v>12.044139753154415</c:v>
                </c:pt>
                <c:pt idx="81">
                  <c:v>12.349935684526093</c:v>
                </c:pt>
                <c:pt idx="82">
                  <c:v>12.778563837900082</c:v>
                </c:pt>
                <c:pt idx="83">
                  <c:v>12.057427596309212</c:v>
                </c:pt>
                <c:pt idx="84">
                  <c:v>12.138866873668363</c:v>
                </c:pt>
                <c:pt idx="85">
                  <c:v>12.326078983153312</c:v>
                </c:pt>
                <c:pt idx="86">
                  <c:v>13.743068955194097</c:v>
                </c:pt>
                <c:pt idx="87">
                  <c:v>12.549983361251137</c:v>
                </c:pt>
                <c:pt idx="88">
                  <c:v>12.949983704751425</c:v>
                </c:pt>
                <c:pt idx="89">
                  <c:v>12.742535633265184</c:v>
                </c:pt>
                <c:pt idx="90">
                  <c:v>12.964649857154102</c:v>
                </c:pt>
                <c:pt idx="91">
                  <c:v>13.415376705596165</c:v>
                </c:pt>
                <c:pt idx="93">
                  <c:v>13.693523768225136</c:v>
                </c:pt>
                <c:pt idx="94">
                  <c:v>14.193751730864744</c:v>
                </c:pt>
                <c:pt idx="95">
                  <c:v>14.320344392020015</c:v>
                </c:pt>
                <c:pt idx="96">
                  <c:v>13.268104613944013</c:v>
                </c:pt>
                <c:pt idx="97">
                  <c:v>15.401657607052245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049-4342-B123-BD840131C2D5}"/>
            </c:ext>
          </c:extLst>
        </c:ser>
        <c:ser>
          <c:idx val="14"/>
          <c:order val="4"/>
          <c:tx>
            <c:strRef>
              <c:f>Déplacements!$U$9</c:f>
              <c:strCache>
                <c:ptCount val="1"/>
                <c:pt idx="0">
                  <c:v>DZ inter droit</c:v>
                </c:pt>
              </c:strCache>
            </c:strRef>
          </c:tx>
          <c:spPr>
            <a:ln w="12700"/>
          </c:spPr>
          <c:marker>
            <c:symbol val="circle"/>
            <c:size val="3"/>
          </c:marker>
          <c:xVal>
            <c:numRef>
              <c:f>'Résultats observations'!$C$10:$C$200</c:f>
              <c:numCache>
                <c:formatCode>0.0</c:formatCode>
                <c:ptCount val="191"/>
                <c:pt idx="0">
                  <c:v>184.3</c:v>
                </c:pt>
                <c:pt idx="1">
                  <c:v>185.03</c:v>
                </c:pt>
                <c:pt idx="2">
                  <c:v>187.2</c:v>
                </c:pt>
                <c:pt idx="3">
                  <c:v>188.17</c:v>
                </c:pt>
                <c:pt idx="4">
                  <c:v>189.2</c:v>
                </c:pt>
                <c:pt idx="5">
                  <c:v>191.5</c:v>
                </c:pt>
                <c:pt idx="6">
                  <c:v>192.5</c:v>
                </c:pt>
                <c:pt idx="7">
                  <c:v>193.04</c:v>
                </c:pt>
                <c:pt idx="8">
                  <c:v>193.6</c:v>
                </c:pt>
                <c:pt idx="9">
                  <c:v>193.6</c:v>
                </c:pt>
                <c:pt idx="10">
                  <c:v>194.8</c:v>
                </c:pt>
                <c:pt idx="11">
                  <c:v>194.8</c:v>
                </c:pt>
                <c:pt idx="12">
                  <c:v>195.4</c:v>
                </c:pt>
                <c:pt idx="13">
                  <c:v>196.35</c:v>
                </c:pt>
                <c:pt idx="14">
                  <c:v>196.35</c:v>
                </c:pt>
                <c:pt idx="15">
                  <c:v>198.3</c:v>
                </c:pt>
                <c:pt idx="16">
                  <c:v>199.4</c:v>
                </c:pt>
                <c:pt idx="17">
                  <c:v>200.6</c:v>
                </c:pt>
                <c:pt idx="18">
                  <c:v>202.58</c:v>
                </c:pt>
                <c:pt idx="19">
                  <c:v>203.6</c:v>
                </c:pt>
                <c:pt idx="20">
                  <c:v>203.6</c:v>
                </c:pt>
                <c:pt idx="21">
                  <c:v>206.32</c:v>
                </c:pt>
                <c:pt idx="22">
                  <c:v>206.32</c:v>
                </c:pt>
                <c:pt idx="23">
                  <c:v>206.32</c:v>
                </c:pt>
                <c:pt idx="24">
                  <c:v>206.32</c:v>
                </c:pt>
                <c:pt idx="25">
                  <c:v>207.2</c:v>
                </c:pt>
                <c:pt idx="26">
                  <c:v>208.3</c:v>
                </c:pt>
                <c:pt idx="27">
                  <c:v>212.65</c:v>
                </c:pt>
                <c:pt idx="28">
                  <c:v>213.5</c:v>
                </c:pt>
                <c:pt idx="29">
                  <c:v>215</c:v>
                </c:pt>
                <c:pt idx="30">
                  <c:v>215</c:v>
                </c:pt>
                <c:pt idx="31">
                  <c:v>215.55</c:v>
                </c:pt>
                <c:pt idx="32">
                  <c:v>216.87</c:v>
                </c:pt>
                <c:pt idx="33">
                  <c:v>217.7</c:v>
                </c:pt>
                <c:pt idx="34">
                  <c:v>218.7</c:v>
                </c:pt>
                <c:pt idx="35">
                  <c:v>218.7</c:v>
                </c:pt>
                <c:pt idx="36">
                  <c:v>220.5</c:v>
                </c:pt>
                <c:pt idx="37">
                  <c:v>221.7</c:v>
                </c:pt>
                <c:pt idx="38">
                  <c:v>222.9</c:v>
                </c:pt>
                <c:pt idx="39">
                  <c:v>222.9</c:v>
                </c:pt>
                <c:pt idx="40">
                  <c:v>222.9</c:v>
                </c:pt>
                <c:pt idx="41">
                  <c:v>222.9</c:v>
                </c:pt>
                <c:pt idx="42">
                  <c:v>222.9</c:v>
                </c:pt>
                <c:pt idx="43">
                  <c:v>222.9</c:v>
                </c:pt>
                <c:pt idx="44">
                  <c:v>222.9</c:v>
                </c:pt>
                <c:pt idx="45">
                  <c:v>222.9</c:v>
                </c:pt>
                <c:pt idx="46">
                  <c:v>222.9</c:v>
                </c:pt>
                <c:pt idx="47">
                  <c:v>222.9</c:v>
                </c:pt>
                <c:pt idx="48">
                  <c:v>222.9</c:v>
                </c:pt>
                <c:pt idx="49">
                  <c:v>222.9</c:v>
                </c:pt>
                <c:pt idx="50">
                  <c:v>222.9</c:v>
                </c:pt>
                <c:pt idx="51">
                  <c:v>222.9</c:v>
                </c:pt>
                <c:pt idx="52">
                  <c:v>222.9</c:v>
                </c:pt>
                <c:pt idx="53">
                  <c:v>222.9</c:v>
                </c:pt>
                <c:pt idx="54">
                  <c:v>222.9</c:v>
                </c:pt>
                <c:pt idx="55">
                  <c:v>222.9</c:v>
                </c:pt>
                <c:pt idx="56">
                  <c:v>222.9</c:v>
                </c:pt>
                <c:pt idx="57">
                  <c:v>222.9</c:v>
                </c:pt>
                <c:pt idx="58">
                  <c:v>222.9</c:v>
                </c:pt>
                <c:pt idx="59">
                  <c:v>223.9</c:v>
                </c:pt>
                <c:pt idx="60">
                  <c:v>223.9</c:v>
                </c:pt>
                <c:pt idx="61">
                  <c:v>223.9</c:v>
                </c:pt>
                <c:pt idx="62">
                  <c:v>223.9</c:v>
                </c:pt>
                <c:pt idx="63">
                  <c:v>223.9</c:v>
                </c:pt>
                <c:pt idx="64">
                  <c:v>223.9</c:v>
                </c:pt>
                <c:pt idx="65">
                  <c:v>223.9</c:v>
                </c:pt>
                <c:pt idx="66">
                  <c:v>223.9</c:v>
                </c:pt>
                <c:pt idx="67">
                  <c:v>223.9</c:v>
                </c:pt>
                <c:pt idx="68">
                  <c:v>223.9</c:v>
                </c:pt>
                <c:pt idx="70">
                  <c:v>223.9</c:v>
                </c:pt>
                <c:pt idx="72">
                  <c:v>223.9</c:v>
                </c:pt>
                <c:pt idx="73">
                  <c:v>223.9</c:v>
                </c:pt>
                <c:pt idx="74">
                  <c:v>223.9</c:v>
                </c:pt>
                <c:pt idx="75">
                  <c:v>223.9</c:v>
                </c:pt>
                <c:pt idx="76">
                  <c:v>223.9</c:v>
                </c:pt>
                <c:pt idx="77">
                  <c:v>223.9</c:v>
                </c:pt>
                <c:pt idx="78">
                  <c:v>223.9</c:v>
                </c:pt>
                <c:pt idx="79">
                  <c:v>223.9</c:v>
                </c:pt>
                <c:pt idx="80">
                  <c:v>223.9</c:v>
                </c:pt>
                <c:pt idx="81">
                  <c:v>223.9</c:v>
                </c:pt>
                <c:pt idx="82">
                  <c:v>223.9</c:v>
                </c:pt>
                <c:pt idx="83">
                  <c:v>223.9</c:v>
                </c:pt>
                <c:pt idx="84">
                  <c:v>223.9</c:v>
                </c:pt>
                <c:pt idx="85">
                  <c:v>223.9</c:v>
                </c:pt>
                <c:pt idx="86">
                  <c:v>223.9</c:v>
                </c:pt>
                <c:pt idx="87">
                  <c:v>223.9</c:v>
                </c:pt>
                <c:pt idx="88">
                  <c:v>223.9</c:v>
                </c:pt>
                <c:pt idx="89">
                  <c:v>223.9</c:v>
                </c:pt>
                <c:pt idx="90">
                  <c:v>223.9</c:v>
                </c:pt>
                <c:pt idx="91">
                  <c:v>223.9</c:v>
                </c:pt>
                <c:pt idx="92">
                  <c:v>223.9</c:v>
                </c:pt>
                <c:pt idx="93">
                  <c:v>223.9</c:v>
                </c:pt>
                <c:pt idx="94">
                  <c:v>223.9</c:v>
                </c:pt>
                <c:pt idx="95">
                  <c:v>223.9</c:v>
                </c:pt>
                <c:pt idx="96">
                  <c:v>223.9</c:v>
                </c:pt>
                <c:pt idx="97">
                  <c:v>223.9</c:v>
                </c:pt>
              </c:numCache>
            </c:numRef>
          </c:xVal>
          <c:yVal>
            <c:numRef>
              <c:f>Déplacements!$V$10:$V$200</c:f>
              <c:numCache>
                <c:formatCode>\+\ 0.0;\-\ 0.0;\±\ 0.0</c:formatCode>
                <c:ptCount val="191"/>
                <c:pt idx="0">
                  <c:v>0</c:v>
                </c:pt>
                <c:pt idx="1">
                  <c:v>1.1757976016353739</c:v>
                </c:pt>
                <c:pt idx="2">
                  <c:v>1.0161200716492227</c:v>
                </c:pt>
                <c:pt idx="3">
                  <c:v>2.926174977678702</c:v>
                </c:pt>
                <c:pt idx="4">
                  <c:v>1.712454378950691</c:v>
                </c:pt>
                <c:pt idx="5">
                  <c:v>1.5435349040463333</c:v>
                </c:pt>
                <c:pt idx="6">
                  <c:v>0.64337736545123336</c:v>
                </c:pt>
                <c:pt idx="8">
                  <c:v>1.2341373935277995</c:v>
                </c:pt>
                <c:pt idx="9">
                  <c:v>1.0399923838386889</c:v>
                </c:pt>
                <c:pt idx="10">
                  <c:v>1.4723646620065107</c:v>
                </c:pt>
                <c:pt idx="11">
                  <c:v>1.3509367185892032</c:v>
                </c:pt>
                <c:pt idx="12">
                  <c:v>1.2658988901213524</c:v>
                </c:pt>
                <c:pt idx="13">
                  <c:v>1.2539936204050137</c:v>
                </c:pt>
                <c:pt idx="14">
                  <c:v>1.3901438774520642</c:v>
                </c:pt>
                <c:pt idx="15">
                  <c:v>1.3238202294905941</c:v>
                </c:pt>
                <c:pt idx="16">
                  <c:v>1.5337861650252245</c:v>
                </c:pt>
                <c:pt idx="17">
                  <c:v>1.7269916039215154</c:v>
                </c:pt>
                <c:pt idx="18">
                  <c:v>1.1380790822285902</c:v>
                </c:pt>
                <c:pt idx="19">
                  <c:v>0.9233092656296833</c:v>
                </c:pt>
                <c:pt idx="20">
                  <c:v>1.7670597047213064</c:v>
                </c:pt>
                <c:pt idx="21">
                  <c:v>1.2338962679356036</c:v>
                </c:pt>
                <c:pt idx="22">
                  <c:v>2.3606143268323119</c:v>
                </c:pt>
                <c:pt idx="23">
                  <c:v>2.1476731594961871</c:v>
                </c:pt>
                <c:pt idx="24">
                  <c:v>1.6622730969272592</c:v>
                </c:pt>
                <c:pt idx="25">
                  <c:v>1.9500000000011488</c:v>
                </c:pt>
                <c:pt idx="26">
                  <c:v>2.4043129197843225</c:v>
                </c:pt>
                <c:pt idx="27">
                  <c:v>1.8490602626375756</c:v>
                </c:pt>
                <c:pt idx="28">
                  <c:v>1.8468580049263701</c:v>
                </c:pt>
                <c:pt idx="29">
                  <c:v>2.1683505376403409</c:v>
                </c:pt>
                <c:pt idx="30">
                  <c:v>2.2766356969383206</c:v>
                </c:pt>
                <c:pt idx="31">
                  <c:v>2.4024487485762753</c:v>
                </c:pt>
                <c:pt idx="32">
                  <c:v>2.3416228943619197</c:v>
                </c:pt>
                <c:pt idx="33">
                  <c:v>2.2529690089699383</c:v>
                </c:pt>
                <c:pt idx="34">
                  <c:v>2.1891779278971479</c:v>
                </c:pt>
                <c:pt idx="35">
                  <c:v>2.5243811122819375</c:v>
                </c:pt>
                <c:pt idx="36">
                  <c:v>2.1476731594961871</c:v>
                </c:pt>
                <c:pt idx="37">
                  <c:v>2.3092206477554278</c:v>
                </c:pt>
                <c:pt idx="38">
                  <c:v>2.2410934831060629</c:v>
                </c:pt>
                <c:pt idx="39">
                  <c:v>2.2254213084366485</c:v>
                </c:pt>
                <c:pt idx="40">
                  <c:v>2.6253571185634299</c:v>
                </c:pt>
                <c:pt idx="41">
                  <c:v>2.4804233509633362</c:v>
                </c:pt>
                <c:pt idx="42">
                  <c:v>2.2299103120960839</c:v>
                </c:pt>
                <c:pt idx="43">
                  <c:v>2.9603710839843371</c:v>
                </c:pt>
                <c:pt idx="44">
                  <c:v>2.5985572920487345</c:v>
                </c:pt>
                <c:pt idx="45">
                  <c:v>2.9021543721957466</c:v>
                </c:pt>
                <c:pt idx="46">
                  <c:v>2.6518861212433951</c:v>
                </c:pt>
                <c:pt idx="47">
                  <c:v>2.7463612289816939</c:v>
                </c:pt>
                <c:pt idx="48">
                  <c:v>3.3290389003492558</c:v>
                </c:pt>
                <c:pt idx="49">
                  <c:v>2.7681221071487774</c:v>
                </c:pt>
                <c:pt idx="50">
                  <c:v>2.9107559155775284</c:v>
                </c:pt>
                <c:pt idx="51">
                  <c:v>3.1244999600045666</c:v>
                </c:pt>
                <c:pt idx="52">
                  <c:v>2.7518175811732886</c:v>
                </c:pt>
                <c:pt idx="53">
                  <c:v>2.8640006983242556</c:v>
                </c:pt>
                <c:pt idx="54">
                  <c:v>2.9618406439426384</c:v>
                </c:pt>
                <c:pt idx="55">
                  <c:v>3.2607514471374901</c:v>
                </c:pt>
                <c:pt idx="56">
                  <c:v>3.0793668180346749</c:v>
                </c:pt>
                <c:pt idx="57">
                  <c:v>3.5789810373513991</c:v>
                </c:pt>
                <c:pt idx="58">
                  <c:v>3.7353289324845691</c:v>
                </c:pt>
                <c:pt idx="59">
                  <c:v>3.1370520635533454</c:v>
                </c:pt>
                <c:pt idx="60">
                  <c:v>3.5884696221040637</c:v>
                </c:pt>
                <c:pt idx="61">
                  <c:v>3.54447626936917</c:v>
                </c:pt>
                <c:pt idx="62">
                  <c:v>3.6126817922542029</c:v>
                </c:pt>
                <c:pt idx="63">
                  <c:v>3.6891991119642169</c:v>
                </c:pt>
                <c:pt idx="64">
                  <c:v>4.1993828807544489</c:v>
                </c:pt>
                <c:pt idx="65">
                  <c:v>3.9924943126816959</c:v>
                </c:pt>
                <c:pt idx="66">
                  <c:v>3.8566582711087811</c:v>
                </c:pt>
                <c:pt idx="67">
                  <c:v>2.467204504683385</c:v>
                </c:pt>
                <c:pt idx="68">
                  <c:v>3.8723827957039543</c:v>
                </c:pt>
                <c:pt idx="72">
                  <c:v>5.3250663375335812</c:v>
                </c:pt>
                <c:pt idx="73">
                  <c:v>5.9169116016009005</c:v>
                </c:pt>
                <c:pt idx="74">
                  <c:v>6.1321582763185534</c:v>
                </c:pt>
                <c:pt idx="75">
                  <c:v>6.2170791985486575</c:v>
                </c:pt>
                <c:pt idx="76">
                  <c:v>6.9820727301932628</c:v>
                </c:pt>
                <c:pt idx="77">
                  <c:v>6.2420333086745563</c:v>
                </c:pt>
                <c:pt idx="78">
                  <c:v>6.0550351226449708</c:v>
                </c:pt>
                <c:pt idx="79">
                  <c:v>6.4939193570716895</c:v>
                </c:pt>
                <c:pt idx="80">
                  <c:v>5.4268349414304904</c:v>
                </c:pt>
                <c:pt idx="81">
                  <c:v>5.4255078752574422</c:v>
                </c:pt>
                <c:pt idx="82">
                  <c:v>5.3349148873319754</c:v>
                </c:pt>
                <c:pt idx="83">
                  <c:v>5.3696954803157544</c:v>
                </c:pt>
                <c:pt idx="84">
                  <c:v>4.4628789521191274</c:v>
                </c:pt>
                <c:pt idx="85">
                  <c:v>4.6794538721152517</c:v>
                </c:pt>
                <c:pt idx="86">
                  <c:v>5.820036182051874</c:v>
                </c:pt>
                <c:pt idx="87">
                  <c:v>5.2901818871971908</c:v>
                </c:pt>
                <c:pt idx="88">
                  <c:v>5.1599046736803089</c:v>
                </c:pt>
                <c:pt idx="89">
                  <c:v>5.2151328697405965</c:v>
                </c:pt>
                <c:pt idx="90">
                  <c:v>5.189568630440041</c:v>
                </c:pt>
                <c:pt idx="91">
                  <c:v>5.2584610802745129</c:v>
                </c:pt>
                <c:pt idx="92">
                  <c:v>4.7904695410706575</c:v>
                </c:pt>
                <c:pt idx="93">
                  <c:v>5.4861836170338183</c:v>
                </c:pt>
                <c:pt idx="94">
                  <c:v>5.3651103096597259</c:v>
                </c:pt>
                <c:pt idx="95">
                  <c:v>5.9344359478613979</c:v>
                </c:pt>
                <c:pt idx="96">
                  <c:v>5.3624358857036274</c:v>
                </c:pt>
                <c:pt idx="97">
                  <c:v>7.0772165160891731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049-4342-B123-BD840131C2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9074176"/>
        <c:axId val="519074568"/>
      </c:scatterChart>
      <c:valAx>
        <c:axId val="519074176"/>
        <c:scaling>
          <c:orientation val="minMax"/>
          <c:min val="180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PM front</a:t>
                </a:r>
              </a:p>
            </c:rich>
          </c:tx>
          <c:layout>
            <c:manualLayout>
              <c:xMode val="edge"/>
              <c:yMode val="edge"/>
              <c:x val="0.43927912392593438"/>
              <c:y val="0.9432044643068267"/>
            </c:manualLayout>
          </c:layout>
          <c:overlay val="0"/>
          <c:spPr>
            <a:noFill/>
            <a:ln w="25400">
              <a:noFill/>
            </a:ln>
          </c:spPr>
        </c:title>
        <c:numFmt formatCode="#,##0.00" sourceLinked="0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519074568"/>
        <c:crossesAt val="0"/>
        <c:crossBetween val="midCat"/>
      </c:valAx>
      <c:valAx>
        <c:axId val="519074568"/>
        <c:scaling>
          <c:orientation val="minMax"/>
          <c:min val="-15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/>
        <c:title>
          <c:tx>
            <c:rich>
              <a:bodyPr/>
              <a:lstStyle/>
              <a:p>
                <a:pPr>
                  <a:defRPr b="1"/>
                </a:pPr>
                <a:r>
                  <a:rPr lang="fr-FR" b="1"/>
                  <a:t>D2placements en Z  [mm]</a:t>
                </a:r>
              </a:p>
            </c:rich>
          </c:tx>
          <c:overlay val="0"/>
        </c:title>
        <c:numFmt formatCode="\+\ 0.0;\-\ 0.0;\±\ 0.0" sourceLinked="0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519074176"/>
        <c:crosses val="autoZero"/>
        <c:crossBetween val="midCat"/>
        <c:majorUnit val="5"/>
        <c:minorUnit val="1"/>
      </c:valAx>
    </c:plotArea>
    <c:legend>
      <c:legendPos val="r"/>
      <c:layout>
        <c:manualLayout>
          <c:xMode val="edge"/>
          <c:yMode val="edge"/>
          <c:x val="0.10816646929636417"/>
          <c:y val="3.6162237203630522E-2"/>
          <c:w val="0.24517664360597907"/>
          <c:h val="0.23016340840330946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0"/>
    <c:dispBlanksAs val="span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899999956" l="0.78740157499999996" r="0.78740157499999996" t="0.98425196899999956" header="0.49212598450000478" footer="0.49212598450000478"/>
    <c:pageSetup paperSize="9"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5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25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25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25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25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25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25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325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trlProps/ctrlProp1.xml><?xml version="1.0" encoding="utf-8"?>
<formControlPr xmlns="http://schemas.microsoft.com/office/spreadsheetml/2009/9/main" objectType="Button" lockText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image" Target="../media/image1.png"/><Relationship Id="rId1" Type="http://schemas.openxmlformats.org/officeDocument/2006/relationships/chart" Target="../charts/chart11.xml"/><Relationship Id="rId5" Type="http://schemas.openxmlformats.org/officeDocument/2006/relationships/chart" Target="../charts/chart14.xml"/><Relationship Id="rId4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7</xdr:row>
      <xdr:rowOff>0</xdr:rowOff>
    </xdr:from>
    <xdr:to>
      <xdr:col>19</xdr:col>
      <xdr:colOff>0</xdr:colOff>
      <xdr:row>7</xdr:row>
      <xdr:rowOff>28575</xdr:rowOff>
    </xdr:to>
    <xdr:sp macro="" textlink="">
      <xdr:nvSpPr>
        <xdr:cNvPr id="1026" name="Freeform 2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SpPr>
          <a:spLocks/>
        </xdr:cNvSpPr>
      </xdr:nvSpPr>
      <xdr:spPr bwMode="auto">
        <a:xfrm>
          <a:off x="3771900" y="1724025"/>
          <a:ext cx="11134725" cy="28575"/>
        </a:xfrm>
        <a:custGeom>
          <a:avLst/>
          <a:gdLst>
            <a:gd name="T0" fmla="*/ 0 w 143"/>
            <a:gd name="T1" fmla="*/ 0 h 1"/>
            <a:gd name="T2" fmla="*/ 11422380 w 143"/>
            <a:gd name="T3" fmla="*/ 0 h 1"/>
            <a:gd name="T4" fmla="*/ 0 60000 65536"/>
            <a:gd name="T5" fmla="*/ 0 60000 65536"/>
            <a:gd name="T6" fmla="*/ 0 w 143"/>
            <a:gd name="T7" fmla="*/ 0 h 1"/>
            <a:gd name="T8" fmla="*/ 143 w 143"/>
            <a:gd name="T9" fmla="*/ 1 h 1"/>
          </a:gdLst>
          <a:ahLst/>
          <a:cxnLst>
            <a:cxn ang="T4">
              <a:pos x="T0" y="T1"/>
            </a:cxn>
            <a:cxn ang="T5">
              <a:pos x="T2" y="T3"/>
            </a:cxn>
          </a:cxnLst>
          <a:rect l="T6" t="T7" r="T8" b="T9"/>
          <a:pathLst>
            <a:path w="143" h="1">
              <a:moveTo>
                <a:pt x="0" y="0"/>
              </a:moveTo>
              <a:lnTo>
                <a:pt x="143" y="0"/>
              </a:ln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0</xdr:colOff>
      <xdr:row>7</xdr:row>
      <xdr:rowOff>0</xdr:rowOff>
    </xdr:from>
    <xdr:to>
      <xdr:col>47</xdr:col>
      <xdr:colOff>0</xdr:colOff>
      <xdr:row>7</xdr:row>
      <xdr:rowOff>28575</xdr:rowOff>
    </xdr:to>
    <xdr:sp macro="" textlink="">
      <xdr:nvSpPr>
        <xdr:cNvPr id="1027" name="Freeform 4">
          <a:extLst>
            <a:ext uri="{FF2B5EF4-FFF2-40B4-BE49-F238E27FC236}">
              <a16:creationId xmlns:a16="http://schemas.microsoft.com/office/drawing/2014/main" id="{00000000-0008-0000-0000-000003040000}"/>
            </a:ext>
          </a:extLst>
        </xdr:cNvPr>
        <xdr:cNvSpPr>
          <a:spLocks/>
        </xdr:cNvSpPr>
      </xdr:nvSpPr>
      <xdr:spPr bwMode="auto">
        <a:xfrm>
          <a:off x="27098625" y="1724025"/>
          <a:ext cx="12801600" cy="28575"/>
        </a:xfrm>
        <a:custGeom>
          <a:avLst/>
          <a:gdLst>
            <a:gd name="T0" fmla="*/ 0 w 143"/>
            <a:gd name="T1" fmla="*/ 0 h 1"/>
            <a:gd name="T2" fmla="*/ 13144500 w 143"/>
            <a:gd name="T3" fmla="*/ 0 h 1"/>
            <a:gd name="T4" fmla="*/ 0 60000 65536"/>
            <a:gd name="T5" fmla="*/ 0 60000 65536"/>
            <a:gd name="T6" fmla="*/ 0 w 143"/>
            <a:gd name="T7" fmla="*/ 0 h 1"/>
            <a:gd name="T8" fmla="*/ 143 w 143"/>
            <a:gd name="T9" fmla="*/ 1 h 1"/>
          </a:gdLst>
          <a:ahLst/>
          <a:cxnLst>
            <a:cxn ang="T4">
              <a:pos x="T0" y="T1"/>
            </a:cxn>
            <a:cxn ang="T5">
              <a:pos x="T2" y="T3"/>
            </a:cxn>
          </a:cxnLst>
          <a:rect l="T6" t="T7" r="T8" b="T9"/>
          <a:pathLst>
            <a:path w="143" h="1">
              <a:moveTo>
                <a:pt x="0" y="0"/>
              </a:moveTo>
              <a:lnTo>
                <a:pt x="143" y="0"/>
              </a:ln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48</xdr:col>
      <xdr:colOff>0</xdr:colOff>
      <xdr:row>7</xdr:row>
      <xdr:rowOff>0</xdr:rowOff>
    </xdr:from>
    <xdr:to>
      <xdr:col>63</xdr:col>
      <xdr:colOff>0</xdr:colOff>
      <xdr:row>7</xdr:row>
      <xdr:rowOff>28575</xdr:rowOff>
    </xdr:to>
    <xdr:sp macro="" textlink="">
      <xdr:nvSpPr>
        <xdr:cNvPr id="1028" name="Freeform 5">
          <a:extLst>
            <a:ext uri="{FF2B5EF4-FFF2-40B4-BE49-F238E27FC236}">
              <a16:creationId xmlns:a16="http://schemas.microsoft.com/office/drawing/2014/main" id="{00000000-0008-0000-0000-000004040000}"/>
            </a:ext>
          </a:extLst>
        </xdr:cNvPr>
        <xdr:cNvSpPr>
          <a:spLocks/>
        </xdr:cNvSpPr>
      </xdr:nvSpPr>
      <xdr:spPr bwMode="auto">
        <a:xfrm>
          <a:off x="42176700" y="1724025"/>
          <a:ext cx="15201900" cy="28575"/>
        </a:xfrm>
        <a:custGeom>
          <a:avLst/>
          <a:gdLst>
            <a:gd name="T0" fmla="*/ 0 w 143"/>
            <a:gd name="T1" fmla="*/ 0 h 1"/>
            <a:gd name="T2" fmla="*/ 15598140 w 143"/>
            <a:gd name="T3" fmla="*/ 0 h 1"/>
            <a:gd name="T4" fmla="*/ 0 60000 65536"/>
            <a:gd name="T5" fmla="*/ 0 60000 65536"/>
            <a:gd name="T6" fmla="*/ 0 w 143"/>
            <a:gd name="T7" fmla="*/ 0 h 1"/>
            <a:gd name="T8" fmla="*/ 143 w 143"/>
            <a:gd name="T9" fmla="*/ 1 h 1"/>
          </a:gdLst>
          <a:ahLst/>
          <a:cxnLst>
            <a:cxn ang="T4">
              <a:pos x="T0" y="T1"/>
            </a:cxn>
            <a:cxn ang="T5">
              <a:pos x="T2" y="T3"/>
            </a:cxn>
          </a:cxnLst>
          <a:rect l="T6" t="T7" r="T8" b="T9"/>
          <a:pathLst>
            <a:path w="143" h="1">
              <a:moveTo>
                <a:pt x="0" y="0"/>
              </a:moveTo>
              <a:lnTo>
                <a:pt x="143" y="0"/>
              </a:ln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64</xdr:col>
      <xdr:colOff>0</xdr:colOff>
      <xdr:row>7</xdr:row>
      <xdr:rowOff>0</xdr:rowOff>
    </xdr:from>
    <xdr:to>
      <xdr:col>79</xdr:col>
      <xdr:colOff>0</xdr:colOff>
      <xdr:row>7</xdr:row>
      <xdr:rowOff>28575</xdr:rowOff>
    </xdr:to>
    <xdr:sp macro="" textlink="">
      <xdr:nvSpPr>
        <xdr:cNvPr id="1029" name="Freeform 6">
          <a:extLst>
            <a:ext uri="{FF2B5EF4-FFF2-40B4-BE49-F238E27FC236}">
              <a16:creationId xmlns:a16="http://schemas.microsoft.com/office/drawing/2014/main" id="{00000000-0008-0000-0000-000005040000}"/>
            </a:ext>
          </a:extLst>
        </xdr:cNvPr>
        <xdr:cNvSpPr>
          <a:spLocks/>
        </xdr:cNvSpPr>
      </xdr:nvSpPr>
      <xdr:spPr bwMode="auto">
        <a:xfrm>
          <a:off x="60007500" y="1724025"/>
          <a:ext cx="15201900" cy="28575"/>
        </a:xfrm>
        <a:custGeom>
          <a:avLst/>
          <a:gdLst>
            <a:gd name="T0" fmla="*/ 0 w 143"/>
            <a:gd name="T1" fmla="*/ 0 h 1"/>
            <a:gd name="T2" fmla="*/ 15598140 w 143"/>
            <a:gd name="T3" fmla="*/ 0 h 1"/>
            <a:gd name="T4" fmla="*/ 0 60000 65536"/>
            <a:gd name="T5" fmla="*/ 0 60000 65536"/>
            <a:gd name="T6" fmla="*/ 0 w 143"/>
            <a:gd name="T7" fmla="*/ 0 h 1"/>
            <a:gd name="T8" fmla="*/ 143 w 143"/>
            <a:gd name="T9" fmla="*/ 1 h 1"/>
          </a:gdLst>
          <a:ahLst/>
          <a:cxnLst>
            <a:cxn ang="T4">
              <a:pos x="T0" y="T1"/>
            </a:cxn>
            <a:cxn ang="T5">
              <a:pos x="T2" y="T3"/>
            </a:cxn>
          </a:cxnLst>
          <a:rect l="T6" t="T7" r="T8" b="T9"/>
          <a:pathLst>
            <a:path w="143" h="1">
              <a:moveTo>
                <a:pt x="0" y="0"/>
              </a:moveTo>
              <a:lnTo>
                <a:pt x="143" y="0"/>
              </a:ln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0</xdr:col>
      <xdr:colOff>171450</xdr:colOff>
      <xdr:row>0</xdr:row>
      <xdr:rowOff>104775</xdr:rowOff>
    </xdr:from>
    <xdr:to>
      <xdr:col>3</xdr:col>
      <xdr:colOff>142875</xdr:colOff>
      <xdr:row>3</xdr:row>
      <xdr:rowOff>38100</xdr:rowOff>
    </xdr:to>
    <xdr:pic>
      <xdr:nvPicPr>
        <xdr:cNvPr id="1030" name="Image 7">
          <a:extLst>
            <a:ext uri="{FF2B5EF4-FFF2-40B4-BE49-F238E27FC236}">
              <a16:creationId xmlns:a16="http://schemas.microsoft.com/office/drawing/2014/main" id="{00000000-0008-0000-0000-000006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1450" y="104775"/>
          <a:ext cx="1981200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0</xdr:col>
      <xdr:colOff>257735</xdr:colOff>
      <xdr:row>77</xdr:row>
      <xdr:rowOff>360249</xdr:rowOff>
    </xdr:from>
    <xdr:ext cx="14242677" cy="872398"/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257735" y="27758631"/>
          <a:ext cx="14242677" cy="872398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ctr"/>
          <a:r>
            <a:rPr lang="fr-FR" sz="4000" b="1" cap="none" spc="0">
              <a:ln w="31550" cmpd="sng">
                <a:gradFill>
                  <a:gsLst>
                    <a:gs pos="25000">
                      <a:schemeClr val="accent1">
                        <a:shade val="25000"/>
                        <a:satMod val="190000"/>
                      </a:schemeClr>
                    </a:gs>
                    <a:gs pos="80000">
                      <a:schemeClr val="accent1">
                        <a:tint val="75000"/>
                        <a:satMod val="190000"/>
                      </a:schemeClr>
                    </a:gs>
                  </a:gsLst>
                  <a:lin ang="5400000"/>
                </a:gradFill>
                <a:prstDash val="solid"/>
              </a:ln>
              <a:solidFill>
                <a:srgbClr val="FFFFFF"/>
              </a:solidFill>
              <a:effectLst>
                <a:outerShdw blurRad="41275" dist="12700" dir="12000000" algn="tl" rotWithShape="0">
                  <a:srgbClr val="000000">
                    <a:alpha val="40000"/>
                  </a:srgbClr>
                </a:outerShdw>
              </a:effectLst>
            </a:rPr>
            <a:t>RECALAGE SYSTEME COORDONNES</a:t>
          </a:r>
        </a:p>
      </xdr:txBody>
    </xdr:sp>
    <xdr:clientData/>
  </xdr:oneCellAnchor>
  <xdr:oneCellAnchor>
    <xdr:from>
      <xdr:col>0</xdr:col>
      <xdr:colOff>168088</xdr:colOff>
      <xdr:row>79</xdr:row>
      <xdr:rowOff>360249</xdr:rowOff>
    </xdr:from>
    <xdr:ext cx="14242677" cy="872398"/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168088" y="28868014"/>
          <a:ext cx="14242677" cy="872398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ctr"/>
          <a:r>
            <a:rPr lang="fr-FR" sz="4000" b="1" cap="none" spc="0">
              <a:ln w="31550" cmpd="sng">
                <a:gradFill>
                  <a:gsLst>
                    <a:gs pos="25000">
                      <a:schemeClr val="accent1">
                        <a:shade val="25000"/>
                        <a:satMod val="190000"/>
                      </a:schemeClr>
                    </a:gs>
                    <a:gs pos="80000">
                      <a:schemeClr val="accent1">
                        <a:tint val="75000"/>
                        <a:satMod val="190000"/>
                      </a:schemeClr>
                    </a:gs>
                  </a:gsLst>
                  <a:lin ang="5400000"/>
                </a:gradFill>
                <a:prstDash val="solid"/>
              </a:ln>
              <a:solidFill>
                <a:srgbClr val="FFFFFF"/>
              </a:solidFill>
              <a:effectLst>
                <a:outerShdw blurRad="41275" dist="12700" dir="12000000" algn="tl" rotWithShape="0">
                  <a:srgbClr val="000000">
                    <a:alpha val="40000"/>
                  </a:srgbClr>
                </a:outerShdw>
              </a:effectLst>
            </a:rPr>
            <a:t>Mesures</a:t>
          </a:r>
          <a:r>
            <a:rPr lang="fr-FR" sz="4000" b="1" cap="none" spc="0" baseline="0">
              <a:ln w="31550" cmpd="sng">
                <a:gradFill>
                  <a:gsLst>
                    <a:gs pos="25000">
                      <a:schemeClr val="accent1">
                        <a:shade val="25000"/>
                        <a:satMod val="190000"/>
                      </a:schemeClr>
                    </a:gs>
                    <a:gs pos="80000">
                      <a:schemeClr val="accent1">
                        <a:tint val="75000"/>
                        <a:satMod val="190000"/>
                      </a:schemeClr>
                    </a:gs>
                  </a:gsLst>
                  <a:lin ang="5400000"/>
                </a:gradFill>
                <a:prstDash val="solid"/>
              </a:ln>
              <a:solidFill>
                <a:srgbClr val="FFFFFF"/>
              </a:solidFill>
              <a:effectLst>
                <a:outerShdw blurRad="41275" dist="12700" dir="12000000" algn="tl" rotWithShape="0">
                  <a:srgbClr val="000000">
                    <a:alpha val="40000"/>
                  </a:srgbClr>
                </a:outerShdw>
              </a:effectLst>
            </a:rPr>
            <a:t> Andra</a:t>
          </a:r>
          <a:endParaRPr lang="fr-FR" sz="4000" b="1" cap="none" spc="0">
            <a:ln w="31550" cmpd="sng">
              <a:gradFill>
                <a:gsLst>
                  <a:gs pos="25000">
                    <a:schemeClr val="accent1">
                      <a:shade val="25000"/>
                      <a:satMod val="190000"/>
                    </a:schemeClr>
                  </a:gs>
                  <a:gs pos="80000">
                    <a:schemeClr val="accent1">
                      <a:tint val="75000"/>
                      <a:satMod val="190000"/>
                    </a:schemeClr>
                  </a:gs>
                </a:gsLst>
                <a:lin ang="5400000"/>
              </a:gradFill>
              <a:prstDash val="solid"/>
            </a:ln>
            <a:solidFill>
              <a:srgbClr val="FFFFFF"/>
            </a:solidFill>
            <a:effectLst>
              <a:outerShdw blurRad="41275" dist="12700" dir="12000000" algn="tl" rotWithShape="0">
                <a:srgbClr val="000000">
                  <a:alpha val="40000"/>
                </a:srgbClr>
              </a:outerShdw>
            </a:effectLst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38100</xdr:rowOff>
    </xdr:from>
    <xdr:to>
      <xdr:col>3</xdr:col>
      <xdr:colOff>28575</xdr:colOff>
      <xdr:row>3</xdr:row>
      <xdr:rowOff>161925</xdr:rowOff>
    </xdr:to>
    <xdr:pic>
      <xdr:nvPicPr>
        <xdr:cNvPr id="2049" name="Image 3">
          <a:extLst>
            <a:ext uri="{FF2B5EF4-FFF2-40B4-BE49-F238E27FC236}">
              <a16:creationId xmlns:a16="http://schemas.microsoft.com/office/drawing/2014/main" id="{00000000-0008-0000-0100-000001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38100"/>
          <a:ext cx="1762125" cy="714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10</xdr:col>
      <xdr:colOff>96077</xdr:colOff>
      <xdr:row>10</xdr:row>
      <xdr:rowOff>95250</xdr:rowOff>
    </xdr:from>
    <xdr:to>
      <xdr:col>14</xdr:col>
      <xdr:colOff>487844</xdr:colOff>
      <xdr:row>22</xdr:row>
      <xdr:rowOff>57150</xdr:rowOff>
    </xdr:to>
    <xdr:sp macro="" textlink="">
      <xdr:nvSpPr>
        <xdr:cNvPr id="2051" name="AutoShape 2">
          <a:extLst>
            <a:ext uri="{FF2B5EF4-FFF2-40B4-BE49-F238E27FC236}">
              <a16:creationId xmlns:a16="http://schemas.microsoft.com/office/drawing/2014/main" id="{00000000-0008-0000-0100-000003080000}"/>
            </a:ext>
          </a:extLst>
        </xdr:cNvPr>
        <xdr:cNvSpPr>
          <a:spLocks noChangeAspect="1" noChangeArrowheads="1"/>
        </xdr:cNvSpPr>
      </xdr:nvSpPr>
      <xdr:spPr bwMode="auto">
        <a:xfrm>
          <a:off x="5777947" y="2513772"/>
          <a:ext cx="2652919" cy="294363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155804</xdr:colOff>
      <xdr:row>17</xdr:row>
      <xdr:rowOff>150582</xdr:rowOff>
    </xdr:from>
    <xdr:to>
      <xdr:col>13</xdr:col>
      <xdr:colOff>350953</xdr:colOff>
      <xdr:row>25</xdr:row>
      <xdr:rowOff>127649</xdr:rowOff>
    </xdr:to>
    <xdr:pic>
      <xdr:nvPicPr>
        <xdr:cNvPr id="5" name="Image 4" descr="IMG_20190709_165641.jpg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274456" y="4308452"/>
          <a:ext cx="2539127" cy="1964893"/>
        </a:xfrm>
        <a:prstGeom prst="rect">
          <a:avLst/>
        </a:prstGeom>
      </xdr:spPr>
    </xdr:pic>
    <xdr:clientData/>
  </xdr:twoCellAnchor>
  <xdr:twoCellAnchor editAs="oneCell">
    <xdr:from>
      <xdr:col>9</xdr:col>
      <xdr:colOff>124240</xdr:colOff>
      <xdr:row>9</xdr:row>
      <xdr:rowOff>16566</xdr:rowOff>
    </xdr:from>
    <xdr:to>
      <xdr:col>13</xdr:col>
      <xdr:colOff>368389</xdr:colOff>
      <xdr:row>17</xdr:row>
      <xdr:rowOff>49695</xdr:rowOff>
    </xdr:to>
    <xdr:pic>
      <xdr:nvPicPr>
        <xdr:cNvPr id="7" name="Image 6" descr="schema cibles renfort.PNG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242892" y="2186609"/>
          <a:ext cx="2588127" cy="202095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38100</xdr:rowOff>
    </xdr:from>
    <xdr:to>
      <xdr:col>1</xdr:col>
      <xdr:colOff>0</xdr:colOff>
      <xdr:row>2</xdr:row>
      <xdr:rowOff>76200</xdr:rowOff>
    </xdr:to>
    <xdr:sp macro="" textlink="">
      <xdr:nvSpPr>
        <xdr:cNvPr id="3073" name="Text Box 1">
          <a:extLst>
            <a:ext uri="{FF2B5EF4-FFF2-40B4-BE49-F238E27FC236}">
              <a16:creationId xmlns:a16="http://schemas.microsoft.com/office/drawing/2014/main" id="{00000000-0008-0000-0200-0000010C0000}"/>
            </a:ext>
          </a:extLst>
        </xdr:cNvPr>
        <xdr:cNvSpPr txBox="1">
          <a:spLocks noChangeArrowheads="1"/>
        </xdr:cNvSpPr>
      </xdr:nvSpPr>
      <xdr:spPr bwMode="auto">
        <a:xfrm>
          <a:off x="514350" y="390525"/>
          <a:ext cx="0" cy="23812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0</xdr:colOff>
      <xdr:row>7</xdr:row>
      <xdr:rowOff>28575</xdr:rowOff>
    </xdr:to>
    <xdr:sp macro="" textlink="">
      <xdr:nvSpPr>
        <xdr:cNvPr id="3074" name="Freeform 2">
          <a:extLst>
            <a:ext uri="{FF2B5EF4-FFF2-40B4-BE49-F238E27FC236}">
              <a16:creationId xmlns:a16="http://schemas.microsoft.com/office/drawing/2014/main" id="{00000000-0008-0000-0200-0000020C0000}"/>
            </a:ext>
          </a:extLst>
        </xdr:cNvPr>
        <xdr:cNvSpPr>
          <a:spLocks/>
        </xdr:cNvSpPr>
      </xdr:nvSpPr>
      <xdr:spPr bwMode="auto">
        <a:xfrm>
          <a:off x="514350" y="1543050"/>
          <a:ext cx="0" cy="28575"/>
        </a:xfrm>
        <a:custGeom>
          <a:avLst/>
          <a:gdLst>
            <a:gd name="T0" fmla="*/ 0 w 143"/>
            <a:gd name="T1" fmla="*/ 0 h 1"/>
            <a:gd name="T2" fmla="*/ 0 w 143"/>
            <a:gd name="T3" fmla="*/ 0 h 1"/>
            <a:gd name="T4" fmla="*/ 0 60000 65536"/>
            <a:gd name="T5" fmla="*/ 0 60000 65536"/>
            <a:gd name="T6" fmla="*/ 0 w 143"/>
            <a:gd name="T7" fmla="*/ 0 h 1"/>
            <a:gd name="T8" fmla="*/ 0 w 143"/>
            <a:gd name="T9" fmla="*/ 1 h 1"/>
          </a:gdLst>
          <a:ahLst/>
          <a:cxnLst>
            <a:cxn ang="T4">
              <a:pos x="T0" y="T1"/>
            </a:cxn>
            <a:cxn ang="T5">
              <a:pos x="T2" y="T3"/>
            </a:cxn>
          </a:cxnLst>
          <a:rect l="T6" t="T7" r="T8" b="T9"/>
          <a:pathLst>
            <a:path w="143" h="1">
              <a:moveTo>
                <a:pt x="0" y="0"/>
              </a:moveTo>
              <a:lnTo>
                <a:pt x="143" y="0"/>
              </a:ln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0</xdr:colOff>
      <xdr:row>7</xdr:row>
      <xdr:rowOff>0</xdr:rowOff>
    </xdr:from>
    <xdr:to>
      <xdr:col>21</xdr:col>
      <xdr:colOff>0</xdr:colOff>
      <xdr:row>7</xdr:row>
      <xdr:rowOff>28575</xdr:rowOff>
    </xdr:to>
    <xdr:sp macro="" textlink="">
      <xdr:nvSpPr>
        <xdr:cNvPr id="3075" name="Freeform 4">
          <a:extLst>
            <a:ext uri="{FF2B5EF4-FFF2-40B4-BE49-F238E27FC236}">
              <a16:creationId xmlns:a16="http://schemas.microsoft.com/office/drawing/2014/main" id="{00000000-0008-0000-0200-0000030C0000}"/>
            </a:ext>
          </a:extLst>
        </xdr:cNvPr>
        <xdr:cNvSpPr>
          <a:spLocks/>
        </xdr:cNvSpPr>
      </xdr:nvSpPr>
      <xdr:spPr bwMode="auto">
        <a:xfrm>
          <a:off x="2409825" y="1543050"/>
          <a:ext cx="10134600" cy="28575"/>
        </a:xfrm>
        <a:custGeom>
          <a:avLst/>
          <a:gdLst>
            <a:gd name="T0" fmla="*/ 0 w 143"/>
            <a:gd name="T1" fmla="*/ 0 h 1"/>
            <a:gd name="T2" fmla="*/ 10477500 w 143"/>
            <a:gd name="T3" fmla="*/ 0 h 1"/>
            <a:gd name="T4" fmla="*/ 0 60000 65536"/>
            <a:gd name="T5" fmla="*/ 0 60000 65536"/>
            <a:gd name="T6" fmla="*/ 0 w 143"/>
            <a:gd name="T7" fmla="*/ 0 h 1"/>
            <a:gd name="T8" fmla="*/ 143 w 143"/>
            <a:gd name="T9" fmla="*/ 1 h 1"/>
          </a:gdLst>
          <a:ahLst/>
          <a:cxnLst>
            <a:cxn ang="T4">
              <a:pos x="T0" y="T1"/>
            </a:cxn>
            <a:cxn ang="T5">
              <a:pos x="T2" y="T3"/>
            </a:cxn>
          </a:cxnLst>
          <a:rect l="T6" t="T7" r="T8" b="T9"/>
          <a:pathLst>
            <a:path w="143" h="1">
              <a:moveTo>
                <a:pt x="0" y="0"/>
              </a:moveTo>
              <a:lnTo>
                <a:pt x="143" y="0"/>
              </a:ln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</xdr:row>
      <xdr:rowOff>38100</xdr:rowOff>
    </xdr:from>
    <xdr:to>
      <xdr:col>1</xdr:col>
      <xdr:colOff>0</xdr:colOff>
      <xdr:row>3</xdr:row>
      <xdr:rowOff>76200</xdr:rowOff>
    </xdr:to>
    <xdr:sp macro="" textlink="">
      <xdr:nvSpPr>
        <xdr:cNvPr id="3076" name="Text Box 5">
          <a:extLst>
            <a:ext uri="{FF2B5EF4-FFF2-40B4-BE49-F238E27FC236}">
              <a16:creationId xmlns:a16="http://schemas.microsoft.com/office/drawing/2014/main" id="{00000000-0008-0000-0200-0000040C0000}"/>
            </a:ext>
          </a:extLst>
        </xdr:cNvPr>
        <xdr:cNvSpPr txBox="1">
          <a:spLocks noChangeArrowheads="1"/>
        </xdr:cNvSpPr>
      </xdr:nvSpPr>
      <xdr:spPr bwMode="auto">
        <a:xfrm>
          <a:off x="514350" y="390525"/>
          <a:ext cx="0" cy="42862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1</xdr:col>
      <xdr:colOff>0</xdr:colOff>
      <xdr:row>1</xdr:row>
      <xdr:rowOff>38100</xdr:rowOff>
    </xdr:from>
    <xdr:to>
      <xdr:col>1</xdr:col>
      <xdr:colOff>0</xdr:colOff>
      <xdr:row>2</xdr:row>
      <xdr:rowOff>76200</xdr:rowOff>
    </xdr:to>
    <xdr:sp macro="" textlink="">
      <xdr:nvSpPr>
        <xdr:cNvPr id="3077" name="Text Box 31">
          <a:extLst>
            <a:ext uri="{FF2B5EF4-FFF2-40B4-BE49-F238E27FC236}">
              <a16:creationId xmlns:a16="http://schemas.microsoft.com/office/drawing/2014/main" id="{00000000-0008-0000-0200-0000050C0000}"/>
            </a:ext>
          </a:extLst>
        </xdr:cNvPr>
        <xdr:cNvSpPr txBox="1">
          <a:spLocks noChangeArrowheads="1"/>
        </xdr:cNvSpPr>
      </xdr:nvSpPr>
      <xdr:spPr bwMode="auto">
        <a:xfrm>
          <a:off x="514350" y="390525"/>
          <a:ext cx="0" cy="23812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1</xdr:col>
      <xdr:colOff>0</xdr:colOff>
      <xdr:row>1</xdr:row>
      <xdr:rowOff>38100</xdr:rowOff>
    </xdr:from>
    <xdr:to>
      <xdr:col>1</xdr:col>
      <xdr:colOff>0</xdr:colOff>
      <xdr:row>3</xdr:row>
      <xdr:rowOff>76200</xdr:rowOff>
    </xdr:to>
    <xdr:sp macro="" textlink="">
      <xdr:nvSpPr>
        <xdr:cNvPr id="3078" name="Text Box 32">
          <a:extLst>
            <a:ext uri="{FF2B5EF4-FFF2-40B4-BE49-F238E27FC236}">
              <a16:creationId xmlns:a16="http://schemas.microsoft.com/office/drawing/2014/main" id="{00000000-0008-0000-0200-0000060C0000}"/>
            </a:ext>
          </a:extLst>
        </xdr:cNvPr>
        <xdr:cNvSpPr txBox="1">
          <a:spLocks noChangeArrowheads="1"/>
        </xdr:cNvSpPr>
      </xdr:nvSpPr>
      <xdr:spPr bwMode="auto">
        <a:xfrm>
          <a:off x="514350" y="390525"/>
          <a:ext cx="0" cy="42862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1</xdr:col>
      <xdr:colOff>0</xdr:colOff>
      <xdr:row>2</xdr:row>
      <xdr:rowOff>38100</xdr:rowOff>
    </xdr:from>
    <xdr:to>
      <xdr:col>1</xdr:col>
      <xdr:colOff>0</xdr:colOff>
      <xdr:row>3</xdr:row>
      <xdr:rowOff>76200</xdr:rowOff>
    </xdr:to>
    <xdr:sp macro="" textlink="">
      <xdr:nvSpPr>
        <xdr:cNvPr id="3079" name="Text Box 33">
          <a:extLst>
            <a:ext uri="{FF2B5EF4-FFF2-40B4-BE49-F238E27FC236}">
              <a16:creationId xmlns:a16="http://schemas.microsoft.com/office/drawing/2014/main" id="{00000000-0008-0000-0200-0000070C0000}"/>
            </a:ext>
          </a:extLst>
        </xdr:cNvPr>
        <xdr:cNvSpPr txBox="1">
          <a:spLocks noChangeArrowheads="1"/>
        </xdr:cNvSpPr>
      </xdr:nvSpPr>
      <xdr:spPr bwMode="auto">
        <a:xfrm>
          <a:off x="514350" y="590550"/>
          <a:ext cx="0" cy="2286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1</xdr:col>
      <xdr:colOff>0</xdr:colOff>
      <xdr:row>2</xdr:row>
      <xdr:rowOff>38100</xdr:rowOff>
    </xdr:from>
    <xdr:to>
      <xdr:col>1</xdr:col>
      <xdr:colOff>0</xdr:colOff>
      <xdr:row>4</xdr:row>
      <xdr:rowOff>76200</xdr:rowOff>
    </xdr:to>
    <xdr:sp macro="" textlink="">
      <xdr:nvSpPr>
        <xdr:cNvPr id="3080" name="Text Box 34">
          <a:extLst>
            <a:ext uri="{FF2B5EF4-FFF2-40B4-BE49-F238E27FC236}">
              <a16:creationId xmlns:a16="http://schemas.microsoft.com/office/drawing/2014/main" id="{00000000-0008-0000-0200-0000080C0000}"/>
            </a:ext>
          </a:extLst>
        </xdr:cNvPr>
        <xdr:cNvSpPr txBox="1">
          <a:spLocks noChangeArrowheads="1"/>
        </xdr:cNvSpPr>
      </xdr:nvSpPr>
      <xdr:spPr bwMode="auto">
        <a:xfrm>
          <a:off x="514350" y="590550"/>
          <a:ext cx="0" cy="4191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1</xdr:col>
      <xdr:colOff>0</xdr:colOff>
      <xdr:row>4</xdr:row>
      <xdr:rowOff>38100</xdr:rowOff>
    </xdr:from>
    <xdr:to>
      <xdr:col>1</xdr:col>
      <xdr:colOff>0</xdr:colOff>
      <xdr:row>5</xdr:row>
      <xdr:rowOff>76200</xdr:rowOff>
    </xdr:to>
    <xdr:sp macro="" textlink="">
      <xdr:nvSpPr>
        <xdr:cNvPr id="3081" name="Text Box 35">
          <a:extLst>
            <a:ext uri="{FF2B5EF4-FFF2-40B4-BE49-F238E27FC236}">
              <a16:creationId xmlns:a16="http://schemas.microsoft.com/office/drawing/2014/main" id="{00000000-0008-0000-0200-0000090C0000}"/>
            </a:ext>
          </a:extLst>
        </xdr:cNvPr>
        <xdr:cNvSpPr txBox="1">
          <a:spLocks noChangeArrowheads="1"/>
        </xdr:cNvSpPr>
      </xdr:nvSpPr>
      <xdr:spPr bwMode="auto">
        <a:xfrm>
          <a:off x="514350" y="971550"/>
          <a:ext cx="0" cy="2667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47625</xdr:rowOff>
    </xdr:from>
    <xdr:to>
      <xdr:col>2</xdr:col>
      <xdr:colOff>742950</xdr:colOff>
      <xdr:row>3</xdr:row>
      <xdr:rowOff>95250</xdr:rowOff>
    </xdr:to>
    <xdr:pic>
      <xdr:nvPicPr>
        <xdr:cNvPr id="3082" name="Image 12">
          <a:extLst>
            <a:ext uri="{FF2B5EF4-FFF2-40B4-BE49-F238E27FC236}">
              <a16:creationId xmlns:a16="http://schemas.microsoft.com/office/drawing/2014/main" id="{00000000-0008-0000-0200-00000A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47625"/>
          <a:ext cx="2000250" cy="790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23</xdr:col>
      <xdr:colOff>585107</xdr:colOff>
      <xdr:row>9</xdr:row>
      <xdr:rowOff>40822</xdr:rowOff>
    </xdr:from>
    <xdr:to>
      <xdr:col>30</xdr:col>
      <xdr:colOff>651107</xdr:colOff>
      <xdr:row>18</xdr:row>
      <xdr:rowOff>334286</xdr:rowOff>
    </xdr:to>
    <xdr:graphicFrame macro="">
      <xdr:nvGraphicFramePr>
        <xdr:cNvPr id="12" name="Graphique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557893</xdr:colOff>
      <xdr:row>19</xdr:row>
      <xdr:rowOff>149678</xdr:rowOff>
    </xdr:from>
    <xdr:to>
      <xdr:col>30</xdr:col>
      <xdr:colOff>623893</xdr:colOff>
      <xdr:row>29</xdr:row>
      <xdr:rowOff>75749</xdr:rowOff>
    </xdr:to>
    <xdr:graphicFrame macro="">
      <xdr:nvGraphicFramePr>
        <xdr:cNvPr id="13" name="Graphique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0.43382</cdr:x>
      <cdr:y>0.47891</cdr:y>
    </cdr:from>
    <cdr:to>
      <cdr:x>0.91116</cdr:x>
      <cdr:y>0.75695</cdr:y>
    </cdr:to>
    <mc:AlternateContent xmlns:mc="http://schemas.openxmlformats.org/markup-compatibility/2006" xmlns:a14="http://schemas.microsoft.com/office/drawing/2010/main">
      <mc:Choice Requires="a14">
        <cdr:sp macro="" textlink="">
          <cdr:nvSpPr>
            <cdr:cNvPr id="3" name="ZoneTexte 6"/>
            <cdr:cNvSpPr txBox="1"/>
          </cdr:nvSpPr>
          <cdr:spPr>
            <a:xfrm xmlns:a="http://schemas.openxmlformats.org/drawingml/2006/main">
              <a:off x="2342634" y="1724089"/>
              <a:ext cx="2577629" cy="1000915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bg1"/>
            </a:solidFill>
            <a:ln xmlns:a="http://schemas.openxmlformats.org/drawingml/2006/main">
              <a:solidFill>
                <a:srgbClr val="0070C0"/>
              </a:solidFill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tx1"/>
            </a:fontRef>
          </cdr:style>
          <cdr:txBody>
            <a:bodyPr xmlns:a="http://schemas.openxmlformats.org/drawingml/2006/main" wrap="none" rtlCol="0" anchor="t">
              <a:spAutoFit/>
            </a:bodyPr>
            <a:lstStyle xmlns:a="http://schemas.openxmlformats.org/drawingml/2006/main">
              <a:lvl1pPr marL="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r>
                <a:rPr lang="fr-FR" sz="1000" baseline="0"/>
                <a:t> </a:t>
              </a:r>
              <a14:m>
                <m:oMath xmlns:m="http://schemas.openxmlformats.org/officeDocument/2006/math">
                  <m:r>
                    <a:rPr lang="fr-FR" sz="1000" b="0" i="1" baseline="0">
                      <a:latin typeface="Cambria Math" panose="02040503050406030204" pitchFamily="18" charset="0"/>
                    </a:rPr>
                    <m:t>𝐶</m:t>
                  </m:r>
                  <m:r>
                    <a:rPr lang="fr-FR" sz="1000" b="0" i="1" baseline="0">
                      <a:latin typeface="Cambria Math" panose="02040503050406030204" pitchFamily="18" charset="0"/>
                    </a:rPr>
                    <m:t>(</m:t>
                  </m:r>
                  <m:r>
                    <a:rPr lang="fr-FR" sz="1000" b="0" i="1" baseline="0">
                      <a:latin typeface="Cambria Math" panose="02040503050406030204" pitchFamily="18" charset="0"/>
                    </a:rPr>
                    <m:t>𝑡</m:t>
                  </m:r>
                  <m:r>
                    <a:rPr lang="fr-FR" sz="1000" b="0" i="1" baseline="0">
                      <a:latin typeface="Cambria Math" panose="02040503050406030204" pitchFamily="18" charset="0"/>
                    </a:rPr>
                    <m:t>) = </m:t>
                  </m:r>
                  <m:sSub>
                    <m:sSubPr>
                      <m:ctrlPr>
                        <a:rPr lang="fr-FR" sz="1000" b="0" i="1" baseline="0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</m:ctrlPr>
                    </m:sSubPr>
                    <m:e>
                      <m:r>
                        <a:rPr lang="fr-FR" sz="1000" b="0" i="1" baseline="0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𝐶</m:t>
                      </m:r>
                    </m:e>
                    <m:sub>
                      <m:r>
                        <a:rPr lang="fr-FR" sz="1000" b="0" i="1" baseline="0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𝑇𝑜𝑡𝑎𝑙</m:t>
                      </m:r>
                    </m:sub>
                  </m:sSub>
                  <m:r>
                    <a:rPr lang="fr-FR" sz="1000" b="0" i="1" baseline="0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 × </m:t>
                  </m:r>
                  <m:d>
                    <m:dPr>
                      <m:begChr m:val="["/>
                      <m:endChr m:val="]"/>
                      <m:ctrlPr>
                        <a:rPr lang="fr-FR" sz="1000" b="0" i="1" baseline="0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</m:ctrlPr>
                    </m:dPr>
                    <m:e>
                      <m:r>
                        <a:rPr lang="fr-FR" sz="1000" b="0" i="1" baseline="0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1−</m:t>
                      </m:r>
                      <m:sSup>
                        <m:sSupPr>
                          <m:ctrlPr>
                            <a:rPr lang="fr-FR" sz="1000" b="0" i="1" baseline="0">
                              <a:latin typeface="Cambria Math" panose="02040503050406030204" pitchFamily="18" charset="0"/>
                              <a:ea typeface="Cambria Math" panose="02040503050406030204" pitchFamily="18" charset="0"/>
                            </a:rPr>
                          </m:ctrlPr>
                        </m:sSupPr>
                        <m:e>
                          <m:d>
                            <m:dPr>
                              <m:ctrlPr>
                                <a:rPr lang="fr-FR" sz="1000" b="0" i="1" baseline="0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</m:ctrlPr>
                            </m:dPr>
                            <m:e>
                              <m:f>
                                <m:fPr>
                                  <m:ctrlPr>
                                    <a:rPr lang="fr-FR" sz="1000" b="0" i="1" baseline="0">
                                      <a:solidFill>
                                        <a:schemeClr val="tx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</m:ctrlPr>
                                </m:fPr>
                                <m:num>
                                  <m:r>
                                    <a:rPr lang="fr-FR" sz="1000" b="0" i="1" baseline="0">
                                      <a:solidFill>
                                        <a:schemeClr val="tx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  <m:t>𝑇</m:t>
                                  </m:r>
                                </m:num>
                                <m:den>
                                  <m:r>
                                    <a:rPr lang="fr-FR" sz="1000" b="0" i="1" baseline="0">
                                      <a:solidFill>
                                        <a:schemeClr val="tx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  <m:t>𝑡</m:t>
                                  </m:r>
                                  <m:r>
                                    <a:rPr lang="fr-FR" sz="1000" b="0" i="1" baseline="0">
                                      <a:solidFill>
                                        <a:schemeClr val="tx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  <m:t>+</m:t>
                                  </m:r>
                                  <m:r>
                                    <a:rPr lang="fr-FR" sz="1000" b="0" i="1" baseline="0">
                                      <a:solidFill>
                                        <a:schemeClr val="tx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  <m:t>𝑇</m:t>
                                  </m:r>
                                </m:den>
                              </m:f>
                            </m:e>
                          </m:d>
                        </m:e>
                        <m:sup>
                          <m:r>
                            <a:rPr lang="fr-FR" sz="1000" b="0" i="1" baseline="0">
                              <a:latin typeface="Cambria Math" panose="02040503050406030204" pitchFamily="18" charset="0"/>
                              <a:ea typeface="Cambria Math" panose="02040503050406030204" pitchFamily="18" charset="0"/>
                            </a:rPr>
                            <m:t>𝑛</m:t>
                          </m:r>
                          <m:r>
                            <a:rPr lang="fr-FR" sz="1000" b="0" i="1" baseline="0">
                              <a:latin typeface="Cambria Math" panose="02040503050406030204" pitchFamily="18" charset="0"/>
                              <a:ea typeface="Cambria Math" panose="02040503050406030204" pitchFamily="18" charset="0"/>
                            </a:rPr>
                            <m:t>=0.3</m:t>
                          </m:r>
                        </m:sup>
                      </m:sSup>
                    </m:e>
                  </m:d>
                </m:oMath>
              </a14:m>
              <a:endParaRPr lang="fr-FR" sz="1000"/>
            </a:p>
            <a:p xmlns:a="http://schemas.openxmlformats.org/drawingml/2006/main">
              <a:r>
                <a:rPr lang="fr-FR" sz="1000" u="sng"/>
                <a:t>Résultats</a:t>
              </a:r>
              <a:r>
                <a:rPr lang="fr-FR" sz="1000" u="sng" baseline="0"/>
                <a:t> ajustement :</a:t>
              </a:r>
            </a:p>
            <a:p xmlns:a="http://schemas.openxmlformats.org/drawingml/2006/main">
              <a:r>
                <a:rPr lang="fr-FR" sz="1000" b="0" i="1" baseline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Contrainte n = 0.3 (Cf littérature Argilites COx)</a:t>
              </a:r>
            </a:p>
            <a:p xmlns:a="http://schemas.openxmlformats.org/drawingml/2006/main">
              <a14:m>
                <m:oMath xmlns:m="http://schemas.openxmlformats.org/officeDocument/2006/math">
                  <m:sSub>
                    <m:sSubPr>
                      <m:ctrlPr>
                        <a:rPr lang="fr-FR" sz="1000" b="0" i="1" baseline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fr-FR" sz="1000" b="0" i="1" baseline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𝐶</m:t>
                      </m:r>
                    </m:e>
                    <m:sub>
                      <m:r>
                        <a:rPr lang="fr-FR" sz="1000" b="0" i="1" baseline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𝑇𝑜𝑡𝑎𝑙</m:t>
                      </m:r>
                    </m:sub>
                  </m:sSub>
                </m:oMath>
              </a14:m>
              <a:r>
                <a:rPr lang="fr-FR" sz="1000"/>
                <a:t> = 51.6381 mm</a:t>
              </a:r>
            </a:p>
            <a:p xmlns:a="http://schemas.openxmlformats.org/drawingml/2006/main">
              <a:r>
                <a:rPr lang="fr-FR" sz="1000"/>
                <a:t>T = 66.3378 j</a:t>
              </a:r>
            </a:p>
          </cdr:txBody>
        </cdr:sp>
      </mc:Choice>
      <mc:Fallback xmlns="">
        <cdr:sp macro="" textlink="">
          <cdr:nvSpPr>
            <cdr:cNvPr id="3" name="ZoneTexte 6"/>
            <cdr:cNvSpPr txBox="1"/>
          </cdr:nvSpPr>
          <cdr:spPr>
            <a:xfrm xmlns:a="http://schemas.openxmlformats.org/drawingml/2006/main">
              <a:off x="2342634" y="1724089"/>
              <a:ext cx="2577629" cy="1000915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bg1"/>
            </a:solidFill>
            <a:ln xmlns:a="http://schemas.openxmlformats.org/drawingml/2006/main">
              <a:solidFill>
                <a:srgbClr val="0070C0"/>
              </a:solidFill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tx1"/>
            </a:fontRef>
          </cdr:style>
          <cdr:txBody>
            <a:bodyPr xmlns:a="http://schemas.openxmlformats.org/drawingml/2006/main" wrap="none" rtlCol="0" anchor="t">
              <a:spAutoFit/>
            </a:bodyPr>
            <a:lstStyle xmlns:a="http://schemas.openxmlformats.org/drawingml/2006/main">
              <a:lvl1pPr marL="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r>
                <a:rPr lang="fr-FR" sz="1000" baseline="0"/>
                <a:t> </a:t>
              </a:r>
              <a:r>
                <a:rPr lang="fr-FR" sz="1000" b="0" i="0" baseline="0">
                  <a:latin typeface="Cambria Math" panose="02040503050406030204" pitchFamily="18" charset="0"/>
                </a:rPr>
                <a:t>𝐶(𝑡) = </a:t>
              </a:r>
              <a:r>
                <a:rPr lang="fr-FR" sz="1000" b="0" i="0" baseline="0">
                  <a:latin typeface="Cambria Math" panose="02040503050406030204" pitchFamily="18" charset="0"/>
                  <a:ea typeface="Cambria Math" panose="02040503050406030204" pitchFamily="18" charset="0"/>
                </a:rPr>
                <a:t>𝐶_𝑇𝑜𝑡𝑎𝑙  × [1−</a:t>
              </a:r>
              <a:r>
                <a:rPr lang="fr-FR" sz="1000" b="0" i="0" baseline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(𝑇/(𝑡+𝑇))</a:t>
              </a:r>
              <a:r>
                <a:rPr lang="fr-FR" sz="1000" b="0" i="0" baseline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^(</a:t>
              </a:r>
              <a:r>
                <a:rPr lang="fr-FR" sz="1000" b="0" i="0" baseline="0">
                  <a:latin typeface="Cambria Math" panose="02040503050406030204" pitchFamily="18" charset="0"/>
                  <a:ea typeface="Cambria Math" panose="02040503050406030204" pitchFamily="18" charset="0"/>
                </a:rPr>
                <a:t>𝑛=0.3) ]</a:t>
              </a:r>
              <a:endParaRPr lang="fr-FR" sz="1000"/>
            </a:p>
            <a:p xmlns:a="http://schemas.openxmlformats.org/drawingml/2006/main">
              <a:r>
                <a:rPr lang="fr-FR" sz="1000" u="sng"/>
                <a:t>Résultats</a:t>
              </a:r>
              <a:r>
                <a:rPr lang="fr-FR" sz="1000" u="sng" baseline="0"/>
                <a:t> ajustement :</a:t>
              </a:r>
            </a:p>
            <a:p xmlns:a="http://schemas.openxmlformats.org/drawingml/2006/main">
              <a:r>
                <a:rPr lang="fr-FR" sz="1000" b="0" i="1" baseline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Contrainte n = 0.3 (Cf littérature Argilites COx)</a:t>
              </a:r>
            </a:p>
            <a:p xmlns:a="http://schemas.openxmlformats.org/drawingml/2006/main">
              <a:r>
                <a:rPr lang="fr-FR" sz="1000" b="0" i="0" baseline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𝐶_𝑇𝑜𝑡𝑎𝑙</a:t>
              </a:r>
              <a:r>
                <a:rPr lang="fr-FR" sz="1000"/>
                <a:t> = 51.6381 mm</a:t>
              </a:r>
            </a:p>
            <a:p xmlns:a="http://schemas.openxmlformats.org/drawingml/2006/main">
              <a:r>
                <a:rPr lang="fr-FR" sz="1000"/>
                <a:t>T = 66.3378 j</a:t>
              </a:r>
            </a:p>
          </cdr:txBody>
        </cdr:sp>
      </mc:Fallback>
    </mc:AlternateContent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206932</xdr:colOff>
      <xdr:row>7</xdr:row>
      <xdr:rowOff>19886</xdr:rowOff>
    </xdr:from>
    <xdr:to>
      <xdr:col>23</xdr:col>
      <xdr:colOff>450982</xdr:colOff>
      <xdr:row>32</xdr:row>
      <xdr:rowOff>81236</xdr:rowOff>
    </xdr:to>
    <xdr:graphicFrame macro="">
      <xdr:nvGraphicFramePr>
        <xdr:cNvPr id="2" name="Graphique 12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285749</xdr:colOff>
      <xdr:row>39</xdr:row>
      <xdr:rowOff>99332</xdr:rowOff>
    </xdr:from>
    <xdr:to>
      <xdr:col>11</xdr:col>
      <xdr:colOff>529799</xdr:colOff>
      <xdr:row>67</xdr:row>
      <xdr:rowOff>65432</xdr:rowOff>
    </xdr:to>
    <xdr:graphicFrame macro="">
      <xdr:nvGraphicFramePr>
        <xdr:cNvPr id="3" name="Graphique 13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400050</xdr:colOff>
      <xdr:row>34</xdr:row>
      <xdr:rowOff>0</xdr:rowOff>
    </xdr:from>
    <xdr:to>
      <xdr:col>3</xdr:col>
      <xdr:colOff>537482</xdr:colOff>
      <xdr:row>37</xdr:row>
      <xdr:rowOff>85726</xdr:rowOff>
    </xdr:to>
    <xdr:pic>
      <xdr:nvPicPr>
        <xdr:cNvPr id="4" name="Image 1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657225" y="5905500"/>
          <a:ext cx="1509032" cy="67627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13</xdr:col>
      <xdr:colOff>400050</xdr:colOff>
      <xdr:row>34</xdr:row>
      <xdr:rowOff>0</xdr:rowOff>
    </xdr:from>
    <xdr:to>
      <xdr:col>15</xdr:col>
      <xdr:colOff>537482</xdr:colOff>
      <xdr:row>37</xdr:row>
      <xdr:rowOff>85726</xdr:rowOff>
    </xdr:to>
    <xdr:pic>
      <xdr:nvPicPr>
        <xdr:cNvPr id="5" name="Image 13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8677275" y="5905500"/>
          <a:ext cx="1509032" cy="67627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13</xdr:col>
      <xdr:colOff>239485</xdr:colOff>
      <xdr:row>39</xdr:row>
      <xdr:rowOff>85725</xdr:rowOff>
    </xdr:from>
    <xdr:to>
      <xdr:col>23</xdr:col>
      <xdr:colOff>483535</xdr:colOff>
      <xdr:row>67</xdr:row>
      <xdr:rowOff>51825</xdr:rowOff>
    </xdr:to>
    <xdr:graphicFrame macro="">
      <xdr:nvGraphicFramePr>
        <xdr:cNvPr id="6" name="Graphique 14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oneCellAnchor>
    <xdr:from>
      <xdr:col>1</xdr:col>
      <xdr:colOff>9525</xdr:colOff>
      <xdr:row>1</xdr:row>
      <xdr:rowOff>0</xdr:rowOff>
    </xdr:from>
    <xdr:ext cx="1994388" cy="775921"/>
    <xdr:pic>
      <xdr:nvPicPr>
        <xdr:cNvPr id="7" name="Image 9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66700" y="161925"/>
          <a:ext cx="1994388" cy="7759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twoCellAnchor>
    <xdr:from>
      <xdr:col>1</xdr:col>
      <xdr:colOff>213631</xdr:colOff>
      <xdr:row>6</xdr:row>
      <xdr:rowOff>85725</xdr:rowOff>
    </xdr:from>
    <xdr:to>
      <xdr:col>11</xdr:col>
      <xdr:colOff>457681</xdr:colOff>
      <xdr:row>32</xdr:row>
      <xdr:rowOff>80400</xdr:rowOff>
    </xdr:to>
    <xdr:graphicFrame macro="">
      <xdr:nvGraphicFramePr>
        <xdr:cNvPr id="8" name="Graphique 11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13</xdr:col>
      <xdr:colOff>136071</xdr:colOff>
      <xdr:row>1</xdr:row>
      <xdr:rowOff>0</xdr:rowOff>
    </xdr:from>
    <xdr:to>
      <xdr:col>16</xdr:col>
      <xdr:colOff>69396</xdr:colOff>
      <xdr:row>5</xdr:row>
      <xdr:rowOff>28575</xdr:rowOff>
    </xdr:to>
    <xdr:pic>
      <xdr:nvPicPr>
        <xdr:cNvPr id="9" name="Image 13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8413296" y="161925"/>
          <a:ext cx="1990725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66675</xdr:colOff>
          <xdr:row>3</xdr:row>
          <xdr:rowOff>95250</xdr:rowOff>
        </xdr:from>
        <xdr:to>
          <xdr:col>28</xdr:col>
          <xdr:colOff>200025</xdr:colOff>
          <xdr:row>5</xdr:row>
          <xdr:rowOff>0</xdr:rowOff>
        </xdr:to>
        <xdr:sp macro="" textlink="">
          <xdr:nvSpPr>
            <xdr:cNvPr id="4097" name="Button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3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fr-FR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MAJ</a:t>
              </a:r>
            </a:p>
          </xdr:txBody>
        </xdr:sp>
        <xdr:clientData fPrintsWithSheet="0"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206932</xdr:colOff>
      <xdr:row>7</xdr:row>
      <xdr:rowOff>19886</xdr:rowOff>
    </xdr:from>
    <xdr:to>
      <xdr:col>23</xdr:col>
      <xdr:colOff>450982</xdr:colOff>
      <xdr:row>32</xdr:row>
      <xdr:rowOff>81236</xdr:rowOff>
    </xdr:to>
    <xdr:graphicFrame macro="">
      <xdr:nvGraphicFramePr>
        <xdr:cNvPr id="4098" name="Graphique 12">
          <a:extLst>
            <a:ext uri="{FF2B5EF4-FFF2-40B4-BE49-F238E27FC236}">
              <a16:creationId xmlns:a16="http://schemas.microsoft.com/office/drawing/2014/main" id="{00000000-0008-0000-0400-0000021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285749</xdr:colOff>
      <xdr:row>39</xdr:row>
      <xdr:rowOff>99332</xdr:rowOff>
    </xdr:from>
    <xdr:to>
      <xdr:col>11</xdr:col>
      <xdr:colOff>529799</xdr:colOff>
      <xdr:row>67</xdr:row>
      <xdr:rowOff>65432</xdr:rowOff>
    </xdr:to>
    <xdr:graphicFrame macro="">
      <xdr:nvGraphicFramePr>
        <xdr:cNvPr id="6" name="Graphique 13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400050</xdr:colOff>
      <xdr:row>34</xdr:row>
      <xdr:rowOff>0</xdr:rowOff>
    </xdr:from>
    <xdr:to>
      <xdr:col>3</xdr:col>
      <xdr:colOff>537482</xdr:colOff>
      <xdr:row>37</xdr:row>
      <xdr:rowOff>85726</xdr:rowOff>
    </xdr:to>
    <xdr:pic>
      <xdr:nvPicPr>
        <xdr:cNvPr id="7" name="Image 13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6096000" y="0"/>
          <a:ext cx="1981200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13</xdr:col>
      <xdr:colOff>400050</xdr:colOff>
      <xdr:row>34</xdr:row>
      <xdr:rowOff>0</xdr:rowOff>
    </xdr:from>
    <xdr:to>
      <xdr:col>15</xdr:col>
      <xdr:colOff>537482</xdr:colOff>
      <xdr:row>37</xdr:row>
      <xdr:rowOff>85726</xdr:rowOff>
    </xdr:to>
    <xdr:pic>
      <xdr:nvPicPr>
        <xdr:cNvPr id="8" name="Image 13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00050" y="5581650"/>
          <a:ext cx="1504950" cy="676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13</xdr:col>
      <xdr:colOff>239485</xdr:colOff>
      <xdr:row>39</xdr:row>
      <xdr:rowOff>85725</xdr:rowOff>
    </xdr:from>
    <xdr:to>
      <xdr:col>23</xdr:col>
      <xdr:colOff>483535</xdr:colOff>
      <xdr:row>67</xdr:row>
      <xdr:rowOff>51825</xdr:rowOff>
    </xdr:to>
    <xdr:graphicFrame macro="">
      <xdr:nvGraphicFramePr>
        <xdr:cNvPr id="9" name="Graphique 14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oneCellAnchor>
    <xdr:from>
      <xdr:col>1</xdr:col>
      <xdr:colOff>9525</xdr:colOff>
      <xdr:row>1</xdr:row>
      <xdr:rowOff>0</xdr:rowOff>
    </xdr:from>
    <xdr:ext cx="1994388" cy="775921"/>
    <xdr:pic>
      <xdr:nvPicPr>
        <xdr:cNvPr id="11" name="Image 9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9525" y="5436577"/>
          <a:ext cx="1994388" cy="7759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twoCellAnchor>
    <xdr:from>
      <xdr:col>1</xdr:col>
      <xdr:colOff>213631</xdr:colOff>
      <xdr:row>6</xdr:row>
      <xdr:rowOff>85725</xdr:rowOff>
    </xdr:from>
    <xdr:to>
      <xdr:col>11</xdr:col>
      <xdr:colOff>457681</xdr:colOff>
      <xdr:row>32</xdr:row>
      <xdr:rowOff>80400</xdr:rowOff>
    </xdr:to>
    <xdr:graphicFrame macro="">
      <xdr:nvGraphicFramePr>
        <xdr:cNvPr id="12" name="Graphique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13</xdr:col>
      <xdr:colOff>136071</xdr:colOff>
      <xdr:row>1</xdr:row>
      <xdr:rowOff>0</xdr:rowOff>
    </xdr:from>
    <xdr:to>
      <xdr:col>16</xdr:col>
      <xdr:colOff>69396</xdr:colOff>
      <xdr:row>5</xdr:row>
      <xdr:rowOff>28575</xdr:rowOff>
    </xdr:to>
    <xdr:pic>
      <xdr:nvPicPr>
        <xdr:cNvPr id="13" name="Image 13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6272892" y="0"/>
          <a:ext cx="1974397" cy="790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133350</xdr:colOff>
      <xdr:row>7</xdr:row>
      <xdr:rowOff>28576</xdr:rowOff>
    </xdr:from>
    <xdr:to>
      <xdr:col>21</xdr:col>
      <xdr:colOff>352425</xdr:colOff>
      <xdr:row>31</xdr:row>
      <xdr:rowOff>9526</xdr:rowOff>
    </xdr:to>
    <xdr:graphicFrame macro="">
      <xdr:nvGraphicFramePr>
        <xdr:cNvPr id="3" name="Graphique 21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9525</xdr:colOff>
      <xdr:row>0</xdr:row>
      <xdr:rowOff>0</xdr:rowOff>
    </xdr:from>
    <xdr:to>
      <xdr:col>3</xdr:col>
      <xdr:colOff>333375</xdr:colOff>
      <xdr:row>4</xdr:row>
      <xdr:rowOff>28575</xdr:rowOff>
    </xdr:to>
    <xdr:pic>
      <xdr:nvPicPr>
        <xdr:cNvPr id="4" name="Image 9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525" y="0"/>
          <a:ext cx="1990725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10</xdr:col>
      <xdr:colOff>400050</xdr:colOff>
      <xdr:row>0</xdr:row>
      <xdr:rowOff>0</xdr:rowOff>
    </xdr:from>
    <xdr:to>
      <xdr:col>14</xdr:col>
      <xdr:colOff>238125</xdr:colOff>
      <xdr:row>4</xdr:row>
      <xdr:rowOff>28575</xdr:rowOff>
    </xdr:to>
    <xdr:pic>
      <xdr:nvPicPr>
        <xdr:cNvPr id="5" name="Image 13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096000" y="0"/>
          <a:ext cx="1981200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37</xdr:row>
      <xdr:rowOff>66675</xdr:rowOff>
    </xdr:from>
    <xdr:to>
      <xdr:col>10</xdr:col>
      <xdr:colOff>333375</xdr:colOff>
      <xdr:row>63</xdr:row>
      <xdr:rowOff>85725</xdr:rowOff>
    </xdr:to>
    <xdr:graphicFrame macro="">
      <xdr:nvGraphicFramePr>
        <xdr:cNvPr id="6" name="Graphique 22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400050</xdr:colOff>
      <xdr:row>32</xdr:row>
      <xdr:rowOff>0</xdr:rowOff>
    </xdr:from>
    <xdr:to>
      <xdr:col>3</xdr:col>
      <xdr:colOff>238125</xdr:colOff>
      <xdr:row>35</xdr:row>
      <xdr:rowOff>85725</xdr:rowOff>
    </xdr:to>
    <xdr:pic>
      <xdr:nvPicPr>
        <xdr:cNvPr id="7" name="Image 13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00050" y="5581650"/>
          <a:ext cx="1504950" cy="676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400050</xdr:colOff>
      <xdr:row>32</xdr:row>
      <xdr:rowOff>0</xdr:rowOff>
    </xdr:from>
    <xdr:to>
      <xdr:col>14</xdr:col>
      <xdr:colOff>238125</xdr:colOff>
      <xdr:row>35</xdr:row>
      <xdr:rowOff>85725</xdr:rowOff>
    </xdr:to>
    <xdr:pic>
      <xdr:nvPicPr>
        <xdr:cNvPr id="8" name="Image 13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572250" y="5581650"/>
          <a:ext cx="1504950" cy="676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11</xdr:col>
      <xdr:colOff>152400</xdr:colOff>
      <xdr:row>37</xdr:row>
      <xdr:rowOff>66675</xdr:rowOff>
    </xdr:from>
    <xdr:to>
      <xdr:col>21</xdr:col>
      <xdr:colOff>371475</xdr:colOff>
      <xdr:row>63</xdr:row>
      <xdr:rowOff>85725</xdr:rowOff>
    </xdr:to>
    <xdr:graphicFrame macro="">
      <xdr:nvGraphicFramePr>
        <xdr:cNvPr id="9" name="Graphique 23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57150</xdr:colOff>
      <xdr:row>6</xdr:row>
      <xdr:rowOff>152400</xdr:rowOff>
    </xdr:from>
    <xdr:to>
      <xdr:col>10</xdr:col>
      <xdr:colOff>276225</xdr:colOff>
      <xdr:row>30</xdr:row>
      <xdr:rowOff>133350</xdr:rowOff>
    </xdr:to>
    <xdr:graphicFrame macro="">
      <xdr:nvGraphicFramePr>
        <xdr:cNvPr id="10" name="Graphique 21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1-%2044470.009%20-%20Bure%20chantier%204\2-%20G3%20suivi\4-%20Instrumentation\1%20-%20GVA3\z_Pr&#233;vision%20des%20d&#233;placements%20long-terme\Analyse%20carrefour%20GVA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M169"/>
      <sheetName val="Feuil3"/>
      <sheetName val="PM170"/>
      <sheetName val="PM169-Graph"/>
      <sheetName val="PM170-Graph"/>
    </sheetNames>
    <sheetDataSet>
      <sheetData sheetId="0">
        <row r="1">
          <cell r="E1" t="str">
            <v>Mesures aux 15/06/2020</v>
          </cell>
        </row>
        <row r="2">
          <cell r="E2" t="str">
            <v>Norme CH</v>
          </cell>
        </row>
        <row r="39">
          <cell r="A39">
            <v>43738</v>
          </cell>
          <cell r="E39">
            <v>18.331487663901811</v>
          </cell>
        </row>
        <row r="40">
          <cell r="A40">
            <v>43741</v>
          </cell>
          <cell r="E40">
            <v>18.600584903277213</v>
          </cell>
        </row>
        <row r="41">
          <cell r="A41">
            <v>43746</v>
          </cell>
          <cell r="E41">
            <v>19.71236219668431</v>
          </cell>
        </row>
        <row r="42">
          <cell r="A42">
            <v>43753</v>
          </cell>
          <cell r="E42">
            <v>19.72705417497842</v>
          </cell>
        </row>
        <row r="43">
          <cell r="A43">
            <v>43756</v>
          </cell>
          <cell r="E43">
            <v>19.15228446255519</v>
          </cell>
        </row>
        <row r="44">
          <cell r="A44">
            <v>43760</v>
          </cell>
          <cell r="E44">
            <v>20.03324584437949</v>
          </cell>
        </row>
        <row r="45">
          <cell r="A45">
            <v>43762</v>
          </cell>
          <cell r="E45">
            <v>20.20618717150256</v>
          </cell>
        </row>
        <row r="46">
          <cell r="A46">
            <v>43766</v>
          </cell>
          <cell r="E46">
            <v>20.224206899693066</v>
          </cell>
        </row>
        <row r="47">
          <cell r="A47">
            <v>43769</v>
          </cell>
          <cell r="E47">
            <v>20.201485102072755</v>
          </cell>
        </row>
        <row r="48">
          <cell r="A48">
            <v>43774</v>
          </cell>
          <cell r="E48">
            <v>20.740781101614143</v>
          </cell>
        </row>
        <row r="49">
          <cell r="A49">
            <v>43776</v>
          </cell>
          <cell r="E49">
            <v>20.756004670876287</v>
          </cell>
        </row>
        <row r="50">
          <cell r="A50">
            <v>43781</v>
          </cell>
          <cell r="E50">
            <v>20.812839707626349</v>
          </cell>
        </row>
        <row r="51">
          <cell r="A51">
            <v>43783</v>
          </cell>
          <cell r="E51">
            <v>21.20966875435348</v>
          </cell>
        </row>
        <row r="52">
          <cell r="A52">
            <v>43787</v>
          </cell>
          <cell r="E52">
            <v>21.221853585851314</v>
          </cell>
        </row>
        <row r="53">
          <cell r="A53">
            <v>43790</v>
          </cell>
          <cell r="E53">
            <v>21.511789084586237</v>
          </cell>
        </row>
        <row r="54">
          <cell r="A54">
            <v>43795</v>
          </cell>
          <cell r="E54">
            <v>21.880381227786099</v>
          </cell>
        </row>
        <row r="55">
          <cell r="A55">
            <v>43797</v>
          </cell>
          <cell r="E55">
            <v>21.941326021688621</v>
          </cell>
        </row>
        <row r="56">
          <cell r="A56">
            <v>43801</v>
          </cell>
          <cell r="E56">
            <v>21.778728790260587</v>
          </cell>
        </row>
        <row r="57">
          <cell r="A57">
            <v>43803</v>
          </cell>
          <cell r="E57">
            <v>21.822963361967595</v>
          </cell>
        </row>
        <row r="58">
          <cell r="A58">
            <v>43808</v>
          </cell>
          <cell r="E58">
            <v>22.39336557094293</v>
          </cell>
        </row>
        <row r="59">
          <cell r="A59">
            <v>43811</v>
          </cell>
          <cell r="E59">
            <v>22.078126694028526</v>
          </cell>
        </row>
        <row r="60">
          <cell r="A60">
            <v>43815</v>
          </cell>
          <cell r="E60">
            <v>23.129199467700737</v>
          </cell>
        </row>
        <row r="61">
          <cell r="A61">
            <v>43818</v>
          </cell>
          <cell r="E61">
            <v>22.63249072500399</v>
          </cell>
        </row>
        <row r="62">
          <cell r="A62">
            <v>43837</v>
          </cell>
          <cell r="E62">
            <v>23.098565045542546</v>
          </cell>
        </row>
        <row r="63">
          <cell r="A63">
            <v>43843</v>
          </cell>
          <cell r="E63">
            <v>23.20753022485162</v>
          </cell>
        </row>
        <row r="64">
          <cell r="A64">
            <v>43850</v>
          </cell>
          <cell r="E64">
            <v>23.347605857293772</v>
          </cell>
        </row>
        <row r="65">
          <cell r="A65">
            <v>43857</v>
          </cell>
          <cell r="E65">
            <v>23.950020296257836</v>
          </cell>
        </row>
      </sheetData>
      <sheetData sheetId="1"/>
      <sheetData sheetId="2">
        <row r="1">
          <cell r="E1" t="str">
            <v>Mesures au 15/06/2020</v>
          </cell>
        </row>
        <row r="41">
          <cell r="Y41">
            <v>43655</v>
          </cell>
        </row>
      </sheetData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Relationship Id="rId4" Type="http://schemas.openxmlformats.org/officeDocument/2006/relationships/ctrlProp" Target="../ctrlProps/ctrlProp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>
    <pageSetUpPr fitToPage="1"/>
  </sheetPr>
  <dimension ref="A1:CA111"/>
  <sheetViews>
    <sheetView tabSelected="1" zoomScale="85" zoomScaleNormal="85" workbookViewId="0">
      <pane xSplit="4" ySplit="9" topLeftCell="E100" activePane="bottomRight" state="frozenSplit"/>
      <selection activeCell="C7" sqref="C7"/>
      <selection pane="topRight" activeCell="C7" sqref="C7"/>
      <selection pane="bottomLeft" activeCell="C7" sqref="C7"/>
      <selection pane="bottomRight" activeCell="AW107" sqref="AW107:BK107"/>
    </sheetView>
  </sheetViews>
  <sheetFormatPr baseColWidth="10" defaultColWidth="11.42578125" defaultRowHeight="12.75" x14ac:dyDescent="0.2"/>
  <cols>
    <col min="1" max="1" width="14.7109375" style="2" customWidth="1"/>
    <col min="2" max="4" width="7.7109375" style="2" customWidth="1"/>
    <col min="5" max="5" width="11.85546875" style="2" bestFit="1" customWidth="1"/>
    <col min="6" max="6" width="12.85546875" style="2" bestFit="1" customWidth="1"/>
    <col min="7" max="7" width="10.7109375" style="2" customWidth="1"/>
    <col min="8" max="8" width="12.7109375" style="2" customWidth="1"/>
    <col min="9" max="9" width="13.7109375" style="2" customWidth="1"/>
    <col min="10" max="10" width="10.7109375" style="2" customWidth="1"/>
    <col min="11" max="11" width="12.7109375" style="2" customWidth="1"/>
    <col min="12" max="12" width="13.7109375" style="2" customWidth="1"/>
    <col min="13" max="13" width="10.7109375" style="2" customWidth="1"/>
    <col min="14" max="14" width="12.7109375" style="2" customWidth="1"/>
    <col min="15" max="15" width="13.7109375" style="2" customWidth="1"/>
    <col min="16" max="16" width="10.7109375" style="2" customWidth="1"/>
    <col min="17" max="17" width="13.140625" style="2" customWidth="1"/>
    <col min="18" max="18" width="12.85546875" style="2" bestFit="1" customWidth="1"/>
    <col min="19" max="19" width="10.7109375" style="2" customWidth="1"/>
    <col min="20" max="25" width="11.7109375" style="2" customWidth="1"/>
    <col min="26" max="29" width="14.7109375" style="2" customWidth="1"/>
    <col min="30" max="31" width="12.7109375" style="2" customWidth="1"/>
    <col min="32" max="32" width="11.42578125" style="2"/>
    <col min="33" max="47" width="14.140625" style="2" customWidth="1"/>
    <col min="48" max="48" width="11.42578125" style="2"/>
    <col min="49" max="79" width="16.7109375" style="2" customWidth="1"/>
    <col min="80" max="16384" width="11.42578125" style="2"/>
  </cols>
  <sheetData>
    <row r="1" spans="1:79" ht="41.25" customHeight="1" x14ac:dyDescent="0.2">
      <c r="E1" s="123"/>
      <c r="F1" s="123"/>
      <c r="G1" s="123"/>
      <c r="H1" s="123"/>
      <c r="I1" s="123"/>
      <c r="J1" s="123"/>
      <c r="K1" s="123"/>
      <c r="L1" s="123"/>
      <c r="M1" s="123"/>
      <c r="N1" s="123"/>
      <c r="O1" s="123"/>
      <c r="P1" s="123"/>
      <c r="Q1" s="123"/>
      <c r="R1" s="123"/>
      <c r="S1" s="123"/>
      <c r="X1" s="6"/>
      <c r="Y1" s="6"/>
      <c r="Z1" s="8"/>
      <c r="AA1" s="8"/>
      <c r="AB1" s="8"/>
      <c r="AC1" s="8"/>
    </row>
    <row r="2" spans="1:79" x14ac:dyDescent="0.2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</row>
    <row r="3" spans="1:79" x14ac:dyDescent="0.2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</row>
    <row r="4" spans="1:79" x14ac:dyDescent="0.2">
      <c r="A4" s="14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BC4" s="15"/>
    </row>
    <row r="5" spans="1:79" ht="13.5" thickBot="1" x14ac:dyDescent="0.25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</row>
    <row r="6" spans="1:79" ht="16.5" thickBot="1" x14ac:dyDescent="0.25">
      <c r="A6" s="36" t="s">
        <v>34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6" t="s">
        <v>35</v>
      </c>
      <c r="P6" s="35">
        <v>170.4</v>
      </c>
      <c r="Q6" s="14"/>
      <c r="R6" s="14"/>
      <c r="S6" s="16"/>
      <c r="T6" s="14"/>
      <c r="U6" s="16"/>
      <c r="V6" s="16"/>
      <c r="W6" s="14"/>
      <c r="X6" s="16"/>
      <c r="Y6" s="16"/>
      <c r="Z6" s="16"/>
      <c r="AA6" s="16"/>
      <c r="AB6" s="16"/>
      <c r="AC6" s="16"/>
    </row>
    <row r="7" spans="1:79" ht="26.25" customHeight="1" thickBot="1" x14ac:dyDescent="0.25">
      <c r="A7" s="36">
        <f>A10</f>
        <v>43655</v>
      </c>
      <c r="B7" s="1"/>
      <c r="C7" s="1"/>
      <c r="D7" s="1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</row>
    <row r="8" spans="1:79" ht="16.5" thickBot="1" x14ac:dyDescent="0.25">
      <c r="A8" s="113" t="s">
        <v>8</v>
      </c>
      <c r="B8" s="118" t="s">
        <v>31</v>
      </c>
      <c r="C8" s="118" t="s">
        <v>32</v>
      </c>
      <c r="D8" s="118" t="s">
        <v>33</v>
      </c>
      <c r="E8" s="116" t="s">
        <v>46</v>
      </c>
      <c r="F8" s="116"/>
      <c r="G8" s="117"/>
      <c r="H8" s="115" t="s">
        <v>10</v>
      </c>
      <c r="I8" s="116"/>
      <c r="J8" s="117"/>
      <c r="K8" s="115" t="s">
        <v>1</v>
      </c>
      <c r="L8" s="116"/>
      <c r="M8" s="117"/>
      <c r="N8" s="115" t="s">
        <v>11</v>
      </c>
      <c r="O8" s="116"/>
      <c r="P8" s="117"/>
      <c r="Q8" s="116" t="s">
        <v>47</v>
      </c>
      <c r="R8" s="116"/>
      <c r="S8" s="117"/>
      <c r="Z8" s="124"/>
      <c r="AA8" s="124"/>
      <c r="AB8" s="124"/>
      <c r="AC8" s="124"/>
      <c r="AD8" s="124"/>
      <c r="AE8" s="124"/>
      <c r="AG8" s="110" t="s">
        <v>46</v>
      </c>
      <c r="AH8" s="111"/>
      <c r="AI8" s="112"/>
      <c r="AJ8" s="115" t="s">
        <v>10</v>
      </c>
      <c r="AK8" s="116"/>
      <c r="AL8" s="117"/>
      <c r="AM8" s="115" t="s">
        <v>1</v>
      </c>
      <c r="AN8" s="116"/>
      <c r="AO8" s="117"/>
      <c r="AP8" s="115" t="s">
        <v>11</v>
      </c>
      <c r="AQ8" s="116"/>
      <c r="AR8" s="117"/>
      <c r="AS8" s="110" t="s">
        <v>47</v>
      </c>
      <c r="AT8" s="111"/>
      <c r="AU8" s="112"/>
      <c r="AW8" s="110" t="s">
        <v>46</v>
      </c>
      <c r="AX8" s="111"/>
      <c r="AY8" s="112"/>
      <c r="AZ8" s="115" t="s">
        <v>10</v>
      </c>
      <c r="BA8" s="116"/>
      <c r="BB8" s="117"/>
      <c r="BC8" s="115" t="s">
        <v>1</v>
      </c>
      <c r="BD8" s="116"/>
      <c r="BE8" s="117"/>
      <c r="BF8" s="115" t="s">
        <v>11</v>
      </c>
      <c r="BG8" s="116"/>
      <c r="BH8" s="117"/>
      <c r="BI8" s="110" t="s">
        <v>47</v>
      </c>
      <c r="BJ8" s="111"/>
      <c r="BK8" s="112"/>
      <c r="BM8" s="110" t="s">
        <v>46</v>
      </c>
      <c r="BN8" s="111"/>
      <c r="BO8" s="112"/>
      <c r="BP8" s="115" t="s">
        <v>10</v>
      </c>
      <c r="BQ8" s="116"/>
      <c r="BR8" s="117"/>
      <c r="BS8" s="115" t="s">
        <v>1</v>
      </c>
      <c r="BT8" s="116"/>
      <c r="BU8" s="117"/>
      <c r="BV8" s="115" t="s">
        <v>11</v>
      </c>
      <c r="BW8" s="116"/>
      <c r="BX8" s="117"/>
      <c r="BY8" s="110" t="s">
        <v>47</v>
      </c>
      <c r="BZ8" s="111"/>
      <c r="CA8" s="112"/>
    </row>
    <row r="9" spans="1:79" s="18" customFormat="1" ht="25.5" customHeight="1" thickBot="1" x14ac:dyDescent="0.25">
      <c r="A9" s="114"/>
      <c r="B9" s="119"/>
      <c r="C9" s="119"/>
      <c r="D9" s="119"/>
      <c r="E9" s="5"/>
      <c r="F9" s="5"/>
      <c r="G9" s="5"/>
      <c r="H9" s="5" t="s">
        <v>2</v>
      </c>
      <c r="I9" s="5" t="s">
        <v>3</v>
      </c>
      <c r="J9" s="5" t="s">
        <v>4</v>
      </c>
      <c r="K9" s="17" t="s">
        <v>2</v>
      </c>
      <c r="L9" s="17" t="s">
        <v>3</v>
      </c>
      <c r="M9" s="17" t="s">
        <v>4</v>
      </c>
      <c r="N9" s="17" t="s">
        <v>2</v>
      </c>
      <c r="O9" s="17" t="s">
        <v>3</v>
      </c>
      <c r="P9" s="17" t="s">
        <v>4</v>
      </c>
      <c r="Q9" s="5"/>
      <c r="R9" s="5"/>
      <c r="S9" s="5"/>
      <c r="T9" s="17" t="s">
        <v>36</v>
      </c>
      <c r="U9" s="17" t="s">
        <v>12</v>
      </c>
      <c r="V9" s="17" t="s">
        <v>13</v>
      </c>
      <c r="W9" s="17" t="s">
        <v>37</v>
      </c>
      <c r="X9" s="17" t="s">
        <v>14</v>
      </c>
      <c r="Y9" s="17" t="s">
        <v>38</v>
      </c>
      <c r="Z9" s="58" t="s">
        <v>36</v>
      </c>
      <c r="AA9" s="44" t="s">
        <v>12</v>
      </c>
      <c r="AB9" s="44" t="s">
        <v>13</v>
      </c>
      <c r="AC9" s="58" t="s">
        <v>37</v>
      </c>
      <c r="AD9" s="44" t="s">
        <v>14</v>
      </c>
      <c r="AE9" s="58" t="s">
        <v>38</v>
      </c>
      <c r="AG9" s="4" t="s">
        <v>16</v>
      </c>
      <c r="AH9" s="4" t="s">
        <v>17</v>
      </c>
      <c r="AI9" s="4" t="s">
        <v>18</v>
      </c>
      <c r="AJ9" s="4" t="s">
        <v>16</v>
      </c>
      <c r="AK9" s="4" t="s">
        <v>17</v>
      </c>
      <c r="AL9" s="4" t="s">
        <v>18</v>
      </c>
      <c r="AM9" s="4" t="s">
        <v>16</v>
      </c>
      <c r="AN9" s="4" t="s">
        <v>17</v>
      </c>
      <c r="AO9" s="4" t="s">
        <v>18</v>
      </c>
      <c r="AP9" s="4" t="s">
        <v>16</v>
      </c>
      <c r="AQ9" s="4" t="s">
        <v>17</v>
      </c>
      <c r="AR9" s="4" t="s">
        <v>18</v>
      </c>
      <c r="AS9" s="4" t="s">
        <v>16</v>
      </c>
      <c r="AT9" s="4" t="s">
        <v>17</v>
      </c>
      <c r="AU9" s="4" t="s">
        <v>18</v>
      </c>
      <c r="AW9" s="5" t="s">
        <v>0</v>
      </c>
      <c r="AX9" s="5" t="s">
        <v>5</v>
      </c>
      <c r="AY9" s="5" t="s">
        <v>15</v>
      </c>
      <c r="AZ9" s="5" t="s">
        <v>0</v>
      </c>
      <c r="BA9" s="5" t="s">
        <v>5</v>
      </c>
      <c r="BB9" s="5" t="s">
        <v>15</v>
      </c>
      <c r="BC9" s="5" t="s">
        <v>0</v>
      </c>
      <c r="BD9" s="5" t="s">
        <v>5</v>
      </c>
      <c r="BE9" s="5" t="s">
        <v>15</v>
      </c>
      <c r="BF9" s="5" t="s">
        <v>0</v>
      </c>
      <c r="BG9" s="5" t="s">
        <v>5</v>
      </c>
      <c r="BH9" s="5" t="s">
        <v>15</v>
      </c>
      <c r="BI9" s="5" t="s">
        <v>0</v>
      </c>
      <c r="BJ9" s="5" t="s">
        <v>5</v>
      </c>
      <c r="BK9" s="5" t="s">
        <v>15</v>
      </c>
      <c r="BL9" s="2"/>
      <c r="BM9" s="4" t="s">
        <v>20</v>
      </c>
      <c r="BN9" s="4" t="s">
        <v>19</v>
      </c>
      <c r="BO9" s="4" t="s">
        <v>18</v>
      </c>
      <c r="BP9" s="4" t="s">
        <v>20</v>
      </c>
      <c r="BQ9" s="4" t="s">
        <v>19</v>
      </c>
      <c r="BR9" s="4" t="s">
        <v>18</v>
      </c>
      <c r="BS9" s="4" t="s">
        <v>20</v>
      </c>
      <c r="BT9" s="4" t="s">
        <v>19</v>
      </c>
      <c r="BU9" s="4" t="s">
        <v>18</v>
      </c>
      <c r="BV9" s="4" t="s">
        <v>20</v>
      </c>
      <c r="BW9" s="4" t="s">
        <v>19</v>
      </c>
      <c r="BX9" s="4" t="s">
        <v>18</v>
      </c>
      <c r="BY9" s="4" t="s">
        <v>20</v>
      </c>
      <c r="BZ9" s="4" t="s">
        <v>19</v>
      </c>
      <c r="CA9" s="4" t="s">
        <v>18</v>
      </c>
    </row>
    <row r="10" spans="1:79" ht="29.25" customHeight="1" x14ac:dyDescent="0.2">
      <c r="A10" s="36">
        <v>43655</v>
      </c>
      <c r="B10" s="45">
        <v>0</v>
      </c>
      <c r="C10" s="46">
        <v>184.3</v>
      </c>
      <c r="D10" s="46">
        <f t="shared" ref="D10:D11" si="0">C10-PM</f>
        <v>13.900000000000006</v>
      </c>
      <c r="E10" s="79">
        <v>823220.7324000001</v>
      </c>
      <c r="F10" s="79">
        <v>1091507.8810999999</v>
      </c>
      <c r="G10" s="79">
        <v>-122.34744999999999</v>
      </c>
      <c r="H10" s="79">
        <v>823221.65394999995</v>
      </c>
      <c r="I10" s="79">
        <v>1091506.6612</v>
      </c>
      <c r="J10" s="79">
        <v>-121.07765000000001</v>
      </c>
      <c r="K10" s="79">
        <v>823222.30459999992</v>
      </c>
      <c r="L10" s="79">
        <v>1091505.2894000001</v>
      </c>
      <c r="M10" s="79">
        <v>-120.4067</v>
      </c>
      <c r="N10" s="79">
        <v>823222.8138</v>
      </c>
      <c r="O10" s="79">
        <v>1091504.7299000002</v>
      </c>
      <c r="P10" s="79">
        <v>-121.09895</v>
      </c>
      <c r="Q10" s="79">
        <v>823223.21644999995</v>
      </c>
      <c r="R10" s="79">
        <v>1091503.22905</v>
      </c>
      <c r="S10" s="79">
        <v>-122.24594999999999</v>
      </c>
      <c r="T10" s="57">
        <f t="shared" ref="T10:T60" si="1">IF(Xhaut="","",SQRT(((Xintergauche-Xhaut)^2+(Yintergauche-Yhaut)^2)+(Zintergauche-Zhaut)^2))</f>
        <v>3.5993377572376257</v>
      </c>
      <c r="U10" s="47">
        <f t="shared" ref="U10:U60" si="2">IF(Xhaut="","",SQRT(((Xhautgauche-Xhaut)^2+(Yhautgauche-Yhaut)^2)+(Zhautgauche-Zhaut)^2))</f>
        <v>1.6599260720103943</v>
      </c>
      <c r="V10" s="47">
        <f t="shared" ref="V10:V60" si="3">IF(Xhaut="","",SQRT(((Xhautdroit-Xhaut)^2+(Yhautdroit-Yhaut)^2)+(Zhautdroit-Zhaut)^2))</f>
        <v>1.0254437832276162</v>
      </c>
      <c r="W10" s="57">
        <f t="shared" ref="W10:W60" si="4">IF(Xhaut="","",SQRT(((Xinterdroit-Xhaut)^2+(Yinterdroit-Yhaut)^2)+(Zinterdroit-Zhaut)^2))</f>
        <v>2.9084967093361112</v>
      </c>
      <c r="X10" s="47">
        <f t="shared" ref="X10:X60" si="5">IF(Xhautdroit="","",SQRT(((Xhautdroit-Xhautgauche)^2+(Yhautdroit-Yhautgauche)^2)+(Zhautdroit-Zhautgauche)^2))</f>
        <v>2.2529148678853335</v>
      </c>
      <c r="Y10" s="57">
        <f t="shared" ref="Y10:Y60" si="6">IF(Xinterdroit="","",SQRT(((Xinterdroit-Xintergauche)^2+(Yinterdroit-Yintergauche)^2)+(Zinterdroit-Zintergauche)^2))</f>
        <v>5.2746920150374397</v>
      </c>
      <c r="Z10" s="74">
        <v>0</v>
      </c>
      <c r="AA10" s="74">
        <v>0</v>
      </c>
      <c r="AB10" s="74">
        <v>0</v>
      </c>
      <c r="AC10" s="74">
        <v>0</v>
      </c>
      <c r="AD10" s="74">
        <v>0</v>
      </c>
      <c r="AE10" s="74">
        <v>0</v>
      </c>
      <c r="AF10" s="40"/>
      <c r="AG10" s="73">
        <v>0</v>
      </c>
      <c r="AH10" s="73">
        <v>0</v>
      </c>
      <c r="AI10" s="73">
        <v>0</v>
      </c>
      <c r="AJ10" s="73">
        <v>0</v>
      </c>
      <c r="AK10" s="73">
        <v>0</v>
      </c>
      <c r="AL10" s="73">
        <v>0</v>
      </c>
      <c r="AM10" s="73">
        <v>0</v>
      </c>
      <c r="AN10" s="73">
        <v>0</v>
      </c>
      <c r="AO10" s="73">
        <v>0</v>
      </c>
      <c r="AP10" s="73">
        <v>0</v>
      </c>
      <c r="AQ10" s="73">
        <v>0</v>
      </c>
      <c r="AR10" s="73">
        <v>0</v>
      </c>
      <c r="AS10" s="73">
        <v>0</v>
      </c>
      <c r="AT10" s="73">
        <v>0</v>
      </c>
      <c r="AU10" s="73">
        <v>0</v>
      </c>
      <c r="AV10" s="40"/>
      <c r="AW10" s="47">
        <v>170.1097</v>
      </c>
      <c r="AX10" s="47">
        <v>-2.6293000000000002</v>
      </c>
      <c r="AY10" s="47">
        <v>1.4943</v>
      </c>
      <c r="AZ10" s="47">
        <v>170.42930000000001</v>
      </c>
      <c r="BA10" s="47">
        <v>-1.1342000000000001</v>
      </c>
      <c r="BB10" s="47">
        <v>2.7608999999999999</v>
      </c>
      <c r="BC10" s="47">
        <v>170.4392</v>
      </c>
      <c r="BD10" s="47">
        <v>0.3841</v>
      </c>
      <c r="BE10" s="47">
        <v>3.4318</v>
      </c>
      <c r="BF10" s="47">
        <v>170.66419999999999</v>
      </c>
      <c r="BG10" s="47">
        <v>1.1063000000000001</v>
      </c>
      <c r="BH10" s="47">
        <v>2.7372999999999998</v>
      </c>
      <c r="BI10" s="47">
        <v>170.3948</v>
      </c>
      <c r="BJ10" s="47">
        <v>2.6366999999999998</v>
      </c>
      <c r="BK10" s="47">
        <v>1.593</v>
      </c>
      <c r="BL10" s="40"/>
      <c r="BM10" s="48">
        <v>0</v>
      </c>
      <c r="BN10" s="48">
        <v>0</v>
      </c>
      <c r="BO10" s="48">
        <v>0</v>
      </c>
      <c r="BP10" s="48">
        <v>0</v>
      </c>
      <c r="BQ10" s="48">
        <v>0</v>
      </c>
      <c r="BR10" s="48">
        <v>0</v>
      </c>
      <c r="BS10" s="48">
        <v>0</v>
      </c>
      <c r="BT10" s="48">
        <v>0</v>
      </c>
      <c r="BU10" s="48">
        <v>0</v>
      </c>
      <c r="BV10" s="48">
        <v>0</v>
      </c>
      <c r="BW10" s="48">
        <v>0</v>
      </c>
      <c r="BX10" s="48">
        <v>0</v>
      </c>
      <c r="BY10" s="48">
        <v>0</v>
      </c>
      <c r="BZ10" s="48">
        <v>0</v>
      </c>
      <c r="CA10" s="48">
        <v>0</v>
      </c>
    </row>
    <row r="11" spans="1:79" ht="29.25" customHeight="1" x14ac:dyDescent="0.2">
      <c r="A11" s="37">
        <v>43657</v>
      </c>
      <c r="B11" s="30">
        <f t="shared" ref="B11:B17" si="7">A11-$A$10</f>
        <v>2</v>
      </c>
      <c r="C11" s="38">
        <v>185.03</v>
      </c>
      <c r="D11" s="38">
        <f t="shared" si="0"/>
        <v>14.629999999999995</v>
      </c>
      <c r="E11" s="78">
        <v>823220.73300000001</v>
      </c>
      <c r="F11" s="78">
        <v>1091507.8810000001</v>
      </c>
      <c r="G11" s="78">
        <v>-122.3476</v>
      </c>
      <c r="H11" s="78">
        <v>823221.65469999996</v>
      </c>
      <c r="I11" s="78">
        <v>1091506.6610000001</v>
      </c>
      <c r="J11" s="78">
        <v>-121.078</v>
      </c>
      <c r="K11" s="78">
        <v>823222.30519999994</v>
      </c>
      <c r="L11" s="78">
        <v>1091505.2890000001</v>
      </c>
      <c r="M11" s="78">
        <v>-120.4071</v>
      </c>
      <c r="N11" s="78">
        <v>823222.81460000004</v>
      </c>
      <c r="O11" s="78">
        <v>1091504.73</v>
      </c>
      <c r="P11" s="78">
        <v>-121.0992</v>
      </c>
      <c r="Q11" s="78">
        <v>823223.21759999997</v>
      </c>
      <c r="R11" s="78">
        <v>1091503.2290000001</v>
      </c>
      <c r="S11" s="78">
        <v>-122.2461</v>
      </c>
      <c r="T11" s="57">
        <f t="shared" si="1"/>
        <v>3.5994189933267604</v>
      </c>
      <c r="U11" s="47">
        <f t="shared" si="2"/>
        <v>1.6600123673978786</v>
      </c>
      <c r="V11" s="47">
        <f t="shared" si="3"/>
        <v>1.0251691422582794</v>
      </c>
      <c r="W11" s="57">
        <f t="shared" si="4"/>
        <v>2.9082631862135999</v>
      </c>
      <c r="X11" s="47">
        <f t="shared" si="5"/>
        <v>2.2526825010597666</v>
      </c>
      <c r="Y11" s="57">
        <f t="shared" si="6"/>
        <v>5.2749069574593914</v>
      </c>
      <c r="Z11" s="74">
        <f t="shared" ref="Z11:Z16" si="8">IF(T11="","",(T11-T$10)*1000)</f>
        <v>8.1236089134684164E-2</v>
      </c>
      <c r="AA11" s="74">
        <f t="shared" ref="AA11:AE11" si="9">IF(U11="","",(U11-U$10)*1000)</f>
        <v>8.6295387484280894E-2</v>
      </c>
      <c r="AB11" s="74">
        <f t="shared" si="9"/>
        <v>-0.27464096933682569</v>
      </c>
      <c r="AC11" s="74">
        <f t="shared" si="9"/>
        <v>-0.23352312251123664</v>
      </c>
      <c r="AD11" s="74">
        <f t="shared" si="9"/>
        <v>-0.23236682556682098</v>
      </c>
      <c r="AE11" s="74">
        <f t="shared" si="9"/>
        <v>0.21494242195174706</v>
      </c>
      <c r="AF11" s="40"/>
      <c r="AG11" s="73">
        <f>IF(E11="","",(E11-E$10)*1000)</f>
        <v>0.59999991208314896</v>
      </c>
      <c r="AH11" s="73">
        <f t="shared" ref="AH11:AU11" si="10">IF(F11="","",(F11-F$10)*1000)</f>
        <v>-9.999983012676239E-2</v>
      </c>
      <c r="AI11" s="73">
        <f t="shared" si="10"/>
        <v>-0.15000000000497948</v>
      </c>
      <c r="AJ11" s="73">
        <f t="shared" si="10"/>
        <v>0.75000000651925802</v>
      </c>
      <c r="AK11" s="73">
        <f t="shared" si="10"/>
        <v>-0.19999989308416843</v>
      </c>
      <c r="AL11" s="73">
        <f t="shared" si="10"/>
        <v>-0.34999999999740794</v>
      </c>
      <c r="AM11" s="73">
        <f t="shared" si="10"/>
        <v>0.60000002849847078</v>
      </c>
      <c r="AN11" s="73">
        <f t="shared" si="10"/>
        <v>-0.40000001899898052</v>
      </c>
      <c r="AO11" s="73">
        <f t="shared" si="10"/>
        <v>-0.39999999999906777</v>
      </c>
      <c r="AP11" s="73">
        <f t="shared" si="10"/>
        <v>0.80000003799796104</v>
      </c>
      <c r="AQ11" s="73">
        <f t="shared" si="10"/>
        <v>9.999983012676239E-2</v>
      </c>
      <c r="AR11" s="73">
        <f t="shared" si="10"/>
        <v>-0.24999999999408828</v>
      </c>
      <c r="AS11" s="73">
        <f t="shared" si="10"/>
        <v>1.1500000255182385</v>
      </c>
      <c r="AT11" s="73">
        <f t="shared" si="10"/>
        <v>-4.9999915063381195E-2</v>
      </c>
      <c r="AU11" s="73">
        <f t="shared" si="10"/>
        <v>-0.15000000000497948</v>
      </c>
      <c r="AV11" s="40"/>
      <c r="AW11" s="39">
        <v>170.11019999999999</v>
      </c>
      <c r="AX11" s="39">
        <v>-2.6288</v>
      </c>
      <c r="AY11" s="39">
        <v>1.4942</v>
      </c>
      <c r="AZ11" s="39">
        <v>170.4299</v>
      </c>
      <c r="BA11" s="39">
        <v>-1.1336999999999999</v>
      </c>
      <c r="BB11" s="39">
        <v>2.7606000000000002</v>
      </c>
      <c r="BC11" s="39">
        <v>170.43960000000001</v>
      </c>
      <c r="BD11" s="39">
        <v>0.38469999999999999</v>
      </c>
      <c r="BE11" s="39">
        <v>3.4314</v>
      </c>
      <c r="BF11" s="39">
        <v>170.66489999999999</v>
      </c>
      <c r="BG11" s="39">
        <v>1.1069</v>
      </c>
      <c r="BH11" s="39">
        <v>2.7370000000000001</v>
      </c>
      <c r="BI11" s="39">
        <v>170.39580000000001</v>
      </c>
      <c r="BJ11" s="39">
        <v>2.6373000000000002</v>
      </c>
      <c r="BK11" s="39">
        <v>1.5928</v>
      </c>
      <c r="BL11" s="40"/>
      <c r="BM11" s="43">
        <f>IF(AW11="","",(AW11-AW$10)*1000)</f>
        <v>0.49999999998817657</v>
      </c>
      <c r="BN11" s="43">
        <f t="shared" ref="BN11:CA11" si="11">IF(AX11="","",(AX11-AX$10)*1000)</f>
        <v>0.50000000000016698</v>
      </c>
      <c r="BO11" s="43">
        <f t="shared" si="11"/>
        <v>-9.9999999999988987E-2</v>
      </c>
      <c r="BP11" s="43">
        <f t="shared" si="11"/>
        <v>0.59999999999149622</v>
      </c>
      <c r="BQ11" s="43">
        <f t="shared" si="11"/>
        <v>0.50000000000016698</v>
      </c>
      <c r="BR11" s="43">
        <f t="shared" si="11"/>
        <v>-0.29999999999974492</v>
      </c>
      <c r="BS11" s="43">
        <f t="shared" si="11"/>
        <v>0.40000000001327862</v>
      </c>
      <c r="BT11" s="43">
        <f t="shared" si="11"/>
        <v>0.59999999999998943</v>
      </c>
      <c r="BU11" s="43">
        <f t="shared" si="11"/>
        <v>-0.39999999999995595</v>
      </c>
      <c r="BV11" s="43">
        <f t="shared" si="11"/>
        <v>0.69999999999481588</v>
      </c>
      <c r="BW11" s="43">
        <f t="shared" si="11"/>
        <v>0.59999999999993392</v>
      </c>
      <c r="BX11" s="43">
        <f t="shared" si="11"/>
        <v>-0.29999999999974492</v>
      </c>
      <c r="BY11" s="43">
        <f t="shared" si="11"/>
        <v>1.0000000000047748</v>
      </c>
      <c r="BZ11" s="43">
        <f t="shared" si="11"/>
        <v>0.60000000000037801</v>
      </c>
      <c r="CA11" s="43">
        <f t="shared" si="11"/>
        <v>-0.19999999999997797</v>
      </c>
    </row>
    <row r="12" spans="1:79" ht="29.25" customHeight="1" x14ac:dyDescent="0.2">
      <c r="A12" s="37">
        <v>43661</v>
      </c>
      <c r="B12" s="30">
        <f t="shared" si="7"/>
        <v>6</v>
      </c>
      <c r="C12" s="38">
        <v>187.2</v>
      </c>
      <c r="D12" s="38">
        <f t="shared" ref="D12:D13" si="12">C12-PM</f>
        <v>16.799999999999983</v>
      </c>
      <c r="E12" s="78">
        <v>823220.73369999998</v>
      </c>
      <c r="F12" s="78">
        <v>1091507.8811000001</v>
      </c>
      <c r="G12" s="78">
        <v>-122.34820000000001</v>
      </c>
      <c r="H12" s="78">
        <v>823221.65500000003</v>
      </c>
      <c r="I12" s="78">
        <v>1091506.6612</v>
      </c>
      <c r="J12" s="78">
        <v>-121.0783</v>
      </c>
      <c r="K12" s="78">
        <v>823222.30559999996</v>
      </c>
      <c r="L12" s="78">
        <v>1091505.2893999999</v>
      </c>
      <c r="M12" s="78">
        <v>-120.4076</v>
      </c>
      <c r="N12" s="78">
        <v>823222.81469999999</v>
      </c>
      <c r="O12" s="78">
        <v>1091504.7294999999</v>
      </c>
      <c r="P12" s="78">
        <v>-121.0997</v>
      </c>
      <c r="Q12" s="78">
        <v>823223.21649999998</v>
      </c>
      <c r="R12" s="78">
        <v>1091503.2294000001</v>
      </c>
      <c r="S12" s="78">
        <v>-122.2469</v>
      </c>
      <c r="T12" s="57">
        <f t="shared" si="1"/>
        <v>3.5991258467986942</v>
      </c>
      <c r="U12" s="47">
        <f t="shared" si="2"/>
        <v>1.659805437434666</v>
      </c>
      <c r="V12" s="47">
        <f t="shared" si="3"/>
        <v>1.0255112042378147</v>
      </c>
      <c r="W12" s="57">
        <f t="shared" si="4"/>
        <v>2.9079826855231032</v>
      </c>
      <c r="X12" s="47">
        <f t="shared" si="5"/>
        <v>2.2531815151453101</v>
      </c>
      <c r="Y12" s="57">
        <f t="shared" si="6"/>
        <v>5.2737908965388565</v>
      </c>
      <c r="Z12" s="74">
        <f t="shared" si="8"/>
        <v>-0.2119104389315396</v>
      </c>
      <c r="AA12" s="74">
        <f t="shared" ref="AA12:AA13" si="13">IF(U12="","",(U12-U$10)*1000)</f>
        <v>-0.12063457572830671</v>
      </c>
      <c r="AB12" s="74">
        <f t="shared" ref="AB12:AB13" si="14">IF(V12="","",(V12-V$10)*1000)</f>
        <v>6.7421010198520648E-2</v>
      </c>
      <c r="AC12" s="74">
        <f t="shared" ref="AC12:AC13" si="15">IF(W12="","",(W12-W$10)*1000)</f>
        <v>-0.51402381300791333</v>
      </c>
      <c r="AD12" s="74">
        <f t="shared" ref="AD12:AD13" si="16">IF(X12="","",(X12-X$10)*1000)</f>
        <v>0.26664725997660454</v>
      </c>
      <c r="AE12" s="74">
        <f t="shared" ref="AE12:AE13" si="17">IF(Y12="","",(Y12-Y$10)*1000)</f>
        <v>-0.9011184985832088</v>
      </c>
      <c r="AF12" s="40"/>
      <c r="AG12" s="73">
        <f>IF(E12="","",(E12-E$10)*1000)</f>
        <v>1.299999887123704</v>
      </c>
      <c r="AH12" s="73">
        <f t="shared" ref="AH12:AH13" si="18">IF(F12="","",(F12-F$10)*1000)</f>
        <v>2.3283064365386963E-7</v>
      </c>
      <c r="AI12" s="73">
        <f t="shared" ref="AI12:AI13" si="19">IF(G12="","",(G12-G$10)*1000)</f>
        <v>-0.75000000001068656</v>
      </c>
      <c r="AJ12" s="73">
        <f t="shared" ref="AJ12:AJ13" si="20">IF(H12="","",(H12-H$10)*1000)</f>
        <v>1.0500000789761543</v>
      </c>
      <c r="AK12" s="73">
        <f t="shared" ref="AK12:AK13" si="21">IF(I12="","",(I12-I$10)*1000)</f>
        <v>0</v>
      </c>
      <c r="AL12" s="73">
        <f t="shared" ref="AL12:AL13" si="22">IF(J12="","",(J12-J$10)*1000)</f>
        <v>-0.64999999999315605</v>
      </c>
      <c r="AM12" s="73">
        <f t="shared" ref="AM12:AM13" si="23">IF(K12="","",(K12-K$10)*1000)</f>
        <v>1.0000000474974513</v>
      </c>
      <c r="AN12" s="73">
        <f t="shared" ref="AN12:AN13" si="24">IF(L12="","",(L12-L$10)*1000)</f>
        <v>-2.3283064365386963E-7</v>
      </c>
      <c r="AO12" s="73">
        <f t="shared" ref="AO12:AO13" si="25">IF(M12="","",(M12-M$10)*1000)</f>
        <v>-0.90000000000145519</v>
      </c>
      <c r="AP12" s="73">
        <f t="shared" ref="AP12:AP13" si="26">IF(N12="","",(N12-N$10)*1000)</f>
        <v>0.89999998454004526</v>
      </c>
      <c r="AQ12" s="73">
        <f t="shared" ref="AQ12:AQ13" si="27">IF(O12="","",(O12-O$10)*1000)</f>
        <v>-0.40000025182962418</v>
      </c>
      <c r="AR12" s="73">
        <f t="shared" ref="AR12:AR13" si="28">IF(P12="","",(P12-P$10)*1000)</f>
        <v>-0.74999999999647571</v>
      </c>
      <c r="AS12" s="73">
        <f t="shared" ref="AS12:AS13" si="29">IF(Q12="","",(Q12-Q$10)*1000)</f>
        <v>5.0000031478703022E-2</v>
      </c>
      <c r="AT12" s="73">
        <f t="shared" ref="AT12:AT13" si="30">IF(R12="","",(R12-R$10)*1000)</f>
        <v>0.35000010393559933</v>
      </c>
      <c r="AU12" s="73">
        <f t="shared" ref="AU12:AU13" si="31">IF(S12="","",(S12-S$10)*1000)</f>
        <v>-0.95000000000311502</v>
      </c>
      <c r="AV12" s="40"/>
      <c r="AW12" s="39">
        <v>170.11089999999999</v>
      </c>
      <c r="AX12" s="39">
        <v>-2.6286999999999998</v>
      </c>
      <c r="AY12" s="39">
        <v>1.4936</v>
      </c>
      <c r="AZ12" s="39">
        <v>170.43029999999999</v>
      </c>
      <c r="BA12" s="39">
        <v>-1.1337999999999999</v>
      </c>
      <c r="BB12" s="39">
        <v>2.7603</v>
      </c>
      <c r="BC12" s="39">
        <v>170.4401</v>
      </c>
      <c r="BD12" s="39">
        <v>0.38450000000000001</v>
      </c>
      <c r="BE12" s="39">
        <v>3.4308999999999998</v>
      </c>
      <c r="BF12" s="39">
        <v>170.66489999999999</v>
      </c>
      <c r="BG12" s="39">
        <v>1.1071</v>
      </c>
      <c r="BH12" s="39">
        <v>2.7364999999999999</v>
      </c>
      <c r="BI12" s="39">
        <v>170.39500000000001</v>
      </c>
      <c r="BJ12" s="39">
        <v>2.6364000000000001</v>
      </c>
      <c r="BK12" s="39">
        <v>1.5920000000000001</v>
      </c>
      <c r="BL12" s="40"/>
      <c r="BM12" s="43">
        <f>IF(AW12="","",(AW12-AW$10)*1000)</f>
        <v>1.1999999999829924</v>
      </c>
      <c r="BN12" s="43">
        <f t="shared" ref="BN12:BN13" si="32">IF(AX12="","",(AX12-AX$10)*1000)</f>
        <v>0.60000000000037801</v>
      </c>
      <c r="BO12" s="43">
        <f t="shared" ref="BO12:BO13" si="33">IF(AY12="","",(AY12-AY$10)*1000)</f>
        <v>-0.69999999999992291</v>
      </c>
      <c r="BP12" s="43">
        <f t="shared" ref="BP12:BP13" si="34">IF(AZ12="","",(AZ12-AZ$10)*1000)</f>
        <v>0.99999999997635314</v>
      </c>
      <c r="BQ12" s="43">
        <f t="shared" ref="BQ12:BQ13" si="35">IF(BA12="","",(BA12-BA$10)*1000)</f>
        <v>0.40000000000017799</v>
      </c>
      <c r="BR12" s="43">
        <f t="shared" ref="BR12:BR13" si="36">IF(BB12="","",(BB12-BB$10)*1000)</f>
        <v>-0.59999999999993392</v>
      </c>
      <c r="BS12" s="43">
        <f t="shared" ref="BS12:BS13" si="37">IF(BC12="","",(BC12-BC$10)*1000)</f>
        <v>0.90000000000145519</v>
      </c>
      <c r="BT12" s="43">
        <f t="shared" ref="BT12:BT13" si="38">IF(BD12="","",(BD12-BD$10)*1000)</f>
        <v>0.40000000000001146</v>
      </c>
      <c r="BU12" s="43">
        <f t="shared" ref="BU12:BU13" si="39">IF(BE12="","",(BE12-BE$10)*1000)</f>
        <v>-0.90000000000012292</v>
      </c>
      <c r="BV12" s="43">
        <f t="shared" ref="BV12:BV13" si="40">IF(BF12="","",(BF12-BF$10)*1000)</f>
        <v>0.69999999999481588</v>
      </c>
      <c r="BW12" s="43">
        <f t="shared" ref="BW12:BW13" si="41">IF(BG12="","",(BG12-BG$10)*1000)</f>
        <v>0.79999999999991189</v>
      </c>
      <c r="BX12" s="43">
        <f t="shared" ref="BX12:BX13" si="42">IF(BH12="","",(BH12-BH$10)*1000)</f>
        <v>-0.79999999999991189</v>
      </c>
      <c r="BY12" s="43">
        <f t="shared" ref="BY12:BY13" si="43">IF(BI12="","",(BI12-BI$10)*1000)</f>
        <v>0.20000000000663931</v>
      </c>
      <c r="BZ12" s="43">
        <f t="shared" ref="BZ12:BZ13" si="44">IF(BJ12="","",(BJ12-BJ$10)*1000)</f>
        <v>-0.29999999999974492</v>
      </c>
      <c r="CA12" s="43">
        <f t="shared" ref="CA12:CA13" si="45">IF(BK12="","",(BK12-BK$10)*1000)</f>
        <v>-0.99999999999988987</v>
      </c>
    </row>
    <row r="13" spans="1:79" ht="29.25" customHeight="1" x14ac:dyDescent="0.2">
      <c r="A13" s="37">
        <v>43663</v>
      </c>
      <c r="B13" s="30">
        <f t="shared" si="7"/>
        <v>8</v>
      </c>
      <c r="C13" s="38">
        <v>188.17</v>
      </c>
      <c r="D13" s="38">
        <f t="shared" si="12"/>
        <v>17.769999999999982</v>
      </c>
      <c r="E13" s="78">
        <v>823220.73349999997</v>
      </c>
      <c r="F13" s="78">
        <v>1091507.8796999999</v>
      </c>
      <c r="G13" s="78">
        <v>-122.34829999999999</v>
      </c>
      <c r="H13" s="78">
        <v>823221.65449999995</v>
      </c>
      <c r="I13" s="78">
        <v>1091506.6599999999</v>
      </c>
      <c r="J13" s="78">
        <v>-121.0792</v>
      </c>
      <c r="K13" s="78">
        <v>823222.30559999996</v>
      </c>
      <c r="L13" s="78">
        <v>1091505.2888</v>
      </c>
      <c r="M13" s="78">
        <v>-120.40819999999999</v>
      </c>
      <c r="N13" s="78">
        <v>823222.81499999994</v>
      </c>
      <c r="O13" s="78">
        <v>1091504.7290000001</v>
      </c>
      <c r="P13" s="78">
        <v>-121.0998</v>
      </c>
      <c r="Q13" s="78">
        <v>823223.2193</v>
      </c>
      <c r="R13" s="78">
        <v>1091503.2287000001</v>
      </c>
      <c r="S13" s="78">
        <v>-122.2462</v>
      </c>
      <c r="T13" s="57">
        <f t="shared" si="1"/>
        <v>3.5983675784611742</v>
      </c>
      <c r="U13" s="47">
        <f t="shared" si="2"/>
        <v>1.6596269610508401</v>
      </c>
      <c r="V13" s="47">
        <f t="shared" si="3"/>
        <v>1.0252682380245932</v>
      </c>
      <c r="W13" s="57">
        <f t="shared" si="4"/>
        <v>2.9081099875334773</v>
      </c>
      <c r="X13" s="47">
        <f t="shared" si="5"/>
        <v>2.2529859319307217</v>
      </c>
      <c r="Y13" s="57">
        <f t="shared" si="6"/>
        <v>5.2746020749068903</v>
      </c>
      <c r="Z13" s="74">
        <f t="shared" si="8"/>
        <v>-0.97017877645155792</v>
      </c>
      <c r="AA13" s="74">
        <f t="shared" si="13"/>
        <v>-0.2991109595542607</v>
      </c>
      <c r="AB13" s="74">
        <f t="shared" si="14"/>
        <v>-0.17554520302298648</v>
      </c>
      <c r="AC13" s="74">
        <f t="shared" si="15"/>
        <v>-0.38672180263388256</v>
      </c>
      <c r="AD13" s="74">
        <f t="shared" si="16"/>
        <v>7.1064045388258279E-2</v>
      </c>
      <c r="AE13" s="74">
        <f t="shared" si="17"/>
        <v>-8.9940130549415187E-2</v>
      </c>
      <c r="AF13" s="40"/>
      <c r="AG13" s="73">
        <f>IF(E13="","",(E13-E$10)*1000)</f>
        <v>1.0999998776242137</v>
      </c>
      <c r="AH13" s="73">
        <f t="shared" si="18"/>
        <v>-1.39999995008111</v>
      </c>
      <c r="AI13" s="73">
        <f t="shared" si="19"/>
        <v>-0.84999999999979536</v>
      </c>
      <c r="AJ13" s="73">
        <f t="shared" si="20"/>
        <v>0.54999999701976776</v>
      </c>
      <c r="AK13" s="73">
        <f t="shared" si="21"/>
        <v>-1.2000000569969416</v>
      </c>
      <c r="AL13" s="73">
        <f t="shared" si="22"/>
        <v>-1.5499999999946112</v>
      </c>
      <c r="AM13" s="73">
        <f t="shared" si="23"/>
        <v>1.0000000474974513</v>
      </c>
      <c r="AN13" s="73">
        <f t="shared" si="24"/>
        <v>-0.60000014491379261</v>
      </c>
      <c r="AO13" s="73">
        <f t="shared" si="25"/>
        <v>-1.4999999999929514</v>
      </c>
      <c r="AP13" s="73">
        <f t="shared" si="26"/>
        <v>1.1999999405816197</v>
      </c>
      <c r="AQ13" s="73">
        <f t="shared" si="27"/>
        <v>-0.90000010095536709</v>
      </c>
      <c r="AR13" s="73">
        <f t="shared" si="28"/>
        <v>-0.84999999999979536</v>
      </c>
      <c r="AS13" s="73">
        <f t="shared" si="29"/>
        <v>2.8500000480562449</v>
      </c>
      <c r="AT13" s="73">
        <f t="shared" si="30"/>
        <v>-0.34999987110495567</v>
      </c>
      <c r="AU13" s="73">
        <f t="shared" si="31"/>
        <v>-0.25000000000829914</v>
      </c>
      <c r="AV13" s="40"/>
      <c r="AW13" s="39">
        <v>170.11019999999999</v>
      </c>
      <c r="AX13" s="39">
        <v>-2.6274999999999999</v>
      </c>
      <c r="AY13" s="39">
        <v>1.4935</v>
      </c>
      <c r="AZ13" s="39">
        <v>170.42930000000001</v>
      </c>
      <c r="BA13" s="39">
        <v>-1.1329</v>
      </c>
      <c r="BB13" s="39">
        <v>2.7593999999999999</v>
      </c>
      <c r="BC13" s="39">
        <v>170.43989999999999</v>
      </c>
      <c r="BD13" s="39">
        <v>0.38500000000000001</v>
      </c>
      <c r="BE13" s="39">
        <v>3.4302999999999999</v>
      </c>
      <c r="BF13" s="39">
        <v>170.66489999999999</v>
      </c>
      <c r="BG13" s="39">
        <v>1.1076999999999999</v>
      </c>
      <c r="BH13" s="39">
        <v>2.7364000000000002</v>
      </c>
      <c r="BI13" s="39">
        <v>170.3973</v>
      </c>
      <c r="BJ13" s="39">
        <v>2.6381999999999999</v>
      </c>
      <c r="BK13" s="39">
        <v>1.5927</v>
      </c>
      <c r="BL13" s="40"/>
      <c r="BM13" s="43">
        <f>IF(AW13="","",(AW13-AW$10)*1000)</f>
        <v>0.49999999998817657</v>
      </c>
      <c r="BN13" s="43">
        <f t="shared" si="32"/>
        <v>1.8000000000002458</v>
      </c>
      <c r="BO13" s="43">
        <f t="shared" si="33"/>
        <v>-0.79999999999991189</v>
      </c>
      <c r="BP13" s="43">
        <f t="shared" si="34"/>
        <v>0</v>
      </c>
      <c r="BQ13" s="43">
        <f t="shared" si="35"/>
        <v>1.3000000000000789</v>
      </c>
      <c r="BR13" s="43">
        <f t="shared" si="36"/>
        <v>-1.5000000000000568</v>
      </c>
      <c r="BS13" s="43">
        <f t="shared" si="37"/>
        <v>0.69999999999481588</v>
      </c>
      <c r="BT13" s="43">
        <f t="shared" si="38"/>
        <v>0.9000000000000119</v>
      </c>
      <c r="BU13" s="43">
        <f t="shared" si="39"/>
        <v>-1.5000000000000568</v>
      </c>
      <c r="BV13" s="43">
        <f t="shared" si="40"/>
        <v>0.69999999999481588</v>
      </c>
      <c r="BW13" s="43">
        <f t="shared" si="41"/>
        <v>1.3999999999998458</v>
      </c>
      <c r="BX13" s="43">
        <f t="shared" si="42"/>
        <v>-0.89999999999967883</v>
      </c>
      <c r="BY13" s="43">
        <f t="shared" si="43"/>
        <v>2.4999999999977263</v>
      </c>
      <c r="BZ13" s="43">
        <f t="shared" si="44"/>
        <v>1.5000000000000568</v>
      </c>
      <c r="CA13" s="43">
        <f t="shared" si="45"/>
        <v>-0.29999999999996696</v>
      </c>
    </row>
    <row r="14" spans="1:79" ht="29.25" customHeight="1" x14ac:dyDescent="0.2">
      <c r="A14" s="37">
        <v>43669</v>
      </c>
      <c r="B14" s="30">
        <f t="shared" si="7"/>
        <v>14</v>
      </c>
      <c r="C14" s="38">
        <v>189.2</v>
      </c>
      <c r="D14" s="38">
        <f t="shared" ref="D14:D17" si="46">C14-PM</f>
        <v>18.799999999999983</v>
      </c>
      <c r="E14" s="78">
        <v>823220.73210000002</v>
      </c>
      <c r="F14" s="78">
        <v>1091507.8803999999</v>
      </c>
      <c r="G14" s="78">
        <v>-122.3486</v>
      </c>
      <c r="H14" s="125" t="s">
        <v>51</v>
      </c>
      <c r="I14" s="126"/>
      <c r="J14" s="127"/>
      <c r="K14" s="78">
        <v>823222.30390000006</v>
      </c>
      <c r="L14" s="78">
        <v>1091505.2895</v>
      </c>
      <c r="M14" s="78">
        <v>-120.4088</v>
      </c>
      <c r="N14" s="78">
        <v>823222.81400000001</v>
      </c>
      <c r="O14" s="78">
        <v>1091504.7298999999</v>
      </c>
      <c r="P14" s="78">
        <v>-121.1001</v>
      </c>
      <c r="Q14" s="78">
        <v>823223.21629999997</v>
      </c>
      <c r="R14" s="78">
        <v>1091503.2305999999</v>
      </c>
      <c r="S14" s="78">
        <v>-122.24679999999999</v>
      </c>
      <c r="T14" s="57">
        <f t="shared" si="1"/>
        <v>3.5980747754679507</v>
      </c>
      <c r="U14" s="47" t="e">
        <f t="shared" si="2"/>
        <v>#VALUE!</v>
      </c>
      <c r="V14" s="47">
        <f t="shared" si="3"/>
        <v>1.025304764446278</v>
      </c>
      <c r="W14" s="57">
        <f t="shared" si="4"/>
        <v>2.9068517282615653</v>
      </c>
      <c r="X14" s="47" t="e">
        <f t="shared" si="5"/>
        <v>#VALUE!</v>
      </c>
      <c r="Y14" s="57">
        <f t="shared" si="6"/>
        <v>5.2727841715615469</v>
      </c>
      <c r="Z14" s="74">
        <f t="shared" si="8"/>
        <v>-1.2629817696749868</v>
      </c>
      <c r="AA14" s="74" t="e">
        <f t="shared" ref="AA14" si="47">IF(U14="","",(U14-U$10)*1000)</f>
        <v>#VALUE!</v>
      </c>
      <c r="AB14" s="74">
        <f t="shared" ref="AB14" si="48">IF(V14="","",(V14-V$10)*1000)</f>
        <v>-0.1390187813381516</v>
      </c>
      <c r="AC14" s="74">
        <f t="shared" ref="AC14" si="49">IF(W14="","",(W14-W$10)*1000)</f>
        <v>-1.6449810745458038</v>
      </c>
      <c r="AD14" s="74" t="e">
        <f t="shared" ref="AD14" si="50">IF(X14="","",(X14-X$10)*1000)</f>
        <v>#VALUE!</v>
      </c>
      <c r="AE14" s="74">
        <f t="shared" ref="AE14" si="51">IF(Y14="","",(Y14-Y$10)*1000)</f>
        <v>-1.9078434758927898</v>
      </c>
      <c r="AF14" s="40"/>
      <c r="AG14" s="73">
        <f>IF(E14="","",(E14-E$10)*1000)</f>
        <v>-0.30000007245689631</v>
      </c>
      <c r="AH14" s="73">
        <f t="shared" ref="AH14" si="52">IF(F14="","",(F14-F$10)*1000)</f>
        <v>-0.699999975040555</v>
      </c>
      <c r="AI14" s="73">
        <f t="shared" ref="AI14" si="53">IF(G14="","",(G14-G$10)*1000)</f>
        <v>-1.1500000000097543</v>
      </c>
      <c r="AJ14" s="73" t="e">
        <f t="shared" ref="AJ14:AJ15" si="54">IF(H14="","",(H14-H$10)*1000)</f>
        <v>#VALUE!</v>
      </c>
      <c r="AK14" s="73" t="str">
        <f t="shared" ref="AK14:AK15" si="55">IF(I14="","",(I14-I$10)*1000)</f>
        <v/>
      </c>
      <c r="AL14" s="73" t="str">
        <f t="shared" ref="AL14:AL15" si="56">IF(J14="","",(J14-J$10)*1000)</f>
        <v/>
      </c>
      <c r="AM14" s="73">
        <f t="shared" ref="AM14:AM15" si="57">IF(K14="","",(K14-K$10)*1000)</f>
        <v>-0.69999985862523317</v>
      </c>
      <c r="AN14" s="73">
        <f t="shared" ref="AN14:AN15" si="58">IF(L14="","",(L14-L$10)*1000)</f>
        <v>9.999983012676239E-2</v>
      </c>
      <c r="AO14" s="73">
        <f t="shared" ref="AO14:AO15" si="59">IF(M14="","",(M14-M$10)*1000)</f>
        <v>-2.0999999999986585</v>
      </c>
      <c r="AP14" s="73">
        <f t="shared" ref="AP14:AP15" si="60">IF(N14="","",(N14-N$10)*1000)</f>
        <v>0.20000000949949026</v>
      </c>
      <c r="AQ14" s="73">
        <f t="shared" ref="AQ14:AQ15" si="61">IF(O14="","",(O14-O$10)*1000)</f>
        <v>-2.3283064365386963E-7</v>
      </c>
      <c r="AR14" s="73">
        <f t="shared" ref="AR14:AR15" si="62">IF(P14="","",(P14-P$10)*1000)</f>
        <v>-1.1499999999955435</v>
      </c>
      <c r="AS14" s="73">
        <f t="shared" ref="AS14:AS15" si="63">IF(Q14="","",(Q14-Q$10)*1000)</f>
        <v>-0.14999997802078724</v>
      </c>
      <c r="AT14" s="73">
        <f t="shared" ref="AT14:AT15" si="64">IF(R14="","",(R14-R$10)*1000)</f>
        <v>1.5499999281018972</v>
      </c>
      <c r="AU14" s="73">
        <f t="shared" ref="AU14:AU15" si="65">IF(S14="","",(S14-S$10)*1000)</f>
        <v>-0.84999999999979536</v>
      </c>
      <c r="AV14" s="40"/>
      <c r="AW14" s="39">
        <v>170.10919999999999</v>
      </c>
      <c r="AX14" s="39">
        <v>-2.6288</v>
      </c>
      <c r="AY14" s="39">
        <v>1.4932000000000001</v>
      </c>
      <c r="AZ14" s="120" t="s">
        <v>51</v>
      </c>
      <c r="BA14" s="121"/>
      <c r="BB14" s="122"/>
      <c r="BC14" s="39">
        <v>170.43860000000001</v>
      </c>
      <c r="BD14" s="39">
        <v>0.38369999999999999</v>
      </c>
      <c r="BE14" s="39">
        <v>3.4297</v>
      </c>
      <c r="BF14" s="39">
        <v>170.6644</v>
      </c>
      <c r="BG14" s="39">
        <v>1.1064000000000001</v>
      </c>
      <c r="BH14" s="39">
        <v>2.7361</v>
      </c>
      <c r="BI14" s="39">
        <v>170.39529999999999</v>
      </c>
      <c r="BJ14" s="39">
        <v>2.6353</v>
      </c>
      <c r="BK14" s="39">
        <v>1.5921000000000001</v>
      </c>
      <c r="BL14" s="40"/>
      <c r="BM14" s="43">
        <f t="shared" ref="BM14:BM15" si="66">IF(AW14="","",(AW14-AW$10)*1000)</f>
        <v>-0.50000000001659828</v>
      </c>
      <c r="BN14" s="43">
        <f t="shared" ref="BN14:BN15" si="67">IF(AX14="","",(AX14-AX$10)*1000)</f>
        <v>0.50000000000016698</v>
      </c>
      <c r="BO14" s="43">
        <f t="shared" ref="BO14:BO15" si="68">IF(AY14="","",(AY14-AY$10)*1000)</f>
        <v>-1.0999999999998789</v>
      </c>
      <c r="BP14" s="43" t="e">
        <f t="shared" ref="BP14:BP15" si="69">IF(AZ14="","",(AZ14-AZ$10)*1000)</f>
        <v>#VALUE!</v>
      </c>
      <c r="BQ14" s="43" t="str">
        <f t="shared" ref="BQ14:BQ15" si="70">IF(BA14="","",(BA14-BA$10)*1000)</f>
        <v/>
      </c>
      <c r="BR14" s="43" t="str">
        <f t="shared" ref="BR14:BR15" si="71">IF(BB14="","",(BB14-BB$10)*1000)</f>
        <v/>
      </c>
      <c r="BS14" s="43">
        <f t="shared" ref="BS14:BS15" si="72">IF(BC14="","",(BC14-BC$10)*1000)</f>
        <v>-0.59999999999149622</v>
      </c>
      <c r="BT14" s="43">
        <f t="shared" ref="BT14:BT15" si="73">IF(BD14="","",(BD14-BD$10)*1000)</f>
        <v>-0.40000000000001146</v>
      </c>
      <c r="BU14" s="43">
        <f t="shared" ref="BU14:BU15" si="74">IF(BE14="","",(BE14-BE$10)*1000)</f>
        <v>-2.0999999999999908</v>
      </c>
      <c r="BV14" s="43">
        <f t="shared" ref="BV14:BV15" si="75">IF(BF14="","",(BF14-BF$10)*1000)</f>
        <v>0.20000000000663931</v>
      </c>
      <c r="BW14" s="43">
        <f t="shared" ref="BW14:BW15" si="76">IF(BG14="","",(BG14-BG$10)*1000)</f>
        <v>9.9999999999988987E-2</v>
      </c>
      <c r="BX14" s="43">
        <f t="shared" ref="BX14:BX15" si="77">IF(BH14="","",(BH14-BH$10)*1000)</f>
        <v>-1.1999999999998678</v>
      </c>
      <c r="BY14" s="43">
        <f t="shared" ref="BY14:BY15" si="78">IF(BI14="","",(BI14-BI$10)*1000)</f>
        <v>0.49999999998817657</v>
      </c>
      <c r="BZ14" s="43">
        <f t="shared" ref="BZ14:BZ15" si="79">IF(BJ14="","",(BJ14-BJ$10)*1000)</f>
        <v>-1.3999999999998458</v>
      </c>
      <c r="CA14" s="43">
        <f t="shared" ref="CA14:CA15" si="80">IF(BK14="","",(BK14-BK$10)*1000)</f>
        <v>-0.89999999999990088</v>
      </c>
    </row>
    <row r="15" spans="1:79" ht="29.25" customHeight="1" x14ac:dyDescent="0.2">
      <c r="A15" s="37">
        <v>43675</v>
      </c>
      <c r="B15" s="30">
        <f t="shared" si="7"/>
        <v>20</v>
      </c>
      <c r="C15" s="38">
        <v>191.5</v>
      </c>
      <c r="D15" s="38">
        <f t="shared" si="46"/>
        <v>21.099999999999994</v>
      </c>
      <c r="E15" s="78">
        <v>823220.73360000004</v>
      </c>
      <c r="F15" s="78">
        <v>1091507.8785999999</v>
      </c>
      <c r="G15" s="78">
        <v>-122.34869999999999</v>
      </c>
      <c r="H15" s="78">
        <v>823221.65350000001</v>
      </c>
      <c r="I15" s="78">
        <v>1091506.6580999999</v>
      </c>
      <c r="J15" s="78">
        <v>-121.0802</v>
      </c>
      <c r="K15" s="78">
        <v>823222.30440000002</v>
      </c>
      <c r="L15" s="78">
        <v>1091505.2868999999</v>
      </c>
      <c r="M15" s="78">
        <v>-120.4097</v>
      </c>
      <c r="N15" s="78">
        <v>823222.81330000004</v>
      </c>
      <c r="O15" s="78">
        <v>1091504.7268999999</v>
      </c>
      <c r="P15" s="78">
        <v>-121.10129999999999</v>
      </c>
      <c r="Q15" s="78">
        <v>823223.21669999999</v>
      </c>
      <c r="R15" s="78">
        <v>1091503.2279000001</v>
      </c>
      <c r="S15" s="78">
        <v>-122.2469</v>
      </c>
      <c r="T15" s="57">
        <f t="shared" si="1"/>
        <v>3.597783002059225</v>
      </c>
      <c r="U15" s="47">
        <f t="shared" si="2"/>
        <v>1.6593464074250652</v>
      </c>
      <c r="V15" s="47">
        <f t="shared" si="3"/>
        <v>1.0251291479994713</v>
      </c>
      <c r="W15" s="57">
        <f t="shared" si="4"/>
        <v>2.9063854062211516</v>
      </c>
      <c r="X15" s="47">
        <f t="shared" si="5"/>
        <v>2.2528015203346077</v>
      </c>
      <c r="Y15" s="57">
        <f t="shared" si="6"/>
        <v>5.2730597700645401</v>
      </c>
      <c r="Z15" s="74">
        <f t="shared" si="8"/>
        <v>-1.5547551784007574</v>
      </c>
      <c r="AA15" s="74">
        <f t="shared" ref="AA15" si="81">IF(U15="","",(U15-U$10)*1000)</f>
        <v>-0.57966458532909826</v>
      </c>
      <c r="AB15" s="74">
        <f t="shared" ref="AB15" si="82">IF(V15="","",(V15-V$10)*1000)</f>
        <v>-0.31463522814489941</v>
      </c>
      <c r="AC15" s="74">
        <f t="shared" ref="AC15" si="83">IF(W15="","",(W15-W$10)*1000)</f>
        <v>-2.1113031149595507</v>
      </c>
      <c r="AD15" s="74">
        <f t="shared" ref="AD15" si="84">IF(X15="","",(X15-X$10)*1000)</f>
        <v>-0.11334755072578417</v>
      </c>
      <c r="AE15" s="74">
        <f t="shared" ref="AE15" si="85">IF(Y15="","",(Y15-Y$10)*1000)</f>
        <v>-1.6322449728995991</v>
      </c>
      <c r="AF15" s="40"/>
      <c r="AG15" s="73">
        <f t="shared" ref="AG15:AG16" si="86">IF(E15="","",(E15-E$10)*1000)</f>
        <v>1.1999999405816197</v>
      </c>
      <c r="AH15" s="73">
        <f t="shared" ref="AH15:AH16" si="87">IF(F15="","",(F15-F$10)*1000)</f>
        <v>-2.4999999441206455</v>
      </c>
      <c r="AI15" s="73">
        <f t="shared" ref="AI15:AI16" si="88">IF(G15="","",(G15-G$10)*1000)</f>
        <v>-1.2499999999988631</v>
      </c>
      <c r="AJ15" s="73">
        <f t="shared" si="54"/>
        <v>-0.44999993406236172</v>
      </c>
      <c r="AK15" s="73">
        <f t="shared" si="55"/>
        <v>-3.1000000890344381</v>
      </c>
      <c r="AL15" s="73">
        <f t="shared" si="56"/>
        <v>-2.5499999999993861</v>
      </c>
      <c r="AM15" s="73">
        <f t="shared" si="57"/>
        <v>-0.19999989308416843</v>
      </c>
      <c r="AN15" s="73">
        <f t="shared" si="58"/>
        <v>-2.5000001769512892</v>
      </c>
      <c r="AO15" s="73">
        <f t="shared" si="59"/>
        <v>-3.0000000000001137</v>
      </c>
      <c r="AP15" s="73">
        <f t="shared" si="60"/>
        <v>-0.49999996554106474</v>
      </c>
      <c r="AQ15" s="73">
        <f t="shared" si="61"/>
        <v>-3.0000002589076757</v>
      </c>
      <c r="AR15" s="73">
        <f t="shared" si="62"/>
        <v>-2.3499999999927468</v>
      </c>
      <c r="AS15" s="73">
        <f t="shared" si="63"/>
        <v>0.25000004097819328</v>
      </c>
      <c r="AT15" s="73">
        <f t="shared" si="64"/>
        <v>-1.1499999091029167</v>
      </c>
      <c r="AU15" s="73">
        <f t="shared" si="65"/>
        <v>-0.95000000000311502</v>
      </c>
      <c r="AV15" s="40"/>
      <c r="AW15" s="39">
        <v>170.10980000000001</v>
      </c>
      <c r="AX15" s="39">
        <v>-2.6265000000000001</v>
      </c>
      <c r="AY15" s="39">
        <v>1.4931000000000001</v>
      </c>
      <c r="AZ15" s="39">
        <v>170.42760000000001</v>
      </c>
      <c r="BA15" s="39">
        <v>-1.1315999999999999</v>
      </c>
      <c r="BB15" s="39">
        <v>2.7584</v>
      </c>
      <c r="BC15" s="39">
        <v>170.43799999999999</v>
      </c>
      <c r="BD15" s="39">
        <v>0.38619999999999999</v>
      </c>
      <c r="BE15" s="39">
        <v>3.4287999999999998</v>
      </c>
      <c r="BF15" s="39">
        <v>170.66249999999999</v>
      </c>
      <c r="BG15" s="39">
        <v>1.1088</v>
      </c>
      <c r="BH15" s="39">
        <v>2.7349999999999999</v>
      </c>
      <c r="BI15" s="39">
        <v>170.3946</v>
      </c>
      <c r="BJ15" s="39">
        <v>2.6379000000000001</v>
      </c>
      <c r="BK15" s="39">
        <v>1.5920000000000001</v>
      </c>
      <c r="BL15" s="40"/>
      <c r="BM15" s="43">
        <f t="shared" si="66"/>
        <v>0.10000000000331966</v>
      </c>
      <c r="BN15" s="43">
        <f t="shared" si="67"/>
        <v>2.8000000000001357</v>
      </c>
      <c r="BO15" s="43">
        <f t="shared" si="68"/>
        <v>-1.1999999999998678</v>
      </c>
      <c r="BP15" s="43">
        <f t="shared" si="69"/>
        <v>-1.6999999999995907</v>
      </c>
      <c r="BQ15" s="43">
        <f t="shared" si="70"/>
        <v>2.6000000000001577</v>
      </c>
      <c r="BR15" s="43">
        <f t="shared" si="71"/>
        <v>-2.4999999999999467</v>
      </c>
      <c r="BS15" s="43">
        <f t="shared" si="72"/>
        <v>-1.2000000000114142</v>
      </c>
      <c r="BT15" s="43">
        <f t="shared" si="73"/>
        <v>2.0999999999999908</v>
      </c>
      <c r="BU15" s="43">
        <f t="shared" si="74"/>
        <v>-3.0000000000001137</v>
      </c>
      <c r="BV15" s="43">
        <f t="shared" si="75"/>
        <v>-1.6999999999995907</v>
      </c>
      <c r="BW15" s="43">
        <f t="shared" si="76"/>
        <v>2.4999999999999467</v>
      </c>
      <c r="BX15" s="43">
        <f t="shared" si="77"/>
        <v>-2.2999999999999687</v>
      </c>
      <c r="BY15" s="43">
        <f t="shared" si="78"/>
        <v>-0.20000000000663931</v>
      </c>
      <c r="BZ15" s="43">
        <f t="shared" si="79"/>
        <v>1.2000000000003119</v>
      </c>
      <c r="CA15" s="43">
        <f t="shared" si="80"/>
        <v>-0.99999999999988987</v>
      </c>
    </row>
    <row r="16" spans="1:79" ht="29.25" customHeight="1" x14ac:dyDescent="0.2">
      <c r="A16" s="37">
        <v>43679</v>
      </c>
      <c r="B16" s="30">
        <f t="shared" si="7"/>
        <v>24</v>
      </c>
      <c r="C16" s="38">
        <v>192.5</v>
      </c>
      <c r="D16" s="38">
        <f t="shared" si="46"/>
        <v>22.099999999999994</v>
      </c>
      <c r="E16" s="39">
        <v>823220.73259999999</v>
      </c>
      <c r="F16" s="39">
        <v>1091507.8799999999</v>
      </c>
      <c r="G16" s="39">
        <v>-122.3485</v>
      </c>
      <c r="H16" s="39">
        <v>823221.65319999994</v>
      </c>
      <c r="I16" s="39">
        <v>1091506.6599999999</v>
      </c>
      <c r="J16" s="39">
        <v>-121.07980000000001</v>
      </c>
      <c r="K16" s="39">
        <v>823222.30390000006</v>
      </c>
      <c r="L16" s="39">
        <v>1091505.2879999999</v>
      </c>
      <c r="M16" s="39">
        <v>-120.4093</v>
      </c>
      <c r="N16" s="39">
        <v>823222.81279999996</v>
      </c>
      <c r="O16" s="39">
        <v>1091504.7279999999</v>
      </c>
      <c r="P16" s="39">
        <v>-121.101</v>
      </c>
      <c r="Q16" s="39">
        <v>823223.21609999996</v>
      </c>
      <c r="R16" s="39">
        <v>1091503.23</v>
      </c>
      <c r="S16" s="39">
        <v>-122.24630000000001</v>
      </c>
      <c r="T16" s="57">
        <f t="shared" si="1"/>
        <v>3.5983252118084006</v>
      </c>
      <c r="U16" s="47">
        <f t="shared" si="2"/>
        <v>1.6599291370651252</v>
      </c>
      <c r="V16" s="47">
        <f t="shared" si="3"/>
        <v>1.0251966152693051</v>
      </c>
      <c r="W16" s="57">
        <f t="shared" si="4"/>
        <v>2.9055192031140225</v>
      </c>
      <c r="X16" s="47">
        <f t="shared" si="5"/>
        <v>2.253385364323353</v>
      </c>
      <c r="Y16" s="57">
        <f t="shared" si="6"/>
        <v>5.2726385319875391</v>
      </c>
      <c r="Z16" s="74">
        <f t="shared" si="8"/>
        <v>-1.0125454292251312</v>
      </c>
      <c r="AA16" s="74">
        <f t="shared" ref="AA16" si="89">IF(U16="","",(U16-U$10)*1000)</f>
        <v>3.0650547309107878E-3</v>
      </c>
      <c r="AB16" s="74">
        <f t="shared" ref="AB16" si="90">IF(V16="","",(V16-V$10)*1000)</f>
        <v>-0.24716795831114524</v>
      </c>
      <c r="AC16" s="74">
        <f t="shared" ref="AC16" si="91">IF(W16="","",(W16-W$10)*1000)</f>
        <v>-2.9775062220886994</v>
      </c>
      <c r="AD16" s="74">
        <f t="shared" ref="AD16" si="92">IF(X16="","",(X16-X$10)*1000)</f>
        <v>0.47049643801955199</v>
      </c>
      <c r="AE16" s="74">
        <f t="shared" ref="AE16" si="93">IF(Y16="","",(Y16-Y$10)*1000)</f>
        <v>-2.0534830499006063</v>
      </c>
      <c r="AF16" s="40"/>
      <c r="AG16" s="73">
        <f t="shared" si="86"/>
        <v>0.19999989308416843</v>
      </c>
      <c r="AH16" s="73">
        <f t="shared" si="87"/>
        <v>-1.0999999940395355</v>
      </c>
      <c r="AI16" s="73">
        <f t="shared" si="88"/>
        <v>-1.0500000000064347</v>
      </c>
      <c r="AJ16" s="73">
        <f t="shared" ref="AJ16" si="94">IF(H16="","",(H16-H$10)*1000)</f>
        <v>-0.75000000651925802</v>
      </c>
      <c r="AK16" s="73">
        <f t="shared" ref="AK16" si="95">IF(I16="","",(I16-I$10)*1000)</f>
        <v>-1.2000000569969416</v>
      </c>
      <c r="AL16" s="73">
        <f t="shared" ref="AL16" si="96">IF(J16="","",(J16-J$10)*1000)</f>
        <v>-2.1500000000003183</v>
      </c>
      <c r="AM16" s="73">
        <f t="shared" ref="AM16" si="97">IF(K16="","",(K16-K$10)*1000)</f>
        <v>-0.69999985862523317</v>
      </c>
      <c r="AN16" s="73">
        <f t="shared" ref="AN16" si="98">IF(L16="","",(L16-L$10)*1000)</f>
        <v>-1.4000001829117537</v>
      </c>
      <c r="AO16" s="73">
        <f t="shared" ref="AO16" si="99">IF(M16="","",(M16-M$10)*1000)</f>
        <v>-2.6000000000010459</v>
      </c>
      <c r="AP16" s="73">
        <f t="shared" ref="AP16" si="100">IF(N16="","",(N16-N$10)*1000)</f>
        <v>-1.0000000474974513</v>
      </c>
      <c r="AQ16" s="73">
        <f t="shared" ref="AQ16" si="101">IF(O16="","",(O16-O$10)*1000)</f>
        <v>-1.9000002648681402</v>
      </c>
      <c r="AR16" s="73">
        <f t="shared" ref="AR16" si="102">IF(P16="","",(P16-P$10)*1000)</f>
        <v>-2.0499999999969987</v>
      </c>
      <c r="AS16" s="73">
        <f t="shared" ref="AS16" si="103">IF(Q16="","",(Q16-Q$10)*1000)</f>
        <v>-0.3499999875202775</v>
      </c>
      <c r="AT16" s="73">
        <f t="shared" ref="AT16" si="104">IF(R16="","",(R16-R$10)*1000)</f>
        <v>0.95000001601874828</v>
      </c>
      <c r="AU16" s="73">
        <f t="shared" ref="AU16" si="105">IF(S16="","",(S16-S$10)*1000)</f>
        <v>-0.35000000001161879</v>
      </c>
      <c r="AV16" s="40"/>
      <c r="AW16" s="39">
        <v>170.10937730000001</v>
      </c>
      <c r="AX16" s="39">
        <v>-2.6280157200000001</v>
      </c>
      <c r="AY16" s="39">
        <v>1.493286227</v>
      </c>
      <c r="AZ16" s="39">
        <v>170.42798980000001</v>
      </c>
      <c r="BA16" s="39">
        <v>-1.133064721</v>
      </c>
      <c r="BB16" s="39">
        <v>2.7588001019999999</v>
      </c>
      <c r="BC16" s="39">
        <v>170.43813130000001</v>
      </c>
      <c r="BD16" s="39">
        <v>0.38475322899999997</v>
      </c>
      <c r="BE16" s="39">
        <v>3.429198687</v>
      </c>
      <c r="BF16" s="39">
        <v>170.66261589999999</v>
      </c>
      <c r="BG16" s="39">
        <v>1.1074550139999999</v>
      </c>
      <c r="BH16" s="39">
        <v>2.735253841</v>
      </c>
      <c r="BI16" s="39">
        <v>170.39469500000001</v>
      </c>
      <c r="BJ16" s="39">
        <v>2.636170463</v>
      </c>
      <c r="BK16" s="39">
        <v>1.5926330500000001</v>
      </c>
      <c r="BL16" s="40"/>
      <c r="BM16" s="43">
        <f t="shared" ref="BM16" si="106">IF(AW16="","",(AW16-AW$10)*1000)</f>
        <v>-0.32269999999812171</v>
      </c>
      <c r="BN16" s="43">
        <f t="shared" ref="BN16" si="107">IF(AX16="","",(AX16-AX$10)*1000)</f>
        <v>1.2842800000001375</v>
      </c>
      <c r="BO16" s="43">
        <f t="shared" ref="BO16" si="108">IF(AY16="","",(AY16-AY$10)*1000)</f>
        <v>-1.0137729999999401</v>
      </c>
      <c r="BP16" s="43">
        <f t="shared" ref="BP16" si="109">IF(AZ16="","",(AZ16-AZ$10)*1000)</f>
        <v>-1.3102000000060343</v>
      </c>
      <c r="BQ16" s="43">
        <f t="shared" ref="BQ16" si="110">IF(BA16="","",(BA16-BA$10)*1000)</f>
        <v>1.1352790000001001</v>
      </c>
      <c r="BR16" s="43">
        <f t="shared" ref="BR16" si="111">IF(BB16="","",(BB16-BB$10)*1000)</f>
        <v>-2.0998979999999889</v>
      </c>
      <c r="BS16" s="43">
        <f t="shared" ref="BS16" si="112">IF(BC16="","",(BC16-BC$10)*1000)</f>
        <v>-1.0686999999904856</v>
      </c>
      <c r="BT16" s="43">
        <f t="shared" ref="BT16" si="113">IF(BD16="","",(BD16-BD$10)*1000)</f>
        <v>0.65322899999997741</v>
      </c>
      <c r="BU16" s="43">
        <f t="shared" ref="BU16" si="114">IF(BE16="","",(BE16-BE$10)*1000)</f>
        <v>-2.601312999999994</v>
      </c>
      <c r="BV16" s="43">
        <f t="shared" ref="BV16" si="115">IF(BF16="","",(BF16-BF$10)*1000)</f>
        <v>-1.5841000000023087</v>
      </c>
      <c r="BW16" s="43">
        <f t="shared" ref="BW16" si="116">IF(BG16="","",(BG16-BG$10)*1000)</f>
        <v>1.1550139999998432</v>
      </c>
      <c r="BX16" s="43">
        <f t="shared" ref="BX16" si="117">IF(BH16="","",(BH16-BH$10)*1000)</f>
        <v>-2.0461589999998253</v>
      </c>
      <c r="BY16" s="43">
        <f t="shared" ref="BY16" si="118">IF(BI16="","",(BI16-BI$10)*1000)</f>
        <v>-0.10499999999069587</v>
      </c>
      <c r="BZ16" s="43">
        <f t="shared" ref="BZ16" si="119">IF(BJ16="","",(BJ16-BJ$10)*1000)</f>
        <v>-0.5295369999998023</v>
      </c>
      <c r="CA16" s="43">
        <f t="shared" ref="CA16" si="120">IF(BK16="","",(BK16-BK$10)*1000)</f>
        <v>-0.36694999999986599</v>
      </c>
    </row>
    <row r="17" spans="1:79" ht="29.25" customHeight="1" x14ac:dyDescent="0.2">
      <c r="A17" s="37">
        <v>43682</v>
      </c>
      <c r="B17" s="30">
        <f t="shared" si="7"/>
        <v>27</v>
      </c>
      <c r="C17" s="38">
        <v>193.04</v>
      </c>
      <c r="D17" s="38">
        <f t="shared" si="46"/>
        <v>22.639999999999986</v>
      </c>
      <c r="E17" s="39">
        <v>823220.73219999997</v>
      </c>
      <c r="F17" s="39">
        <v>1091507.8788999999</v>
      </c>
      <c r="G17" s="39">
        <v>-122.3489</v>
      </c>
      <c r="H17" s="39">
        <v>823221.65220000001</v>
      </c>
      <c r="I17" s="39">
        <v>1091506.6584999999</v>
      </c>
      <c r="J17" s="39">
        <v>-121.0806</v>
      </c>
      <c r="K17" s="39">
        <v>823222.30359999998</v>
      </c>
      <c r="L17" s="39">
        <v>1091505.2874</v>
      </c>
      <c r="M17" s="39">
        <v>-120.4101</v>
      </c>
      <c r="N17" s="39">
        <v>823222.8125</v>
      </c>
      <c r="O17" s="39">
        <v>1091504.7274</v>
      </c>
      <c r="P17" s="39">
        <v>-121.1015</v>
      </c>
      <c r="Q17" s="39"/>
      <c r="R17" s="39"/>
      <c r="S17" s="39"/>
      <c r="T17" s="57">
        <f t="shared" si="1"/>
        <v>3.5977931637801603</v>
      </c>
      <c r="U17" s="47">
        <f t="shared" si="2"/>
        <v>1.6594599783113049</v>
      </c>
      <c r="V17" s="47">
        <f t="shared" si="3"/>
        <v>1.0249942292901617</v>
      </c>
      <c r="W17" s="57"/>
      <c r="X17" s="47">
        <f t="shared" si="5"/>
        <v>2.2529713956681352</v>
      </c>
      <c r="Y17" s="57" t="str">
        <f t="shared" si="6"/>
        <v/>
      </c>
      <c r="Z17" s="74">
        <f t="shared" ref="Z17:Z18" si="121">IF(T17="","",(T17-T$10)*1000)</f>
        <v>-1.5445934574653819</v>
      </c>
      <c r="AA17" s="74">
        <f t="shared" ref="AA17:AA18" si="122">IF(U17="","",(U17-U$10)*1000)</f>
        <v>-0.46609369908945375</v>
      </c>
      <c r="AB17" s="74">
        <f t="shared" ref="AB17:AB18" si="123">IF(V17="","",(V17-V$10)*1000)</f>
        <v>-0.44955393745449435</v>
      </c>
      <c r="AC17" s="74"/>
      <c r="AD17" s="74">
        <f t="shared" ref="AD17:AD18" si="124">IF(X17="","",(X17-X$10)*1000)</f>
        <v>5.6527782801740756E-2</v>
      </c>
      <c r="AE17" s="74" t="str">
        <f t="shared" ref="AE17:AE18" si="125">IF(Y17="","",(Y17-Y$10)*1000)</f>
        <v/>
      </c>
      <c r="AF17" s="40"/>
      <c r="AG17" s="73">
        <f t="shared" ref="AG17:AG18" si="126">IF(E17="","",(E17-E$10)*1000)</f>
        <v>-0.20000012591481209</v>
      </c>
      <c r="AH17" s="73">
        <f t="shared" ref="AH17:AH18" si="127">IF(F17="","",(F17-F$10)*1000)</f>
        <v>-2.199999988079071</v>
      </c>
      <c r="AI17" s="73">
        <f t="shared" ref="AI17:AI18" si="128">IF(G17="","",(G17-G$10)*1000)</f>
        <v>-1.4500000000055024</v>
      </c>
      <c r="AJ17" s="73">
        <f t="shared" ref="AJ17:AJ18" si="129">IF(H17="","",(H17-H$10)*1000)</f>
        <v>-1.7499999376013875</v>
      </c>
      <c r="AK17" s="73">
        <f t="shared" ref="AK17:AK18" si="130">IF(I17="","",(I17-I$10)*1000)</f>
        <v>-2.7000000700354576</v>
      </c>
      <c r="AL17" s="73">
        <f t="shared" ref="AL17:AL18" si="131">IF(J17="","",(J17-J$10)*1000)</f>
        <v>-2.9499999999984539</v>
      </c>
      <c r="AM17" s="73">
        <f t="shared" ref="AM17:AM18" si="132">IF(K17="","",(K17-K$10)*1000)</f>
        <v>-0.99999993108212948</v>
      </c>
      <c r="AN17" s="73">
        <f t="shared" ref="AN17:AN18" si="133">IF(L17="","",(L17-L$10)*1000)</f>
        <v>-2.0000000949949026</v>
      </c>
      <c r="AO17" s="73">
        <f t="shared" ref="AO17:AO18" si="134">IF(M17="","",(M17-M$10)*1000)</f>
        <v>-3.3999999999991815</v>
      </c>
      <c r="AP17" s="73">
        <f t="shared" ref="AP17:AP18" si="135">IF(N17="","",(N17-N$10)*1000)</f>
        <v>-1.3000000035390258</v>
      </c>
      <c r="AQ17" s="73">
        <f t="shared" ref="AQ17:AQ18" si="136">IF(O17="","",(O17-O$10)*1000)</f>
        <v>-2.5000001769512892</v>
      </c>
      <c r="AR17" s="73">
        <f t="shared" ref="AR17:AR18" si="137">IF(P17="","",(P17-P$10)*1000)</f>
        <v>-2.5499999999993861</v>
      </c>
      <c r="AS17" s="73" t="str">
        <f t="shared" ref="AS17:AS18" si="138">IF(Q17="","",(Q17-Q$10)*1000)</f>
        <v/>
      </c>
      <c r="AT17" s="73" t="str">
        <f t="shared" ref="AT17:AT18" si="139">IF(R17="","",(R17-R$10)*1000)</f>
        <v/>
      </c>
      <c r="AU17" s="73" t="str">
        <f t="shared" ref="AU17:AU18" si="140">IF(S17="","",(S17-S$10)*1000)</f>
        <v/>
      </c>
      <c r="AV17" s="40"/>
      <c r="AW17" s="39">
        <v>170.10863438810938</v>
      </c>
      <c r="AX17" s="39">
        <v>-2.6273691178487955</v>
      </c>
      <c r="AY17" s="39">
        <v>1.492893656118909</v>
      </c>
      <c r="AZ17" s="39">
        <v>170.42661856025987</v>
      </c>
      <c r="BA17" s="39">
        <v>-1.132490451763432</v>
      </c>
      <c r="BB17" s="39">
        <v>2.7580138143974011</v>
      </c>
      <c r="BC17" s="39">
        <v>170.43747903007369</v>
      </c>
      <c r="BD17" s="39">
        <v>0.38544209608326485</v>
      </c>
      <c r="BE17" s="39">
        <v>3.4284052096992639</v>
      </c>
      <c r="BF17" s="39">
        <v>170.66200592822869</v>
      </c>
      <c r="BG17" s="39">
        <v>1.1080532516040034</v>
      </c>
      <c r="BH17" s="39">
        <v>2.7347599407177086</v>
      </c>
      <c r="BI17" s="39"/>
      <c r="BJ17" s="39"/>
      <c r="BK17" s="39"/>
      <c r="BL17" s="40"/>
      <c r="BM17" s="43">
        <f t="shared" ref="BM17" si="141">IF(AW17="","",(AW17-AW$10)*1000)</f>
        <v>-1.0656118906240408</v>
      </c>
      <c r="BN17" s="43">
        <f t="shared" ref="BN17" si="142">IF(AX17="","",(AX17-AX$10)*1000)</f>
        <v>1.9308821512047381</v>
      </c>
      <c r="BO17" s="43">
        <f t="shared" ref="BO17" si="143">IF(AY17="","",(AY17-AY$10)*1000)</f>
        <v>-1.4063438810909545</v>
      </c>
      <c r="BP17" s="43">
        <f t="shared" ref="BP17" si="144">IF(AZ17="","",(AZ17-AZ$10)*1000)</f>
        <v>-2.6814397401437873</v>
      </c>
      <c r="BQ17" s="43">
        <f t="shared" ref="BQ17" si="145">IF(BA17="","",(BA17-BA$10)*1000)</f>
        <v>1.7095482365681036</v>
      </c>
      <c r="BR17" s="43">
        <f t="shared" ref="BR17" si="146">IF(BB17="","",(BB17-BB$10)*1000)</f>
        <v>-2.8861856025987898</v>
      </c>
      <c r="BS17" s="43">
        <f t="shared" ref="BS17" si="147">IF(BC17="","",(BC17-BC$10)*1000)</f>
        <v>-1.7209699263105449</v>
      </c>
      <c r="BT17" s="43">
        <f t="shared" ref="BT17" si="148">IF(BD17="","",(BD17-BD$10)*1000)</f>
        <v>1.3420960832648543</v>
      </c>
      <c r="BU17" s="43">
        <f t="shared" ref="BU17" si="149">IF(BE17="","",(BE17-BE$10)*1000)</f>
        <v>-3.3947903007360836</v>
      </c>
      <c r="BV17" s="43">
        <f t="shared" ref="BV17" si="150">IF(BF17="","",(BF17-BF$10)*1000)</f>
        <v>-2.1940717712993774</v>
      </c>
      <c r="BW17" s="43">
        <f t="shared" ref="BW17" si="151">IF(BG17="","",(BG17-BG$10)*1000)</f>
        <v>1.753251604003303</v>
      </c>
      <c r="BX17" s="43">
        <f t="shared" ref="BX17" si="152">IF(BH17="","",(BH17-BH$10)*1000)</f>
        <v>-2.5400592822912849</v>
      </c>
      <c r="BY17" s="43" t="str">
        <f t="shared" ref="BY17" si="153">IF(BI17="","",(BI17-BI$10)*1000)</f>
        <v/>
      </c>
      <c r="BZ17" s="43" t="str">
        <f t="shared" ref="BZ17" si="154">IF(BJ17="","",(BJ17-BJ$10)*1000)</f>
        <v/>
      </c>
      <c r="CA17" s="43" t="str">
        <f t="shared" ref="CA17" si="155">IF(BK17="","",(BK17-BK$10)*1000)</f>
        <v/>
      </c>
    </row>
    <row r="18" spans="1:79" ht="29.25" customHeight="1" x14ac:dyDescent="0.2">
      <c r="A18" s="37">
        <v>43684</v>
      </c>
      <c r="B18" s="30">
        <f t="shared" ref="B18:B35" si="156">A18-$A$10</f>
        <v>29</v>
      </c>
      <c r="C18" s="38">
        <v>193.6</v>
      </c>
      <c r="D18" s="38">
        <f t="shared" ref="D18:D32" si="157">C18-PM</f>
        <v>23.199999999999989</v>
      </c>
      <c r="E18" s="39">
        <v>823220.73309999995</v>
      </c>
      <c r="F18" s="39">
        <v>1091507.8799999999</v>
      </c>
      <c r="G18" s="39">
        <v>-122.3493</v>
      </c>
      <c r="H18" s="39">
        <v>823221.65319999994</v>
      </c>
      <c r="I18" s="39">
        <v>1091506.659</v>
      </c>
      <c r="J18" s="39">
        <v>-121.08110000000001</v>
      </c>
      <c r="K18" s="39">
        <v>823222.30429999996</v>
      </c>
      <c r="L18" s="39">
        <v>1091505.2879999999</v>
      </c>
      <c r="M18" s="39">
        <v>-120.4105</v>
      </c>
      <c r="N18" s="39">
        <v>823222.81319999998</v>
      </c>
      <c r="O18" s="39">
        <v>1091504.7279999999</v>
      </c>
      <c r="P18" s="39">
        <v>-121.10209999999999</v>
      </c>
      <c r="Q18" s="39">
        <v>823223.21680000005</v>
      </c>
      <c r="R18" s="39">
        <v>1091503.2290000001</v>
      </c>
      <c r="S18" s="39">
        <v>-122.2471</v>
      </c>
      <c r="T18" s="57">
        <f t="shared" si="1"/>
        <v>3.5980659915763251</v>
      </c>
      <c r="U18" s="47">
        <f t="shared" si="2"/>
        <v>1.6593000241487483</v>
      </c>
      <c r="V18" s="47">
        <f t="shared" si="3"/>
        <v>1.0251291479994713</v>
      </c>
      <c r="W18" s="57">
        <f t="shared" si="4"/>
        <v>2.9060689616258424</v>
      </c>
      <c r="X18" s="47">
        <f t="shared" si="5"/>
        <v>2.2527321191071255</v>
      </c>
      <c r="Y18" s="57">
        <f t="shared" si="6"/>
        <v>5.2736146549576333</v>
      </c>
      <c r="Z18" s="74">
        <f t="shared" si="121"/>
        <v>-1.2717656613006056</v>
      </c>
      <c r="AA18" s="74">
        <f t="shared" si="122"/>
        <v>-0.62604786164599524</v>
      </c>
      <c r="AB18" s="74">
        <f t="shared" si="123"/>
        <v>-0.31463522814489941</v>
      </c>
      <c r="AC18" s="74">
        <f t="shared" ref="AC18" si="158">IF(W18="","",(W18-W$10)*1000)</f>
        <v>-2.4277477102687683</v>
      </c>
      <c r="AD18" s="74">
        <f t="shared" si="124"/>
        <v>-0.18274877820800839</v>
      </c>
      <c r="AE18" s="74">
        <f t="shared" si="125"/>
        <v>-1.0773600798064109</v>
      </c>
      <c r="AF18" s="40"/>
      <c r="AG18" s="73">
        <f t="shared" si="126"/>
        <v>0.69999985862523317</v>
      </c>
      <c r="AH18" s="73">
        <f t="shared" si="127"/>
        <v>-1.0999999940395355</v>
      </c>
      <c r="AI18" s="73">
        <f t="shared" si="128"/>
        <v>-1.8500000000045702</v>
      </c>
      <c r="AJ18" s="73">
        <f t="shared" si="129"/>
        <v>-0.75000000651925802</v>
      </c>
      <c r="AK18" s="73">
        <f t="shared" si="130"/>
        <v>-2.199999988079071</v>
      </c>
      <c r="AL18" s="73">
        <f t="shared" si="131"/>
        <v>-3.4500000000008413</v>
      </c>
      <c r="AM18" s="73">
        <f t="shared" si="132"/>
        <v>-0.29999995604157448</v>
      </c>
      <c r="AN18" s="73">
        <f t="shared" si="133"/>
        <v>-1.4000001829117537</v>
      </c>
      <c r="AO18" s="73">
        <f t="shared" si="134"/>
        <v>-3.7999999999982492</v>
      </c>
      <c r="AP18" s="73">
        <f t="shared" si="135"/>
        <v>-0.60000002849847078</v>
      </c>
      <c r="AQ18" s="73">
        <f t="shared" si="136"/>
        <v>-1.9000002648681402</v>
      </c>
      <c r="AR18" s="73">
        <f t="shared" si="137"/>
        <v>-3.1499999999908823</v>
      </c>
      <c r="AS18" s="73">
        <f t="shared" si="138"/>
        <v>0.35000010393559933</v>
      </c>
      <c r="AT18" s="73">
        <f t="shared" si="139"/>
        <v>-4.9999915063381195E-2</v>
      </c>
      <c r="AU18" s="73">
        <f t="shared" si="140"/>
        <v>-1.1500000000097543</v>
      </c>
      <c r="AV18" s="40"/>
      <c r="AW18" s="39">
        <v>170.10970359999999</v>
      </c>
      <c r="AX18" s="39">
        <v>-2.6275325060000001</v>
      </c>
      <c r="AY18" s="39">
        <v>1.4924829639999999</v>
      </c>
      <c r="AZ18" s="39">
        <v>170.42760939999999</v>
      </c>
      <c r="BA18" s="39">
        <v>-1.132249058</v>
      </c>
      <c r="BB18" s="39">
        <v>2.7575039060000002</v>
      </c>
      <c r="BC18" s="39">
        <v>170.4383248</v>
      </c>
      <c r="BD18" s="39">
        <v>0.38528480599999998</v>
      </c>
      <c r="BE18" s="39">
        <v>3.4279967519999999</v>
      </c>
      <c r="BF18" s="39">
        <v>170.6627671</v>
      </c>
      <c r="BG18" s="39">
        <v>1.10807722</v>
      </c>
      <c r="BH18" s="39">
        <v>2.734152329</v>
      </c>
      <c r="BI18" s="39">
        <v>170.3952448</v>
      </c>
      <c r="BJ18" s="39">
        <v>2.6366475779999998</v>
      </c>
      <c r="BK18" s="39">
        <v>1.591827552</v>
      </c>
      <c r="BL18" s="40"/>
      <c r="BM18" s="43">
        <f t="shared" ref="BM18" si="159">IF(AW18="","",(AW18-AW$10)*1000)</f>
        <v>3.5999999852265319E-3</v>
      </c>
      <c r="BN18" s="43">
        <f t="shared" ref="BN18" si="160">IF(AX18="","",(AX18-AX$10)*1000)</f>
        <v>1.7674940000000916</v>
      </c>
      <c r="BO18" s="43">
        <f t="shared" ref="BO18" si="161">IF(AY18="","",(AY18-AY$10)*1000)</f>
        <v>-1.8170360000000496</v>
      </c>
      <c r="BP18" s="43">
        <f t="shared" ref="BP18" si="162">IF(AZ18="","",(AZ18-AZ$10)*1000)</f>
        <v>-1.6906000000176391</v>
      </c>
      <c r="BQ18" s="43">
        <f t="shared" ref="BQ18" si="163">IF(BA18="","",(BA18-BA$10)*1000)</f>
        <v>1.9509420000001221</v>
      </c>
      <c r="BR18" s="43">
        <f t="shared" ref="BR18" si="164">IF(BB18="","",(BB18-BB$10)*1000)</f>
        <v>-3.3960939999997386</v>
      </c>
      <c r="BS18" s="43">
        <f t="shared" ref="BS18" si="165">IF(BC18="","",(BC18-BC$10)*1000)</f>
        <v>-0.87519999999585707</v>
      </c>
      <c r="BT18" s="43">
        <f t="shared" ref="BT18" si="166">IF(BD18="","",(BD18-BD$10)*1000)</f>
        <v>1.1848059999999827</v>
      </c>
      <c r="BU18" s="43">
        <f t="shared" ref="BU18" si="167">IF(BE18="","",(BE18-BE$10)*1000)</f>
        <v>-3.8032480000000923</v>
      </c>
      <c r="BV18" s="43">
        <f t="shared" ref="BV18" si="168">IF(BF18="","",(BF18-BF$10)*1000)</f>
        <v>-1.4328999999975167</v>
      </c>
      <c r="BW18" s="43">
        <f t="shared" ref="BW18" si="169">IF(BG18="","",(BG18-BG$10)*1000)</f>
        <v>1.7772199999999128</v>
      </c>
      <c r="BX18" s="43">
        <f t="shared" ref="BX18" si="170">IF(BH18="","",(BH18-BH$10)*1000)</f>
        <v>-3.1476709999997965</v>
      </c>
      <c r="BY18" s="43">
        <f t="shared" ref="BY18" si="171">IF(BI18="","",(BI18-BI$10)*1000)</f>
        <v>0.44479999999680331</v>
      </c>
      <c r="BZ18" s="43">
        <f t="shared" ref="BZ18" si="172">IF(BJ18="","",(BJ18-BJ$10)*1000)</f>
        <v>-5.2421999999996416E-2</v>
      </c>
      <c r="CA18" s="43">
        <f t="shared" ref="CA18" si="173">IF(BK18="","",(BK18-BK$10)*1000)</f>
        <v>-1.1724479999999371</v>
      </c>
    </row>
    <row r="19" spans="1:79" ht="29.25" customHeight="1" x14ac:dyDescent="0.2">
      <c r="A19" s="37">
        <v>43685</v>
      </c>
      <c r="B19" s="30">
        <f t="shared" si="156"/>
        <v>30</v>
      </c>
      <c r="C19" s="38">
        <v>193.6</v>
      </c>
      <c r="D19" s="38">
        <f t="shared" si="157"/>
        <v>23.199999999999989</v>
      </c>
      <c r="E19" s="39">
        <v>823220.73360000004</v>
      </c>
      <c r="F19" s="39">
        <v>1091507.879</v>
      </c>
      <c r="G19" s="39">
        <v>-122.3489</v>
      </c>
      <c r="H19" s="39">
        <v>823221.65339999995</v>
      </c>
      <c r="I19" s="39">
        <v>1091506.6580000001</v>
      </c>
      <c r="J19" s="39">
        <v>-121.08069999999999</v>
      </c>
      <c r="K19" s="39">
        <v>823222.30469999998</v>
      </c>
      <c r="L19" s="39">
        <v>1091505.287</v>
      </c>
      <c r="M19" s="39">
        <v>-120.4101</v>
      </c>
      <c r="N19" s="39">
        <v>823222.81359999999</v>
      </c>
      <c r="O19" s="39">
        <v>1091504.727</v>
      </c>
      <c r="P19" s="39">
        <v>-121.1014</v>
      </c>
      <c r="Q19" s="39">
        <v>823223.21699999995</v>
      </c>
      <c r="R19" s="39">
        <v>1091503.2279999999</v>
      </c>
      <c r="S19" s="39">
        <v>-122.2465</v>
      </c>
      <c r="T19" s="57">
        <f t="shared" si="1"/>
        <v>3.5980223247695808</v>
      </c>
      <c r="U19" s="47">
        <f t="shared" si="2"/>
        <v>1.6593785132248757</v>
      </c>
      <c r="V19" s="47">
        <f t="shared" si="3"/>
        <v>1.0249267779105626</v>
      </c>
      <c r="W19" s="57">
        <f t="shared" si="4"/>
        <v>2.9058797721953487</v>
      </c>
      <c r="X19" s="47">
        <f t="shared" si="5"/>
        <v>2.2528323351902904</v>
      </c>
      <c r="Y19" s="57">
        <f t="shared" si="6"/>
        <v>5.2734772513220873</v>
      </c>
      <c r="Z19" s="74">
        <f t="shared" ref="Z19" si="174">IF(T19="","",(T19-T$10)*1000)</f>
        <v>-1.3154324680448859</v>
      </c>
      <c r="AA19" s="74">
        <f t="shared" ref="AA19" si="175">IF(U19="","",(U19-U$10)*1000)</f>
        <v>-0.54755878551859816</v>
      </c>
      <c r="AB19" s="74">
        <f t="shared" ref="AB19" si="176">IF(V19="","",(V19-V$10)*1000)</f>
        <v>-0.51700531705356489</v>
      </c>
      <c r="AC19" s="74">
        <f t="shared" ref="AC19" si="177">IF(W19="","",(W19-W$10)*1000)</f>
        <v>-2.6169371407624986</v>
      </c>
      <c r="AD19" s="74">
        <f t="shared" ref="AD19" si="178">IF(X19="","",(X19-X$10)*1000)</f>
        <v>-8.2532695043102677E-2</v>
      </c>
      <c r="AE19" s="74">
        <f t="shared" ref="AE19" si="179">IF(Y19="","",(Y19-Y$10)*1000)</f>
        <v>-1.2147637153523405</v>
      </c>
      <c r="AF19" s="40"/>
      <c r="AG19" s="73">
        <f t="shared" ref="AG19" si="180">IF(E19="","",(E19-E$10)*1000)</f>
        <v>1.1999999405816197</v>
      </c>
      <c r="AH19" s="73">
        <f t="shared" ref="AH19" si="181">IF(F19="","",(F19-F$10)*1000)</f>
        <v>-2.099999925121665</v>
      </c>
      <c r="AI19" s="73">
        <f t="shared" ref="AI19" si="182">IF(G19="","",(G19-G$10)*1000)</f>
        <v>-1.4500000000055024</v>
      </c>
      <c r="AJ19" s="73">
        <f t="shared" ref="AJ19" si="183">IF(H19="","",(H19-H$10)*1000)</f>
        <v>-0.54999999701976776</v>
      </c>
      <c r="AK19" s="73">
        <f t="shared" ref="AK19" si="184">IF(I19="","",(I19-I$10)*1000)</f>
        <v>-3.1999999191612005</v>
      </c>
      <c r="AL19" s="73">
        <f t="shared" ref="AL19" si="185">IF(J19="","",(J19-J$10)*1000)</f>
        <v>-3.0499999999875627</v>
      </c>
      <c r="AM19" s="73">
        <f t="shared" ref="AM19" si="186">IF(K19="","",(K19-K$10)*1000)</f>
        <v>0.10000006295740604</v>
      </c>
      <c r="AN19" s="73">
        <f t="shared" ref="AN19" si="187">IF(L19="","",(L19-L$10)*1000)</f>
        <v>-2.4000001139938831</v>
      </c>
      <c r="AO19" s="73">
        <f t="shared" ref="AO19" si="188">IF(M19="","",(M19-M$10)*1000)</f>
        <v>-3.3999999999991815</v>
      </c>
      <c r="AP19" s="73">
        <f t="shared" ref="AP19" si="189">IF(N19="","",(N19-N$10)*1000)</f>
        <v>-0.20000000949949026</v>
      </c>
      <c r="AQ19" s="73">
        <f t="shared" ref="AQ19" si="190">IF(O19="","",(O19-O$10)*1000)</f>
        <v>-2.9000001959502697</v>
      </c>
      <c r="AR19" s="73">
        <f t="shared" ref="AR19" si="191">IF(P19="","",(P19-P$10)*1000)</f>
        <v>-2.4499999999960664</v>
      </c>
      <c r="AS19" s="73">
        <f t="shared" ref="AS19" si="192">IF(Q19="","",(Q19-Q$10)*1000)</f>
        <v>0.54999999701976776</v>
      </c>
      <c r="AT19" s="73">
        <f t="shared" ref="AT19" si="193">IF(R19="","",(R19-R$10)*1000)</f>
        <v>-1.0500000789761543</v>
      </c>
      <c r="AU19" s="73">
        <f t="shared" ref="AU19" si="194">IF(S19="","",(S19-S$10)*1000)</f>
        <v>-0.55000000000404725</v>
      </c>
      <c r="AV19" s="40"/>
      <c r="AW19" s="39">
        <v>170.10977639999999</v>
      </c>
      <c r="AX19" s="39">
        <v>-2.626505517</v>
      </c>
      <c r="AY19" s="39">
        <v>1.492882236</v>
      </c>
      <c r="AZ19" s="39">
        <v>170.42741029999999</v>
      </c>
      <c r="BA19" s="39">
        <v>-1.1313488650000001</v>
      </c>
      <c r="BB19" s="39">
        <v>2.7579058970000001</v>
      </c>
      <c r="BC19" s="39">
        <v>170.4383492</v>
      </c>
      <c r="BD19" s="39">
        <v>0.38617890100000002</v>
      </c>
      <c r="BE19" s="39">
        <v>3.4283965080000001</v>
      </c>
      <c r="BF19" s="39">
        <v>170.6627493</v>
      </c>
      <c r="BG19" s="39">
        <v>1.109061944</v>
      </c>
      <c r="BH19" s="39">
        <v>2.7348525069999998</v>
      </c>
      <c r="BI19" s="39">
        <v>170.3950457</v>
      </c>
      <c r="BJ19" s="39">
        <v>2.6375477709999999</v>
      </c>
      <c r="BK19" s="39">
        <v>1.5924295429999999</v>
      </c>
      <c r="BL19" s="40"/>
      <c r="BM19" s="43">
        <f t="shared" ref="BM19" si="195">IF(AW19="","",(AW19-AW$10)*1000)</f>
        <v>7.6399999983323141E-2</v>
      </c>
      <c r="BN19" s="43">
        <f t="shared" ref="BN19" si="196">IF(AX19="","",(AX19-AX$10)*1000)</f>
        <v>2.7944830000001808</v>
      </c>
      <c r="BO19" s="43">
        <f t="shared" ref="BO19" si="197">IF(AY19="","",(AY19-AY$10)*1000)</f>
        <v>-1.4177639999999325</v>
      </c>
      <c r="BP19" s="43">
        <f t="shared" ref="BP19" si="198">IF(AZ19="","",(AZ19-AZ$10)*1000)</f>
        <v>-1.8897000000208664</v>
      </c>
      <c r="BQ19" s="43">
        <f t="shared" ref="BQ19" si="199">IF(BA19="","",(BA19-BA$10)*1000)</f>
        <v>2.8511350000000046</v>
      </c>
      <c r="BR19" s="43">
        <f t="shared" ref="BR19" si="200">IF(BB19="","",(BB19-BB$10)*1000)</f>
        <v>-2.9941029999998037</v>
      </c>
      <c r="BS19" s="43">
        <f t="shared" ref="BS19" si="201">IF(BC19="","",(BC19-BC$10)*1000)</f>
        <v>-0.85079999999493339</v>
      </c>
      <c r="BT19" s="43">
        <f t="shared" ref="BT19" si="202">IF(BD19="","",(BD19-BD$10)*1000)</f>
        <v>2.0789010000000219</v>
      </c>
      <c r="BU19" s="43">
        <f t="shared" ref="BU19" si="203">IF(BE19="","",(BE19-BE$10)*1000)</f>
        <v>-3.4034919999998969</v>
      </c>
      <c r="BV19" s="43">
        <f t="shared" ref="BV19" si="204">IF(BF19="","",(BF19-BF$10)*1000)</f>
        <v>-1.4506999999923664</v>
      </c>
      <c r="BW19" s="43">
        <f t="shared" ref="BW19" si="205">IF(BG19="","",(BG19-BG$10)*1000)</f>
        <v>2.7619439999999607</v>
      </c>
      <c r="BX19" s="43">
        <f t="shared" ref="BX19" si="206">IF(BH19="","",(BH19-BH$10)*1000)</f>
        <v>-2.4474930000000228</v>
      </c>
      <c r="BY19" s="43">
        <f t="shared" ref="BY19" si="207">IF(BI19="","",(BI19-BI$10)*1000)</f>
        <v>0.24569999999357606</v>
      </c>
      <c r="BZ19" s="43">
        <f t="shared" ref="BZ19" si="208">IF(BJ19="","",(BJ19-BJ$10)*1000)</f>
        <v>0.84777100000010819</v>
      </c>
      <c r="CA19" s="43">
        <f t="shared" ref="CA19" si="209">IF(BK19="","",(BK19-BK$10)*1000)</f>
        <v>-0.57045700000002419</v>
      </c>
    </row>
    <row r="20" spans="1:79" ht="29.25" customHeight="1" x14ac:dyDescent="0.2">
      <c r="A20" s="37">
        <v>43689</v>
      </c>
      <c r="B20" s="30">
        <f t="shared" si="156"/>
        <v>34</v>
      </c>
      <c r="C20" s="38">
        <v>194.8</v>
      </c>
      <c r="D20" s="38">
        <f t="shared" si="157"/>
        <v>24.400000000000006</v>
      </c>
      <c r="E20" s="39">
        <v>823220.73190000001</v>
      </c>
      <c r="F20" s="39">
        <v>1091507.879</v>
      </c>
      <c r="G20" s="39">
        <v>-122.3496</v>
      </c>
      <c r="H20" s="39">
        <v>823221.65170000005</v>
      </c>
      <c r="I20" s="39">
        <v>1091506.6580000001</v>
      </c>
      <c r="J20" s="39">
        <v>-121.0818</v>
      </c>
      <c r="K20" s="39">
        <v>823222.30310000002</v>
      </c>
      <c r="L20" s="39">
        <v>1091505.287</v>
      </c>
      <c r="M20" s="39">
        <v>-120.4111</v>
      </c>
      <c r="N20" s="39">
        <v>823222.81189999997</v>
      </c>
      <c r="O20" s="39">
        <v>1091504.727</v>
      </c>
      <c r="P20" s="39">
        <v>-121.10250000000001</v>
      </c>
      <c r="Q20" s="39">
        <v>823223.21539999999</v>
      </c>
      <c r="R20" s="39">
        <v>1091503.2290000001</v>
      </c>
      <c r="S20" s="39">
        <v>-122.247</v>
      </c>
      <c r="T20" s="57">
        <f t="shared" si="1"/>
        <v>3.5979043469411587</v>
      </c>
      <c r="U20" s="47">
        <f t="shared" si="2"/>
        <v>1.6594581796727399</v>
      </c>
      <c r="V20" s="47">
        <f t="shared" si="3"/>
        <v>1.0249445838746913</v>
      </c>
      <c r="W20" s="57">
        <f t="shared" si="4"/>
        <v>2.904855263137764</v>
      </c>
      <c r="X20" s="47">
        <f t="shared" si="5"/>
        <v>2.2528323351303365</v>
      </c>
      <c r="Y20" s="57">
        <f t="shared" si="6"/>
        <v>5.2726463003884216</v>
      </c>
      <c r="Z20" s="74">
        <f t="shared" ref="Z20" si="210">IF(T20="","",(T20-T$10)*1000)</f>
        <v>-1.4334102964670414</v>
      </c>
      <c r="AA20" s="74">
        <f t="shared" ref="AA20" si="211">IF(U20="","",(U20-U$10)*1000)</f>
        <v>-0.46789233765442972</v>
      </c>
      <c r="AB20" s="74">
        <f t="shared" ref="AB20" si="212">IF(V20="","",(V20-V$10)*1000)</f>
        <v>-0.49919935292486173</v>
      </c>
      <c r="AC20" s="74">
        <f t="shared" ref="AC20" si="213">IF(W20="","",(W20-W$10)*1000)</f>
        <v>-3.6414461983471647</v>
      </c>
      <c r="AD20" s="74">
        <f t="shared" ref="AD20" si="214">IF(X20="","",(X20-X$10)*1000)</f>
        <v>-8.2532754996922364E-2</v>
      </c>
      <c r="AE20" s="74">
        <f t="shared" ref="AE20" si="215">IF(Y20="","",(Y20-Y$10)*1000)</f>
        <v>-2.0457146490180378</v>
      </c>
      <c r="AF20" s="40"/>
      <c r="AG20" s="73">
        <f t="shared" ref="AG20" si="216">IF(E20="","",(E20-E$10)*1000)</f>
        <v>-0.50000008195638657</v>
      </c>
      <c r="AH20" s="73">
        <f t="shared" ref="AH20" si="217">IF(F20="","",(F20-F$10)*1000)</f>
        <v>-2.099999925121665</v>
      </c>
      <c r="AI20" s="73">
        <f t="shared" ref="AI20" si="218">IF(G20="","",(G20-G$10)*1000)</f>
        <v>-2.1500000000003183</v>
      </c>
      <c r="AJ20" s="73">
        <f t="shared" ref="AJ20" si="219">IF(H20="","",(H20-H$10)*1000)</f>
        <v>-2.2499999031424522</v>
      </c>
      <c r="AK20" s="73">
        <f t="shared" ref="AK20" si="220">IF(I20="","",(I20-I$10)*1000)</f>
        <v>-3.1999999191612005</v>
      </c>
      <c r="AL20" s="73">
        <f t="shared" ref="AL20" si="221">IF(J20="","",(J20-J$10)*1000)</f>
        <v>-4.1499999999956572</v>
      </c>
      <c r="AM20" s="73">
        <f t="shared" ref="AM20" si="222">IF(K20="","",(K20-K$10)*1000)</f>
        <v>-1.4999998966231942</v>
      </c>
      <c r="AN20" s="73">
        <f t="shared" ref="AN20" si="223">IF(L20="","",(L20-L$10)*1000)</f>
        <v>-2.4000001139938831</v>
      </c>
      <c r="AO20" s="73">
        <f t="shared" ref="AO20" si="224">IF(M20="","",(M20-M$10)*1000)</f>
        <v>-4.4000000000039563</v>
      </c>
      <c r="AP20" s="73">
        <f t="shared" ref="AP20" si="225">IF(N20="","",(N20-N$10)*1000)</f>
        <v>-1.9000000320374966</v>
      </c>
      <c r="AQ20" s="73">
        <f t="shared" ref="AQ20" si="226">IF(O20="","",(O20-O$10)*1000)</f>
        <v>-2.9000001959502697</v>
      </c>
      <c r="AR20" s="73">
        <f t="shared" ref="AR20" si="227">IF(P20="","",(P20-P$10)*1000)</f>
        <v>-3.5500000000041609</v>
      </c>
      <c r="AS20" s="73">
        <f t="shared" ref="AS20" si="228">IF(Q20="","",(Q20-Q$10)*1000)</f>
        <v>-1.0499999625608325</v>
      </c>
      <c r="AT20" s="73">
        <f t="shared" ref="AT20" si="229">IF(R20="","",(R20-R$10)*1000)</f>
        <v>-4.9999915063381195E-2</v>
      </c>
      <c r="AU20" s="73">
        <f t="shared" ref="AU20" si="230">IF(S20="","",(S20-S$10)*1000)</f>
        <v>-1.0500000000064347</v>
      </c>
      <c r="AV20" s="40"/>
      <c r="AW20" s="39">
        <v>170.1083625</v>
      </c>
      <c r="AX20" s="39">
        <v>-2.6274959130000002</v>
      </c>
      <c r="AY20" s="39">
        <v>1.492196375</v>
      </c>
      <c r="AZ20" s="39">
        <v>170.42591179999999</v>
      </c>
      <c r="BA20" s="39">
        <v>-1.132158003</v>
      </c>
      <c r="BB20" s="39">
        <v>2.756820882</v>
      </c>
      <c r="BC20" s="39">
        <v>170.43689910000001</v>
      </c>
      <c r="BD20" s="39">
        <v>0.385502658</v>
      </c>
      <c r="BE20" s="39">
        <v>3.4274110090000001</v>
      </c>
      <c r="BF20" s="39">
        <v>170.66120860000001</v>
      </c>
      <c r="BG20" s="39">
        <v>1.108343436</v>
      </c>
      <c r="BH20" s="39">
        <v>2.733767914</v>
      </c>
      <c r="BI20" s="39">
        <v>170.39380700000001</v>
      </c>
      <c r="BJ20" s="39">
        <v>2.636418382</v>
      </c>
      <c r="BK20" s="39">
        <v>1.5919419299999999</v>
      </c>
      <c r="BL20" s="40"/>
      <c r="BM20" s="43">
        <f t="shared" ref="BM20" si="231">IF(AW20="","",(AW20-AW$10)*1000)</f>
        <v>-1.3375000000053205</v>
      </c>
      <c r="BN20" s="43">
        <f t="shared" ref="BN20" si="232">IF(AX20="","",(AX20-AX$10)*1000)</f>
        <v>1.8040870000000098</v>
      </c>
      <c r="BO20" s="43">
        <f t="shared" ref="BO20" si="233">IF(AY20="","",(AY20-AY$10)*1000)</f>
        <v>-2.1036249999999423</v>
      </c>
      <c r="BP20" s="43">
        <f t="shared" ref="BP20" si="234">IF(AZ20="","",(AZ20-AZ$10)*1000)</f>
        <v>-3.3882000000176049</v>
      </c>
      <c r="BQ20" s="43">
        <f t="shared" ref="BQ20" si="235">IF(BA20="","",(BA20-BA$10)*1000)</f>
        <v>2.0419970000000731</v>
      </c>
      <c r="BR20" s="43">
        <f t="shared" ref="BR20" si="236">IF(BB20="","",(BB20-BB$10)*1000)</f>
        <v>-4.0791179999999372</v>
      </c>
      <c r="BS20" s="43">
        <f t="shared" ref="BS20" si="237">IF(BC20="","",(BC20-BC$10)*1000)</f>
        <v>-2.300899999994499</v>
      </c>
      <c r="BT20" s="43">
        <f t="shared" ref="BT20" si="238">IF(BD20="","",(BD20-BD$10)*1000)</f>
        <v>1.4026580000000011</v>
      </c>
      <c r="BU20" s="43">
        <f t="shared" ref="BU20" si="239">IF(BE20="","",(BE20-BE$10)*1000)</f>
        <v>-4.3889909999998977</v>
      </c>
      <c r="BV20" s="43">
        <f t="shared" ref="BV20" si="240">IF(BF20="","",(BF20-BF$10)*1000)</f>
        <v>-2.9913999999848784</v>
      </c>
      <c r="BW20" s="43">
        <f t="shared" ref="BW20" si="241">IF(BG20="","",(BG20-BG$10)*1000)</f>
        <v>2.0434359999998986</v>
      </c>
      <c r="BX20" s="43">
        <f t="shared" ref="BX20" si="242">IF(BH20="","",(BH20-BH$10)*1000)</f>
        <v>-3.5320859999998788</v>
      </c>
      <c r="BY20" s="43">
        <f t="shared" ref="BY20" si="243">IF(BI20="","",(BI20-BI$10)*1000)</f>
        <v>-0.99299999999402644</v>
      </c>
      <c r="BZ20" s="43">
        <f t="shared" ref="BZ20" si="244">IF(BJ20="","",(BJ20-BJ$10)*1000)</f>
        <v>-0.28161799999981696</v>
      </c>
      <c r="CA20" s="43">
        <f t="shared" ref="CA20" si="245">IF(BK20="","",(BK20-BK$10)*1000)</f>
        <v>-1.058070000000022</v>
      </c>
    </row>
    <row r="21" spans="1:79" ht="29.25" customHeight="1" x14ac:dyDescent="0.2">
      <c r="A21" s="37">
        <v>43690</v>
      </c>
      <c r="B21" s="30">
        <f t="shared" si="156"/>
        <v>35</v>
      </c>
      <c r="C21" s="38">
        <v>194.8</v>
      </c>
      <c r="D21" s="38">
        <f t="shared" si="157"/>
        <v>24.400000000000006</v>
      </c>
      <c r="E21" s="39">
        <v>823220.73210000002</v>
      </c>
      <c r="F21" s="39">
        <v>1091507.878</v>
      </c>
      <c r="G21" s="39">
        <v>-122.3492</v>
      </c>
      <c r="H21" s="39">
        <v>823221.65150000004</v>
      </c>
      <c r="I21" s="39">
        <v>1091506.6569999999</v>
      </c>
      <c r="J21" s="39">
        <v>-121.0814</v>
      </c>
      <c r="K21" s="39">
        <v>823222.30370000005</v>
      </c>
      <c r="L21" s="39">
        <v>1091505.287</v>
      </c>
      <c r="M21" s="39">
        <v>-120.4105</v>
      </c>
      <c r="N21" s="39">
        <v>823222.81200000003</v>
      </c>
      <c r="O21" s="39">
        <v>1091504.726</v>
      </c>
      <c r="P21" s="39">
        <v>-121.1019</v>
      </c>
      <c r="Q21" s="39">
        <v>823223.21589999995</v>
      </c>
      <c r="R21" s="39">
        <v>1091503.2279999999</v>
      </c>
      <c r="S21" s="39">
        <v>-122.2466</v>
      </c>
      <c r="T21" s="57">
        <f t="shared" si="1"/>
        <v>3.597466504382643</v>
      </c>
      <c r="U21" s="47">
        <f t="shared" si="2"/>
        <v>1.6590273203546371</v>
      </c>
      <c r="V21" s="47">
        <f t="shared" si="3"/>
        <v>1.0252433125711811</v>
      </c>
      <c r="W21" s="57">
        <f t="shared" si="4"/>
        <v>2.9056587979904407</v>
      </c>
      <c r="X21" s="47">
        <f t="shared" si="5"/>
        <v>2.2529850198076646</v>
      </c>
      <c r="Y21" s="57">
        <f t="shared" si="6"/>
        <v>5.2727876119702239</v>
      </c>
      <c r="Z21" s="74">
        <f t="shared" ref="Z21" si="246">IF(T21="","",(T21-T$10)*1000)</f>
        <v>-1.8712528549826857</v>
      </c>
      <c r="AA21" s="74">
        <f t="shared" ref="AA21" si="247">IF(U21="","",(U21-U$10)*1000)</f>
        <v>-0.89875165575725724</v>
      </c>
      <c r="AB21" s="74">
        <f t="shared" ref="AB21" si="248">IF(V21="","",(V21-V$10)*1000)</f>
        <v>-0.20047065643513662</v>
      </c>
      <c r="AC21" s="74">
        <f t="shared" ref="AC21" si="249">IF(W21="","",(W21-W$10)*1000)</f>
        <v>-2.837911345670463</v>
      </c>
      <c r="AD21" s="74">
        <f t="shared" ref="AD21" si="250">IF(X21="","",(X21-X$10)*1000)</f>
        <v>7.0151922331174177E-2</v>
      </c>
      <c r="AE21" s="74">
        <f t="shared" ref="AE21" si="251">IF(Y21="","",(Y21-Y$10)*1000)</f>
        <v>-1.9044030672157319</v>
      </c>
      <c r="AF21" s="40"/>
      <c r="AG21" s="73">
        <f t="shared" ref="AG21" si="252">IF(E21="","",(E21-E$10)*1000)</f>
        <v>-0.30000007245689631</v>
      </c>
      <c r="AH21" s="73">
        <f t="shared" ref="AH21" si="253">IF(F21="","",(F21-F$10)*1000)</f>
        <v>-3.0999998562037945</v>
      </c>
      <c r="AI21" s="73">
        <f t="shared" ref="AI21" si="254">IF(G21="","",(G21-G$10)*1000)</f>
        <v>-1.7500000000012506</v>
      </c>
      <c r="AJ21" s="73">
        <f t="shared" ref="AJ21" si="255">IF(H21="","",(H21-H$10)*1000)</f>
        <v>-2.4499999126419425</v>
      </c>
      <c r="AK21" s="73">
        <f t="shared" ref="AK21" si="256">IF(I21="","",(I21-I$10)*1000)</f>
        <v>-4.2000000830739737</v>
      </c>
      <c r="AL21" s="73">
        <f t="shared" ref="AL21" si="257">IF(J21="","",(J21-J$10)*1000)</f>
        <v>-3.7499999999965894</v>
      </c>
      <c r="AM21" s="73">
        <f t="shared" ref="AM21" si="258">IF(K21="","",(K21-K$10)*1000)</f>
        <v>-0.89999986812472343</v>
      </c>
      <c r="AN21" s="73">
        <f t="shared" ref="AN21" si="259">IF(L21="","",(L21-L$10)*1000)</f>
        <v>-2.4000001139938831</v>
      </c>
      <c r="AO21" s="73">
        <f t="shared" ref="AO21" si="260">IF(M21="","",(M21-M$10)*1000)</f>
        <v>-3.7999999999982492</v>
      </c>
      <c r="AP21" s="73">
        <f t="shared" ref="AP21" si="261">IF(N21="","",(N21-N$10)*1000)</f>
        <v>-1.7999999690800905</v>
      </c>
      <c r="AQ21" s="73">
        <f t="shared" ref="AQ21" si="262">IF(O21="","",(O21-O$10)*1000)</f>
        <v>-3.9000001270323992</v>
      </c>
      <c r="AR21" s="73">
        <f t="shared" ref="AR21" si="263">IF(P21="","",(P21-P$10)*1000)</f>
        <v>-2.9499999999984539</v>
      </c>
      <c r="AS21" s="73">
        <f t="shared" ref="AS21" si="264">IF(Q21="","",(Q21-Q$10)*1000)</f>
        <v>-0.54999999701976776</v>
      </c>
      <c r="AT21" s="73">
        <f t="shared" ref="AT21" si="265">IF(R21="","",(R21-R$10)*1000)</f>
        <v>-1.0500000789761543</v>
      </c>
      <c r="AU21" s="73">
        <f t="shared" ref="AU21" si="266">IF(S21="","",(S21-S$10)*1000)</f>
        <v>-0.65000000000736691</v>
      </c>
      <c r="AV21" s="40"/>
      <c r="AW21" s="39">
        <v>170.10824790000001</v>
      </c>
      <c r="AX21" s="39">
        <v>-2.6267769790000002</v>
      </c>
      <c r="AY21" s="39">
        <v>1.492597521</v>
      </c>
      <c r="AZ21" s="39">
        <v>170.42530790000001</v>
      </c>
      <c r="BA21" s="39">
        <v>-1.1313362410000001</v>
      </c>
      <c r="BB21" s="39">
        <v>2.757226921</v>
      </c>
      <c r="BC21" s="39">
        <v>170.4371893</v>
      </c>
      <c r="BD21" s="39">
        <v>0.38630002400000002</v>
      </c>
      <c r="BE21" s="39">
        <v>3.4280081070000001</v>
      </c>
      <c r="BF21" s="39">
        <v>170.66091879999999</v>
      </c>
      <c r="BG21" s="39">
        <v>1.109201364</v>
      </c>
      <c r="BH21" s="39">
        <v>2.7343708119999999</v>
      </c>
      <c r="BI21" s="39">
        <v>170.39387970000001</v>
      </c>
      <c r="BJ21" s="39">
        <v>2.6374453710000001</v>
      </c>
      <c r="BK21" s="39">
        <v>1.5923412029999999</v>
      </c>
      <c r="BL21" s="40"/>
      <c r="BM21" s="43">
        <f t="shared" ref="BM21" si="267">IF(AW21="","",(AW21-AW$10)*1000)</f>
        <v>-1.4520999999945161</v>
      </c>
      <c r="BN21" s="43">
        <f t="shared" ref="BN21" si="268">IF(AX21="","",(AX21-AX$10)*1000)</f>
        <v>2.5230210000000142</v>
      </c>
      <c r="BO21" s="43">
        <f t="shared" ref="BO21" si="269">IF(AY21="","",(AY21-AY$10)*1000)</f>
        <v>-1.702478999999979</v>
      </c>
      <c r="BP21" s="43">
        <f t="shared" ref="BP21" si="270">IF(AZ21="","",(AZ21-AZ$10)*1000)</f>
        <v>-3.9921000000049389</v>
      </c>
      <c r="BQ21" s="43">
        <f t="shared" ref="BQ21" si="271">IF(BA21="","",(BA21-BA$10)*1000)</f>
        <v>2.8637590000000213</v>
      </c>
      <c r="BR21" s="43">
        <f t="shared" ref="BR21" si="272">IF(BB21="","",(BB21-BB$10)*1000)</f>
        <v>-3.6730789999999125</v>
      </c>
      <c r="BS21" s="43">
        <f t="shared" ref="BS21" si="273">IF(BC21="","",(BC21-BC$10)*1000)</f>
        <v>-2.0106999999995878</v>
      </c>
      <c r="BT21" s="43">
        <f t="shared" ref="BT21" si="274">IF(BD21="","",(BD21-BD$10)*1000)</f>
        <v>2.2000240000000226</v>
      </c>
      <c r="BU21" s="43">
        <f t="shared" ref="BU21" si="275">IF(BE21="","",(BE21-BE$10)*1000)</f>
        <v>-3.7918929999998241</v>
      </c>
      <c r="BV21" s="43">
        <f t="shared" ref="BV21" si="276">IF(BF21="","",(BF21-BF$10)*1000)</f>
        <v>-3.2812000000035368</v>
      </c>
      <c r="BW21" s="43">
        <f t="shared" ref="BW21" si="277">IF(BG21="","",(BG21-BG$10)*1000)</f>
        <v>2.9013639999999619</v>
      </c>
      <c r="BX21" s="43">
        <f t="shared" ref="BX21" si="278">IF(BH21="","",(BH21-BH$10)*1000)</f>
        <v>-2.9291879999999715</v>
      </c>
      <c r="BY21" s="43">
        <f t="shared" ref="BY21" si="279">IF(BI21="","",(BI21-BI$10)*1000)</f>
        <v>-0.92029999998999301</v>
      </c>
      <c r="BZ21" s="43">
        <f t="shared" ref="BZ21" si="280">IF(BJ21="","",(BJ21-BJ$10)*1000)</f>
        <v>0.74537100000027223</v>
      </c>
      <c r="CA21" s="43">
        <f t="shared" ref="CA21" si="281">IF(BK21="","",(BK21-BK$10)*1000)</f>
        <v>-0.65879700000004426</v>
      </c>
    </row>
    <row r="22" spans="1:79" ht="29.25" customHeight="1" x14ac:dyDescent="0.2">
      <c r="A22" s="37">
        <v>43696</v>
      </c>
      <c r="B22" s="30">
        <f t="shared" si="156"/>
        <v>41</v>
      </c>
      <c r="C22" s="38">
        <v>195.4</v>
      </c>
      <c r="D22" s="38">
        <f t="shared" si="157"/>
        <v>25</v>
      </c>
      <c r="E22" s="39">
        <v>823220.73109999998</v>
      </c>
      <c r="F22" s="39">
        <v>1091507.8799999999</v>
      </c>
      <c r="G22" s="39">
        <v>-122.3493</v>
      </c>
      <c r="H22" s="39">
        <v>823221.65150000004</v>
      </c>
      <c r="I22" s="39">
        <v>1091506.6588999999</v>
      </c>
      <c r="J22" s="39">
        <v>-121.0818</v>
      </c>
      <c r="K22" s="39">
        <v>823222.30330000003</v>
      </c>
      <c r="L22" s="39">
        <v>1091505.2882999999</v>
      </c>
      <c r="M22" s="39">
        <v>-120.4111</v>
      </c>
      <c r="N22" s="39">
        <v>823222.81220000004</v>
      </c>
      <c r="O22" s="39">
        <v>1091504.7276999999</v>
      </c>
      <c r="P22" s="39">
        <v>-121.1022</v>
      </c>
      <c r="Q22" s="39">
        <v>823223.21609999996</v>
      </c>
      <c r="R22" s="39">
        <v>1091503.2302000001</v>
      </c>
      <c r="S22" s="39">
        <v>-122.24630000000001</v>
      </c>
      <c r="T22" s="57">
        <f t="shared" si="1"/>
        <v>3.5979634475791094</v>
      </c>
      <c r="U22" s="47">
        <f t="shared" si="2"/>
        <v>1.6592848128200883</v>
      </c>
      <c r="V22" s="47">
        <f t="shared" si="3"/>
        <v>1.0251198856619714</v>
      </c>
      <c r="W22" s="57">
        <f t="shared" si="4"/>
        <v>2.9046408537058426</v>
      </c>
      <c r="X22" s="47">
        <f t="shared" si="5"/>
        <v>2.253258549298343</v>
      </c>
      <c r="Y22" s="57">
        <f t="shared" si="6"/>
        <v>5.2731844304834929</v>
      </c>
      <c r="Z22" s="74">
        <f t="shared" ref="Z22" si="282">IF(T22="","",(T22-T$10)*1000)</f>
        <v>-1.3743096585163705</v>
      </c>
      <c r="AA22" s="74">
        <f t="shared" ref="AA22" si="283">IF(U22="","",(U22-U$10)*1000)</f>
        <v>-0.64125919030599832</v>
      </c>
      <c r="AB22" s="74">
        <f t="shared" ref="AB22" si="284">IF(V22="","",(V22-V$10)*1000)</f>
        <v>-0.32389756564477068</v>
      </c>
      <c r="AC22" s="74">
        <f t="shared" ref="AC22" si="285">IF(W22="","",(W22-W$10)*1000)</f>
        <v>-3.8558556302685787</v>
      </c>
      <c r="AD22" s="74">
        <f t="shared" ref="AD22" si="286">IF(X22="","",(X22-X$10)*1000)</f>
        <v>0.34368141300955557</v>
      </c>
      <c r="AE22" s="74">
        <f t="shared" ref="AE22" si="287">IF(Y22="","",(Y22-Y$10)*1000)</f>
        <v>-1.5075845539467281</v>
      </c>
      <c r="AF22" s="40"/>
      <c r="AG22" s="73">
        <f t="shared" ref="AG22" si="288">IF(E22="","",(E22-E$10)*1000)</f>
        <v>-1.3000001199543476</v>
      </c>
      <c r="AH22" s="73">
        <f t="shared" ref="AH22" si="289">IF(F22="","",(F22-F$10)*1000)</f>
        <v>-1.0999999940395355</v>
      </c>
      <c r="AI22" s="73">
        <f t="shared" ref="AI22" si="290">IF(G22="","",(G22-G$10)*1000)</f>
        <v>-1.8500000000045702</v>
      </c>
      <c r="AJ22" s="73">
        <f t="shared" ref="AJ22" si="291">IF(H22="","",(H22-H$10)*1000)</f>
        <v>-2.4499999126419425</v>
      </c>
      <c r="AK22" s="73">
        <f t="shared" ref="AK22" si="292">IF(I22="","",(I22-I$10)*1000)</f>
        <v>-2.3000000510364771</v>
      </c>
      <c r="AL22" s="73">
        <f t="shared" ref="AL22" si="293">IF(J22="","",(J22-J$10)*1000)</f>
        <v>-4.1499999999956572</v>
      </c>
      <c r="AM22" s="73">
        <f t="shared" ref="AM22" si="294">IF(K22="","",(K22-K$10)*1000)</f>
        <v>-1.299999887123704</v>
      </c>
      <c r="AN22" s="73">
        <f t="shared" ref="AN22" si="295">IF(L22="","",(L22-L$10)*1000)</f>
        <v>-1.1000002268701792</v>
      </c>
      <c r="AO22" s="73">
        <f t="shared" ref="AO22" si="296">IF(M22="","",(M22-M$10)*1000)</f>
        <v>-4.4000000000039563</v>
      </c>
      <c r="AP22" s="73">
        <f t="shared" ref="AP22" si="297">IF(N22="","",(N22-N$10)*1000)</f>
        <v>-1.5999999595806003</v>
      </c>
      <c r="AQ22" s="73">
        <f t="shared" ref="AQ22" si="298">IF(O22="","",(O22-O$10)*1000)</f>
        <v>-2.2000002209097147</v>
      </c>
      <c r="AR22" s="73">
        <f t="shared" ref="AR22" si="299">IF(P22="","",(P22-P$10)*1000)</f>
        <v>-3.249999999994202</v>
      </c>
      <c r="AS22" s="73">
        <f t="shared" ref="AS22" si="300">IF(Q22="","",(Q22-Q$10)*1000)</f>
        <v>-0.3499999875202775</v>
      </c>
      <c r="AT22" s="73">
        <f t="shared" ref="AT22" si="301">IF(R22="","",(R22-R$10)*1000)</f>
        <v>1.1500001419335604</v>
      </c>
      <c r="AU22" s="73">
        <f t="shared" ref="AU22" si="302">IF(S22="","",(S22-S$10)*1000)</f>
        <v>-0.35000000001161879</v>
      </c>
      <c r="AV22" s="40"/>
      <c r="AW22" s="39">
        <v>170.10810000000001</v>
      </c>
      <c r="AX22" s="39">
        <v>-2.6288</v>
      </c>
      <c r="AY22" s="39">
        <v>1.4924999999999999</v>
      </c>
      <c r="AZ22" s="39">
        <v>170.42619999999999</v>
      </c>
      <c r="BA22" s="39">
        <v>-1.1331</v>
      </c>
      <c r="BB22" s="39">
        <v>2.7568000000000001</v>
      </c>
      <c r="BC22" s="39">
        <v>170.4376</v>
      </c>
      <c r="BD22" s="39">
        <v>0.38450000000000001</v>
      </c>
      <c r="BE22" s="39">
        <v>3.4274</v>
      </c>
      <c r="BF22" s="39">
        <v>170.6619</v>
      </c>
      <c r="BG22" s="39">
        <v>1.1076999999999999</v>
      </c>
      <c r="BH22" s="39">
        <v>2.7341000000000002</v>
      </c>
      <c r="BI22" s="39">
        <v>170.39500000000001</v>
      </c>
      <c r="BJ22" s="39">
        <v>2.6355</v>
      </c>
      <c r="BK22" s="39">
        <v>1.5926</v>
      </c>
      <c r="BL22" s="40"/>
      <c r="BM22" s="43">
        <f t="shared" ref="BM22" si="303">IF(AW22="","",(AW22-AW$10)*1000)</f>
        <v>-1.5999999999962711</v>
      </c>
      <c r="BN22" s="43">
        <f t="shared" ref="BN22" si="304">IF(AX22="","",(AX22-AX$10)*1000)</f>
        <v>0.50000000000016698</v>
      </c>
      <c r="BO22" s="43">
        <f t="shared" ref="BO22" si="305">IF(AY22="","",(AY22-AY$10)*1000)</f>
        <v>-1.8000000000000238</v>
      </c>
      <c r="BP22" s="43">
        <f t="shared" ref="BP22" si="306">IF(AZ22="","",(AZ22-AZ$10)*1000)</f>
        <v>-3.1000000000176442</v>
      </c>
      <c r="BQ22" s="43">
        <f t="shared" ref="BQ22" si="307">IF(BA22="","",(BA22-BA$10)*1000)</f>
        <v>1.1000000000001009</v>
      </c>
      <c r="BR22" s="43">
        <f t="shared" ref="BR22" si="308">IF(BB22="","",(BB22-BB$10)*1000)</f>
        <v>-4.0999999999997705</v>
      </c>
      <c r="BS22" s="43">
        <f t="shared" ref="BS22" si="309">IF(BC22="","",(BC22-BC$10)*1000)</f>
        <v>-1.5999999999962711</v>
      </c>
      <c r="BT22" s="43">
        <f t="shared" ref="BT22" si="310">IF(BD22="","",(BD22-BD$10)*1000)</f>
        <v>0.40000000000001146</v>
      </c>
      <c r="BU22" s="43">
        <f t="shared" ref="BU22" si="311">IF(BE22="","",(BE22-BE$10)*1000)</f>
        <v>-4.3999999999999595</v>
      </c>
      <c r="BV22" s="43">
        <f t="shared" ref="BV22" si="312">IF(BF22="","",(BF22-BF$10)*1000)</f>
        <v>-2.299999999991087</v>
      </c>
      <c r="BW22" s="43">
        <f t="shared" ref="BW22" si="313">IF(BG22="","",(BG22-BG$10)*1000)</f>
        <v>1.3999999999998458</v>
      </c>
      <c r="BX22" s="43">
        <f t="shared" ref="BX22" si="314">IF(BH22="","",(BH22-BH$10)*1000)</f>
        <v>-3.1999999999996476</v>
      </c>
      <c r="BY22" s="43">
        <f t="shared" ref="BY22" si="315">IF(BI22="","",(BI22-BI$10)*1000)</f>
        <v>0.20000000000663931</v>
      </c>
      <c r="BZ22" s="43">
        <f t="shared" ref="BZ22" si="316">IF(BJ22="","",(BJ22-BJ$10)*1000)</f>
        <v>-1.1999999999998678</v>
      </c>
      <c r="CA22" s="43">
        <f t="shared" ref="CA22" si="317">IF(BK22="","",(BK22-BK$10)*1000)</f>
        <v>-0.39999999999995595</v>
      </c>
    </row>
    <row r="23" spans="1:79" ht="29.25" customHeight="1" x14ac:dyDescent="0.2">
      <c r="A23" s="37">
        <v>43699</v>
      </c>
      <c r="B23" s="30">
        <f t="shared" si="156"/>
        <v>44</v>
      </c>
      <c r="C23" s="38">
        <v>196.35</v>
      </c>
      <c r="D23" s="38">
        <f t="shared" si="157"/>
        <v>25.949999999999989</v>
      </c>
      <c r="E23" s="39">
        <v>823220.73089999997</v>
      </c>
      <c r="F23" s="39">
        <v>1091507.8796000001</v>
      </c>
      <c r="G23" s="39">
        <v>-122.3498</v>
      </c>
      <c r="H23" s="39">
        <v>823221.65119999996</v>
      </c>
      <c r="I23" s="39">
        <v>1091506.6584000001</v>
      </c>
      <c r="J23" s="39">
        <v>-121.0826</v>
      </c>
      <c r="K23" s="39">
        <v>823222.30319999997</v>
      </c>
      <c r="L23" s="39">
        <v>1091505.2879000001</v>
      </c>
      <c r="M23" s="39">
        <v>-120.41160000000001</v>
      </c>
      <c r="N23" s="39">
        <v>823222.81189999997</v>
      </c>
      <c r="O23" s="39">
        <v>1091504.7274</v>
      </c>
      <c r="P23" s="39">
        <v>-121.10290000000001</v>
      </c>
      <c r="Q23" s="39">
        <v>823223.21609999996</v>
      </c>
      <c r="R23" s="39">
        <v>1091503.23</v>
      </c>
      <c r="S23" s="39">
        <v>-122.2467</v>
      </c>
      <c r="T23" s="57">
        <f t="shared" si="1"/>
        <v>3.5980071456220397</v>
      </c>
      <c r="U23" s="47">
        <f t="shared" si="2"/>
        <v>1.6594020760187094</v>
      </c>
      <c r="V23" s="47">
        <f t="shared" si="3"/>
        <v>1.025100790244738</v>
      </c>
      <c r="W23" s="57">
        <f t="shared" si="4"/>
        <v>2.9044673918862194</v>
      </c>
      <c r="X23" s="47">
        <f t="shared" si="5"/>
        <v>2.2530862345678173</v>
      </c>
      <c r="Y23" s="57">
        <f t="shared" si="6"/>
        <v>5.2731042860065065</v>
      </c>
      <c r="Z23" s="74">
        <f t="shared" ref="Z23" si="318">IF(T23="","",(T23-T$10)*1000)</f>
        <v>-1.3306116155860082</v>
      </c>
      <c r="AA23" s="74">
        <f t="shared" ref="AA23" si="319">IF(U23="","",(U23-U$10)*1000)</f>
        <v>-0.5239959916849557</v>
      </c>
      <c r="AB23" s="74">
        <f t="shared" ref="AB23" si="320">IF(V23="","",(V23-V$10)*1000)</f>
        <v>-0.34299298287820967</v>
      </c>
      <c r="AC23" s="74">
        <f t="shared" ref="AC23" si="321">IF(W23="","",(W23-W$10)*1000)</f>
        <v>-4.0293174498917672</v>
      </c>
      <c r="AD23" s="74">
        <f t="shared" ref="AD23" si="322">IF(X23="","",(X23-X$10)*1000)</f>
        <v>0.17136668248385334</v>
      </c>
      <c r="AE23" s="74">
        <f t="shared" ref="AE23" si="323">IF(Y23="","",(Y23-Y$10)*1000)</f>
        <v>-1.5877290309331826</v>
      </c>
      <c r="AF23" s="40"/>
      <c r="AG23" s="73">
        <f t="shared" ref="AG23" si="324">IF(E23="","",(E23-E$10)*1000)</f>
        <v>-1.5000001294538379</v>
      </c>
      <c r="AH23" s="73">
        <f t="shared" ref="AH23" si="325">IF(F23="","",(F23-F$10)*1000)</f>
        <v>-1.4999997802078724</v>
      </c>
      <c r="AI23" s="73">
        <f t="shared" ref="AI23" si="326">IF(G23="","",(G23-G$10)*1000)</f>
        <v>-2.3500000000069576</v>
      </c>
      <c r="AJ23" s="73">
        <f t="shared" ref="AJ23" si="327">IF(H23="","",(H23-H$10)*1000)</f>
        <v>-2.7499999850988388</v>
      </c>
      <c r="AK23" s="73">
        <f t="shared" ref="AK23" si="328">IF(I23="","",(I23-I$10)*1000)</f>
        <v>-2.79999990016222</v>
      </c>
      <c r="AL23" s="73">
        <f t="shared" ref="AL23" si="329">IF(J23="","",(J23-J$10)*1000)</f>
        <v>-4.9499999999937927</v>
      </c>
      <c r="AM23" s="73">
        <f t="shared" ref="AM23" si="330">IF(K23="","",(K23-K$10)*1000)</f>
        <v>-1.39999995008111</v>
      </c>
      <c r="AN23" s="73">
        <f t="shared" ref="AN23" si="331">IF(L23="","",(L23-L$10)*1000)</f>
        <v>-1.500000013038516</v>
      </c>
      <c r="AO23" s="73">
        <f t="shared" ref="AO23" si="332">IF(M23="","",(M23-M$10)*1000)</f>
        <v>-4.9000000000063437</v>
      </c>
      <c r="AP23" s="73">
        <f t="shared" ref="AP23" si="333">IF(N23="","",(N23-N$10)*1000)</f>
        <v>-1.9000000320374966</v>
      </c>
      <c r="AQ23" s="73">
        <f t="shared" ref="AQ23" si="334">IF(O23="","",(O23-O$10)*1000)</f>
        <v>-2.5000001769512892</v>
      </c>
      <c r="AR23" s="73">
        <f t="shared" ref="AR23" si="335">IF(P23="","",(P23-P$10)*1000)</f>
        <v>-3.9500000000032287</v>
      </c>
      <c r="AS23" s="73">
        <f t="shared" ref="AS23" si="336">IF(Q23="","",(Q23-Q$10)*1000)</f>
        <v>-0.3499999875202775</v>
      </c>
      <c r="AT23" s="73">
        <f t="shared" ref="AT23" si="337">IF(R23="","",(R23-R$10)*1000)</f>
        <v>0.95000001601874828</v>
      </c>
      <c r="AU23" s="73">
        <f t="shared" ref="AU23" si="338">IF(S23="","",(S23-S$10)*1000)</f>
        <v>-0.75000000001068656</v>
      </c>
      <c r="AV23" s="40"/>
      <c r="AW23" s="39">
        <v>170.1078</v>
      </c>
      <c r="AX23" s="39">
        <v>-2.6286</v>
      </c>
      <c r="AY23" s="39">
        <v>1.492</v>
      </c>
      <c r="AZ23" s="39">
        <v>170.42570000000001</v>
      </c>
      <c r="BA23" s="39">
        <v>-1.1328</v>
      </c>
      <c r="BB23" s="39">
        <v>2.7559999999999998</v>
      </c>
      <c r="BC23" s="39">
        <v>170.43729999999999</v>
      </c>
      <c r="BD23" s="39">
        <v>0.38479999999999998</v>
      </c>
      <c r="BE23" s="39">
        <v>3.4268999999999998</v>
      </c>
      <c r="BF23" s="39">
        <v>170.66149999999999</v>
      </c>
      <c r="BG23" s="39">
        <v>1.1077999999999999</v>
      </c>
      <c r="BH23" s="39">
        <v>2.7334000000000001</v>
      </c>
      <c r="BI23" s="39">
        <v>170.39490000000001</v>
      </c>
      <c r="BJ23" s="39">
        <v>2.6356999999999999</v>
      </c>
      <c r="BK23" s="39">
        <v>1.5922000000000001</v>
      </c>
      <c r="BL23" s="40"/>
      <c r="BM23" s="43">
        <f t="shared" ref="BM23" si="339">IF(AW23="","",(AW23-AW$10)*1000)</f>
        <v>-1.90000000000623</v>
      </c>
      <c r="BN23" s="43">
        <f t="shared" ref="BN23" si="340">IF(AX23="","",(AX23-AX$10)*1000)</f>
        <v>0.70000000000014495</v>
      </c>
      <c r="BO23" s="43">
        <f t="shared" ref="BO23" si="341">IF(AY23="","",(AY23-AY$10)*1000)</f>
        <v>-2.2999999999999687</v>
      </c>
      <c r="BP23" s="43">
        <f t="shared" ref="BP23" si="342">IF(AZ23="","",(AZ23-AZ$10)*1000)</f>
        <v>-3.6000000000058208</v>
      </c>
      <c r="BQ23" s="43">
        <f t="shared" ref="BQ23" si="343">IF(BA23="","",(BA23-BA$10)*1000)</f>
        <v>1.4000000000000679</v>
      </c>
      <c r="BR23" s="43">
        <f t="shared" ref="BR23" si="344">IF(BB23="","",(BB23-BB$10)*1000)</f>
        <v>-4.9000000000001265</v>
      </c>
      <c r="BS23" s="43">
        <f t="shared" ref="BS23" si="345">IF(BC23="","",(BC23-BC$10)*1000)</f>
        <v>-1.90000000000623</v>
      </c>
      <c r="BT23" s="43">
        <f t="shared" ref="BT23" si="346">IF(BD23="","",(BD23-BD$10)*1000)</f>
        <v>0.69999999999997842</v>
      </c>
      <c r="BU23" s="43">
        <f t="shared" ref="BU23" si="347">IF(BE23="","",(BE23-BE$10)*1000)</f>
        <v>-4.9000000000001265</v>
      </c>
      <c r="BV23" s="43">
        <f t="shared" ref="BV23" si="348">IF(BF23="","",(BF23-BF$10)*1000)</f>
        <v>-2.7000000000043656</v>
      </c>
      <c r="BW23" s="43">
        <f t="shared" ref="BW23" si="349">IF(BG23="","",(BG23-BG$10)*1000)</f>
        <v>1.4999999999998348</v>
      </c>
      <c r="BX23" s="43">
        <f t="shared" ref="BX23" si="350">IF(BH23="","",(BH23-BH$10)*1000)</f>
        <v>-3.8999999999997925</v>
      </c>
      <c r="BY23" s="43">
        <f t="shared" ref="BY23" si="351">IF(BI23="","",(BI23-BI$10)*1000)</f>
        <v>0.10000000000331966</v>
      </c>
      <c r="BZ23" s="43">
        <f t="shared" ref="BZ23" si="352">IF(BJ23="","",(BJ23-BJ$10)*1000)</f>
        <v>-0.99999999999988987</v>
      </c>
      <c r="CA23" s="43">
        <f t="shared" ref="CA23" si="353">IF(BK23="","",(BK23-BK$10)*1000)</f>
        <v>-0.79999999999991189</v>
      </c>
    </row>
    <row r="24" spans="1:79" ht="29.25" customHeight="1" x14ac:dyDescent="0.2">
      <c r="A24" s="37">
        <v>43703</v>
      </c>
      <c r="B24" s="30">
        <f t="shared" si="156"/>
        <v>48</v>
      </c>
      <c r="C24" s="38">
        <v>196.35</v>
      </c>
      <c r="D24" s="38">
        <f t="shared" si="157"/>
        <v>25.949999999999989</v>
      </c>
      <c r="E24" s="39">
        <v>823220.7304</v>
      </c>
      <c r="F24" s="39">
        <v>1091507.8783</v>
      </c>
      <c r="G24" s="39">
        <v>-122.3501</v>
      </c>
      <c r="H24" s="39">
        <v>823221.6507</v>
      </c>
      <c r="I24" s="39">
        <v>1091506.6569000001</v>
      </c>
      <c r="J24" s="39">
        <v>-121.0831</v>
      </c>
      <c r="K24" s="39">
        <v>823222.3027</v>
      </c>
      <c r="L24" s="39">
        <v>1091505.2864999999</v>
      </c>
      <c r="M24" s="39">
        <v>-120.4122</v>
      </c>
      <c r="N24" s="39">
        <v>823222.81110000005</v>
      </c>
      <c r="O24" s="39">
        <v>1091504.7256</v>
      </c>
      <c r="P24" s="39">
        <v>-121.10339999999999</v>
      </c>
      <c r="Q24" s="39">
        <v>823223.21539999999</v>
      </c>
      <c r="R24" s="39">
        <v>1091503.2286</v>
      </c>
      <c r="S24" s="39">
        <v>-122.24679999999999</v>
      </c>
      <c r="T24" s="57">
        <f t="shared" si="1"/>
        <v>3.5979175838634241</v>
      </c>
      <c r="U24" s="47">
        <f t="shared" si="2"/>
        <v>1.6592790513837068</v>
      </c>
      <c r="V24" s="47">
        <f t="shared" si="3"/>
        <v>1.0251033167272989</v>
      </c>
      <c r="W24" s="57">
        <f t="shared" si="4"/>
        <v>2.9040886452645873</v>
      </c>
      <c r="X24" s="47">
        <f t="shared" si="5"/>
        <v>2.2531888381427918</v>
      </c>
      <c r="Y24" s="57">
        <f t="shared" si="6"/>
        <v>5.2731021210927906</v>
      </c>
      <c r="Z24" s="74">
        <f t="shared" ref="Z24" si="354">IF(T24="","",(T24-T$10)*1000)</f>
        <v>-1.4201733742016387</v>
      </c>
      <c r="AA24" s="74">
        <f t="shared" ref="AA24" si="355">IF(U24="","",(U24-U$10)*1000)</f>
        <v>-0.64702062668753335</v>
      </c>
      <c r="AB24" s="74">
        <f t="shared" ref="AB24" si="356">IF(V24="","",(V24-V$10)*1000)</f>
        <v>-0.34046650031727133</v>
      </c>
      <c r="AC24" s="74">
        <f t="shared" ref="AC24" si="357">IF(W24="","",(W24-W$10)*1000)</f>
        <v>-4.4080640715238317</v>
      </c>
      <c r="AD24" s="74">
        <f t="shared" ref="AD24" si="358">IF(X24="","",(X24-X$10)*1000)</f>
        <v>0.27397025745834469</v>
      </c>
      <c r="AE24" s="74">
        <f t="shared" ref="AE24" si="359">IF(Y24="","",(Y24-Y$10)*1000)</f>
        <v>-1.5898939446490346</v>
      </c>
      <c r="AF24" s="40"/>
      <c r="AG24" s="73">
        <f t="shared" ref="AG24" si="360">IF(E24="","",(E24-E$10)*1000)</f>
        <v>-2.0000000949949026</v>
      </c>
      <c r="AH24" s="73">
        <f t="shared" ref="AH24" si="361">IF(F24="","",(F24-F$10)*1000)</f>
        <v>-2.79999990016222</v>
      </c>
      <c r="AI24" s="73">
        <f t="shared" ref="AI24" si="362">IF(G24="","",(G24-G$10)*1000)</f>
        <v>-2.6500000000027057</v>
      </c>
      <c r="AJ24" s="73">
        <f t="shared" ref="AJ24" si="363">IF(H24="","",(H24-H$10)*1000)</f>
        <v>-3.2499999506399035</v>
      </c>
      <c r="AK24" s="73">
        <f t="shared" ref="AK24" si="364">IF(I24="","",(I24-I$10)*1000)</f>
        <v>-4.299999913200736</v>
      </c>
      <c r="AL24" s="73">
        <f t="shared" ref="AL24" si="365">IF(J24="","",(J24-J$10)*1000)</f>
        <v>-5.4499999999961801</v>
      </c>
      <c r="AM24" s="73">
        <f t="shared" ref="AM24" si="366">IF(K24="","",(K24-K$10)*1000)</f>
        <v>-1.8999999156221747</v>
      </c>
      <c r="AN24" s="73">
        <f t="shared" ref="AN24" si="367">IF(L24="","",(L24-L$10)*1000)</f>
        <v>-2.9000001959502697</v>
      </c>
      <c r="AO24" s="73">
        <f t="shared" ref="AO24" si="368">IF(M24="","",(M24-M$10)*1000)</f>
        <v>-5.49999999999784</v>
      </c>
      <c r="AP24" s="73">
        <f t="shared" ref="AP24" si="369">IF(N24="","",(N24-N$10)*1000)</f>
        <v>-2.6999999536201358</v>
      </c>
      <c r="AQ24" s="73">
        <f t="shared" ref="AQ24" si="370">IF(O24="","",(O24-O$10)*1000)</f>
        <v>-4.3000001460313797</v>
      </c>
      <c r="AR24" s="73">
        <f t="shared" ref="AR24" si="371">IF(P24="","",(P24-P$10)*1000)</f>
        <v>-4.4499999999914053</v>
      </c>
      <c r="AS24" s="73">
        <f t="shared" ref="AS24" si="372">IF(Q24="","",(Q24-Q$10)*1000)</f>
        <v>-1.0499999625608325</v>
      </c>
      <c r="AT24" s="73">
        <f t="shared" ref="AT24" si="373">IF(R24="","",(R24-R$10)*1000)</f>
        <v>-0.44999993406236172</v>
      </c>
      <c r="AU24" s="73">
        <f t="shared" ref="AU24" si="374">IF(S24="","",(S24-S$10)*1000)</f>
        <v>-0.84999999999979536</v>
      </c>
      <c r="AV24" s="40"/>
      <c r="AW24" s="39">
        <v>170.10669999999999</v>
      </c>
      <c r="AX24" s="39">
        <v>-2.6276000000000002</v>
      </c>
      <c r="AY24" s="39">
        <v>1.4917</v>
      </c>
      <c r="AZ24" s="39">
        <v>170.4246</v>
      </c>
      <c r="BA24" s="39">
        <v>-1.1316999999999999</v>
      </c>
      <c r="BB24" s="39">
        <v>2.7555000000000001</v>
      </c>
      <c r="BC24" s="39">
        <v>170.43629999999999</v>
      </c>
      <c r="BD24" s="39">
        <v>0.38590000000000002</v>
      </c>
      <c r="BE24" s="39">
        <v>3.4262999999999999</v>
      </c>
      <c r="BF24" s="39">
        <v>170.66</v>
      </c>
      <c r="BG24" s="39">
        <v>1.1091</v>
      </c>
      <c r="BH24" s="39">
        <v>2.7328999999999999</v>
      </c>
      <c r="BI24" s="39">
        <v>170.3937</v>
      </c>
      <c r="BJ24" s="39">
        <v>2.6366999999999998</v>
      </c>
      <c r="BK24" s="39">
        <v>1.5921000000000001</v>
      </c>
      <c r="BL24" s="40"/>
      <c r="BM24" s="43">
        <f t="shared" ref="BM24:BM25" si="375">IF(AW24="","",(AW24-AW$10)*1000)</f>
        <v>-3.0000000000143245</v>
      </c>
      <c r="BN24" s="43">
        <f t="shared" ref="BN24:BN25" si="376">IF(AX24="","",(AX24-AX$10)*1000)</f>
        <v>1.7000000000000348</v>
      </c>
      <c r="BO24" s="43">
        <f t="shared" ref="BO24:BO25" si="377">IF(AY24="","",(AY24-AY$10)*1000)</f>
        <v>-2.5999999999999357</v>
      </c>
      <c r="BP24" s="43">
        <f t="shared" ref="BP24:BP25" si="378">IF(AZ24="","",(AZ24-AZ$10)*1000)</f>
        <v>-4.7000000000139153</v>
      </c>
      <c r="BQ24" s="43">
        <f t="shared" ref="BQ24:BQ25" si="379">IF(BA24="","",(BA24-BA$10)*1000)</f>
        <v>2.5000000000001688</v>
      </c>
      <c r="BR24" s="43">
        <f t="shared" ref="BR24:BR25" si="380">IF(BB24="","",(BB24-BB$10)*1000)</f>
        <v>-5.3999999999998494</v>
      </c>
      <c r="BS24" s="43">
        <f t="shared" ref="BS24:BS25" si="381">IF(BC24="","",(BC24-BC$10)*1000)</f>
        <v>-2.9000000000110049</v>
      </c>
      <c r="BT24" s="43">
        <f t="shared" ref="BT24:BT25" si="382">IF(BD24="","",(BD24-BD$10)*1000)</f>
        <v>1.8000000000000238</v>
      </c>
      <c r="BU24" s="43">
        <f t="shared" ref="BU24:BU25" si="383">IF(BE24="","",(BE24-BE$10)*1000)</f>
        <v>-5.5000000000000604</v>
      </c>
      <c r="BV24" s="43">
        <f t="shared" ref="BV24:BV25" si="384">IF(BF24="","",(BF24-BF$10)*1000)</f>
        <v>-4.199999999997317</v>
      </c>
      <c r="BW24" s="43">
        <f t="shared" ref="BW24:BW25" si="385">IF(BG24="","",(BG24-BG$10)*1000)</f>
        <v>2.7999999999999137</v>
      </c>
      <c r="BX24" s="43">
        <f t="shared" ref="BX24:BX25" si="386">IF(BH24="","",(BH24-BH$10)*1000)</f>
        <v>-4.3999999999999595</v>
      </c>
      <c r="BY24" s="43">
        <f t="shared" ref="BY24:BY25" si="387">IF(BI24="","",(BI24-BI$10)*1000)</f>
        <v>-1.1000000000080945</v>
      </c>
      <c r="BZ24" s="43">
        <f t="shared" ref="BZ24:BZ25" si="388">IF(BJ24="","",(BJ24-BJ$10)*1000)</f>
        <v>0</v>
      </c>
      <c r="CA24" s="43">
        <f t="shared" ref="CA24:CA25" si="389">IF(BK24="","",(BK24-BK$10)*1000)</f>
        <v>-0.89999999999990088</v>
      </c>
    </row>
    <row r="25" spans="1:79" ht="29.25" customHeight="1" x14ac:dyDescent="0.2">
      <c r="A25" s="37">
        <v>43706</v>
      </c>
      <c r="B25" s="30">
        <f t="shared" si="156"/>
        <v>51</v>
      </c>
      <c r="C25" s="38">
        <v>198.3</v>
      </c>
      <c r="D25" s="38">
        <f t="shared" si="157"/>
        <v>27.900000000000006</v>
      </c>
      <c r="E25" s="39">
        <v>823220.73010000004</v>
      </c>
      <c r="F25" s="39">
        <v>1091507.8784</v>
      </c>
      <c r="G25" s="39">
        <v>-122.3505</v>
      </c>
      <c r="H25" s="39">
        <v>823221.65060000005</v>
      </c>
      <c r="I25" s="39">
        <v>1091506.6569000001</v>
      </c>
      <c r="J25" s="39">
        <v>-121.0835</v>
      </c>
      <c r="K25" s="39">
        <v>823222.3027</v>
      </c>
      <c r="L25" s="39">
        <v>1091505.2866</v>
      </c>
      <c r="M25" s="39">
        <v>-120.4126</v>
      </c>
      <c r="N25" s="39">
        <v>823222.81140000001</v>
      </c>
      <c r="O25" s="39">
        <v>1091504.7257999999</v>
      </c>
      <c r="P25" s="39">
        <v>-121.1037</v>
      </c>
      <c r="Q25" s="39">
        <v>823223.21550000005</v>
      </c>
      <c r="R25" s="39">
        <v>1091503.2289</v>
      </c>
      <c r="S25" s="39">
        <v>-122.2469</v>
      </c>
      <c r="T25" s="57">
        <f t="shared" si="1"/>
        <v>3.59804869479769</v>
      </c>
      <c r="U25" s="47">
        <f t="shared" si="2"/>
        <v>1.6592357608605617</v>
      </c>
      <c r="V25" s="47">
        <f t="shared" si="3"/>
        <v>1.0251300113210888</v>
      </c>
      <c r="W25" s="57">
        <f t="shared" si="4"/>
        <v>2.9037888387604389</v>
      </c>
      <c r="X25" s="47">
        <f t="shared" si="5"/>
        <v>2.253222556810146</v>
      </c>
      <c r="Y25" s="57">
        <f t="shared" si="6"/>
        <v>5.2731201741058342</v>
      </c>
      <c r="Z25" s="74">
        <f t="shared" ref="Z25" si="390">IF(T25="","",(T25-T$10)*1000)</f>
        <v>-1.289062439935762</v>
      </c>
      <c r="AA25" s="74">
        <f t="shared" ref="AA25" si="391">IF(U25="","",(U25-U$10)*1000)</f>
        <v>-0.6903111498326453</v>
      </c>
      <c r="AB25" s="74">
        <f t="shared" ref="AB25" si="392">IF(V25="","",(V25-V$10)*1000)</f>
        <v>-0.31377190652737141</v>
      </c>
      <c r="AC25" s="74">
        <f t="shared" ref="AC25" si="393">IF(W25="","",(W25-W$10)*1000)</f>
        <v>-4.707870575672235</v>
      </c>
      <c r="AD25" s="74">
        <f t="shared" ref="AD25" si="394">IF(X25="","",(X25-X$10)*1000)</f>
        <v>0.30768892481258803</v>
      </c>
      <c r="AE25" s="74">
        <f t="shared" ref="AE25" si="395">IF(Y25="","",(Y25-Y$10)*1000)</f>
        <v>-1.5718409316054505</v>
      </c>
      <c r="AF25" s="40"/>
      <c r="AG25" s="73">
        <f t="shared" ref="AG25" si="396">IF(E25="","",(E25-E$10)*1000)</f>
        <v>-2.3000000510364771</v>
      </c>
      <c r="AH25" s="73">
        <f t="shared" ref="AH25" si="397">IF(F25="","",(F25-F$10)*1000)</f>
        <v>-2.699999837204814</v>
      </c>
      <c r="AI25" s="73">
        <f t="shared" ref="AI25" si="398">IF(G25="","",(G25-G$10)*1000)</f>
        <v>-3.0500000000017735</v>
      </c>
      <c r="AJ25" s="73">
        <f t="shared" ref="AJ25" si="399">IF(H25="","",(H25-H$10)*1000)</f>
        <v>-3.3499998971819878</v>
      </c>
      <c r="AK25" s="73">
        <f t="shared" ref="AK25" si="400">IF(I25="","",(I25-I$10)*1000)</f>
        <v>-4.299999913200736</v>
      </c>
      <c r="AL25" s="73">
        <f t="shared" ref="AL25" si="401">IF(J25="","",(J25-J$10)*1000)</f>
        <v>-5.8499999999952479</v>
      </c>
      <c r="AM25" s="73">
        <f t="shared" ref="AM25" si="402">IF(K25="","",(K25-K$10)*1000)</f>
        <v>-1.8999999156221747</v>
      </c>
      <c r="AN25" s="73">
        <f t="shared" ref="AN25" si="403">IF(L25="","",(L25-L$10)*1000)</f>
        <v>-2.8000001329928637</v>
      </c>
      <c r="AO25" s="73">
        <f t="shared" ref="AO25" si="404">IF(M25="","",(M25-M$10)*1000)</f>
        <v>-5.8999999999969077</v>
      </c>
      <c r="AP25" s="73">
        <f t="shared" ref="AP25" si="405">IF(N25="","",(N25-N$10)*1000)</f>
        <v>-2.3999999975785613</v>
      </c>
      <c r="AQ25" s="73">
        <f t="shared" ref="AQ25" si="406">IF(O25="","",(O25-O$10)*1000)</f>
        <v>-4.1000002529472113</v>
      </c>
      <c r="AR25" s="73">
        <f t="shared" ref="AR25" si="407">IF(P25="","",(P25-P$10)*1000)</f>
        <v>-4.7500000000013642</v>
      </c>
      <c r="AS25" s="73">
        <f t="shared" ref="AS25" si="408">IF(Q25="","",(Q25-Q$10)*1000)</f>
        <v>-0.94999989960342646</v>
      </c>
      <c r="AT25" s="73">
        <f t="shared" ref="AT25" si="409">IF(R25="","",(R25-R$10)*1000)</f>
        <v>-0.14999997802078724</v>
      </c>
      <c r="AU25" s="73">
        <f t="shared" ref="AU25" si="410">IF(S25="","",(S25-S$10)*1000)</f>
        <v>-0.95000000000311502</v>
      </c>
      <c r="AV25" s="40"/>
      <c r="AW25" s="39">
        <v>170.10650000000001</v>
      </c>
      <c r="AX25" s="39">
        <v>-2.6278000000000001</v>
      </c>
      <c r="AY25" s="39">
        <v>1.4913000000000001</v>
      </c>
      <c r="AZ25" s="39">
        <v>170.42449999999999</v>
      </c>
      <c r="BA25" s="39">
        <v>-1.1316999999999999</v>
      </c>
      <c r="BB25" s="39">
        <v>2.7551000000000001</v>
      </c>
      <c r="BC25" s="39">
        <v>170.43629999999999</v>
      </c>
      <c r="BD25" s="39">
        <v>0.38579999999999998</v>
      </c>
      <c r="BE25" s="39">
        <v>3.4258999999999999</v>
      </c>
      <c r="BF25" s="39">
        <v>170.66030000000001</v>
      </c>
      <c r="BG25" s="39">
        <v>1.109</v>
      </c>
      <c r="BH25" s="39">
        <v>2.7326000000000001</v>
      </c>
      <c r="BI25" s="39">
        <v>170.3939</v>
      </c>
      <c r="BJ25" s="39">
        <v>2.6364999999999998</v>
      </c>
      <c r="BK25" s="39">
        <v>1.5920000000000001</v>
      </c>
      <c r="BL25" s="40"/>
      <c r="BM25" s="43">
        <f t="shared" si="375"/>
        <v>-3.1999999999925421</v>
      </c>
      <c r="BN25" s="43">
        <f t="shared" si="376"/>
        <v>1.5000000000000568</v>
      </c>
      <c r="BO25" s="43">
        <f t="shared" si="377"/>
        <v>-2.9999999999998916</v>
      </c>
      <c r="BP25" s="43">
        <f t="shared" si="378"/>
        <v>-4.8000000000172349</v>
      </c>
      <c r="BQ25" s="43">
        <f t="shared" si="379"/>
        <v>2.5000000000001688</v>
      </c>
      <c r="BR25" s="43">
        <f t="shared" si="380"/>
        <v>-5.7999999999998053</v>
      </c>
      <c r="BS25" s="43">
        <f t="shared" si="381"/>
        <v>-2.9000000000110049</v>
      </c>
      <c r="BT25" s="43">
        <f t="shared" si="382"/>
        <v>1.6999999999999793</v>
      </c>
      <c r="BU25" s="43">
        <f t="shared" si="383"/>
        <v>-5.9000000000000163</v>
      </c>
      <c r="BV25" s="43">
        <f t="shared" si="384"/>
        <v>-3.899999999987358</v>
      </c>
      <c r="BW25" s="43">
        <f t="shared" si="385"/>
        <v>2.6999999999999247</v>
      </c>
      <c r="BX25" s="43">
        <f t="shared" si="386"/>
        <v>-4.6999999999997044</v>
      </c>
      <c r="BY25" s="43">
        <f t="shared" si="387"/>
        <v>-0.90000000000145519</v>
      </c>
      <c r="BZ25" s="43">
        <f t="shared" si="388"/>
        <v>-0.19999999999997797</v>
      </c>
      <c r="CA25" s="43">
        <f t="shared" si="389"/>
        <v>-0.99999999999988987</v>
      </c>
    </row>
    <row r="26" spans="1:79" ht="29.25" customHeight="1" x14ac:dyDescent="0.2">
      <c r="A26" s="37">
        <v>43710</v>
      </c>
      <c r="B26" s="30">
        <f t="shared" si="156"/>
        <v>55</v>
      </c>
      <c r="C26" s="38">
        <v>199.4</v>
      </c>
      <c r="D26" s="38">
        <f t="shared" si="157"/>
        <v>29</v>
      </c>
      <c r="E26" s="39">
        <v>823220.73</v>
      </c>
      <c r="F26" s="39">
        <v>1091507.8785999999</v>
      </c>
      <c r="G26" s="39">
        <v>-122.3506</v>
      </c>
      <c r="H26" s="39">
        <v>823221.65049999999</v>
      </c>
      <c r="I26" s="39">
        <v>1091506.6569000001</v>
      </c>
      <c r="J26" s="39">
        <v>-121.08410000000001</v>
      </c>
      <c r="K26" s="39">
        <v>823222.30229999998</v>
      </c>
      <c r="L26" s="39">
        <v>1091505.2864999999</v>
      </c>
      <c r="M26" s="39">
        <v>-120.4131</v>
      </c>
      <c r="N26" s="39">
        <v>823222.8112</v>
      </c>
      <c r="O26" s="39">
        <v>1091504.7257999999</v>
      </c>
      <c r="P26" s="39">
        <v>-121.1039</v>
      </c>
      <c r="Q26" s="39">
        <v>823223.21530000004</v>
      </c>
      <c r="R26" s="39">
        <v>1091503.2291000001</v>
      </c>
      <c r="S26" s="39">
        <v>-122.247</v>
      </c>
      <c r="T26" s="57">
        <f t="shared" si="1"/>
        <v>3.5979182800677623</v>
      </c>
      <c r="U26" s="47">
        <f t="shared" si="2"/>
        <v>1.6592409108831767</v>
      </c>
      <c r="V26" s="47">
        <f t="shared" si="3"/>
        <v>1.024972360627453</v>
      </c>
      <c r="W26" s="57">
        <f t="shared" si="4"/>
        <v>2.9033864657241018</v>
      </c>
      <c r="X26" s="47">
        <f t="shared" si="5"/>
        <v>2.2531674905878964</v>
      </c>
      <c r="Y26" s="57">
        <f t="shared" si="6"/>
        <v>5.2730730412789244</v>
      </c>
      <c r="Z26" s="74">
        <f t="shared" ref="Z26:Z27" si="411">IF(T26="","",(T26-T$10)*1000)</f>
        <v>-1.419477169863459</v>
      </c>
      <c r="AA26" s="74">
        <f t="shared" ref="AA26:AA27" si="412">IF(U26="","",(U26-U$10)*1000)</f>
        <v>-0.68516112721761502</v>
      </c>
      <c r="AB26" s="74">
        <f t="shared" ref="AB26:AB27" si="413">IF(V26="","",(V26-V$10)*1000)</f>
        <v>-0.47142260016319604</v>
      </c>
      <c r="AC26" s="74">
        <f t="shared" ref="AC26:AC27" si="414">IF(W26="","",(W26-W$10)*1000)</f>
        <v>-5.1102436120094019</v>
      </c>
      <c r="AD26" s="74">
        <f t="shared" ref="AD26:AD27" si="415">IF(X26="","",(X26-X$10)*1000)</f>
        <v>0.25262270256298791</v>
      </c>
      <c r="AE26" s="74">
        <f t="shared" ref="AE26:AE27" si="416">IF(Y26="","",(Y26-Y$10)*1000)</f>
        <v>-1.6189737585152741</v>
      </c>
      <c r="AF26" s="40"/>
      <c r="AG26" s="73">
        <f t="shared" ref="AG26:AG27" si="417">IF(E26="","",(E26-E$10)*1000)</f>
        <v>-2.4000001139938831</v>
      </c>
      <c r="AH26" s="73">
        <f t="shared" ref="AH26:AH27" si="418">IF(F26="","",(F26-F$10)*1000)</f>
        <v>-2.4999999441206455</v>
      </c>
      <c r="AI26" s="73">
        <f t="shared" ref="AI26:AI27" si="419">IF(G26="","",(G26-G$10)*1000)</f>
        <v>-3.1500000000050932</v>
      </c>
      <c r="AJ26" s="73">
        <f t="shared" ref="AJ26:AJ27" si="420">IF(H26="","",(H26-H$10)*1000)</f>
        <v>-3.4499999601393938</v>
      </c>
      <c r="AK26" s="73">
        <f t="shared" ref="AK26:AK27" si="421">IF(I26="","",(I26-I$10)*1000)</f>
        <v>-4.299999913200736</v>
      </c>
      <c r="AL26" s="73">
        <f t="shared" ref="AL26:AL27" si="422">IF(J26="","",(J26-J$10)*1000)</f>
        <v>-6.450000000000955</v>
      </c>
      <c r="AM26" s="73">
        <f t="shared" ref="AM26:AM27" si="423">IF(K26="","",(K26-K$10)*1000)</f>
        <v>-2.2999999346211553</v>
      </c>
      <c r="AN26" s="73">
        <f t="shared" ref="AN26:AN27" si="424">IF(L26="","",(L26-L$10)*1000)</f>
        <v>-2.9000001959502697</v>
      </c>
      <c r="AO26" s="73">
        <f t="shared" ref="AO26:AO27" si="425">IF(M26="","",(M26-M$10)*1000)</f>
        <v>-6.3999999999992951</v>
      </c>
      <c r="AP26" s="73">
        <f t="shared" ref="AP26:AP27" si="426">IF(N26="","",(N26-N$10)*1000)</f>
        <v>-2.6000000070780516</v>
      </c>
      <c r="AQ26" s="73">
        <f t="shared" ref="AQ26:AQ27" si="427">IF(O26="","",(O26-O$10)*1000)</f>
        <v>-4.1000002529472113</v>
      </c>
      <c r="AR26" s="73">
        <f t="shared" ref="AR26:AR27" si="428">IF(P26="","",(P26-P$10)*1000)</f>
        <v>-4.9499999999937927</v>
      </c>
      <c r="AS26" s="73">
        <f t="shared" ref="AS26:AS27" si="429">IF(Q26="","",(Q26-Q$10)*1000)</f>
        <v>-1.1499999091029167</v>
      </c>
      <c r="AT26" s="73">
        <f t="shared" ref="AT26:AT27" si="430">IF(R26="","",(R26-R$10)*1000)</f>
        <v>5.0000147894024849E-2</v>
      </c>
      <c r="AU26" s="73">
        <f t="shared" ref="AU26:AU27" si="431">IF(S26="","",(S26-S$10)*1000)</f>
        <v>-1.0500000000064347</v>
      </c>
      <c r="AV26" s="40"/>
      <c r="AW26" s="39">
        <v>170.10650000000001</v>
      </c>
      <c r="AX26" s="39">
        <v>-2.6280000000000001</v>
      </c>
      <c r="AY26" s="39">
        <v>1.4912000000000001</v>
      </c>
      <c r="AZ26" s="39">
        <v>170.42439999999999</v>
      </c>
      <c r="BA26" s="39">
        <v>-1.1317999999999999</v>
      </c>
      <c r="BB26" s="39">
        <v>2.7545000000000002</v>
      </c>
      <c r="BC26" s="39">
        <v>170.4359</v>
      </c>
      <c r="BD26" s="39">
        <v>0.38569999999999999</v>
      </c>
      <c r="BE26" s="39">
        <v>3.4253999999999998</v>
      </c>
      <c r="BF26" s="39">
        <v>170.6602</v>
      </c>
      <c r="BG26" s="39">
        <v>1.109</v>
      </c>
      <c r="BH26" s="39">
        <v>2.7324000000000002</v>
      </c>
      <c r="BI26" s="39">
        <v>170.3938</v>
      </c>
      <c r="BJ26" s="39">
        <v>2.6362000000000001</v>
      </c>
      <c r="BK26" s="39">
        <v>1.5919000000000001</v>
      </c>
      <c r="BL26" s="40"/>
      <c r="BM26" s="43">
        <f t="shared" ref="BM26:BM27" si="432">IF(AW26="","",(AW26-AW$10)*1000)</f>
        <v>-3.1999999999925421</v>
      </c>
      <c r="BN26" s="43">
        <f t="shared" ref="BN26:BN27" si="433">IF(AX26="","",(AX26-AX$10)*1000)</f>
        <v>1.3000000000000789</v>
      </c>
      <c r="BO26" s="43">
        <f t="shared" ref="BO26:BO27" si="434">IF(AY26="","",(AY26-AY$10)*1000)</f>
        <v>-3.0999999999998806</v>
      </c>
      <c r="BP26" s="43">
        <f t="shared" ref="BP26:BP27" si="435">IF(AZ26="","",(AZ26-AZ$10)*1000)</f>
        <v>-4.9000000000205546</v>
      </c>
      <c r="BQ26" s="43">
        <f t="shared" ref="BQ26:BQ27" si="436">IF(BA26="","",(BA26-BA$10)*1000)</f>
        <v>2.4000000000001798</v>
      </c>
      <c r="BR26" s="43">
        <f t="shared" ref="BR26:BR27" si="437">IF(BB26="","",(BB26-BB$10)*1000)</f>
        <v>-6.3999999999997392</v>
      </c>
      <c r="BS26" s="43">
        <f t="shared" ref="BS26:BS27" si="438">IF(BC26="","",(BC26-BC$10)*1000)</f>
        <v>-3.2999999999958618</v>
      </c>
      <c r="BT26" s="43">
        <f t="shared" ref="BT26:BT27" si="439">IF(BD26="","",(BD26-BD$10)*1000)</f>
        <v>1.5999999999999903</v>
      </c>
      <c r="BU26" s="43">
        <f t="shared" ref="BU26:BU27" si="440">IF(BE26="","",(BE26-BE$10)*1000)</f>
        <v>-6.4000000000001833</v>
      </c>
      <c r="BV26" s="43">
        <f t="shared" ref="BV26:BV27" si="441">IF(BF26="","",(BF26-BF$10)*1000)</f>
        <v>-3.9999999999906777</v>
      </c>
      <c r="BW26" s="43">
        <f t="shared" ref="BW26:BW27" si="442">IF(BG26="","",(BG26-BG$10)*1000)</f>
        <v>2.6999999999999247</v>
      </c>
      <c r="BX26" s="43">
        <f t="shared" ref="BX26:BX27" si="443">IF(BH26="","",(BH26-BH$10)*1000)</f>
        <v>-4.8999999999996824</v>
      </c>
      <c r="BY26" s="43">
        <f t="shared" ref="BY26:BY27" si="444">IF(BI26="","",(BI26-BI$10)*1000)</f>
        <v>-1.0000000000047748</v>
      </c>
      <c r="BZ26" s="43">
        <f t="shared" ref="BZ26:BZ27" si="445">IF(BJ26="","",(BJ26-BJ$10)*1000)</f>
        <v>-0.49999999999972289</v>
      </c>
      <c r="CA26" s="43">
        <f t="shared" ref="CA26:CA27" si="446">IF(BK26="","",(BK26-BK$10)*1000)</f>
        <v>-1.0999999999998789</v>
      </c>
    </row>
    <row r="27" spans="1:79" ht="29.25" customHeight="1" x14ac:dyDescent="0.2">
      <c r="A27" s="37">
        <v>43713</v>
      </c>
      <c r="B27" s="30">
        <f t="shared" si="156"/>
        <v>58</v>
      </c>
      <c r="C27" s="38">
        <v>200.6</v>
      </c>
      <c r="D27" s="38">
        <f t="shared" si="157"/>
        <v>30.199999999999989</v>
      </c>
      <c r="E27" s="39">
        <v>823220.72959999996</v>
      </c>
      <c r="F27" s="39">
        <v>1091507.8784</v>
      </c>
      <c r="G27" s="39">
        <v>-122.351</v>
      </c>
      <c r="H27" s="39">
        <v>823221.65</v>
      </c>
      <c r="I27" s="39">
        <v>1091506.6566000001</v>
      </c>
      <c r="J27" s="39">
        <v>-121.0847</v>
      </c>
      <c r="K27" s="39">
        <v>823222.30220000003</v>
      </c>
      <c r="L27" s="39">
        <v>1091505.2863</v>
      </c>
      <c r="M27" s="39">
        <v>-120.4136</v>
      </c>
      <c r="N27" s="39">
        <v>823222.8112</v>
      </c>
      <c r="O27" s="39">
        <v>1091504.7256</v>
      </c>
      <c r="P27" s="39">
        <v>-121.1044</v>
      </c>
      <c r="Q27" s="39">
        <v>823223.21530000004</v>
      </c>
      <c r="R27" s="39">
        <v>1091503.2290000001</v>
      </c>
      <c r="S27" s="39">
        <v>-122.2473</v>
      </c>
      <c r="T27" s="57">
        <f t="shared" si="1"/>
        <v>3.5979955433926878</v>
      </c>
      <c r="U27" s="47">
        <f t="shared" si="2"/>
        <v>1.6593559413822667</v>
      </c>
      <c r="V27" s="47">
        <f t="shared" si="3"/>
        <v>1.0250220143956892</v>
      </c>
      <c r="W27" s="57">
        <f t="shared" si="4"/>
        <v>2.9032207270463011</v>
      </c>
      <c r="X27" s="47">
        <f t="shared" si="5"/>
        <v>2.2533385298971318</v>
      </c>
      <c r="Y27" s="57">
        <f t="shared" si="6"/>
        <v>5.2731753754580097</v>
      </c>
      <c r="Z27" s="74">
        <f t="shared" si="411"/>
        <v>-1.3422138449379339</v>
      </c>
      <c r="AA27" s="74">
        <f t="shared" si="412"/>
        <v>-0.57013062812760751</v>
      </c>
      <c r="AB27" s="74">
        <f t="shared" si="413"/>
        <v>-0.42176883192701631</v>
      </c>
      <c r="AC27" s="74">
        <f t="shared" si="414"/>
        <v>-5.2759822898100772</v>
      </c>
      <c r="AD27" s="74">
        <f t="shared" si="415"/>
        <v>0.42366201179833141</v>
      </c>
      <c r="AE27" s="74">
        <f t="shared" si="416"/>
        <v>-1.5166395794299348</v>
      </c>
      <c r="AF27" s="40"/>
      <c r="AG27" s="73">
        <f t="shared" si="417"/>
        <v>-2.8000001329928637</v>
      </c>
      <c r="AH27" s="73">
        <f t="shared" si="418"/>
        <v>-2.699999837204814</v>
      </c>
      <c r="AI27" s="73">
        <f t="shared" si="419"/>
        <v>-3.5500000000041609</v>
      </c>
      <c r="AJ27" s="73">
        <f t="shared" si="420"/>
        <v>-3.9499999256804585</v>
      </c>
      <c r="AK27" s="73">
        <f t="shared" si="421"/>
        <v>-4.5999998692423105</v>
      </c>
      <c r="AL27" s="73">
        <f t="shared" si="422"/>
        <v>-7.0499999999924512</v>
      </c>
      <c r="AM27" s="73">
        <f t="shared" si="423"/>
        <v>-2.3999998811632395</v>
      </c>
      <c r="AN27" s="73">
        <f t="shared" si="424"/>
        <v>-3.1000000890344381</v>
      </c>
      <c r="AO27" s="73">
        <f t="shared" si="425"/>
        <v>-6.9000000000016826</v>
      </c>
      <c r="AP27" s="73">
        <f t="shared" si="426"/>
        <v>-2.6000000070780516</v>
      </c>
      <c r="AQ27" s="73">
        <f t="shared" si="427"/>
        <v>-4.3000001460313797</v>
      </c>
      <c r="AR27" s="73">
        <f t="shared" si="428"/>
        <v>-5.4499999999961801</v>
      </c>
      <c r="AS27" s="73">
        <f t="shared" si="429"/>
        <v>-1.1499999091029167</v>
      </c>
      <c r="AT27" s="73">
        <f t="shared" si="430"/>
        <v>-4.9999915063381195E-2</v>
      </c>
      <c r="AU27" s="73">
        <f t="shared" si="431"/>
        <v>-1.3500000000021828</v>
      </c>
      <c r="AV27" s="40"/>
      <c r="AW27" s="39">
        <v>170.1061</v>
      </c>
      <c r="AX27" s="39">
        <v>-2.6280000000000001</v>
      </c>
      <c r="AY27" s="39">
        <v>1.4907999999999999</v>
      </c>
      <c r="AZ27" s="39">
        <v>170.4238</v>
      </c>
      <c r="BA27" s="39">
        <v>-1.1316999999999999</v>
      </c>
      <c r="BB27" s="39">
        <v>2.7538999999999998</v>
      </c>
      <c r="BC27" s="39">
        <v>170.4357</v>
      </c>
      <c r="BD27" s="39">
        <v>0.38579999999999998</v>
      </c>
      <c r="BE27" s="39">
        <v>3.4249000000000001</v>
      </c>
      <c r="BF27" s="39">
        <v>170.6601</v>
      </c>
      <c r="BG27" s="39">
        <v>1.1091</v>
      </c>
      <c r="BH27" s="39">
        <v>2.7319</v>
      </c>
      <c r="BI27" s="39">
        <v>170.3938</v>
      </c>
      <c r="BJ27" s="39">
        <v>2.6362999999999999</v>
      </c>
      <c r="BK27" s="39">
        <v>1.5915999999999999</v>
      </c>
      <c r="BL27" s="40"/>
      <c r="BM27" s="43">
        <f t="shared" si="432"/>
        <v>-3.6000000000058208</v>
      </c>
      <c r="BN27" s="43">
        <f t="shared" si="433"/>
        <v>1.3000000000000789</v>
      </c>
      <c r="BO27" s="43">
        <f t="shared" si="434"/>
        <v>-3.5000000000000586</v>
      </c>
      <c r="BP27" s="43">
        <f t="shared" si="435"/>
        <v>-5.5000000000120508</v>
      </c>
      <c r="BQ27" s="43">
        <f t="shared" si="436"/>
        <v>2.5000000000001688</v>
      </c>
      <c r="BR27" s="43">
        <f t="shared" si="437"/>
        <v>-7.0000000000001172</v>
      </c>
      <c r="BS27" s="43">
        <f t="shared" si="438"/>
        <v>-3.5000000000025011</v>
      </c>
      <c r="BT27" s="43">
        <f t="shared" si="439"/>
        <v>1.6999999999999793</v>
      </c>
      <c r="BU27" s="43">
        <f t="shared" si="440"/>
        <v>-6.8999999999999062</v>
      </c>
      <c r="BV27" s="43">
        <f t="shared" si="441"/>
        <v>-4.0999999999939973</v>
      </c>
      <c r="BW27" s="43">
        <f t="shared" si="442"/>
        <v>2.7999999999999137</v>
      </c>
      <c r="BX27" s="43">
        <f t="shared" si="443"/>
        <v>-5.3999999999998494</v>
      </c>
      <c r="BY27" s="43">
        <f t="shared" si="444"/>
        <v>-1.0000000000047748</v>
      </c>
      <c r="BZ27" s="43">
        <f t="shared" si="445"/>
        <v>-0.39999999999995595</v>
      </c>
      <c r="CA27" s="43">
        <f t="shared" si="446"/>
        <v>-1.4000000000000679</v>
      </c>
    </row>
    <row r="28" spans="1:79" ht="29.25" customHeight="1" x14ac:dyDescent="0.2">
      <c r="A28" s="37">
        <v>43718</v>
      </c>
      <c r="B28" s="30">
        <f t="shared" si="156"/>
        <v>63</v>
      </c>
      <c r="C28" s="38">
        <v>202.58</v>
      </c>
      <c r="D28" s="38">
        <f t="shared" si="157"/>
        <v>32.180000000000007</v>
      </c>
      <c r="E28" s="39">
        <v>823220.72979999997</v>
      </c>
      <c r="F28" s="39">
        <v>1091507.8784</v>
      </c>
      <c r="G28" s="39">
        <v>-122.3509</v>
      </c>
      <c r="H28" s="39">
        <v>823221.65049999999</v>
      </c>
      <c r="I28" s="39">
        <v>1091506.6565</v>
      </c>
      <c r="J28" s="39">
        <v>-121.0844</v>
      </c>
      <c r="K28" s="39">
        <v>823222.3027</v>
      </c>
      <c r="L28" s="39">
        <v>1091505.2860999999</v>
      </c>
      <c r="M28" s="39">
        <v>-120.41330000000001</v>
      </c>
      <c r="N28" s="39">
        <v>823222.81129999994</v>
      </c>
      <c r="O28" s="39">
        <v>1091504.7250999999</v>
      </c>
      <c r="P28" s="39">
        <v>-121.1044</v>
      </c>
      <c r="Q28" s="39">
        <v>823223.21569999994</v>
      </c>
      <c r="R28" s="39">
        <v>1091503.2286</v>
      </c>
      <c r="S28" s="39">
        <v>-122.2467</v>
      </c>
      <c r="T28" s="57">
        <f t="shared" si="1"/>
        <v>3.5983784487999859</v>
      </c>
      <c r="U28" s="47">
        <f t="shared" si="2"/>
        <v>1.6594385226254076</v>
      </c>
      <c r="V28" s="47">
        <f t="shared" si="3"/>
        <v>1.0251898214122068</v>
      </c>
      <c r="W28" s="57">
        <f t="shared" si="4"/>
        <v>2.9031415413989623</v>
      </c>
      <c r="X28" s="47">
        <f t="shared" si="5"/>
        <v>2.2534778899177925</v>
      </c>
      <c r="Y28" s="57">
        <f t="shared" si="6"/>
        <v>5.2736321913821271</v>
      </c>
      <c r="Z28" s="74">
        <f t="shared" ref="Z28" si="447">IF(T28="","",(T28-T$10)*1000)</f>
        <v>-0.95930843763980533</v>
      </c>
      <c r="AA28" s="74">
        <f t="shared" ref="AA28" si="448">IF(U28="","",(U28-U$10)*1000)</f>
        <v>-0.48754938498674072</v>
      </c>
      <c r="AB28" s="74">
        <f t="shared" ref="AB28" si="449">IF(V28="","",(V28-V$10)*1000)</f>
        <v>-0.2539618154093759</v>
      </c>
      <c r="AC28" s="74">
        <f t="shared" ref="AC28" si="450">IF(W28="","",(W28-W$10)*1000)</f>
        <v>-5.3551679371488525</v>
      </c>
      <c r="AD28" s="74">
        <f t="shared" ref="AD28" si="451">IF(X28="","",(X28-X$10)*1000)</f>
        <v>0.56302203245905957</v>
      </c>
      <c r="AE28" s="74">
        <f t="shared" ref="AE28" si="452">IF(Y28="","",(Y28-Y$10)*1000)</f>
        <v>-1.0598236553125417</v>
      </c>
      <c r="AF28" s="40"/>
      <c r="AG28" s="73">
        <f t="shared" ref="AG28" si="453">IF(E28="","",(E28-E$10)*1000)</f>
        <v>-2.6000001234933734</v>
      </c>
      <c r="AH28" s="73">
        <f t="shared" ref="AH28" si="454">IF(F28="","",(F28-F$10)*1000)</f>
        <v>-2.699999837204814</v>
      </c>
      <c r="AI28" s="73">
        <f t="shared" ref="AI28" si="455">IF(G28="","",(G28-G$10)*1000)</f>
        <v>-3.4500000000008413</v>
      </c>
      <c r="AJ28" s="73">
        <f t="shared" ref="AJ28" si="456">IF(H28="","",(H28-H$10)*1000)</f>
        <v>-3.4499999601393938</v>
      </c>
      <c r="AK28" s="73">
        <f t="shared" ref="AK28" si="457">IF(I28="","",(I28-I$10)*1000)</f>
        <v>-4.6999999321997166</v>
      </c>
      <c r="AL28" s="73">
        <f t="shared" ref="AL28" si="458">IF(J28="","",(J28-J$10)*1000)</f>
        <v>-6.7499999999967031</v>
      </c>
      <c r="AM28" s="73">
        <f t="shared" ref="AM28" si="459">IF(K28="","",(K28-K$10)*1000)</f>
        <v>-1.8999999156221747</v>
      </c>
      <c r="AN28" s="73">
        <f t="shared" ref="AN28" si="460">IF(L28="","",(L28-L$10)*1000)</f>
        <v>-3.3000002149492502</v>
      </c>
      <c r="AO28" s="73">
        <f t="shared" ref="AO28" si="461">IF(M28="","",(M28-M$10)*1000)</f>
        <v>-6.6000000000059345</v>
      </c>
      <c r="AP28" s="73">
        <f t="shared" ref="AP28" si="462">IF(N28="","",(N28-N$10)*1000)</f>
        <v>-2.5000000605359674</v>
      </c>
      <c r="AQ28" s="73">
        <f t="shared" ref="AQ28" si="463">IF(O28="","",(O28-O$10)*1000)</f>
        <v>-4.8000002279877663</v>
      </c>
      <c r="AR28" s="73">
        <f t="shared" ref="AR28" si="464">IF(P28="","",(P28-P$10)*1000)</f>
        <v>-5.4499999999961801</v>
      </c>
      <c r="AS28" s="73">
        <f t="shared" ref="AS28" si="465">IF(Q28="","",(Q28-Q$10)*1000)</f>
        <v>-0.75000000651925802</v>
      </c>
      <c r="AT28" s="73">
        <f t="shared" ref="AT28" si="466">IF(R28="","",(R28-R$10)*1000)</f>
        <v>-0.44999993406236172</v>
      </c>
      <c r="AU28" s="73">
        <f t="shared" ref="AU28" si="467">IF(S28="","",(S28-S$10)*1000)</f>
        <v>-0.75000000001068656</v>
      </c>
      <c r="AV28" s="40"/>
      <c r="AW28" s="39">
        <v>170.10624796125234</v>
      </c>
      <c r="AX28" s="39">
        <v>-2.6279303367841425</v>
      </c>
      <c r="AY28" s="39">
        <v>1.4909175203874838</v>
      </c>
      <c r="AZ28" s="39">
        <v>170.42423255979395</v>
      </c>
      <c r="BA28" s="39">
        <v>-1.1313963762167236</v>
      </c>
      <c r="BB28" s="39">
        <v>2.7542376744020487</v>
      </c>
      <c r="BC28" s="39">
        <v>170.43611391957967</v>
      </c>
      <c r="BD28" s="39">
        <v>0.38623988905333734</v>
      </c>
      <c r="BE28" s="39">
        <v>3.4252188608041934</v>
      </c>
      <c r="BF28" s="39">
        <v>170.65994627807325</v>
      </c>
      <c r="BG28" s="39">
        <v>1.1096305409271254</v>
      </c>
      <c r="BH28" s="39">
        <v>2.7318805372192685</v>
      </c>
      <c r="BI28" s="39">
        <v>170.3939520496954</v>
      </c>
      <c r="BJ28" s="39">
        <v>2.6368170652737297</v>
      </c>
      <c r="BK28" s="39">
        <v>1.5922404795030332</v>
      </c>
      <c r="BL28" s="40"/>
      <c r="BM28" s="43">
        <f t="shared" ref="BM28" si="468">IF(AW28="","",(AW28-AW$10)*1000)</f>
        <v>-3.4520387476675296</v>
      </c>
      <c r="BN28" s="43">
        <f t="shared" ref="BN28" si="469">IF(AX28="","",(AX28-AX$10)*1000)</f>
        <v>1.3696632158577415</v>
      </c>
      <c r="BO28" s="43">
        <f t="shared" ref="BO28" si="470">IF(AY28="","",(AY28-AY$10)*1000)</f>
        <v>-3.3824796125161427</v>
      </c>
      <c r="BP28" s="43">
        <f t="shared" ref="BP28" si="471">IF(AZ28="","",(AZ28-AZ$10)*1000)</f>
        <v>-5.0674402060622015</v>
      </c>
      <c r="BQ28" s="43">
        <f t="shared" ref="BQ28" si="472">IF(BA28="","",(BA28-BA$10)*1000)</f>
        <v>2.8036237832764765</v>
      </c>
      <c r="BR28" s="43">
        <f t="shared" ref="BR28" si="473">IF(BB28="","",(BB28-BB$10)*1000)</f>
        <v>-6.662325597951213</v>
      </c>
      <c r="BS28" s="43">
        <f t="shared" ref="BS28" si="474">IF(BC28="","",(BC28-BC$10)*1000)</f>
        <v>-3.0860804203314274</v>
      </c>
      <c r="BT28" s="43">
        <f t="shared" ref="BT28" si="475">IF(BD28="","",(BD28-BD$10)*1000)</f>
        <v>2.1398890533373405</v>
      </c>
      <c r="BU28" s="43">
        <f t="shared" ref="BU28" si="476">IF(BE28="","",(BE28-BE$10)*1000)</f>
        <v>-6.5811391958066068</v>
      </c>
      <c r="BV28" s="43">
        <f t="shared" ref="BV28" si="477">IF(BF28="","",(BF28-BF$10)*1000)</f>
        <v>-4.253721926744447</v>
      </c>
      <c r="BW28" s="43">
        <f t="shared" ref="BW28" si="478">IF(BG28="","",(BG28-BG$10)*1000)</f>
        <v>3.3305409271253694</v>
      </c>
      <c r="BX28" s="43">
        <f t="shared" ref="BX28" si="479">IF(BH28="","",(BH28-BH$10)*1000)</f>
        <v>-5.4194627807313545</v>
      </c>
      <c r="BY28" s="43">
        <f t="shared" ref="BY28" si="480">IF(BI28="","",(BI28-BI$10)*1000)</f>
        <v>-0.84795030460327325</v>
      </c>
      <c r="BZ28" s="43">
        <f t="shared" ref="BZ28" si="481">IF(BJ28="","",(BJ28-BJ$10)*1000)</f>
        <v>0.11706527372989939</v>
      </c>
      <c r="CA28" s="43">
        <f t="shared" ref="CA28" si="482">IF(BK28="","",(BK28-BK$10)*1000)</f>
        <v>-0.75952049696681456</v>
      </c>
    </row>
    <row r="29" spans="1:79" ht="29.25" customHeight="1" x14ac:dyDescent="0.2">
      <c r="A29" s="37">
        <v>43720</v>
      </c>
      <c r="B29" s="30">
        <f t="shared" si="156"/>
        <v>65</v>
      </c>
      <c r="C29" s="38">
        <v>203.6</v>
      </c>
      <c r="D29" s="38">
        <f t="shared" si="157"/>
        <v>33.199999999999989</v>
      </c>
      <c r="E29" s="39">
        <v>823220.72939999995</v>
      </c>
      <c r="F29" s="39">
        <v>1091507.8785000001</v>
      </c>
      <c r="G29" s="39">
        <v>-122.3507</v>
      </c>
      <c r="H29" s="39">
        <v>823221.65009999997</v>
      </c>
      <c r="I29" s="39">
        <v>1091506.6564</v>
      </c>
      <c r="J29" s="39">
        <v>-121.08450000000001</v>
      </c>
      <c r="K29" s="39">
        <v>823222.30240000004</v>
      </c>
      <c r="L29" s="39">
        <v>1091505.2862</v>
      </c>
      <c r="M29" s="39">
        <v>-120.4132</v>
      </c>
      <c r="N29" s="39">
        <v>823222.81140000001</v>
      </c>
      <c r="O29" s="39">
        <v>1091504.7252</v>
      </c>
      <c r="P29" s="39">
        <v>-121.1041</v>
      </c>
      <c r="Q29" s="39">
        <v>823223.21569999994</v>
      </c>
      <c r="R29" s="39">
        <v>1091503.2287999999</v>
      </c>
      <c r="S29" s="39">
        <v>-122.24639999999999</v>
      </c>
      <c r="T29" s="57">
        <f t="shared" si="1"/>
        <v>3.5983683164715514</v>
      </c>
      <c r="U29" s="47">
        <f t="shared" si="2"/>
        <v>1.659393569985804</v>
      </c>
      <c r="V29" s="47">
        <f t="shared" si="3"/>
        <v>1.0252535344715952</v>
      </c>
      <c r="W29" s="57">
        <f t="shared" si="4"/>
        <v>2.9030387338123838</v>
      </c>
      <c r="X29" s="47">
        <f t="shared" si="5"/>
        <v>2.2535605805152596</v>
      </c>
      <c r="Y29" s="57">
        <f t="shared" si="6"/>
        <v>5.2737345659083026</v>
      </c>
      <c r="Z29" s="74">
        <f t="shared" ref="Z29" si="483">IF(T29="","",(T29-T$10)*1000)</f>
        <v>-0.96944076607430318</v>
      </c>
      <c r="AA29" s="74">
        <f t="shared" ref="AA29" si="484">IF(U29="","",(U29-U$10)*1000)</f>
        <v>-0.53250202459032003</v>
      </c>
      <c r="AB29" s="74">
        <f t="shared" ref="AB29" si="485">IF(V29="","",(V29-V$10)*1000)</f>
        <v>-0.19024875602102753</v>
      </c>
      <c r="AC29" s="74">
        <f t="shared" ref="AC29" si="486">IF(W29="","",(W29-W$10)*1000)</f>
        <v>-5.4579755237273986</v>
      </c>
      <c r="AD29" s="74">
        <f t="shared" ref="AD29" si="487">IF(X29="","",(X29-X$10)*1000)</f>
        <v>0.64571262992618728</v>
      </c>
      <c r="AE29" s="74">
        <f t="shared" ref="AE29" si="488">IF(Y29="","",(Y29-Y$10)*1000)</f>
        <v>-0.95744912913708902</v>
      </c>
      <c r="AF29" s="40"/>
      <c r="AG29" s="73">
        <f t="shared" ref="AG29" si="489">IF(E29="","",(E29-E$10)*1000)</f>
        <v>-3.0000001424923539</v>
      </c>
      <c r="AH29" s="73">
        <f t="shared" ref="AH29" si="490">IF(F29="","",(F29-F$10)*1000)</f>
        <v>-2.5999997742474079</v>
      </c>
      <c r="AI29" s="73">
        <f t="shared" ref="AI29" si="491">IF(G29="","",(G29-G$10)*1000)</f>
        <v>-3.2500000000084128</v>
      </c>
      <c r="AJ29" s="73">
        <f t="shared" ref="AJ29" si="492">IF(H29="","",(H29-H$10)*1000)</f>
        <v>-3.8499999791383743</v>
      </c>
      <c r="AK29" s="73">
        <f t="shared" ref="AK29" si="493">IF(I29="","",(I29-I$10)*1000)</f>
        <v>-4.7999999951571226</v>
      </c>
      <c r="AL29" s="73">
        <f t="shared" ref="AL29" si="494">IF(J29="","",(J29-J$10)*1000)</f>
        <v>-6.8500000000000227</v>
      </c>
      <c r="AM29" s="73">
        <f t="shared" ref="AM29" si="495">IF(K29="","",(K29-K$10)*1000)</f>
        <v>-2.1999998716637492</v>
      </c>
      <c r="AN29" s="73">
        <f t="shared" ref="AN29" si="496">IF(L29="","",(L29-L$10)*1000)</f>
        <v>-3.2000001519918442</v>
      </c>
      <c r="AO29" s="73">
        <f t="shared" ref="AO29" si="497">IF(M29="","",(M29-M$10)*1000)</f>
        <v>-6.5000000000026148</v>
      </c>
      <c r="AP29" s="73">
        <f t="shared" ref="AP29" si="498">IF(N29="","",(N29-N$10)*1000)</f>
        <v>-2.3999999975785613</v>
      </c>
      <c r="AQ29" s="73">
        <f t="shared" ref="AQ29" si="499">IF(O29="","",(O29-O$10)*1000)</f>
        <v>-4.7000001650303602</v>
      </c>
      <c r="AR29" s="73">
        <f t="shared" ref="AR29" si="500">IF(P29="","",(P29-P$10)*1000)</f>
        <v>-5.150000000000432</v>
      </c>
      <c r="AS29" s="73">
        <f t="shared" ref="AS29" si="501">IF(Q29="","",(Q29-Q$10)*1000)</f>
        <v>-0.75000000651925802</v>
      </c>
      <c r="AT29" s="73">
        <f t="shared" ref="AT29" si="502">IF(R29="","",(R29-R$10)*1000)</f>
        <v>-0.25000004097819328</v>
      </c>
      <c r="AU29" s="73">
        <f t="shared" ref="AU29" si="503">IF(S29="","",(S29-S$10)*1000)</f>
        <v>-0.4500000000007276</v>
      </c>
      <c r="AV29" s="40"/>
      <c r="AW29" s="39">
        <v>170.10589999999999</v>
      </c>
      <c r="AX29" s="39">
        <v>-2.6282000000000001</v>
      </c>
      <c r="AY29" s="39">
        <v>1.4911000000000001</v>
      </c>
      <c r="AZ29" s="39">
        <v>170.4238</v>
      </c>
      <c r="BA29" s="39">
        <v>-1.1315</v>
      </c>
      <c r="BB29" s="39">
        <v>2.7541000000000002</v>
      </c>
      <c r="BC29" s="39">
        <v>170.4359</v>
      </c>
      <c r="BD29" s="39">
        <v>0.38600000000000001</v>
      </c>
      <c r="BE29" s="39">
        <v>3.4253</v>
      </c>
      <c r="BF29" s="39">
        <v>170.6601</v>
      </c>
      <c r="BG29" s="39">
        <v>1.1095999999999999</v>
      </c>
      <c r="BH29" s="39">
        <v>2.7322000000000002</v>
      </c>
      <c r="BI29" s="39">
        <v>170.39400000000001</v>
      </c>
      <c r="BJ29" s="39">
        <v>2.6366000000000001</v>
      </c>
      <c r="BK29" s="39">
        <v>1.5925</v>
      </c>
      <c r="BL29" s="40"/>
      <c r="BM29" s="43">
        <f t="shared" ref="BM29" si="504">IF(AW29="","",(AW29-AW$10)*1000)</f>
        <v>-3.8000000000124601</v>
      </c>
      <c r="BN29" s="43">
        <f t="shared" ref="BN29" si="505">IF(AX29="","",(AX29-AX$10)*1000)</f>
        <v>1.1000000000001009</v>
      </c>
      <c r="BO29" s="43">
        <f t="shared" ref="BO29" si="506">IF(AY29="","",(AY29-AY$10)*1000)</f>
        <v>-3.1999999999998696</v>
      </c>
      <c r="BP29" s="43">
        <f t="shared" ref="BP29" si="507">IF(AZ29="","",(AZ29-AZ$10)*1000)</f>
        <v>-5.5000000000120508</v>
      </c>
      <c r="BQ29" s="43">
        <f t="shared" ref="BQ29" si="508">IF(BA29="","",(BA29-BA$10)*1000)</f>
        <v>2.7000000000001467</v>
      </c>
      <c r="BR29" s="43">
        <f t="shared" ref="BR29" si="509">IF(BB29="","",(BB29-BB$10)*1000)</f>
        <v>-6.7999999999996952</v>
      </c>
      <c r="BS29" s="43">
        <f t="shared" ref="BS29" si="510">IF(BC29="","",(BC29-BC$10)*1000)</f>
        <v>-3.2999999999958618</v>
      </c>
      <c r="BT29" s="43">
        <f t="shared" ref="BT29" si="511">IF(BD29="","",(BD29-BD$10)*1000)</f>
        <v>1.9000000000000128</v>
      </c>
      <c r="BU29" s="43">
        <f t="shared" ref="BU29" si="512">IF(BE29="","",(BE29-BE$10)*1000)</f>
        <v>-6.4999999999999503</v>
      </c>
      <c r="BV29" s="43">
        <f t="shared" ref="BV29" si="513">IF(BF29="","",(BF29-BF$10)*1000)</f>
        <v>-4.0999999999939973</v>
      </c>
      <c r="BW29" s="43">
        <f t="shared" ref="BW29" si="514">IF(BG29="","",(BG29-BG$10)*1000)</f>
        <v>3.2999999999998586</v>
      </c>
      <c r="BX29" s="43">
        <f t="shared" ref="BX29" si="515">IF(BH29="","",(BH29-BH$10)*1000)</f>
        <v>-5.0999999999996604</v>
      </c>
      <c r="BY29" s="43">
        <f t="shared" ref="BY29" si="516">IF(BI29="","",(BI29-BI$10)*1000)</f>
        <v>-0.79999999999813554</v>
      </c>
      <c r="BZ29" s="43">
        <f t="shared" ref="BZ29" si="517">IF(BJ29="","",(BJ29-BJ$10)*1000)</f>
        <v>-9.9999999999766942E-2</v>
      </c>
      <c r="CA29" s="43">
        <f t="shared" ref="CA29" si="518">IF(BK29="","",(BK29-BK$10)*1000)</f>
        <v>-0.49999999999994493</v>
      </c>
    </row>
    <row r="30" spans="1:79" ht="29.25" customHeight="1" x14ac:dyDescent="0.2">
      <c r="A30" s="37">
        <v>43724</v>
      </c>
      <c r="B30" s="30">
        <f t="shared" si="156"/>
        <v>69</v>
      </c>
      <c r="C30" s="38">
        <v>203.6</v>
      </c>
      <c r="D30" s="38">
        <f t="shared" si="157"/>
        <v>33.199999999999989</v>
      </c>
      <c r="E30" s="39">
        <v>823220.72880000004</v>
      </c>
      <c r="F30" s="39">
        <v>1091507.8791</v>
      </c>
      <c r="G30" s="39">
        <v>-122.3515</v>
      </c>
      <c r="H30" s="39">
        <v>823221.6496</v>
      </c>
      <c r="I30" s="39">
        <v>1091506.6566000001</v>
      </c>
      <c r="J30" s="39">
        <v>-121.0855</v>
      </c>
      <c r="K30" s="39">
        <v>823222.30189999996</v>
      </c>
      <c r="L30" s="39">
        <v>1091505.2863</v>
      </c>
      <c r="M30" s="39">
        <v>-120.4143</v>
      </c>
      <c r="N30" s="39">
        <v>823222.81079999998</v>
      </c>
      <c r="O30" s="39">
        <v>1091504.7253</v>
      </c>
      <c r="P30" s="39">
        <v>-121.105</v>
      </c>
      <c r="Q30" s="39">
        <v>823223.21510000003</v>
      </c>
      <c r="R30" s="39">
        <v>1091503.2291000001</v>
      </c>
      <c r="S30" s="39">
        <v>-122.2471</v>
      </c>
      <c r="T30" s="57">
        <f t="shared" si="1"/>
        <v>3.5986107443942372</v>
      </c>
      <c r="U30" s="47">
        <f t="shared" si="2"/>
        <v>1.6594356932797649</v>
      </c>
      <c r="V30" s="47">
        <f t="shared" si="3"/>
        <v>1.0250691196211725</v>
      </c>
      <c r="W30" s="57">
        <f t="shared" si="4"/>
        <v>2.9026129469509465</v>
      </c>
      <c r="X30" s="47">
        <f t="shared" si="5"/>
        <v>2.2535938809264704</v>
      </c>
      <c r="Y30" s="57">
        <f t="shared" si="6"/>
        <v>5.274001047504826</v>
      </c>
      <c r="Z30" s="74">
        <f t="shared" ref="Z30" si="519">IF(T30="","",(T30-T$10)*1000)</f>
        <v>-0.72701284338849703</v>
      </c>
      <c r="AA30" s="74">
        <f t="shared" ref="AA30" si="520">IF(U30="","",(U30-U$10)*1000)</f>
        <v>-0.49037873062940385</v>
      </c>
      <c r="AB30" s="74">
        <f t="shared" ref="AB30" si="521">IF(V30="","",(V30-V$10)*1000)</f>
        <v>-0.37466360644367036</v>
      </c>
      <c r="AC30" s="74">
        <f t="shared" ref="AC30" si="522">IF(W30="","",(W30-W$10)*1000)</f>
        <v>-5.883762385164637</v>
      </c>
      <c r="AD30" s="74">
        <f t="shared" ref="AD30" si="523">IF(X30="","",(X30-X$10)*1000)</f>
        <v>0.67901304113693328</v>
      </c>
      <c r="AE30" s="74">
        <f t="shared" ref="AE30" si="524">IF(Y30="","",(Y30-Y$10)*1000)</f>
        <v>-0.69096753261366217</v>
      </c>
      <c r="AF30" s="40"/>
      <c r="AG30" s="73">
        <f t="shared" ref="AG30" si="525">IF(E30="","",(E30-E$10)*1000)</f>
        <v>-3.6000000545755029</v>
      </c>
      <c r="AH30" s="73">
        <f t="shared" ref="AH30" si="526">IF(F30="","",(F30-F$10)*1000)</f>
        <v>-1.999999862164259</v>
      </c>
      <c r="AI30" s="73">
        <f t="shared" ref="AI30" si="527">IF(G30="","",(G30-G$10)*1000)</f>
        <v>-4.0500000000065484</v>
      </c>
      <c r="AJ30" s="73">
        <f t="shared" ref="AJ30" si="528">IF(H30="","",(H30-H$10)*1000)</f>
        <v>-4.3499999446794391</v>
      </c>
      <c r="AK30" s="73">
        <f t="shared" ref="AK30" si="529">IF(I30="","",(I30-I$10)*1000)</f>
        <v>-4.5999998692423105</v>
      </c>
      <c r="AL30" s="73">
        <f t="shared" ref="AL30" si="530">IF(J30="","",(J30-J$10)*1000)</f>
        <v>-7.8499999999905867</v>
      </c>
      <c r="AM30" s="73">
        <f t="shared" ref="AM30" si="531">IF(K30="","",(K30-K$10)*1000)</f>
        <v>-2.6999999536201358</v>
      </c>
      <c r="AN30" s="73">
        <f t="shared" ref="AN30" si="532">IF(L30="","",(L30-L$10)*1000)</f>
        <v>-3.1000000890344381</v>
      </c>
      <c r="AO30" s="73">
        <f t="shared" ref="AO30" si="533">IF(M30="","",(M30-M$10)*1000)</f>
        <v>-7.5999999999964984</v>
      </c>
      <c r="AP30" s="73">
        <f t="shared" ref="AP30" si="534">IF(N30="","",(N30-N$10)*1000)</f>
        <v>-3.0000000260770321</v>
      </c>
      <c r="AQ30" s="73">
        <f t="shared" ref="AQ30" si="535">IF(O30="","",(O30-O$10)*1000)</f>
        <v>-4.6000001020729542</v>
      </c>
      <c r="AR30" s="73">
        <f t="shared" ref="AR30" si="536">IF(P30="","",(P30-P$10)*1000)</f>
        <v>-6.0500000000018872</v>
      </c>
      <c r="AS30" s="73">
        <f t="shared" ref="AS30" si="537">IF(Q30="","",(Q30-Q$10)*1000)</f>
        <v>-1.349999918602407</v>
      </c>
      <c r="AT30" s="73">
        <f t="shared" ref="AT30" si="538">IF(R30="","",(R30-R$10)*1000)</f>
        <v>5.0000147894024849E-2</v>
      </c>
      <c r="AU30" s="73">
        <f t="shared" ref="AU30" si="539">IF(S30="","",(S30-S$10)*1000)</f>
        <v>-1.1500000000097543</v>
      </c>
      <c r="AV30" s="40"/>
      <c r="AW30" s="39">
        <v>170.10560000000001</v>
      </c>
      <c r="AX30" s="39">
        <v>-2.629</v>
      </c>
      <c r="AY30" s="39">
        <v>1.4903</v>
      </c>
      <c r="AZ30" s="39">
        <v>170.42349999999999</v>
      </c>
      <c r="BA30" s="39">
        <v>-1.1318999999999999</v>
      </c>
      <c r="BB30" s="39">
        <v>2.7530999999999999</v>
      </c>
      <c r="BC30" s="39">
        <v>170.43549999999999</v>
      </c>
      <c r="BD30" s="39">
        <v>0.38569999999999999</v>
      </c>
      <c r="BE30" s="39">
        <v>3.4241999999999999</v>
      </c>
      <c r="BF30" s="39">
        <v>170.65960000000001</v>
      </c>
      <c r="BG30" s="39">
        <v>1.1092</v>
      </c>
      <c r="BH30" s="39">
        <v>2.7313000000000001</v>
      </c>
      <c r="BI30" s="39">
        <v>170.39359999999999</v>
      </c>
      <c r="BJ30" s="39">
        <v>2.6360999999999999</v>
      </c>
      <c r="BK30" s="39">
        <v>1.5918000000000001</v>
      </c>
      <c r="BL30" s="40"/>
      <c r="BM30" s="43">
        <f t="shared" ref="BM30" si="540">IF(AW30="","",(AW30-AW$10)*1000)</f>
        <v>-4.0999999999939973</v>
      </c>
      <c r="BN30" s="43">
        <f t="shared" ref="BN30" si="541">IF(AX30="","",(AX30-AX$10)*1000)</f>
        <v>0.300000000000189</v>
      </c>
      <c r="BO30" s="43">
        <f t="shared" ref="BO30" si="542">IF(AY30="","",(AY30-AY$10)*1000)</f>
        <v>-4.0000000000000036</v>
      </c>
      <c r="BP30" s="43">
        <f t="shared" ref="BP30" si="543">IF(AZ30="","",(AZ30-AZ$10)*1000)</f>
        <v>-5.8000000000220098</v>
      </c>
      <c r="BQ30" s="43">
        <f t="shared" ref="BQ30" si="544">IF(BA30="","",(BA30-BA$10)*1000)</f>
        <v>2.3000000000001908</v>
      </c>
      <c r="BR30" s="43">
        <f t="shared" ref="BR30" si="545">IF(BB30="","",(BB30-BB$10)*1000)</f>
        <v>-7.8000000000000291</v>
      </c>
      <c r="BS30" s="43">
        <f t="shared" ref="BS30" si="546">IF(BC30="","",(BC30-BC$10)*1000)</f>
        <v>-3.7000000000091404</v>
      </c>
      <c r="BT30" s="43">
        <f t="shared" ref="BT30" si="547">IF(BD30="","",(BD30-BD$10)*1000)</f>
        <v>1.5999999999999903</v>
      </c>
      <c r="BU30" s="43">
        <f t="shared" ref="BU30" si="548">IF(BE30="","",(BE30-BE$10)*1000)</f>
        <v>-7.6000000000000512</v>
      </c>
      <c r="BV30" s="43">
        <f t="shared" ref="BV30" si="549">IF(BF30="","",(BF30-BF$10)*1000)</f>
        <v>-4.5999999999821739</v>
      </c>
      <c r="BW30" s="43">
        <f t="shared" ref="BW30" si="550">IF(BG30="","",(BG30-BG$10)*1000)</f>
        <v>2.8999999999999027</v>
      </c>
      <c r="BX30" s="43">
        <f t="shared" ref="BX30" si="551">IF(BH30="","",(BH30-BH$10)*1000)</f>
        <v>-5.9999999999997833</v>
      </c>
      <c r="BY30" s="43">
        <f t="shared" ref="BY30" si="552">IF(BI30="","",(BI30-BI$10)*1000)</f>
        <v>-1.2000000000114142</v>
      </c>
      <c r="BZ30" s="43">
        <f t="shared" ref="BZ30" si="553">IF(BJ30="","",(BJ30-BJ$10)*1000)</f>
        <v>-0.59999999999993392</v>
      </c>
      <c r="CA30" s="43">
        <f t="shared" ref="CA30" si="554">IF(BK30="","",(BK30-BK$10)*1000)</f>
        <v>-1.1999999999998678</v>
      </c>
    </row>
    <row r="31" spans="1:79" ht="29.25" customHeight="1" x14ac:dyDescent="0.2">
      <c r="A31" s="37">
        <v>43727</v>
      </c>
      <c r="B31" s="30">
        <f t="shared" si="156"/>
        <v>72</v>
      </c>
      <c r="C31" s="38">
        <v>206.32</v>
      </c>
      <c r="D31" s="38">
        <f t="shared" si="157"/>
        <v>35.919999999999987</v>
      </c>
      <c r="E31" s="39">
        <v>823220.72950000002</v>
      </c>
      <c r="F31" s="39">
        <v>1091507.8784</v>
      </c>
      <c r="G31" s="39">
        <v>-122.3519</v>
      </c>
      <c r="H31" s="39">
        <v>823221.65009999997</v>
      </c>
      <c r="I31" s="39">
        <v>1091506.6561</v>
      </c>
      <c r="J31" s="39">
        <v>-121.086</v>
      </c>
      <c r="K31" s="39">
        <v>823222.30260000005</v>
      </c>
      <c r="L31" s="39">
        <v>1091505.2859</v>
      </c>
      <c r="M31" s="39">
        <v>-120.4147</v>
      </c>
      <c r="N31" s="39">
        <v>823222.81160000002</v>
      </c>
      <c r="O31" s="39">
        <v>1091504.7248</v>
      </c>
      <c r="P31" s="39">
        <v>-121.1052</v>
      </c>
      <c r="Q31" s="39">
        <v>823223.21640000003</v>
      </c>
      <c r="R31" s="39">
        <v>1091503.2286</v>
      </c>
      <c r="S31" s="39">
        <v>-122.2471</v>
      </c>
      <c r="T31" s="57">
        <f t="shared" si="1"/>
        <v>3.5983946004105563</v>
      </c>
      <c r="U31" s="47">
        <f t="shared" si="2"/>
        <v>1.6594721992617587</v>
      </c>
      <c r="V31" s="47">
        <f t="shared" si="3"/>
        <v>1.0250387602511173</v>
      </c>
      <c r="W31" s="57">
        <f t="shared" si="4"/>
        <v>2.9026201077484624</v>
      </c>
      <c r="X31" s="47">
        <f t="shared" si="5"/>
        <v>2.2537458996784734</v>
      </c>
      <c r="Y31" s="57">
        <f t="shared" si="6"/>
        <v>5.2741155362978205</v>
      </c>
      <c r="Z31" s="74">
        <f t="shared" ref="Z31" si="555">IF(T31="","",(T31-T$10)*1000)</f>
        <v>-0.94315682706946902</v>
      </c>
      <c r="AA31" s="74">
        <f t="shared" ref="AA31" si="556">IF(U31="","",(U31-U$10)*1000)</f>
        <v>-0.45387274863561977</v>
      </c>
      <c r="AB31" s="74">
        <f t="shared" ref="AB31" si="557">IF(V31="","",(V31-V$10)*1000)</f>
        <v>-0.40502297649891439</v>
      </c>
      <c r="AC31" s="74">
        <f t="shared" ref="AC31" si="558">IF(W31="","",(W31-W$10)*1000)</f>
        <v>-5.8766015876487998</v>
      </c>
      <c r="AD31" s="74">
        <f t="shared" ref="AD31" si="559">IF(X31="","",(X31-X$10)*1000)</f>
        <v>0.8310317931399247</v>
      </c>
      <c r="AE31" s="74">
        <f t="shared" ref="AE31" si="560">IF(Y31="","",(Y31-Y$10)*1000)</f>
        <v>-0.57647873961919061</v>
      </c>
      <c r="AF31" s="40"/>
      <c r="AG31" s="73">
        <f t="shared" ref="AG31" si="561">IF(E31="","",(E31-E$10)*1000)</f>
        <v>-2.9000000795349479</v>
      </c>
      <c r="AH31" s="73">
        <f t="shared" ref="AH31" si="562">IF(F31="","",(F31-F$10)*1000)</f>
        <v>-2.699999837204814</v>
      </c>
      <c r="AI31" s="73">
        <f t="shared" ref="AI31" si="563">IF(G31="","",(G31-G$10)*1000)</f>
        <v>-4.4500000000056161</v>
      </c>
      <c r="AJ31" s="73">
        <f t="shared" ref="AJ31" si="564">IF(H31="","",(H31-H$10)*1000)</f>
        <v>-3.8499999791383743</v>
      </c>
      <c r="AK31" s="73">
        <f t="shared" ref="AK31" si="565">IF(I31="","",(I31-I$10)*1000)</f>
        <v>-5.0999999511986971</v>
      </c>
      <c r="AL31" s="73">
        <f t="shared" ref="AL31" si="566">IF(J31="","",(J31-J$10)*1000)</f>
        <v>-8.3499999999929742</v>
      </c>
      <c r="AM31" s="73">
        <f t="shared" ref="AM31" si="567">IF(K31="","",(K31-K$10)*1000)</f>
        <v>-1.999999862164259</v>
      </c>
      <c r="AN31" s="73">
        <f t="shared" ref="AN31" si="568">IF(L31="","",(L31-L$10)*1000)</f>
        <v>-3.5000001080334187</v>
      </c>
      <c r="AO31" s="73">
        <f t="shared" ref="AO31" si="569">IF(M31="","",(M31-M$10)*1000)</f>
        <v>-7.9999999999955662</v>
      </c>
      <c r="AP31" s="73">
        <f t="shared" ref="AP31" si="570">IF(N31="","",(N31-N$10)*1000)</f>
        <v>-2.199999988079071</v>
      </c>
      <c r="AQ31" s="73">
        <f t="shared" ref="AQ31" si="571">IF(O31="","",(O31-O$10)*1000)</f>
        <v>-5.1000001840293407</v>
      </c>
      <c r="AR31" s="73">
        <f t="shared" ref="AR31" si="572">IF(P31="","",(P31-P$10)*1000)</f>
        <v>-6.2499999999943157</v>
      </c>
      <c r="AS31" s="73">
        <f t="shared" ref="AS31" si="573">IF(Q31="","",(Q31-Q$10)*1000)</f>
        <v>-4.9999915063381195E-2</v>
      </c>
      <c r="AT31" s="73">
        <f t="shared" ref="AT31" si="574">IF(R31="","",(R31-R$10)*1000)</f>
        <v>-0.44999993406236172</v>
      </c>
      <c r="AU31" s="73">
        <f t="shared" ref="AU31" si="575">IF(S31="","",(S31-S$10)*1000)</f>
        <v>-1.1500000000097543</v>
      </c>
      <c r="AV31" s="40"/>
      <c r="AW31" s="39">
        <v>170.10599999999999</v>
      </c>
      <c r="AX31" s="39">
        <v>-2.6280999999999999</v>
      </c>
      <c r="AY31" s="39">
        <v>1.4899</v>
      </c>
      <c r="AZ31" s="39">
        <v>170.4237</v>
      </c>
      <c r="BA31" s="39">
        <v>-1.1312</v>
      </c>
      <c r="BB31" s="39">
        <v>2.7526000000000002</v>
      </c>
      <c r="BC31" s="39">
        <v>170.4359</v>
      </c>
      <c r="BD31" s="39">
        <v>0.38640000000000002</v>
      </c>
      <c r="BE31" s="39">
        <v>3.4238</v>
      </c>
      <c r="BF31" s="39">
        <v>170.6601</v>
      </c>
      <c r="BG31" s="39">
        <v>1.1100000000000001</v>
      </c>
      <c r="BH31" s="39">
        <v>2.7311000000000001</v>
      </c>
      <c r="BI31" s="39">
        <v>170.3946</v>
      </c>
      <c r="BJ31" s="39">
        <v>2.6371000000000002</v>
      </c>
      <c r="BK31" s="39">
        <v>1.5918000000000001</v>
      </c>
      <c r="BL31" s="40"/>
      <c r="BM31" s="43">
        <f t="shared" ref="BM31" si="576">IF(AW31="","",(AW31-AW$10)*1000)</f>
        <v>-3.7000000000091404</v>
      </c>
      <c r="BN31" s="43">
        <f t="shared" ref="BN31" si="577">IF(AX31="","",(AX31-AX$10)*1000)</f>
        <v>1.2000000000003119</v>
      </c>
      <c r="BO31" s="43">
        <f t="shared" ref="BO31" si="578">IF(AY31="","",(AY31-AY$10)*1000)</f>
        <v>-4.3999999999999595</v>
      </c>
      <c r="BP31" s="43">
        <f t="shared" ref="BP31" si="579">IF(AZ31="","",(AZ31-AZ$10)*1000)</f>
        <v>-5.6000000000153705</v>
      </c>
      <c r="BQ31" s="43">
        <f t="shared" ref="BQ31" si="580">IF(BA31="","",(BA31-BA$10)*1000)</f>
        <v>3.0000000000001137</v>
      </c>
      <c r="BR31" s="43">
        <f t="shared" ref="BR31" si="581">IF(BB31="","",(BB31-BB$10)*1000)</f>
        <v>-8.299999999999752</v>
      </c>
      <c r="BS31" s="43">
        <f t="shared" ref="BS31" si="582">IF(BC31="","",(BC31-BC$10)*1000)</f>
        <v>-3.2999999999958618</v>
      </c>
      <c r="BT31" s="43">
        <f t="shared" ref="BT31" si="583">IF(BD31="","",(BD31-BD$10)*1000)</f>
        <v>2.3000000000000242</v>
      </c>
      <c r="BU31" s="43">
        <f t="shared" ref="BU31" si="584">IF(BE31="","",(BE31-BE$10)*1000)</f>
        <v>-8.0000000000000071</v>
      </c>
      <c r="BV31" s="43">
        <f t="shared" ref="BV31" si="585">IF(BF31="","",(BF31-BF$10)*1000)</f>
        <v>-4.0999999999939973</v>
      </c>
      <c r="BW31" s="43">
        <f t="shared" ref="BW31" si="586">IF(BG31="","",(BG31-BG$10)*1000)</f>
        <v>3.7000000000000366</v>
      </c>
      <c r="BX31" s="43">
        <f t="shared" ref="BX31" si="587">IF(BH31="","",(BH31-BH$10)*1000)</f>
        <v>-6.1999999999997613</v>
      </c>
      <c r="BY31" s="43">
        <f t="shared" ref="BY31" si="588">IF(BI31="","",(BI31-BI$10)*1000)</f>
        <v>-0.20000000000663931</v>
      </c>
      <c r="BZ31" s="43">
        <f t="shared" ref="BZ31" si="589">IF(BJ31="","",(BJ31-BJ$10)*1000)</f>
        <v>0.40000000000040004</v>
      </c>
      <c r="CA31" s="43">
        <f t="shared" ref="CA31" si="590">IF(BK31="","",(BK31-BK$10)*1000)</f>
        <v>-1.1999999999998678</v>
      </c>
    </row>
    <row r="32" spans="1:79" ht="29.25" customHeight="1" x14ac:dyDescent="0.2">
      <c r="A32" s="37">
        <v>43731</v>
      </c>
      <c r="B32" s="30">
        <f t="shared" si="156"/>
        <v>76</v>
      </c>
      <c r="C32" s="38">
        <v>206.32</v>
      </c>
      <c r="D32" s="38">
        <f t="shared" si="157"/>
        <v>35.919999999999987</v>
      </c>
      <c r="E32" s="39">
        <v>823220.72779999999</v>
      </c>
      <c r="F32" s="39">
        <v>1091507.879</v>
      </c>
      <c r="G32" s="39">
        <v>-122.3518</v>
      </c>
      <c r="H32" s="39">
        <v>823221.64879999997</v>
      </c>
      <c r="I32" s="39">
        <v>1091506.656</v>
      </c>
      <c r="J32" s="39">
        <v>-121.0864</v>
      </c>
      <c r="K32" s="39">
        <v>823222.30099999998</v>
      </c>
      <c r="L32" s="39">
        <v>1091505.2860000001</v>
      </c>
      <c r="M32" s="39">
        <v>-120.41500000000001</v>
      </c>
      <c r="N32" s="39">
        <v>823222.8101</v>
      </c>
      <c r="O32" s="39">
        <v>1091504.7250000001</v>
      </c>
      <c r="P32" s="39">
        <v>-121.1056</v>
      </c>
      <c r="Q32" s="39">
        <v>823223.21440000006</v>
      </c>
      <c r="R32" s="39">
        <v>1091503.2290000001</v>
      </c>
      <c r="S32" s="39">
        <v>-122.2471</v>
      </c>
      <c r="T32" s="57">
        <f t="shared" si="1"/>
        <v>3.5985832600223655</v>
      </c>
      <c r="U32" s="47">
        <f t="shared" si="2"/>
        <v>1.6592295801615495</v>
      </c>
      <c r="V32" s="47">
        <f t="shared" si="3"/>
        <v>1.0251010535603697</v>
      </c>
      <c r="W32" s="57">
        <f t="shared" si="4"/>
        <v>2.902092171221391</v>
      </c>
      <c r="X32" s="47">
        <f t="shared" si="5"/>
        <v>2.2533857480613464</v>
      </c>
      <c r="Y32" s="57">
        <f t="shared" si="6"/>
        <v>5.2741484288406539</v>
      </c>
      <c r="Z32" s="74">
        <f t="shared" ref="Z32" si="591">IF(T32="","",(T32-T$10)*1000)</f>
        <v>-0.75449721526021918</v>
      </c>
      <c r="AA32" s="74">
        <f t="shared" ref="AA32" si="592">IF(U32="","",(U32-U$10)*1000)</f>
        <v>-0.69649184884479354</v>
      </c>
      <c r="AB32" s="74">
        <f t="shared" ref="AB32" si="593">IF(V32="","",(V32-V$10)*1000)</f>
        <v>-0.34272966724646636</v>
      </c>
      <c r="AC32" s="74">
        <f t="shared" ref="AC32" si="594">IF(W32="","",(W32-W$10)*1000)</f>
        <v>-6.404538114720193</v>
      </c>
      <c r="AD32" s="74">
        <f t="shared" ref="AD32" si="595">IF(X32="","",(X32-X$10)*1000)</f>
        <v>0.4708801760129333</v>
      </c>
      <c r="AE32" s="74">
        <f t="shared" ref="AE32" si="596">IF(Y32="","",(Y32-Y$10)*1000)</f>
        <v>-0.54358619678573916</v>
      </c>
      <c r="AF32" s="40"/>
      <c r="AG32" s="73">
        <f t="shared" ref="AG32" si="597">IF(E32="","",(E32-E$10)*1000)</f>
        <v>-4.6000001020729542</v>
      </c>
      <c r="AH32" s="73">
        <f t="shared" ref="AH32" si="598">IF(F32="","",(F32-F$10)*1000)</f>
        <v>-2.099999925121665</v>
      </c>
      <c r="AI32" s="73">
        <f t="shared" ref="AI32" si="599">IF(G32="","",(G32-G$10)*1000)</f>
        <v>-4.3500000000022965</v>
      </c>
      <c r="AJ32" s="73">
        <f t="shared" ref="AJ32" si="600">IF(H32="","",(H32-H$10)*1000)</f>
        <v>-5.1499999826774001</v>
      </c>
      <c r="AK32" s="73">
        <f t="shared" ref="AK32" si="601">IF(I32="","",(I32-I$10)*1000)</f>
        <v>-5.2000000141561031</v>
      </c>
      <c r="AL32" s="73">
        <f t="shared" ref="AL32" si="602">IF(J32="","",(J32-J$10)*1000)</f>
        <v>-8.7499999999920419</v>
      </c>
      <c r="AM32" s="73">
        <f t="shared" ref="AM32" si="603">IF(K32="","",(K32-K$10)*1000)</f>
        <v>-3.599999938160181</v>
      </c>
      <c r="AN32" s="73">
        <f t="shared" ref="AN32" si="604">IF(L32="","",(L32-L$10)*1000)</f>
        <v>-3.4000000450760126</v>
      </c>
      <c r="AO32" s="73">
        <f t="shared" ref="AO32" si="605">IF(M32="","",(M32-M$10)*1000)</f>
        <v>-8.3000000000055252</v>
      </c>
      <c r="AP32" s="73">
        <f t="shared" ref="AP32" si="606">IF(N32="","",(N32-N$10)*1000)</f>
        <v>-3.7000000011175871</v>
      </c>
      <c r="AQ32" s="73">
        <f t="shared" ref="AQ32" si="607">IF(O32="","",(O32-O$10)*1000)</f>
        <v>-4.9000000581145287</v>
      </c>
      <c r="AR32" s="73">
        <f t="shared" ref="AR32" si="608">IF(P32="","",(P32-P$10)*1000)</f>
        <v>-6.6499999999933834</v>
      </c>
      <c r="AS32" s="73">
        <f t="shared" ref="AS32" si="609">IF(Q32="","",(Q32-Q$10)*1000)</f>
        <v>-2.049999893642962</v>
      </c>
      <c r="AT32" s="73">
        <f t="shared" ref="AT32" si="610">IF(R32="","",(R32-R$10)*1000)</f>
        <v>-4.9999915063381195E-2</v>
      </c>
      <c r="AU32" s="73">
        <f t="shared" ref="AU32" si="611">IF(S32="","",(S32-S$10)*1000)</f>
        <v>-1.1500000000097543</v>
      </c>
      <c r="AV32" s="40"/>
      <c r="AW32" s="39">
        <v>170.1045</v>
      </c>
      <c r="AX32" s="39">
        <v>-2.6288999999999998</v>
      </c>
      <c r="AY32" s="39">
        <v>1.49</v>
      </c>
      <c r="AZ32" s="39">
        <v>170.42259999999999</v>
      </c>
      <c r="BA32" s="39">
        <v>-1.1317999999999999</v>
      </c>
      <c r="BB32" s="39">
        <v>2.7523</v>
      </c>
      <c r="BC32" s="39">
        <v>170.43459999999999</v>
      </c>
      <c r="BD32" s="39">
        <v>0.38540000000000002</v>
      </c>
      <c r="BE32" s="39">
        <v>3.4235000000000002</v>
      </c>
      <c r="BF32" s="39">
        <v>170.65870000000001</v>
      </c>
      <c r="BG32" s="39">
        <v>1.1093999999999999</v>
      </c>
      <c r="BH32" s="39">
        <v>2.7307000000000001</v>
      </c>
      <c r="BI32" s="39">
        <v>170.3929</v>
      </c>
      <c r="BJ32" s="39">
        <v>2.6358999999999999</v>
      </c>
      <c r="BK32" s="39">
        <v>1.5919000000000001</v>
      </c>
      <c r="BL32" s="40"/>
      <c r="BM32" s="43">
        <f t="shared" ref="BM32" si="612">IF(AW32="","",(AW32-AW$10)*1000)</f>
        <v>-5.2000000000020918</v>
      </c>
      <c r="BN32" s="43">
        <f t="shared" ref="BN32" si="613">IF(AX32="","",(AX32-AX$10)*1000)</f>
        <v>0.40000000000040004</v>
      </c>
      <c r="BO32" s="43">
        <f t="shared" ref="BO32" si="614">IF(AY32="","",(AY32-AY$10)*1000)</f>
        <v>-4.2999999999999705</v>
      </c>
      <c r="BP32" s="43">
        <f t="shared" ref="BP32" si="615">IF(AZ32="","",(AZ32-AZ$10)*1000)</f>
        <v>-6.700000000023465</v>
      </c>
      <c r="BQ32" s="43">
        <f t="shared" ref="BQ32" si="616">IF(BA32="","",(BA32-BA$10)*1000)</f>
        <v>2.4000000000001798</v>
      </c>
      <c r="BR32" s="43">
        <f t="shared" ref="BR32" si="617">IF(BB32="","",(BB32-BB$10)*1000)</f>
        <v>-8.599999999999941</v>
      </c>
      <c r="BS32" s="43">
        <f t="shared" ref="BS32" si="618">IF(BC32="","",(BC32-BC$10)*1000)</f>
        <v>-4.6000000000105956</v>
      </c>
      <c r="BT32" s="43">
        <f t="shared" ref="BT32" si="619">IF(BD32="","",(BD32-BD$10)*1000)</f>
        <v>1.3000000000000234</v>
      </c>
      <c r="BU32" s="43">
        <f t="shared" ref="BU32" si="620">IF(BE32="","",(BE32-BE$10)*1000)</f>
        <v>-8.299999999999752</v>
      </c>
      <c r="BV32" s="43">
        <f t="shared" ref="BV32" si="621">IF(BF32="","",(BF32-BF$10)*1000)</f>
        <v>-5.4999999999836291</v>
      </c>
      <c r="BW32" s="43">
        <f t="shared" ref="BW32" si="622">IF(BG32="","",(BG32-BG$10)*1000)</f>
        <v>3.0999999999998806</v>
      </c>
      <c r="BX32" s="43">
        <f t="shared" ref="BX32" si="623">IF(BH32="","",(BH32-BH$10)*1000)</f>
        <v>-6.5999999999997172</v>
      </c>
      <c r="BY32" s="43">
        <f t="shared" ref="BY32" si="624">IF(BI32="","",(BI32-BI$10)*1000)</f>
        <v>-1.90000000000623</v>
      </c>
      <c r="BZ32" s="43">
        <f t="shared" ref="BZ32" si="625">IF(BJ32="","",(BJ32-BJ$10)*1000)</f>
        <v>-0.79999999999991189</v>
      </c>
      <c r="CA32" s="43">
        <f t="shared" ref="CA32" si="626">IF(BK32="","",(BK32-BK$10)*1000)</f>
        <v>-1.0999999999998789</v>
      </c>
    </row>
    <row r="33" spans="1:79" ht="29.25" customHeight="1" x14ac:dyDescent="0.2">
      <c r="A33" s="37">
        <v>43734</v>
      </c>
      <c r="B33" s="30">
        <f t="shared" si="156"/>
        <v>79</v>
      </c>
      <c r="C33" s="38">
        <v>206.32</v>
      </c>
      <c r="D33" s="38">
        <f t="shared" ref="D33" si="627">C33-PM</f>
        <v>35.919999999999987</v>
      </c>
      <c r="E33" s="39">
        <v>823220.72820000001</v>
      </c>
      <c r="F33" s="39">
        <v>1091507.8788000001</v>
      </c>
      <c r="G33" s="39">
        <v>-122.35209999999999</v>
      </c>
      <c r="H33" s="39">
        <v>823221.64910000004</v>
      </c>
      <c r="I33" s="39">
        <v>1091506.6561</v>
      </c>
      <c r="J33" s="39">
        <v>-121.0866</v>
      </c>
      <c r="K33" s="39">
        <v>823222.30149999994</v>
      </c>
      <c r="L33" s="39">
        <v>1091505.2860999999</v>
      </c>
      <c r="M33" s="39">
        <v>-120.4151</v>
      </c>
      <c r="N33" s="39">
        <v>823222.81030000001</v>
      </c>
      <c r="O33" s="39">
        <v>1091504.7250000001</v>
      </c>
      <c r="P33" s="39">
        <v>-121.10599999999999</v>
      </c>
      <c r="Q33" s="39">
        <v>823223.21470000001</v>
      </c>
      <c r="R33" s="39">
        <v>1091503.2290000001</v>
      </c>
      <c r="S33" s="39">
        <v>-122.24720000000001</v>
      </c>
      <c r="T33" s="57">
        <f t="shared" si="1"/>
        <v>3.5985184702291506</v>
      </c>
      <c r="U33" s="47">
        <f t="shared" si="2"/>
        <v>1.6593486704672868</v>
      </c>
      <c r="V33" s="47">
        <f t="shared" si="3"/>
        <v>1.0252089835075953</v>
      </c>
      <c r="W33" s="57">
        <f t="shared" si="4"/>
        <v>2.9021001119100411</v>
      </c>
      <c r="X33" s="47">
        <f t="shared" si="5"/>
        <v>2.2534216227024406</v>
      </c>
      <c r="Y33" s="57">
        <f t="shared" si="6"/>
        <v>5.2739289244474605</v>
      </c>
      <c r="Z33" s="74">
        <f t="shared" ref="Z33" si="628">IF(T33="","",(T33-T$10)*1000)</f>
        <v>-0.81928700847511138</v>
      </c>
      <c r="AA33" s="74">
        <f t="shared" ref="AA33" si="629">IF(U33="","",(U33-U$10)*1000)</f>
        <v>-0.57740154310748082</v>
      </c>
      <c r="AB33" s="74">
        <f t="shared" ref="AB33" si="630">IF(V33="","",(V33-V$10)*1000)</f>
        <v>-0.23479972002093952</v>
      </c>
      <c r="AC33" s="74">
        <f t="shared" ref="AC33" si="631">IF(W33="","",(W33-W$10)*1000)</f>
        <v>-6.3965974260700165</v>
      </c>
      <c r="AD33" s="74">
        <f t="shared" ref="AD33" si="632">IF(X33="","",(X33-X$10)*1000)</f>
        <v>0.50675481710715786</v>
      </c>
      <c r="AE33" s="74">
        <f t="shared" ref="AE33" si="633">IF(Y33="","",(Y33-Y$10)*1000)</f>
        <v>-0.76309058997914292</v>
      </c>
      <c r="AF33" s="40"/>
      <c r="AG33" s="73">
        <f t="shared" ref="AG33" si="634">IF(E33="","",(E33-E$10)*1000)</f>
        <v>-4.2000000830739737</v>
      </c>
      <c r="AH33" s="73">
        <f t="shared" ref="AH33" si="635">IF(F33="","",(F33-F$10)*1000)</f>
        <v>-2.2999998182058334</v>
      </c>
      <c r="AI33" s="73">
        <f t="shared" ref="AI33" si="636">IF(G33="","",(G33-G$10)*1000)</f>
        <v>-4.6499999999980446</v>
      </c>
      <c r="AJ33" s="73">
        <f t="shared" ref="AJ33" si="637">IF(H33="","",(H33-H$10)*1000)</f>
        <v>-4.8499999102205038</v>
      </c>
      <c r="AK33" s="73">
        <f t="shared" ref="AK33" si="638">IF(I33="","",(I33-I$10)*1000)</f>
        <v>-5.0999999511986971</v>
      </c>
      <c r="AL33" s="73">
        <f t="shared" ref="AL33" si="639">IF(J33="","",(J33-J$10)*1000)</f>
        <v>-8.9499999999986812</v>
      </c>
      <c r="AM33" s="73">
        <f t="shared" ref="AM33" si="640">IF(K33="","",(K33-K$10)*1000)</f>
        <v>-3.0999999726191163</v>
      </c>
      <c r="AN33" s="73">
        <f t="shared" ref="AN33" si="641">IF(L33="","",(L33-L$10)*1000)</f>
        <v>-3.3000002149492502</v>
      </c>
      <c r="AO33" s="73">
        <f t="shared" ref="AO33" si="642">IF(M33="","",(M33-M$10)*1000)</f>
        <v>-8.399999999994634</v>
      </c>
      <c r="AP33" s="73">
        <f t="shared" ref="AP33" si="643">IF(N33="","",(N33-N$10)*1000)</f>
        <v>-3.4999999916180968</v>
      </c>
      <c r="AQ33" s="73">
        <f t="shared" ref="AQ33" si="644">IF(O33="","",(O33-O$10)*1000)</f>
        <v>-4.9000000581145287</v>
      </c>
      <c r="AR33" s="73">
        <f t="shared" ref="AR33" si="645">IF(P33="","",(P33-P$10)*1000)</f>
        <v>-7.0499999999924512</v>
      </c>
      <c r="AS33" s="73">
        <f t="shared" ref="AS33" si="646">IF(Q33="","",(Q33-Q$10)*1000)</f>
        <v>-1.7499999376013875</v>
      </c>
      <c r="AT33" s="73">
        <f t="shared" ref="AT33" si="647">IF(R33="","",(R33-R$10)*1000)</f>
        <v>-4.9999915063381195E-2</v>
      </c>
      <c r="AU33" s="73">
        <f t="shared" ref="AU33" si="648">IF(S33="","",(S33-S$10)*1000)</f>
        <v>-1.250000000013074</v>
      </c>
      <c r="AV33" s="40"/>
      <c r="AW33" s="39">
        <v>170.10499999999999</v>
      </c>
      <c r="AX33" s="39">
        <v>-2.629</v>
      </c>
      <c r="AY33" s="39">
        <v>1.4897</v>
      </c>
      <c r="AZ33" s="39">
        <v>170.4228</v>
      </c>
      <c r="BA33" s="39">
        <v>-1.1315999999999999</v>
      </c>
      <c r="BB33" s="39">
        <v>2.7521</v>
      </c>
      <c r="BC33" s="39">
        <v>170.435</v>
      </c>
      <c r="BD33" s="39">
        <v>0.38569999999999999</v>
      </c>
      <c r="BE33" s="39">
        <v>3.4234</v>
      </c>
      <c r="BF33" s="39">
        <v>170.65899999999999</v>
      </c>
      <c r="BG33" s="39">
        <v>1.1093</v>
      </c>
      <c r="BH33" s="39">
        <v>2.7303000000000002</v>
      </c>
      <c r="BI33" s="39">
        <v>170.39320000000001</v>
      </c>
      <c r="BJ33" s="39">
        <v>2.6360000000000001</v>
      </c>
      <c r="BK33" s="39">
        <v>1.5916999999999999</v>
      </c>
      <c r="BL33" s="40"/>
      <c r="BM33" s="43">
        <f t="shared" ref="BM33" si="649">IF(AW33="","",(AW33-AW$10)*1000)</f>
        <v>-4.7000000000139153</v>
      </c>
      <c r="BN33" s="43">
        <f t="shared" ref="BN33" si="650">IF(AX33="","",(AX33-AX$10)*1000)</f>
        <v>0.300000000000189</v>
      </c>
      <c r="BO33" s="43">
        <f t="shared" ref="BO33" si="651">IF(AY33="","",(AY33-AY$10)*1000)</f>
        <v>-4.5999999999999375</v>
      </c>
      <c r="BP33" s="43">
        <f t="shared" ref="BP33" si="652">IF(AZ33="","",(AZ33-AZ$10)*1000)</f>
        <v>-6.5000000000168257</v>
      </c>
      <c r="BQ33" s="43">
        <f t="shared" ref="BQ33" si="653">IF(BA33="","",(BA33-BA$10)*1000)</f>
        <v>2.6000000000001577</v>
      </c>
      <c r="BR33" s="43">
        <f t="shared" ref="BR33" si="654">IF(BB33="","",(BB33-BB$10)*1000)</f>
        <v>-8.799999999999919</v>
      </c>
      <c r="BS33" s="43">
        <f t="shared" ref="BS33" si="655">IF(BC33="","",(BC33-BC$10)*1000)</f>
        <v>-4.199999999997317</v>
      </c>
      <c r="BT33" s="43">
        <f t="shared" ref="BT33" si="656">IF(BD33="","",(BD33-BD$10)*1000)</f>
        <v>1.5999999999999903</v>
      </c>
      <c r="BU33" s="43">
        <f t="shared" ref="BU33" si="657">IF(BE33="","",(BE33-BE$10)*1000)</f>
        <v>-8.3999999999999631</v>
      </c>
      <c r="BV33" s="43">
        <f t="shared" ref="BV33" si="658">IF(BF33="","",(BF33-BF$10)*1000)</f>
        <v>-5.2000000000020918</v>
      </c>
      <c r="BW33" s="43">
        <f t="shared" ref="BW33" si="659">IF(BG33="","",(BG33-BG$10)*1000)</f>
        <v>2.9999999999998916</v>
      </c>
      <c r="BX33" s="43">
        <f t="shared" ref="BX33" si="660">IF(BH33="","",(BH33-BH$10)*1000)</f>
        <v>-6.9999999999996732</v>
      </c>
      <c r="BY33" s="43">
        <f t="shared" ref="BY33" si="661">IF(BI33="","",(BI33-BI$10)*1000)</f>
        <v>-1.5999999999962711</v>
      </c>
      <c r="BZ33" s="43">
        <f t="shared" ref="BZ33" si="662">IF(BJ33="","",(BJ33-BJ$10)*1000)</f>
        <v>-0.69999999999970086</v>
      </c>
      <c r="CA33" s="43">
        <f t="shared" ref="CA33" si="663">IF(BK33="","",(BK33-BK$10)*1000)</f>
        <v>-1.3000000000000789</v>
      </c>
    </row>
    <row r="34" spans="1:79" ht="29.25" customHeight="1" x14ac:dyDescent="0.2">
      <c r="A34" s="37">
        <v>43738</v>
      </c>
      <c r="B34" s="30">
        <f t="shared" si="156"/>
        <v>83</v>
      </c>
      <c r="C34" s="38">
        <v>206.32</v>
      </c>
      <c r="D34" s="38">
        <f t="shared" ref="D34:D35" si="664">C34-PM</f>
        <v>35.919999999999987</v>
      </c>
      <c r="E34" s="39">
        <v>823220.728</v>
      </c>
      <c r="F34" s="39">
        <v>1091507.8784</v>
      </c>
      <c r="G34" s="39">
        <v>-122.352</v>
      </c>
      <c r="H34" s="39">
        <v>823221.64879999997</v>
      </c>
      <c r="I34" s="39">
        <v>1091506.6558000001</v>
      </c>
      <c r="J34" s="39">
        <v>-121.0865</v>
      </c>
      <c r="K34" s="39">
        <v>823222.30130000005</v>
      </c>
      <c r="L34" s="39">
        <v>1091505.2856000001</v>
      </c>
      <c r="M34" s="39">
        <v>-120.4152</v>
      </c>
      <c r="N34" s="39">
        <v>823222.81050000002</v>
      </c>
      <c r="O34" s="39">
        <v>1091504.7246999999</v>
      </c>
      <c r="P34" s="39">
        <v>-121.1057</v>
      </c>
      <c r="Q34" s="39">
        <v>823223.21499999997</v>
      </c>
      <c r="R34" s="39">
        <v>1091503.2289</v>
      </c>
      <c r="S34" s="39">
        <v>-122.24679999999999</v>
      </c>
      <c r="T34" s="57">
        <f t="shared" si="1"/>
        <v>3.5984828706089211</v>
      </c>
      <c r="U34" s="47">
        <f t="shared" si="2"/>
        <v>1.6594721992617587</v>
      </c>
      <c r="V34" s="47">
        <f t="shared" si="3"/>
        <v>1.0250286338179655</v>
      </c>
      <c r="W34" s="57">
        <f t="shared" si="4"/>
        <v>2.9016583431121346</v>
      </c>
      <c r="X34" s="47">
        <f t="shared" si="5"/>
        <v>2.2536776035521431</v>
      </c>
      <c r="Y34" s="57">
        <f t="shared" si="6"/>
        <v>5.2739061700376233</v>
      </c>
      <c r="Z34" s="74">
        <f t="shared" ref="Z34" si="665">IF(T34="","",(T34-T$10)*1000)</f>
        <v>-0.85488662870458754</v>
      </c>
      <c r="AA34" s="74">
        <f t="shared" ref="AA34" si="666">IF(U34="","",(U34-U$10)*1000)</f>
        <v>-0.45387274863561977</v>
      </c>
      <c r="AB34" s="74">
        <f t="shared" ref="AB34" si="667">IF(V34="","",(V34-V$10)*1000)</f>
        <v>-0.41514940965070579</v>
      </c>
      <c r="AC34" s="74">
        <f t="shared" ref="AC34" si="668">IF(W34="","",(W34-W$10)*1000)</f>
        <v>-6.8383662239765997</v>
      </c>
      <c r="AD34" s="74">
        <f t="shared" ref="AD34" si="669">IF(X34="","",(X34-X$10)*1000)</f>
        <v>0.7627356668096219</v>
      </c>
      <c r="AE34" s="74">
        <f t="shared" ref="AE34" si="670">IF(Y34="","",(Y34-Y$10)*1000)</f>
        <v>-0.78584499981637634</v>
      </c>
      <c r="AF34" s="40"/>
      <c r="AG34" s="73">
        <f t="shared" ref="AG34" si="671">IF(E34="","",(E34-E$10)*1000)</f>
        <v>-4.4000000925734639</v>
      </c>
      <c r="AH34" s="73">
        <f t="shared" ref="AH34" si="672">IF(F34="","",(F34-F$10)*1000)</f>
        <v>-2.699999837204814</v>
      </c>
      <c r="AI34" s="73">
        <f t="shared" ref="AI34" si="673">IF(G34="","",(G34-G$10)*1000)</f>
        <v>-4.5500000000089358</v>
      </c>
      <c r="AJ34" s="73">
        <f t="shared" ref="AJ34" si="674">IF(H34="","",(H34-H$10)*1000)</f>
        <v>-5.1499999826774001</v>
      </c>
      <c r="AK34" s="73">
        <f t="shared" ref="AK34" si="675">IF(I34="","",(I34-I$10)*1000)</f>
        <v>-5.3999999072402716</v>
      </c>
      <c r="AL34" s="73">
        <f t="shared" ref="AL34" si="676">IF(J34="","",(J34-J$10)*1000)</f>
        <v>-8.8499999999953616</v>
      </c>
      <c r="AM34" s="73">
        <f t="shared" ref="AM34" si="677">IF(K34="","",(K34-K$10)*1000)</f>
        <v>-3.2999998657032847</v>
      </c>
      <c r="AN34" s="73">
        <f t="shared" ref="AN34" si="678">IF(L34="","",(L34-L$10)*1000)</f>
        <v>-3.8000000640749931</v>
      </c>
      <c r="AO34" s="73">
        <f t="shared" ref="AO34" si="679">IF(M34="","",(M34-M$10)*1000)</f>
        <v>-8.4999999999979536</v>
      </c>
      <c r="AP34" s="73">
        <f t="shared" ref="AP34" si="680">IF(N34="","",(N34-N$10)*1000)</f>
        <v>-3.2999999821186066</v>
      </c>
      <c r="AQ34" s="73">
        <f t="shared" ref="AQ34" si="681">IF(O34="","",(O34-O$10)*1000)</f>
        <v>-5.2000002469867468</v>
      </c>
      <c r="AR34" s="73">
        <f t="shared" ref="AR34" si="682">IF(P34="","",(P34-P$10)*1000)</f>
        <v>-6.7499999999967031</v>
      </c>
      <c r="AS34" s="73">
        <f t="shared" ref="AS34" si="683">IF(Q34="","",(Q34-Q$10)*1000)</f>
        <v>-1.449999981559813</v>
      </c>
      <c r="AT34" s="73">
        <f t="shared" ref="AT34" si="684">IF(R34="","",(R34-R$10)*1000)</f>
        <v>-0.14999997802078724</v>
      </c>
      <c r="AU34" s="73">
        <f t="shared" ref="AU34" si="685">IF(S34="","",(S34-S$10)*1000)</f>
        <v>-0.84999999999979536</v>
      </c>
      <c r="AV34" s="40"/>
      <c r="AW34" s="39">
        <v>170.10461663559187</v>
      </c>
      <c r="AX34" s="39">
        <v>-2.6286911103892501</v>
      </c>
      <c r="AY34" s="39">
        <v>1.4898338336440702</v>
      </c>
      <c r="AZ34" s="39">
        <v>170.42239600689342</v>
      </c>
      <c r="BA34" s="39">
        <v>-1.1314804802316429</v>
      </c>
      <c r="BB34" s="39">
        <v>2.7521560399310658</v>
      </c>
      <c r="BC34" s="39">
        <v>170.43463378481482</v>
      </c>
      <c r="BD34" s="39">
        <v>0.38610132214814313</v>
      </c>
      <c r="BE34" s="39">
        <v>3.4233336621518475</v>
      </c>
      <c r="BF34" s="39">
        <v>170.65905218369292</v>
      </c>
      <c r="BG34" s="39">
        <v>1.1096549361890671</v>
      </c>
      <c r="BH34" s="39">
        <v>2.7305894781630684</v>
      </c>
      <c r="BI34" s="39">
        <v>170.39344444086805</v>
      </c>
      <c r="BJ34" s="39">
        <v>2.6362493213023104</v>
      </c>
      <c r="BK34" s="39">
        <v>1.5921455555913298</v>
      </c>
      <c r="BL34" s="40"/>
      <c r="BM34" s="43">
        <f t="shared" ref="BM34" si="686">IF(AW34="","",(AW34-AW$10)*1000)</f>
        <v>-5.0833644081365037</v>
      </c>
      <c r="BN34" s="43">
        <f t="shared" ref="BN34" si="687">IF(AX34="","",(AX34-AX$10)*1000)</f>
        <v>0.60888961075011849</v>
      </c>
      <c r="BO34" s="43">
        <f t="shared" ref="BO34" si="688">IF(AY34="","",(AY34-AY$10)*1000)</f>
        <v>-4.4661663559297793</v>
      </c>
      <c r="BP34" s="43">
        <f t="shared" ref="BP34" si="689">IF(AZ34="","",(AZ34-AZ$10)*1000)</f>
        <v>-6.9039931065901783</v>
      </c>
      <c r="BQ34" s="43">
        <f t="shared" ref="BQ34" si="690">IF(BA34="","",(BA34-BA$10)*1000)</f>
        <v>2.7195197683571593</v>
      </c>
      <c r="BR34" s="43">
        <f t="shared" ref="BR34" si="691">IF(BB34="","",(BB34-BB$10)*1000)</f>
        <v>-8.7439600689340757</v>
      </c>
      <c r="BS34" s="43">
        <f t="shared" ref="BS34" si="692">IF(BC34="","",(BC34-BC$10)*1000)</f>
        <v>-4.5662151851786348</v>
      </c>
      <c r="BT34" s="43">
        <f t="shared" ref="BT34" si="693">IF(BD34="","",(BD34-BD$10)*1000)</f>
        <v>2.0013221481431365</v>
      </c>
      <c r="BU34" s="43">
        <f t="shared" ref="BU34" si="694">IF(BE34="","",(BE34-BE$10)*1000)</f>
        <v>-8.4663378481524276</v>
      </c>
      <c r="BV34" s="43">
        <f t="shared" ref="BV34" si="695">IF(BF34="","",(BF34-BF$10)*1000)</f>
        <v>-5.1478163070726168</v>
      </c>
      <c r="BW34" s="43">
        <f t="shared" ref="BW34" si="696">IF(BG34="","",(BG34-BG$10)*1000)</f>
        <v>3.3549361890670149</v>
      </c>
      <c r="BX34" s="43">
        <f t="shared" ref="BX34" si="697">IF(BH34="","",(BH34-BH$10)*1000)</f>
        <v>-6.7105218369314379</v>
      </c>
      <c r="BY34" s="43">
        <f t="shared" ref="BY34" si="698">IF(BI34="","",(BI34-BI$10)*1000)</f>
        <v>-1.3555591319516225</v>
      </c>
      <c r="BZ34" s="43">
        <f t="shared" ref="BZ34" si="699">IF(BJ34="","",(BJ34-BJ$10)*1000)</f>
        <v>-0.45067869768944391</v>
      </c>
      <c r="CA34" s="43">
        <f t="shared" ref="CA34" si="700">IF(BK34="","",(BK34-BK$10)*1000)</f>
        <v>-0.85444440867021854</v>
      </c>
    </row>
    <row r="35" spans="1:79" ht="29.25" customHeight="1" x14ac:dyDescent="0.2">
      <c r="A35" s="37">
        <v>43741</v>
      </c>
      <c r="B35" s="30">
        <f t="shared" si="156"/>
        <v>86</v>
      </c>
      <c r="C35" s="38">
        <v>207.2</v>
      </c>
      <c r="D35" s="38">
        <f t="shared" si="664"/>
        <v>36.799999999999983</v>
      </c>
      <c r="E35" s="39">
        <v>823220.728</v>
      </c>
      <c r="F35" s="39">
        <v>1091507.8785000001</v>
      </c>
      <c r="G35" s="39">
        <v>-122.352</v>
      </c>
      <c r="H35" s="39">
        <v>823221.64859999996</v>
      </c>
      <c r="I35" s="39">
        <v>1091506.6554</v>
      </c>
      <c r="J35" s="39">
        <v>-121.0869</v>
      </c>
      <c r="K35" s="39">
        <v>823222.3014</v>
      </c>
      <c r="L35" s="39">
        <v>1091505.2855</v>
      </c>
      <c r="M35" s="39">
        <v>-120.4152</v>
      </c>
      <c r="N35" s="39">
        <v>823222.81019999995</v>
      </c>
      <c r="O35" s="39">
        <v>1091504.7242999999</v>
      </c>
      <c r="P35" s="39">
        <v>-121.10590000000001</v>
      </c>
      <c r="Q35" s="39">
        <v>823223.21479999996</v>
      </c>
      <c r="R35" s="39">
        <v>1091503.2283999999</v>
      </c>
      <c r="S35" s="39">
        <v>-122.2469</v>
      </c>
      <c r="T35" s="57">
        <f t="shared" si="1"/>
        <v>3.5986706990985708</v>
      </c>
      <c r="U35" s="47">
        <f t="shared" si="2"/>
        <v>1.6595043658230457</v>
      </c>
      <c r="V35" s="47">
        <f t="shared" si="3"/>
        <v>1.025128952902111</v>
      </c>
      <c r="W35" s="57">
        <f t="shared" si="4"/>
        <v>2.9019105534648806</v>
      </c>
      <c r="X35" s="47">
        <f t="shared" si="5"/>
        <v>2.2536243632438517</v>
      </c>
      <c r="Y35" s="57">
        <f t="shared" si="6"/>
        <v>5.2743388459276561</v>
      </c>
      <c r="Z35" s="74">
        <f t="shared" ref="Z35" si="701">IF(T35="","",(T35-T$10)*1000)</f>
        <v>-0.66705813905487688</v>
      </c>
      <c r="AA35" s="74">
        <f t="shared" ref="AA35" si="702">IF(U35="","",(U35-U$10)*1000)</f>
        <v>-0.42170618734860277</v>
      </c>
      <c r="AB35" s="74">
        <f t="shared" ref="AB35" si="703">IF(V35="","",(V35-V$10)*1000)</f>
        <v>-0.31483032550516654</v>
      </c>
      <c r="AC35" s="74">
        <f t="shared" ref="AC35" si="704">IF(W35="","",(W35-W$10)*1000)</f>
        <v>-6.5861558712305701</v>
      </c>
      <c r="AD35" s="74">
        <f t="shared" ref="AD35" si="705">IF(X35="","",(X35-X$10)*1000)</f>
        <v>0.70949535851827505</v>
      </c>
      <c r="AE35" s="74">
        <f t="shared" ref="AE35" si="706">IF(Y35="","",(Y35-Y$10)*1000)</f>
        <v>-0.35316910978355764</v>
      </c>
      <c r="AF35" s="40"/>
      <c r="AG35" s="73">
        <f t="shared" ref="AG35" si="707">IF(E35="","",(E35-E$10)*1000)</f>
        <v>-4.4000000925734639</v>
      </c>
      <c r="AH35" s="73">
        <f t="shared" ref="AH35" si="708">IF(F35="","",(F35-F$10)*1000)</f>
        <v>-2.5999997742474079</v>
      </c>
      <c r="AI35" s="73">
        <f t="shared" ref="AI35" si="709">IF(G35="","",(G35-G$10)*1000)</f>
        <v>-4.5500000000089358</v>
      </c>
      <c r="AJ35" s="73">
        <f t="shared" ref="AJ35" si="710">IF(H35="","",(H35-H$10)*1000)</f>
        <v>-5.3499999921768904</v>
      </c>
      <c r="AK35" s="73">
        <f t="shared" ref="AK35" si="711">IF(I35="","",(I35-I$10)*1000)</f>
        <v>-5.7999999262392521</v>
      </c>
      <c r="AL35" s="73">
        <f t="shared" ref="AL35" si="712">IF(J35="","",(J35-J$10)*1000)</f>
        <v>-9.2499999999944293</v>
      </c>
      <c r="AM35" s="73">
        <f t="shared" ref="AM35" si="713">IF(K35="","",(K35-K$10)*1000)</f>
        <v>-3.1999999191612005</v>
      </c>
      <c r="AN35" s="73">
        <f t="shared" ref="AN35" si="714">IF(L35="","",(L35-L$10)*1000)</f>
        <v>-3.9000001270323992</v>
      </c>
      <c r="AO35" s="73">
        <f t="shared" ref="AO35" si="715">IF(M35="","",(M35-M$10)*1000)</f>
        <v>-8.4999999999979536</v>
      </c>
      <c r="AP35" s="73">
        <f t="shared" ref="AP35" si="716">IF(N35="","",(N35-N$10)*1000)</f>
        <v>-3.6000000545755029</v>
      </c>
      <c r="AQ35" s="73">
        <f t="shared" ref="AQ35" si="717">IF(O35="","",(O35-O$10)*1000)</f>
        <v>-5.6000002659857273</v>
      </c>
      <c r="AR35" s="73">
        <f t="shared" ref="AR35" si="718">IF(P35="","",(P35-P$10)*1000)</f>
        <v>-6.9500000000033424</v>
      </c>
      <c r="AS35" s="73">
        <f t="shared" ref="AS35" si="719">IF(Q35="","",(Q35-Q$10)*1000)</f>
        <v>-1.6499999910593033</v>
      </c>
      <c r="AT35" s="73">
        <f t="shared" ref="AT35" si="720">IF(R35="","",(R35-R$10)*1000)</f>
        <v>-0.65000005997717381</v>
      </c>
      <c r="AU35" s="73">
        <f t="shared" ref="AU35" si="721">IF(S35="","",(S35-S$10)*1000)</f>
        <v>-0.95000000000311502</v>
      </c>
      <c r="AV35" s="40"/>
      <c r="AW35" s="39">
        <v>170.10470000000001</v>
      </c>
      <c r="AX35" s="39">
        <v>-2.6288</v>
      </c>
      <c r="AY35" s="39">
        <v>1.4898</v>
      </c>
      <c r="AZ35" s="39">
        <v>170.422</v>
      </c>
      <c r="BA35" s="39">
        <v>-1.1312</v>
      </c>
      <c r="BB35" s="39">
        <v>2.7517999999999998</v>
      </c>
      <c r="BC35" s="39">
        <v>170.43469999999999</v>
      </c>
      <c r="BD35" s="39">
        <v>0.38619999999999999</v>
      </c>
      <c r="BE35" s="39">
        <v>3.4232999999999998</v>
      </c>
      <c r="BF35" s="39">
        <v>170.65860000000001</v>
      </c>
      <c r="BG35" s="39">
        <v>1.1099000000000001</v>
      </c>
      <c r="BH35" s="39">
        <v>2.7303999999999999</v>
      </c>
      <c r="BI35" s="39">
        <v>170.3931</v>
      </c>
      <c r="BJ35" s="39">
        <v>2.6366000000000001</v>
      </c>
      <c r="BK35" s="39">
        <v>1.5920000000000001</v>
      </c>
      <c r="BL35" s="40"/>
      <c r="BM35" s="43">
        <f t="shared" ref="BM35" si="722">IF(AW35="","",(AW35-AW$10)*1000)</f>
        <v>-4.9999999999954525</v>
      </c>
      <c r="BN35" s="43">
        <f t="shared" ref="BN35" si="723">IF(AX35="","",(AX35-AX$10)*1000)</f>
        <v>0.50000000000016698</v>
      </c>
      <c r="BO35" s="43">
        <f t="shared" ref="BO35" si="724">IF(AY35="","",(AY35-AY$10)*1000)</f>
        <v>-4.4999999999999485</v>
      </c>
      <c r="BP35" s="43">
        <f t="shared" ref="BP35" si="725">IF(AZ35="","",(AZ35-AZ$10)*1000)</f>
        <v>-7.3000000000149612</v>
      </c>
      <c r="BQ35" s="43">
        <f t="shared" ref="BQ35" si="726">IF(BA35="","",(BA35-BA$10)*1000)</f>
        <v>3.0000000000001137</v>
      </c>
      <c r="BR35" s="43">
        <f t="shared" ref="BR35" si="727">IF(BB35="","",(BB35-BB$10)*1000)</f>
        <v>-9.100000000000108</v>
      </c>
      <c r="BS35" s="43">
        <f t="shared" ref="BS35" si="728">IF(BC35="","",(BC35-BC$10)*1000)</f>
        <v>-4.500000000007276</v>
      </c>
      <c r="BT35" s="43">
        <f t="shared" ref="BT35" si="729">IF(BD35="","",(BD35-BD$10)*1000)</f>
        <v>2.0999999999999908</v>
      </c>
      <c r="BU35" s="43">
        <f t="shared" ref="BU35" si="730">IF(BE35="","",(BE35-BE$10)*1000)</f>
        <v>-8.5000000000001741</v>
      </c>
      <c r="BV35" s="43">
        <f t="shared" ref="BV35" si="731">IF(BF35="","",(BF35-BF$10)*1000)</f>
        <v>-5.5999999999869488</v>
      </c>
      <c r="BW35" s="43">
        <f t="shared" ref="BW35" si="732">IF(BG35="","",(BG35-BG$10)*1000)</f>
        <v>3.6000000000000476</v>
      </c>
      <c r="BX35" s="43">
        <f t="shared" ref="BX35" si="733">IF(BH35="","",(BH35-BH$10)*1000)</f>
        <v>-6.8999999999999062</v>
      </c>
      <c r="BY35" s="43">
        <f t="shared" ref="BY35" si="734">IF(BI35="","",(BI35-BI$10)*1000)</f>
        <v>-1.6999999999995907</v>
      </c>
      <c r="BZ35" s="43">
        <f t="shared" ref="BZ35" si="735">IF(BJ35="","",(BJ35-BJ$10)*1000)</f>
        <v>-9.9999999999766942E-2</v>
      </c>
      <c r="CA35" s="43">
        <f t="shared" ref="CA35" si="736">IF(BK35="","",(BK35-BK$10)*1000)</f>
        <v>-0.99999999999988987</v>
      </c>
    </row>
    <row r="36" spans="1:79" ht="29.25" customHeight="1" x14ac:dyDescent="0.2">
      <c r="A36" s="37">
        <v>43746</v>
      </c>
      <c r="B36" s="30">
        <f t="shared" ref="B36" si="737">A36-$A$10</f>
        <v>91</v>
      </c>
      <c r="C36" s="38">
        <v>208.3</v>
      </c>
      <c r="D36" s="38">
        <f t="shared" ref="D36" si="738">C36-PM</f>
        <v>37.900000000000006</v>
      </c>
      <c r="E36" s="39">
        <v>823220.72750000004</v>
      </c>
      <c r="F36" s="39">
        <v>1091507.87895</v>
      </c>
      <c r="G36" s="39">
        <v>-122.35270000000001</v>
      </c>
      <c r="H36" s="39">
        <v>823221.64850000001</v>
      </c>
      <c r="I36" s="39">
        <v>1091506.6561</v>
      </c>
      <c r="J36" s="39">
        <v>-121.08765</v>
      </c>
      <c r="K36" s="39">
        <v>823222.30109999992</v>
      </c>
      <c r="L36" s="39">
        <v>1091505.2859500002</v>
      </c>
      <c r="M36" s="39">
        <v>-120.4164</v>
      </c>
      <c r="N36" s="39">
        <v>823222.81014999992</v>
      </c>
      <c r="O36" s="39">
        <v>1091504.7248</v>
      </c>
      <c r="P36" s="39">
        <v>-121.10665</v>
      </c>
      <c r="Q36" s="39">
        <v>823223.21464999998</v>
      </c>
      <c r="R36" s="39">
        <v>1091503.2293666664</v>
      </c>
      <c r="S36" s="39">
        <v>-122.24754999999999</v>
      </c>
      <c r="T36" s="57">
        <f t="shared" si="1"/>
        <v>3.5984890786282366</v>
      </c>
      <c r="U36" s="47">
        <f t="shared" si="2"/>
        <v>1.6594500126534935</v>
      </c>
      <c r="V36" s="47">
        <f t="shared" si="3"/>
        <v>1.0249225764491614</v>
      </c>
      <c r="W36" s="57">
        <f t="shared" si="4"/>
        <v>2.9012443767809679</v>
      </c>
      <c r="X36" s="47">
        <f t="shared" si="5"/>
        <v>2.2538215130076327</v>
      </c>
      <c r="Y36" s="57">
        <f t="shared" si="6"/>
        <v>5.2740493760634104</v>
      </c>
      <c r="Z36" s="74">
        <f t="shared" ref="Z36" si="739">IF(T36="","",(T36-T$10)*1000)</f>
        <v>-0.84867860938908635</v>
      </c>
      <c r="AA36" s="74">
        <f t="shared" ref="AA36" si="740">IF(U36="","",(U36-U$10)*1000)</f>
        <v>-0.47605935690087087</v>
      </c>
      <c r="AB36" s="74">
        <f t="shared" ref="AB36" si="741">IF(V36="","",(V36-V$10)*1000)</f>
        <v>-0.5212067784547969</v>
      </c>
      <c r="AC36" s="74">
        <f t="shared" ref="AC36" si="742">IF(W36="","",(W36-W$10)*1000)</f>
        <v>-7.2523325551432372</v>
      </c>
      <c r="AD36" s="74">
        <f t="shared" ref="AD36" si="743">IF(X36="","",(X36-X$10)*1000)</f>
        <v>0.90664512229921002</v>
      </c>
      <c r="AE36" s="74">
        <f t="shared" ref="AE36" si="744">IF(Y36="","",(Y36-Y$10)*1000)</f>
        <v>-0.64263897402927483</v>
      </c>
      <c r="AF36" s="40"/>
      <c r="AG36" s="73">
        <f t="shared" ref="AG36" si="745">IF(E36="","",(E36-E$10)*1000)</f>
        <v>-4.9000000581145287</v>
      </c>
      <c r="AH36" s="73">
        <f t="shared" ref="AH36" si="746">IF(F36="","",(F36-F$10)*1000)</f>
        <v>-2.1499998401850462</v>
      </c>
      <c r="AI36" s="73">
        <f t="shared" ref="AI36" si="747">IF(G36="","",(G36-G$10)*1000)</f>
        <v>-5.2500000000179625</v>
      </c>
      <c r="AJ36" s="73">
        <f t="shared" ref="AJ36" si="748">IF(H36="","",(H36-H$10)*1000)</f>
        <v>-5.4499999387189746</v>
      </c>
      <c r="AK36" s="73">
        <f t="shared" ref="AK36" si="749">IF(I36="","",(I36-I$10)*1000)</f>
        <v>-5.0999999511986971</v>
      </c>
      <c r="AL36" s="73">
        <f t="shared" ref="AL36" si="750">IF(J36="","",(J36-J$10)*1000)</f>
        <v>-9.9999999999909051</v>
      </c>
      <c r="AM36" s="73">
        <f t="shared" ref="AM36" si="751">IF(K36="","",(K36-K$10)*1000)</f>
        <v>-3.4999999916180968</v>
      </c>
      <c r="AN36" s="73">
        <f t="shared" ref="AN36" si="752">IF(L36="","",(L36-L$10)*1000)</f>
        <v>-3.4499999601393938</v>
      </c>
      <c r="AO36" s="73">
        <f t="shared" ref="AO36" si="753">IF(M36="","",(M36-M$10)*1000)</f>
        <v>-9.6999999999951569</v>
      </c>
      <c r="AP36" s="73">
        <f t="shared" ref="AP36" si="754">IF(N36="","",(N36-N$10)*1000)</f>
        <v>-3.6500000860542059</v>
      </c>
      <c r="AQ36" s="73">
        <f t="shared" ref="AQ36" si="755">IF(O36="","",(O36-O$10)*1000)</f>
        <v>-5.1000001840293407</v>
      </c>
      <c r="AR36" s="73">
        <f t="shared" ref="AR36" si="756">IF(P36="","",(P36-P$10)*1000)</f>
        <v>-7.6999999999998181</v>
      </c>
      <c r="AS36" s="73">
        <f t="shared" ref="AS36" si="757">IF(Q36="","",(Q36-Q$10)*1000)</f>
        <v>-1.7999999690800905</v>
      </c>
      <c r="AT36" s="73">
        <f t="shared" ref="AT36" si="758">IF(R36="","",(R36-R$10)*1000)</f>
        <v>0.31666643917560577</v>
      </c>
      <c r="AU36" s="73">
        <f t="shared" ref="AU36" si="759">IF(S36="","",(S36-S$10)*1000)</f>
        <v>-1.5999999999962711</v>
      </c>
      <c r="AV36" s="40"/>
      <c r="AW36" s="39">
        <v>170.10439594820281</v>
      </c>
      <c r="AX36" s="39">
        <v>-2.629400897004031</v>
      </c>
      <c r="AY36" s="39">
        <v>1.4891360405179626</v>
      </c>
      <c r="AZ36" s="39">
        <v>170.42225091490297</v>
      </c>
      <c r="BA36" s="39">
        <v>-1.1318791633909817</v>
      </c>
      <c r="BB36" s="39">
        <v>2.7510074908509665</v>
      </c>
      <c r="BC36" s="39">
        <v>170.4346004545383</v>
      </c>
      <c r="BD36" s="39">
        <v>0.38569958938148402</v>
      </c>
      <c r="BE36" s="39">
        <v>3.4221339954546153</v>
      </c>
      <c r="BF36" s="39">
        <v>170.65877724660916</v>
      </c>
      <c r="BG36" s="39">
        <v>1.1094163786796531</v>
      </c>
      <c r="BH36" s="39">
        <v>2.7296422275339012</v>
      </c>
      <c r="BI36" s="39">
        <v>170.39332447616141</v>
      </c>
      <c r="BJ36" s="39">
        <v>2.635678457040552</v>
      </c>
      <c r="BK36" s="39">
        <v>1.5913967552383923</v>
      </c>
      <c r="BL36" s="40"/>
      <c r="BM36" s="43">
        <f t="shared" ref="BM36" si="760">IF(AW36="","",(AW36-AW$10)*1000)</f>
        <v>-5.3040517971965073</v>
      </c>
      <c r="BN36" s="43">
        <f t="shared" ref="BN36" si="761">IF(AX36="","",(AX36-AX$10)*1000)</f>
        <v>-0.10089700403081991</v>
      </c>
      <c r="BO36" s="43">
        <f t="shared" ref="BO36" si="762">IF(AY36="","",(AY36-AY$10)*1000)</f>
        <v>-5.1639594820374057</v>
      </c>
      <c r="BP36" s="43">
        <f t="shared" ref="BP36" si="763">IF(AZ36="","",(AZ36-AZ$10)*1000)</f>
        <v>-7.0490850970372776</v>
      </c>
      <c r="BQ36" s="43">
        <f t="shared" ref="BQ36" si="764">IF(BA36="","",(BA36-BA$10)*1000)</f>
        <v>2.3208366090183841</v>
      </c>
      <c r="BR36" s="43">
        <f t="shared" ref="BR36" si="765">IF(BB36="","",(BB36-BB$10)*1000)</f>
        <v>-9.8925091490333905</v>
      </c>
      <c r="BS36" s="43">
        <f t="shared" ref="BS36" si="766">IF(BC36="","",(BC36-BC$10)*1000)</f>
        <v>-4.599545461701382</v>
      </c>
      <c r="BT36" s="43">
        <f t="shared" ref="BT36" si="767">IF(BD36="","",(BD36-BD$10)*1000)</f>
        <v>1.5995893814840234</v>
      </c>
      <c r="BU36" s="43">
        <f t="shared" ref="BU36" si="768">IF(BE36="","",(BE36-BE$10)*1000)</f>
        <v>-9.6660045453846877</v>
      </c>
      <c r="BV36" s="43">
        <f t="shared" ref="BV36" si="769">IF(BF36="","",(BF36-BF$10)*1000)</f>
        <v>-5.4227533908317582</v>
      </c>
      <c r="BW36" s="43">
        <f t="shared" ref="BW36" si="770">IF(BG36="","",(BG36-BG$10)*1000)</f>
        <v>3.1163786796530868</v>
      </c>
      <c r="BX36" s="43">
        <f t="shared" ref="BX36" si="771">IF(BH36="","",(BH36-BH$10)*1000)</f>
        <v>-7.6577724660986668</v>
      </c>
      <c r="BY36" s="43">
        <f t="shared" ref="BY36" si="772">IF(BI36="","",(BI36-BI$10)*1000)</f>
        <v>-1.4755238385930625</v>
      </c>
      <c r="BZ36" s="43">
        <f t="shared" ref="BZ36" si="773">IF(BJ36="","",(BJ36-BJ$10)*1000)</f>
        <v>-1.0215429594477854</v>
      </c>
      <c r="CA36" s="43">
        <f t="shared" ref="CA36" si="774">IF(BK36="","",(BK36-BK$10)*1000)</f>
        <v>-1.6032447616076695</v>
      </c>
    </row>
    <row r="37" spans="1:79" ht="29.25" customHeight="1" x14ac:dyDescent="0.2">
      <c r="A37" s="37">
        <v>43753</v>
      </c>
      <c r="B37" s="30">
        <f t="shared" ref="B37:B41" si="775">A37-$A$10</f>
        <v>98</v>
      </c>
      <c r="C37" s="38">
        <v>212.65</v>
      </c>
      <c r="D37" s="38">
        <f t="shared" ref="D37:D41" si="776">C37-PM</f>
        <v>42.25</v>
      </c>
      <c r="E37" s="39">
        <v>823220.72759999998</v>
      </c>
      <c r="F37" s="39">
        <v>1091507.87955</v>
      </c>
      <c r="G37" s="39">
        <v>-122.35275000000001</v>
      </c>
      <c r="H37" s="39">
        <v>823221.64870000014</v>
      </c>
      <c r="I37" s="39">
        <v>1091506.6563833335</v>
      </c>
      <c r="J37" s="39">
        <v>-121.08774999999999</v>
      </c>
      <c r="K37" s="39">
        <v>823222.30133333325</v>
      </c>
      <c r="L37" s="39">
        <v>1091505.28635</v>
      </c>
      <c r="M37" s="39">
        <v>-120.41628333333334</v>
      </c>
      <c r="N37" s="39">
        <v>823222.81055000005</v>
      </c>
      <c r="O37" s="39">
        <v>1091504.7251499996</v>
      </c>
      <c r="P37" s="39">
        <v>-121.10680000000001</v>
      </c>
      <c r="Q37" s="39">
        <v>823223.21535000007</v>
      </c>
      <c r="R37" s="39">
        <v>1091503.2296666666</v>
      </c>
      <c r="S37" s="39">
        <v>-122.24733333333332</v>
      </c>
      <c r="T37" s="57">
        <f t="shared" si="1"/>
        <v>3.5987811819221869</v>
      </c>
      <c r="U37" s="47">
        <f t="shared" si="2"/>
        <v>1.6594544546191947</v>
      </c>
      <c r="V37" s="47">
        <f t="shared" si="3"/>
        <v>1.0252123297557107</v>
      </c>
      <c r="W37" s="57">
        <f t="shared" si="4"/>
        <v>2.9013991285999063</v>
      </c>
      <c r="X37" s="47">
        <f t="shared" si="5"/>
        <v>2.2538679009054805</v>
      </c>
      <c r="Y37" s="57">
        <f t="shared" si="6"/>
        <v>5.2746021414333253</v>
      </c>
      <c r="Z37" s="74">
        <f t="shared" ref="Z37" si="777">IF(T37="","",(T37-T$10)*1000)</f>
        <v>-0.55657531543884531</v>
      </c>
      <c r="AA37" s="74">
        <f t="shared" ref="AA37" si="778">IF(U37="","",(U37-U$10)*1000)</f>
        <v>-0.47161739119960799</v>
      </c>
      <c r="AB37" s="74">
        <f t="shared" ref="AB37" si="779">IF(V37="","",(V37-V$10)*1000)</f>
        <v>-0.23145347190545174</v>
      </c>
      <c r="AC37" s="74">
        <f t="shared" ref="AC37" si="780">IF(W37="","",(W37-W$10)*1000)</f>
        <v>-7.0975807362048116</v>
      </c>
      <c r="AD37" s="74">
        <f t="shared" ref="AD37" si="781">IF(X37="","",(X37-X$10)*1000)</f>
        <v>0.95303302014704272</v>
      </c>
      <c r="AE37" s="74">
        <f t="shared" ref="AE37" si="782">IF(Y37="","",(Y37-Y$10)*1000)</f>
        <v>-8.9873604114387717E-2</v>
      </c>
      <c r="AF37" s="40"/>
      <c r="AG37" s="73">
        <f t="shared" ref="AG37" si="783">IF(E37="","",(E37-E$10)*1000)</f>
        <v>-4.8000001115724444</v>
      </c>
      <c r="AH37" s="73">
        <f t="shared" ref="AH37" si="784">IF(F37="","",(F37-F$10)*1000)</f>
        <v>-1.5499999281018972</v>
      </c>
      <c r="AI37" s="73">
        <f t="shared" ref="AI37" si="785">IF(G37="","",(G37-G$10)*1000)</f>
        <v>-5.3000000000196223</v>
      </c>
      <c r="AJ37" s="73">
        <f t="shared" ref="AJ37" si="786">IF(H37="","",(H37-H$10)*1000)</f>
        <v>-5.2499998128041625</v>
      </c>
      <c r="AK37" s="73">
        <f t="shared" ref="AK37" si="787">IF(I37="","",(I37-I$10)*1000)</f>
        <v>-4.8166664782911539</v>
      </c>
      <c r="AL37" s="73">
        <f t="shared" ref="AL37" si="788">IF(J37="","",(J37-J$10)*1000)</f>
        <v>-10.099999999980014</v>
      </c>
      <c r="AM37" s="73">
        <f t="shared" ref="AM37" si="789">IF(K37="","",(K37-K$10)*1000)</f>
        <v>-3.2666666666045785</v>
      </c>
      <c r="AN37" s="73">
        <f t="shared" ref="AN37" si="790">IF(L37="","",(L37-L$10)*1000)</f>
        <v>-3.0500001739710569</v>
      </c>
      <c r="AO37" s="73">
        <f t="shared" ref="AO37" si="791">IF(M37="","",(M37-M$10)*1000)</f>
        <v>-9.5833333333388282</v>
      </c>
      <c r="AP37" s="73">
        <f t="shared" ref="AP37" si="792">IF(N37="","",(N37-N$10)*1000)</f>
        <v>-3.2499999506399035</v>
      </c>
      <c r="AQ37" s="73">
        <f t="shared" ref="AQ37" si="793">IF(O37="","",(O37-O$10)*1000)</f>
        <v>-4.7500005457550287</v>
      </c>
      <c r="AR37" s="73">
        <f t="shared" ref="AR37" si="794">IF(P37="","",(P37-P$10)*1000)</f>
        <v>-7.8500000000047976</v>
      </c>
      <c r="AS37" s="73">
        <f t="shared" ref="AS37" si="795">IF(Q37="","",(Q37-Q$10)*1000)</f>
        <v>-1.0999998776242137</v>
      </c>
      <c r="AT37" s="73">
        <f t="shared" ref="AT37" si="796">IF(R37="","",(R37-R$10)*1000)</f>
        <v>0.61666662804782391</v>
      </c>
      <c r="AU37" s="73">
        <f t="shared" ref="AU37" si="797">IF(S37="","",(S37-S$10)*1000)</f>
        <v>-1.3833333333224118</v>
      </c>
      <c r="AV37" s="40"/>
      <c r="AW37" s="39">
        <v>170.10474016852817</v>
      </c>
      <c r="AX37" s="39">
        <v>-2.629902406975456</v>
      </c>
      <c r="AY37" s="39">
        <v>1.4890825983146954</v>
      </c>
      <c r="AZ37" s="39">
        <v>170.42255192488878</v>
      </c>
      <c r="BA37" s="39">
        <v>-1.1320514158094808</v>
      </c>
      <c r="BB37" s="39">
        <v>2.7509044807511174</v>
      </c>
      <c r="BC37" s="39">
        <v>170.43498098338924</v>
      </c>
      <c r="BD37" s="39">
        <v>0.38543569155446883</v>
      </c>
      <c r="BE37" s="39">
        <v>3.4222468568327713</v>
      </c>
      <c r="BF37" s="39">
        <v>170.6592876916022</v>
      </c>
      <c r="BG37" s="39">
        <v>1.1092682376515475</v>
      </c>
      <c r="BH37" s="39">
        <v>2.7294871230839703</v>
      </c>
      <c r="BI37" s="39">
        <v>170.39408567636156</v>
      </c>
      <c r="BJ37" s="39">
        <v>2.6357024257003414</v>
      </c>
      <c r="BK37" s="39">
        <v>1.5916058099030721</v>
      </c>
      <c r="BL37" s="40"/>
      <c r="BM37" s="43">
        <f t="shared" ref="BM37" si="798">IF(AW37="","",(AW37-AW$10)*1000)</f>
        <v>-4.959831471836651</v>
      </c>
      <c r="BN37" s="43">
        <f t="shared" ref="BN37" si="799">IF(AX37="","",(AX37-AX$10)*1000)</f>
        <v>-0.60240697545577149</v>
      </c>
      <c r="BO37" s="43">
        <f t="shared" ref="BO37" si="800">IF(AY37="","",(AY37-AY$10)*1000)</f>
        <v>-5.2174016853046012</v>
      </c>
      <c r="BP37" s="43">
        <f t="shared" ref="BP37" si="801">IF(AZ37="","",(AZ37-AZ$10)*1000)</f>
        <v>-6.7480751112327653</v>
      </c>
      <c r="BQ37" s="43">
        <f t="shared" ref="BQ37" si="802">IF(BA37="","",(BA37-BA$10)*1000)</f>
        <v>2.1485841905193315</v>
      </c>
      <c r="BR37" s="43">
        <f t="shared" ref="BR37" si="803">IF(BB37="","",(BB37-BB$10)*1000)</f>
        <v>-9.995519248882534</v>
      </c>
      <c r="BS37" s="43">
        <f t="shared" ref="BS37" si="804">IF(BC37="","",(BC37-BC$10)*1000)</f>
        <v>-4.2190166107616278</v>
      </c>
      <c r="BT37" s="43">
        <f t="shared" ref="BT37" si="805">IF(BD37="","",(BD37-BD$10)*1000)</f>
        <v>1.3356915544688319</v>
      </c>
      <c r="BU37" s="43">
        <f t="shared" ref="BU37" si="806">IF(BE37="","",(BE37-BE$10)*1000)</f>
        <v>-9.5531431672286615</v>
      </c>
      <c r="BV37" s="43">
        <f t="shared" ref="BV37" si="807">IF(BF37="","",(BF37-BF$10)*1000)</f>
        <v>-4.9123083977917759</v>
      </c>
      <c r="BW37" s="43">
        <f t="shared" ref="BW37" si="808">IF(BG37="","",(BG37-BG$10)*1000)</f>
        <v>2.9682376515474118</v>
      </c>
      <c r="BX37" s="43">
        <f t="shared" ref="BX37" si="809">IF(BH37="","",(BH37-BH$10)*1000)</f>
        <v>-7.8128769160294986</v>
      </c>
      <c r="BY37" s="43">
        <f t="shared" ref="BY37" si="810">IF(BI37="","",(BI37-BI$10)*1000)</f>
        <v>-0.71432363844792235</v>
      </c>
      <c r="BZ37" s="43">
        <f t="shared" ref="BZ37" si="811">IF(BJ37="","",(BJ37-BJ$10)*1000)</f>
        <v>-0.99757429965841027</v>
      </c>
      <c r="CA37" s="43">
        <f t="shared" ref="CA37" si="812">IF(BK37="","",(BK37-BK$10)*1000)</f>
        <v>-1.394190096927872</v>
      </c>
    </row>
    <row r="38" spans="1:79" ht="29.25" customHeight="1" x14ac:dyDescent="0.2">
      <c r="A38" s="37">
        <v>43756</v>
      </c>
      <c r="B38" s="30">
        <f t="shared" si="775"/>
        <v>101</v>
      </c>
      <c r="C38" s="38">
        <v>213.5</v>
      </c>
      <c r="D38" s="38">
        <f t="shared" si="776"/>
        <v>43.099999999999994</v>
      </c>
      <c r="E38" s="39">
        <v>823220.72719999996</v>
      </c>
      <c r="F38" s="39">
        <v>1091507.8795</v>
      </c>
      <c r="G38" s="39">
        <v>-122.35209999999999</v>
      </c>
      <c r="H38" s="39">
        <v>823221.64820000005</v>
      </c>
      <c r="I38" s="39">
        <v>1091506.6564</v>
      </c>
      <c r="J38" s="39">
        <v>-121.0874</v>
      </c>
      <c r="K38" s="39">
        <v>823222.30099999998</v>
      </c>
      <c r="L38" s="39">
        <v>1091505.2863</v>
      </c>
      <c r="M38" s="39">
        <v>-120.4157</v>
      </c>
      <c r="N38" s="39">
        <v>823222.81</v>
      </c>
      <c r="O38" s="39">
        <v>1091504.7250999999</v>
      </c>
      <c r="P38" s="39">
        <v>-121.1063</v>
      </c>
      <c r="Q38" s="39">
        <v>823223.21490000002</v>
      </c>
      <c r="R38" s="39">
        <v>1091503.2298000001</v>
      </c>
      <c r="S38" s="39">
        <v>-122.2467</v>
      </c>
      <c r="T38" s="57">
        <f t="shared" si="1"/>
        <v>3.5987744636272887</v>
      </c>
      <c r="U38" s="47">
        <f t="shared" si="2"/>
        <v>1.6596694670146843</v>
      </c>
      <c r="V38" s="47">
        <f t="shared" si="3"/>
        <v>1.0251608655261555</v>
      </c>
      <c r="W38" s="57">
        <f t="shared" si="4"/>
        <v>2.9012008651357606</v>
      </c>
      <c r="X38" s="47">
        <f t="shared" si="5"/>
        <v>2.2538979879789185</v>
      </c>
      <c r="Y38" s="57">
        <f t="shared" si="6"/>
        <v>5.2744166065851923</v>
      </c>
      <c r="Z38" s="74">
        <f t="shared" ref="Z38" si="813">IF(T38="","",(T38-T$10)*1000)</f>
        <v>-0.56329361033702341</v>
      </c>
      <c r="AA38" s="74">
        <f t="shared" ref="AA38" si="814">IF(U38="","",(U38-U$10)*1000)</f>
        <v>-0.25660499571000805</v>
      </c>
      <c r="AB38" s="74">
        <f t="shared" ref="AB38" si="815">IF(V38="","",(V38-V$10)*1000)</f>
        <v>-0.28291770146071649</v>
      </c>
      <c r="AC38" s="74">
        <f t="shared" ref="AC38" si="816">IF(W38="","",(W38-W$10)*1000)</f>
        <v>-7.2958442003505652</v>
      </c>
      <c r="AD38" s="74">
        <f t="shared" ref="AD38" si="817">IF(X38="","",(X38-X$10)*1000)</f>
        <v>0.98312009358503261</v>
      </c>
      <c r="AE38" s="74">
        <f t="shared" ref="AE38" si="818">IF(Y38="","",(Y38-Y$10)*1000)</f>
        <v>-0.2754084522473832</v>
      </c>
      <c r="AF38" s="40"/>
      <c r="AG38" s="73">
        <f t="shared" ref="AG38" si="819">IF(E38="","",(E38-E$10)*1000)</f>
        <v>-5.200000130571425</v>
      </c>
      <c r="AH38" s="73">
        <f t="shared" ref="AH38" si="820">IF(F38="","",(F38-F$10)*1000)</f>
        <v>-1.5999998431652784</v>
      </c>
      <c r="AI38" s="73">
        <f t="shared" ref="AI38" si="821">IF(G38="","",(G38-G$10)*1000)</f>
        <v>-4.6499999999980446</v>
      </c>
      <c r="AJ38" s="73">
        <f t="shared" ref="AJ38" si="822">IF(H38="","",(H38-H$10)*1000)</f>
        <v>-5.7499998947605491</v>
      </c>
      <c r="AK38" s="73">
        <f t="shared" ref="AK38" si="823">IF(I38="","",(I38-I$10)*1000)</f>
        <v>-4.7999999951571226</v>
      </c>
      <c r="AL38" s="73">
        <f t="shared" ref="AL38" si="824">IF(J38="","",(J38-J$10)*1000)</f>
        <v>-9.7499999999968168</v>
      </c>
      <c r="AM38" s="73">
        <f t="shared" ref="AM38" si="825">IF(K38="","",(K38-K$10)*1000)</f>
        <v>-3.599999938160181</v>
      </c>
      <c r="AN38" s="73">
        <f t="shared" ref="AN38" si="826">IF(L38="","",(L38-L$10)*1000)</f>
        <v>-3.1000000890344381</v>
      </c>
      <c r="AO38" s="73">
        <f t="shared" ref="AO38" si="827">IF(M38="","",(M38-M$10)*1000)</f>
        <v>-9.0000000000003411</v>
      </c>
      <c r="AP38" s="73">
        <f t="shared" ref="AP38" si="828">IF(N38="","",(N38-N$10)*1000)</f>
        <v>-3.7999999476596713</v>
      </c>
      <c r="AQ38" s="73">
        <f t="shared" ref="AQ38" si="829">IF(O38="","",(O38-O$10)*1000)</f>
        <v>-4.8000002279877663</v>
      </c>
      <c r="AR38" s="73">
        <f t="shared" ref="AR38" si="830">IF(P38="","",(P38-P$10)*1000)</f>
        <v>-7.3500000000024102</v>
      </c>
      <c r="AS38" s="73">
        <f t="shared" ref="AS38" si="831">IF(Q38="","",(Q38-Q$10)*1000)</f>
        <v>-1.5499999281018972</v>
      </c>
      <c r="AT38" s="73">
        <f t="shared" ref="AT38" si="832">IF(R38="","",(R38-R$10)*1000)</f>
        <v>0.75000012293457985</v>
      </c>
      <c r="AU38" s="73">
        <f t="shared" ref="AU38" si="833">IF(S38="","",(S38-S$10)*1000)</f>
        <v>-0.75000000001068656</v>
      </c>
      <c r="AV38" s="40"/>
      <c r="AW38" s="39">
        <v>170.10435651912667</v>
      </c>
      <c r="AX38" s="39">
        <v>-2.6300261532620257</v>
      </c>
      <c r="AY38" s="39">
        <v>1.4897364348087336</v>
      </c>
      <c r="AZ38" s="39">
        <v>170.4221058229125</v>
      </c>
      <c r="BA38" s="39">
        <v>-1.1322778465503185</v>
      </c>
      <c r="BB38" s="39">
        <v>2.751258941770871</v>
      </c>
      <c r="BC38" s="39">
        <v>170.43465775353093</v>
      </c>
      <c r="BD38" s="39">
        <v>0.38534012210267754</v>
      </c>
      <c r="BE38" s="39">
        <v>3.4228334224646915</v>
      </c>
      <c r="BF38" s="39">
        <v>170.65876809851164</v>
      </c>
      <c r="BG38" s="39">
        <v>1.1090810933616937</v>
      </c>
      <c r="BH38" s="39">
        <v>2.7299923190148689</v>
      </c>
      <c r="BI38" s="39">
        <v>170.39373419856335</v>
      </c>
      <c r="BJ38" s="39">
        <v>2.6353913931881676</v>
      </c>
      <c r="BK38" s="39">
        <v>1.5922426580143565</v>
      </c>
      <c r="BL38" s="40"/>
      <c r="BM38" s="43">
        <f t="shared" ref="BM38" si="834">IF(AW38="","",(AW38-AW$10)*1000)</f>
        <v>-5.3434808733356931</v>
      </c>
      <c r="BN38" s="43">
        <f t="shared" ref="BN38" si="835">IF(AX38="","",(AX38-AX$10)*1000)</f>
        <v>-0.72615326202551955</v>
      </c>
      <c r="BO38" s="43">
        <f t="shared" ref="BO38" si="836">IF(AY38="","",(AY38-AY$10)*1000)</f>
        <v>-4.5635651912663278</v>
      </c>
      <c r="BP38" s="43">
        <f t="shared" ref="BP38" si="837">IF(AZ38="","",(AZ38-AZ$10)*1000)</f>
        <v>-7.1941770875127986</v>
      </c>
      <c r="BQ38" s="43">
        <f t="shared" ref="BQ38" si="838">IF(BA38="","",(BA38-BA$10)*1000)</f>
        <v>1.9221534496816073</v>
      </c>
      <c r="BR38" s="43">
        <f t="shared" ref="BR38" si="839">IF(BB38="","",(BB38-BB$10)*1000)</f>
        <v>-9.6410582291288627</v>
      </c>
      <c r="BS38" s="43">
        <f t="shared" ref="BS38" si="840">IF(BC38="","",(BC38-BC$10)*1000)</f>
        <v>-4.5422464690716424</v>
      </c>
      <c r="BT38" s="43">
        <f t="shared" ref="BT38" si="841">IF(BD38="","",(BD38-BD$10)*1000)</f>
        <v>1.2401221026775433</v>
      </c>
      <c r="BU38" s="43">
        <f t="shared" ref="BU38" si="842">IF(BE38="","",(BE38-BE$10)*1000)</f>
        <v>-8.9665775353084953</v>
      </c>
      <c r="BV38" s="43">
        <f t="shared" ref="BV38" si="843">IF(BF38="","",(BF38-BF$10)*1000)</f>
        <v>-5.4319014883503769</v>
      </c>
      <c r="BW38" s="43">
        <f t="shared" ref="BW38" si="844">IF(BG38="","",(BG38-BG$10)*1000)</f>
        <v>2.7810933616936317</v>
      </c>
      <c r="BX38" s="43">
        <f t="shared" ref="BX38" si="845">IF(BH38="","",(BH38-BH$10)*1000)</f>
        <v>-7.3076809851309044</v>
      </c>
      <c r="BY38" s="43">
        <f t="shared" ref="BY38" si="846">IF(BI38="","",(BI38-BI$10)*1000)</f>
        <v>-1.0658014366526913</v>
      </c>
      <c r="BZ38" s="43">
        <f t="shared" ref="BZ38" si="847">IF(BJ38="","",(BJ38-BJ$10)*1000)</f>
        <v>-1.3086068118322025</v>
      </c>
      <c r="CA38" s="43">
        <f t="shared" ref="CA38" si="848">IF(BK38="","",(BK38-BK$10)*1000)</f>
        <v>-0.75734198564347821</v>
      </c>
    </row>
    <row r="39" spans="1:79" ht="29.25" customHeight="1" x14ac:dyDescent="0.2">
      <c r="A39" s="37">
        <v>43760</v>
      </c>
      <c r="B39" s="30">
        <f t="shared" si="775"/>
        <v>105</v>
      </c>
      <c r="C39" s="38">
        <v>215</v>
      </c>
      <c r="D39" s="38">
        <f t="shared" si="776"/>
        <v>44.599999999999994</v>
      </c>
      <c r="E39" s="39">
        <v>823220.72759999998</v>
      </c>
      <c r="F39" s="39">
        <v>1091507.879</v>
      </c>
      <c r="G39" s="39">
        <v>-122.35299999999999</v>
      </c>
      <c r="H39" s="39">
        <v>823221.6483</v>
      </c>
      <c r="I39" s="39">
        <v>1091506.6558000001</v>
      </c>
      <c r="J39" s="39">
        <v>-121.0887</v>
      </c>
      <c r="K39" s="39">
        <v>823222.3014</v>
      </c>
      <c r="L39" s="39">
        <v>1091505.2856999999</v>
      </c>
      <c r="M39" s="39">
        <v>-120.41719999999999</v>
      </c>
      <c r="N39" s="39">
        <v>823222.81050000002</v>
      </c>
      <c r="O39" s="39">
        <v>1091504.7243999999</v>
      </c>
      <c r="P39" s="39">
        <v>-121.1071</v>
      </c>
      <c r="Q39" s="39">
        <v>823223.21530000004</v>
      </c>
      <c r="R39" s="39">
        <v>1091503.2289</v>
      </c>
      <c r="S39" s="39">
        <v>-122.2478</v>
      </c>
      <c r="T39" s="57">
        <f t="shared" si="1"/>
        <v>3.598523720969816</v>
      </c>
      <c r="U39" s="47">
        <f t="shared" si="2"/>
        <v>1.6597065615564146</v>
      </c>
      <c r="V39" s="47">
        <f t="shared" si="3"/>
        <v>1.0247938865748816</v>
      </c>
      <c r="W39" s="57">
        <f t="shared" si="4"/>
        <v>2.9011611140513436</v>
      </c>
      <c r="X39" s="47">
        <f t="shared" si="5"/>
        <v>2.254185742236603</v>
      </c>
      <c r="Y39" s="57">
        <f t="shared" si="6"/>
        <v>5.2747652402735721</v>
      </c>
      <c r="Z39" s="74">
        <f t="shared" ref="Z39" si="849">IF(T39="","",(T39-T$10)*1000)</f>
        <v>-0.81403626780973681</v>
      </c>
      <c r="AA39" s="74">
        <f t="shared" ref="AA39" si="850">IF(U39="","",(U39-U$10)*1000)</f>
        <v>-0.21951045397972102</v>
      </c>
      <c r="AB39" s="74">
        <f t="shared" ref="AB39" si="851">IF(V39="","",(V39-V$10)*1000)</f>
        <v>-0.64989665273462727</v>
      </c>
      <c r="AC39" s="74">
        <f t="shared" ref="AC39" si="852">IF(W39="","",(W39-W$10)*1000)</f>
        <v>-7.3355952847675709</v>
      </c>
      <c r="AD39" s="74">
        <f t="shared" ref="AD39" si="853">IF(X39="","",(X39-X$10)*1000)</f>
        <v>1.2708743512694909</v>
      </c>
      <c r="AE39" s="74">
        <f t="shared" ref="AE39" si="854">IF(Y39="","",(Y39-Y$10)*1000)</f>
        <v>7.3225236132401506E-2</v>
      </c>
      <c r="AF39" s="40"/>
      <c r="AG39" s="73">
        <f t="shared" ref="AG39" si="855">IF(E39="","",(E39-E$10)*1000)</f>
        <v>-4.8000001115724444</v>
      </c>
      <c r="AH39" s="73">
        <f t="shared" ref="AH39" si="856">IF(F39="","",(F39-F$10)*1000)</f>
        <v>-2.099999925121665</v>
      </c>
      <c r="AI39" s="73">
        <f t="shared" ref="AI39" si="857">IF(G39="","",(G39-G$10)*1000)</f>
        <v>-5.5499999999994998</v>
      </c>
      <c r="AJ39" s="73">
        <f t="shared" ref="AJ39" si="858">IF(H39="","",(H39-H$10)*1000)</f>
        <v>-5.6499999482184649</v>
      </c>
      <c r="AK39" s="73">
        <f t="shared" ref="AK39" si="859">IF(I39="","",(I39-I$10)*1000)</f>
        <v>-5.3999999072402716</v>
      </c>
      <c r="AL39" s="73">
        <f t="shared" ref="AL39" si="860">IF(J39="","",(J39-J$10)*1000)</f>
        <v>-11.04999999999734</v>
      </c>
      <c r="AM39" s="73">
        <f t="shared" ref="AM39" si="861">IF(K39="","",(K39-K$10)*1000)</f>
        <v>-3.1999999191612005</v>
      </c>
      <c r="AN39" s="73">
        <f t="shared" ref="AN39" si="862">IF(L39="","",(L39-L$10)*1000)</f>
        <v>-3.7000002339482307</v>
      </c>
      <c r="AO39" s="73">
        <f t="shared" ref="AO39" si="863">IF(M39="","",(M39-M$10)*1000)</f>
        <v>-10.499999999993292</v>
      </c>
      <c r="AP39" s="73">
        <f t="shared" ref="AP39" si="864">IF(N39="","",(N39-N$10)*1000)</f>
        <v>-3.2999999821186066</v>
      </c>
      <c r="AQ39" s="73">
        <f t="shared" ref="AQ39" si="865">IF(O39="","",(O39-O$10)*1000)</f>
        <v>-5.5000002030283213</v>
      </c>
      <c r="AR39" s="73">
        <f t="shared" ref="AR39" si="866">IF(P39="","",(P39-P$10)*1000)</f>
        <v>-8.1500000000005457</v>
      </c>
      <c r="AS39" s="73">
        <f t="shared" ref="AS39" si="867">IF(Q39="","",(Q39-Q$10)*1000)</f>
        <v>-1.1499999091029167</v>
      </c>
      <c r="AT39" s="73">
        <f t="shared" ref="AT39" si="868">IF(R39="","",(R39-R$10)*1000)</f>
        <v>-0.14999997802078724</v>
      </c>
      <c r="AU39" s="73">
        <f t="shared" ref="AU39" si="869">IF(S39="","",(S39-S$10)*1000)</f>
        <v>-1.8500000000045702</v>
      </c>
      <c r="AV39" s="40"/>
      <c r="AW39" s="39">
        <v>170.10450770992387</v>
      </c>
      <c r="AX39" s="39">
        <v>-2.6294039463511054</v>
      </c>
      <c r="AY39" s="39">
        <v>1.4888349229007645</v>
      </c>
      <c r="AZ39" s="39">
        <v>170.42194286090009</v>
      </c>
      <c r="BA39" s="39">
        <v>-1.1316918062220984</v>
      </c>
      <c r="BB39" s="39">
        <v>2.7499605713909858</v>
      </c>
      <c r="BC39" s="39">
        <v>170.43476667910048</v>
      </c>
      <c r="BD39" s="39">
        <v>0.38605295827558261</v>
      </c>
      <c r="BE39" s="39">
        <v>3.4213323332089942</v>
      </c>
      <c r="BF39" s="39">
        <v>170.65892538810846</v>
      </c>
      <c r="BG39" s="39">
        <v>1.1099268237639768</v>
      </c>
      <c r="BH39" s="39">
        <v>2.7291907461189027</v>
      </c>
      <c r="BI39" s="39">
        <v>170.39371632854846</v>
      </c>
      <c r="BJ39" s="39">
        <v>2.6363761169359363</v>
      </c>
      <c r="BK39" s="39">
        <v>1.5911428367145106</v>
      </c>
      <c r="BL39" s="40"/>
      <c r="BM39" s="43">
        <f t="shared" ref="BM39" si="870">IF(AW39="","",(AW39-AW$10)*1000)</f>
        <v>-5.1922900761383062</v>
      </c>
      <c r="BN39" s="43">
        <f t="shared" ref="BN39" si="871">IF(AX39="","",(AX39-AX$10)*1000)</f>
        <v>-0.10394635110522188</v>
      </c>
      <c r="BO39" s="43">
        <f t="shared" ref="BO39" si="872">IF(AY39="","",(AY39-AY$10)*1000)</f>
        <v>-5.4650770992354936</v>
      </c>
      <c r="BP39" s="43">
        <f t="shared" ref="BP39" si="873">IF(AZ39="","",(AZ39-AZ$10)*1000)</f>
        <v>-7.3571390999234154</v>
      </c>
      <c r="BQ39" s="43">
        <f t="shared" ref="BQ39" si="874">IF(BA39="","",(BA39-BA$10)*1000)</f>
        <v>2.5081937779016794</v>
      </c>
      <c r="BR39" s="43">
        <f t="shared" ref="BR39" si="875">IF(BB39="","",(BB39-BB$10)*1000)</f>
        <v>-10.93942860901409</v>
      </c>
      <c r="BS39" s="43">
        <f t="shared" ref="BS39" si="876">IF(BC39="","",(BC39-BC$10)*1000)</f>
        <v>-4.4333208995226414</v>
      </c>
      <c r="BT39" s="43">
        <f t="shared" ref="BT39" si="877">IF(BD39="","",(BD39-BD$10)*1000)</f>
        <v>1.9529582755826169</v>
      </c>
      <c r="BU39" s="43">
        <f t="shared" ref="BU39" si="878">IF(BE39="","",(BE39-BE$10)*1000)</f>
        <v>-10.467666791005747</v>
      </c>
      <c r="BV39" s="43">
        <f t="shared" ref="BV39" si="879">IF(BF39="","",(BF39-BF$10)*1000)</f>
        <v>-5.2746118915365514</v>
      </c>
      <c r="BW39" s="43">
        <f t="shared" ref="BW39" si="880">IF(BG39="","",(BG39-BG$10)*1000)</f>
        <v>3.6268237639767165</v>
      </c>
      <c r="BX39" s="43">
        <f t="shared" ref="BX39" si="881">IF(BH39="","",(BH39-BH$10)*1000)</f>
        <v>-8.1092538810971782</v>
      </c>
      <c r="BY39" s="43">
        <f t="shared" ref="BY39" si="882">IF(BI39="","",(BI39-BI$10)*1000)</f>
        <v>-1.0836714515392032</v>
      </c>
      <c r="BZ39" s="43">
        <f t="shared" ref="BZ39" si="883">IF(BJ39="","",(BJ39-BJ$10)*1000)</f>
        <v>-0.32388306406350154</v>
      </c>
      <c r="CA39" s="43">
        <f t="shared" ref="CA39" si="884">IF(BK39="","",(BK39-BK$10)*1000)</f>
        <v>-1.8571632854893494</v>
      </c>
    </row>
    <row r="40" spans="1:79" ht="29.25" customHeight="1" x14ac:dyDescent="0.2">
      <c r="A40" s="37">
        <v>43762</v>
      </c>
      <c r="B40" s="30">
        <f t="shared" si="775"/>
        <v>107</v>
      </c>
      <c r="C40" s="38">
        <v>215</v>
      </c>
      <c r="D40" s="38">
        <f t="shared" si="776"/>
        <v>44.599999999999994</v>
      </c>
      <c r="E40" s="39">
        <v>823220.72699999996</v>
      </c>
      <c r="F40" s="39">
        <v>1091507.8791</v>
      </c>
      <c r="G40" s="39">
        <v>-122.3531</v>
      </c>
      <c r="H40" s="39">
        <v>823221.64850000001</v>
      </c>
      <c r="I40" s="39">
        <v>1091506.6566000001</v>
      </c>
      <c r="J40" s="39">
        <v>-121.0879</v>
      </c>
      <c r="K40" s="39">
        <v>823222.30070000002</v>
      </c>
      <c r="L40" s="39">
        <v>1091505.2860999999</v>
      </c>
      <c r="M40" s="39">
        <v>-120.4166</v>
      </c>
      <c r="N40" s="39">
        <v>823222.80980000005</v>
      </c>
      <c r="O40" s="39">
        <v>1091504.7242999999</v>
      </c>
      <c r="P40" s="39">
        <v>-121.107</v>
      </c>
      <c r="Q40" s="39">
        <v>823223.21440000006</v>
      </c>
      <c r="R40" s="39">
        <v>1091503.2290000001</v>
      </c>
      <c r="S40" s="39">
        <v>-122.247</v>
      </c>
      <c r="T40" s="57">
        <f t="shared" si="1"/>
        <v>3.5986404294925891</v>
      </c>
      <c r="U40" s="47">
        <f t="shared" si="2"/>
        <v>1.6596019946197331</v>
      </c>
      <c r="V40" s="47">
        <f t="shared" si="3"/>
        <v>1.0254044129285109</v>
      </c>
      <c r="W40" s="57">
        <f t="shared" si="4"/>
        <v>2.901184630368312</v>
      </c>
      <c r="X40" s="47">
        <f t="shared" si="5"/>
        <v>2.2544990110729741</v>
      </c>
      <c r="Y40" s="57">
        <f t="shared" si="6"/>
        <v>5.274641786909986</v>
      </c>
      <c r="Z40" s="74">
        <f t="shared" ref="Z40" si="885">IF(T40="","",(T40-T$10)*1000)</f>
        <v>-0.69732774503661332</v>
      </c>
      <c r="AA40" s="74">
        <f t="shared" ref="AA40" si="886">IF(U40="","",(U40-U$10)*1000)</f>
        <v>-0.32407739066120378</v>
      </c>
      <c r="AB40" s="74">
        <f t="shared" ref="AB40" si="887">IF(V40="","",(V40-V$10)*1000)</f>
        <v>-3.9370299105279116E-2</v>
      </c>
      <c r="AC40" s="74">
        <f t="shared" ref="AC40" si="888">IF(W40="","",(W40-W$10)*1000)</f>
        <v>-7.3120789677991738</v>
      </c>
      <c r="AD40" s="74">
        <f t="shared" ref="AD40" si="889">IF(X40="","",(X40-X$10)*1000)</f>
        <v>1.5841431876406631</v>
      </c>
      <c r="AE40" s="74">
        <f t="shared" ref="AE40" si="890">IF(Y40="","",(Y40-Y$10)*1000)</f>
        <v>-5.0228127453699756E-2</v>
      </c>
      <c r="AF40" s="40"/>
      <c r="AG40" s="73">
        <f t="shared" ref="AG40:AG42" si="891">IF(E40="","",(E40-E$10)*1000)</f>
        <v>-5.4000001400709152</v>
      </c>
      <c r="AH40" s="73">
        <f t="shared" ref="AH40:AH42" si="892">IF(F40="","",(F40-F$10)*1000)</f>
        <v>-1.999999862164259</v>
      </c>
      <c r="AI40" s="73">
        <f t="shared" ref="AI40:AI42" si="893">IF(G40="","",(G40-G$10)*1000)</f>
        <v>-5.6500000000028194</v>
      </c>
      <c r="AJ40" s="73">
        <f t="shared" ref="AJ40:AJ42" si="894">IF(H40="","",(H40-H$10)*1000)</f>
        <v>-5.4499999387189746</v>
      </c>
      <c r="AK40" s="73">
        <f t="shared" ref="AK40:AK42" si="895">IF(I40="","",(I40-I$10)*1000)</f>
        <v>-4.5999998692423105</v>
      </c>
      <c r="AL40" s="73">
        <f t="shared" ref="AL40:AL42" si="896">IF(J40="","",(J40-J$10)*1000)</f>
        <v>-10.249999999999204</v>
      </c>
      <c r="AM40" s="73">
        <f t="shared" ref="AM40:AM42" si="897">IF(K40="","",(K40-K$10)*1000)</f>
        <v>-3.8999998942017555</v>
      </c>
      <c r="AN40" s="73">
        <f t="shared" ref="AN40:AN42" si="898">IF(L40="","",(L40-L$10)*1000)</f>
        <v>-3.3000002149492502</v>
      </c>
      <c r="AO40" s="73">
        <f t="shared" ref="AO40:AO42" si="899">IF(M40="","",(M40-M$10)*1000)</f>
        <v>-9.9000000000017963</v>
      </c>
      <c r="AP40" s="73">
        <f t="shared" ref="AP40:AP42" si="900">IF(N40="","",(N40-N$10)*1000)</f>
        <v>-3.9999999571591616</v>
      </c>
      <c r="AQ40" s="73">
        <f t="shared" ref="AQ40:AQ42" si="901">IF(O40="","",(O40-O$10)*1000)</f>
        <v>-5.6000002659857273</v>
      </c>
      <c r="AR40" s="73">
        <f t="shared" ref="AR40:AR42" si="902">IF(P40="","",(P40-P$10)*1000)</f>
        <v>-8.049999999997226</v>
      </c>
      <c r="AS40" s="73">
        <f t="shared" ref="AS40:AS42" si="903">IF(Q40="","",(Q40-Q$10)*1000)</f>
        <v>-2.049999893642962</v>
      </c>
      <c r="AT40" s="73">
        <f t="shared" ref="AT40:AT42" si="904">IF(R40="","",(R40-R$10)*1000)</f>
        <v>-4.9999915063381195E-2</v>
      </c>
      <c r="AU40" s="73">
        <f t="shared" ref="AU40:AU42" si="905">IF(S40="","",(S40-S$10)*1000)</f>
        <v>-1.0500000000064347</v>
      </c>
      <c r="AV40" s="40"/>
      <c r="AW40" s="39">
        <v>170.10400619989616</v>
      </c>
      <c r="AX40" s="39">
        <v>-2.6297481668311939</v>
      </c>
      <c r="AY40" s="39">
        <v>1.4887399380010322</v>
      </c>
      <c r="AZ40" s="39">
        <v>170.42246224094265</v>
      </c>
      <c r="BA40" s="39">
        <v>-1.1323323094898465</v>
      </c>
      <c r="BB40" s="39">
        <v>2.7507553775905649</v>
      </c>
      <c r="BC40" s="39">
        <v>170.43430133550075</v>
      </c>
      <c r="BD40" s="39">
        <v>0.38539458504219792</v>
      </c>
      <c r="BE40" s="39">
        <v>3.4219369866449796</v>
      </c>
      <c r="BF40" s="39">
        <v>170.65824871846908</v>
      </c>
      <c r="BG40" s="39">
        <v>1.1097215966294249</v>
      </c>
      <c r="BH40" s="39">
        <v>2.7292975128153074</v>
      </c>
      <c r="BI40" s="39">
        <v>170.39294293094582</v>
      </c>
      <c r="BJ40" s="39">
        <v>2.6359051008714562</v>
      </c>
      <c r="BK40" s="39">
        <v>1.5919505706905426</v>
      </c>
      <c r="BL40" s="40"/>
      <c r="BM40" s="43">
        <f t="shared" ref="BM40" si="906">IF(AW40="","",(AW40-AW$10)*1000)</f>
        <v>-5.6938001038417951</v>
      </c>
      <c r="BN40" s="43">
        <f t="shared" ref="BN40" si="907">IF(AX40="","",(AX40-AX$10)*1000)</f>
        <v>-0.44816683119375256</v>
      </c>
      <c r="BO40" s="43">
        <f t="shared" ref="BO40" si="908">IF(AY40="","",(AY40-AY$10)*1000)</f>
        <v>-5.5600619989677469</v>
      </c>
      <c r="BP40" s="43">
        <f t="shared" ref="BP40" si="909">IF(AZ40="","",(AZ40-AZ$10)*1000)</f>
        <v>-6.8377590573618363</v>
      </c>
      <c r="BQ40" s="43">
        <f t="shared" ref="BQ40" si="910">IF(BA40="","",(BA40-BA$10)*1000)</f>
        <v>1.8676905101535635</v>
      </c>
      <c r="BR40" s="43">
        <f t="shared" ref="BR40" si="911">IF(BB40="","",(BB40-BB$10)*1000)</f>
        <v>-10.144622409435033</v>
      </c>
      <c r="BS40" s="43">
        <f t="shared" ref="BS40" si="912">IF(BC40="","",(BC40-BC$10)*1000)</f>
        <v>-4.8986644992510264</v>
      </c>
      <c r="BT40" s="43">
        <f t="shared" ref="BT40" si="913">IF(BD40="","",(BD40-BD$10)*1000)</f>
        <v>1.2945850421979266</v>
      </c>
      <c r="BU40" s="43">
        <f t="shared" ref="BU40" si="914">IF(BE40="","",(BE40-BE$10)*1000)</f>
        <v>-9.863013355020378</v>
      </c>
      <c r="BV40" s="43">
        <f t="shared" ref="BV40" si="915">IF(BF40="","",(BF40-BF$10)*1000)</f>
        <v>-5.951281530911956</v>
      </c>
      <c r="BW40" s="43">
        <f t="shared" ref="BW40" si="916">IF(BG40="","",(BG40-BG$10)*1000)</f>
        <v>3.4215966294248723</v>
      </c>
      <c r="BX40" s="43">
        <f t="shared" ref="BX40" si="917">IF(BH40="","",(BH40-BH$10)*1000)</f>
        <v>-8.0024871846924306</v>
      </c>
      <c r="BY40" s="43">
        <f t="shared" ref="BY40" si="918">IF(BI40="","",(BI40-BI$10)*1000)</f>
        <v>-1.8570690541821477</v>
      </c>
      <c r="BZ40" s="43">
        <f t="shared" ref="BZ40" si="919">IF(BJ40="","",(BJ40-BJ$10)*1000)</f>
        <v>-0.79489912854358025</v>
      </c>
      <c r="CA40" s="43">
        <f t="shared" ref="CA40" si="920">IF(BK40="","",(BK40-BK$10)*1000)</f>
        <v>-1.0494293094573948</v>
      </c>
    </row>
    <row r="41" spans="1:79" ht="29.25" customHeight="1" x14ac:dyDescent="0.2">
      <c r="A41" s="37">
        <v>43766</v>
      </c>
      <c r="B41" s="30">
        <f t="shared" si="775"/>
        <v>111</v>
      </c>
      <c r="C41" s="38">
        <v>215.55</v>
      </c>
      <c r="D41" s="38">
        <f t="shared" si="776"/>
        <v>45.150000000000006</v>
      </c>
      <c r="E41" s="39">
        <v>823220.72710000002</v>
      </c>
      <c r="F41" s="39">
        <v>1091507.8787</v>
      </c>
      <c r="G41" s="39">
        <v>-122.3526</v>
      </c>
      <c r="H41" s="39" t="s">
        <v>61</v>
      </c>
      <c r="I41" s="39" t="s">
        <v>61</v>
      </c>
      <c r="J41" s="39" t="s">
        <v>61</v>
      </c>
      <c r="K41" s="39">
        <v>823222.30050000001</v>
      </c>
      <c r="L41" s="39">
        <v>1091505.2853000001</v>
      </c>
      <c r="M41" s="39">
        <v>-120.4166</v>
      </c>
      <c r="N41" s="39">
        <v>823222.80980000005</v>
      </c>
      <c r="O41" s="39">
        <v>1091504.7239000001</v>
      </c>
      <c r="P41" s="39">
        <v>-121.10680000000001</v>
      </c>
      <c r="Q41" s="39">
        <v>823223.21440000006</v>
      </c>
      <c r="R41" s="39">
        <v>1091503.2287000001</v>
      </c>
      <c r="S41" s="39">
        <v>-122.24720000000001</v>
      </c>
      <c r="T41" s="57">
        <f t="shared" si="1"/>
        <v>3.5985284658373256</v>
      </c>
      <c r="U41" s="47"/>
      <c r="V41" s="47">
        <f t="shared" si="3"/>
        <v>1.0251499841689549</v>
      </c>
      <c r="W41" s="57">
        <f t="shared" si="4"/>
        <v>2.9010193260513515</v>
      </c>
      <c r="X41" s="47"/>
      <c r="Y41" s="57">
        <f t="shared" si="6"/>
        <v>5.2744924352318732</v>
      </c>
      <c r="Z41" s="74">
        <f t="shared" ref="Z41:Z42" si="921">IF(T41="","",(T41-T$10)*1000)</f>
        <v>-0.80929140030017166</v>
      </c>
      <c r="AA41" s="74" t="str">
        <f t="shared" ref="AA41:AA42" si="922">IF(U41="","",(U41-U$10)*1000)</f>
        <v/>
      </c>
      <c r="AB41" s="74">
        <f t="shared" ref="AB41:AB42" si="923">IF(V41="","",(V41-V$10)*1000)</f>
        <v>-0.29379905866133704</v>
      </c>
      <c r="AC41" s="74">
        <f t="shared" ref="AC41:AC42" si="924">IF(W41="","",(W41-W$10)*1000)</f>
        <v>-7.4773832847596644</v>
      </c>
      <c r="AD41" s="74" t="str">
        <f t="shared" ref="AD41:AD42" si="925">IF(X41="","",(X41-X$10)*1000)</f>
        <v/>
      </c>
      <c r="AE41" s="74">
        <f t="shared" ref="AE41:AE42" si="926">IF(Y41="","",(Y41-Y$10)*1000)</f>
        <v>-0.19957980556650767</v>
      </c>
      <c r="AF41" s="40"/>
      <c r="AG41" s="73">
        <f t="shared" si="891"/>
        <v>-5.3000000771135092</v>
      </c>
      <c r="AH41" s="73">
        <f t="shared" si="892"/>
        <v>-2.3999998811632395</v>
      </c>
      <c r="AI41" s="73">
        <f t="shared" si="893"/>
        <v>-5.150000000000432</v>
      </c>
      <c r="AJ41" s="73"/>
      <c r="AK41" s="73"/>
      <c r="AL41" s="73"/>
      <c r="AM41" s="73">
        <f t="shared" si="897"/>
        <v>-4.0999999037012458</v>
      </c>
      <c r="AN41" s="73">
        <f t="shared" si="898"/>
        <v>-4.1000000201165676</v>
      </c>
      <c r="AO41" s="73">
        <f t="shared" si="899"/>
        <v>-9.9000000000017963</v>
      </c>
      <c r="AP41" s="73">
        <f t="shared" si="900"/>
        <v>-3.9999999571591616</v>
      </c>
      <c r="AQ41" s="73">
        <f t="shared" si="901"/>
        <v>-6.0000000521540642</v>
      </c>
      <c r="AR41" s="73">
        <f t="shared" si="902"/>
        <v>-7.8500000000047976</v>
      </c>
      <c r="AS41" s="73">
        <f t="shared" si="903"/>
        <v>-2.049999893642962</v>
      </c>
      <c r="AT41" s="73">
        <f t="shared" si="904"/>
        <v>-0.34999987110495567</v>
      </c>
      <c r="AU41" s="73">
        <f t="shared" si="905"/>
        <v>-1.250000000013074</v>
      </c>
      <c r="AV41" s="40"/>
      <c r="AW41" s="39">
        <v>170.1039277683461</v>
      </c>
      <c r="AX41" s="39">
        <v>-2.6293433847666776</v>
      </c>
      <c r="AY41" s="39">
        <v>1.4892407223165378</v>
      </c>
      <c r="AZ41" s="39"/>
      <c r="BA41" s="39"/>
      <c r="BB41" s="39"/>
      <c r="BC41" s="39">
        <v>170.43378195555655</v>
      </c>
      <c r="BD41" s="39">
        <v>0.38603508809890652</v>
      </c>
      <c r="BE41" s="39">
        <v>3.4219421804444323</v>
      </c>
      <c r="BF41" s="39">
        <v>170.65807965775542</v>
      </c>
      <c r="BG41" s="39">
        <v>1.1100841132552961</v>
      </c>
      <c r="BH41" s="39">
        <v>2.729499203422435</v>
      </c>
      <c r="BI41" s="39">
        <v>170.39281613536141</v>
      </c>
      <c r="BJ41" s="39">
        <v>2.6361769884463433</v>
      </c>
      <c r="BK41" s="39">
        <v>1.591751838646374</v>
      </c>
      <c r="BL41" s="40"/>
      <c r="BM41" s="43">
        <f t="shared" ref="BM41:BM42" si="927">IF(AW41="","",(AW41-AW$10)*1000)</f>
        <v>-5.7722316539070562</v>
      </c>
      <c r="BN41" s="43">
        <f t="shared" ref="BN41:BN42" si="928">IF(AX41="","",(AX41-AX$10)*1000)</f>
        <v>-4.3384766677423414E-2</v>
      </c>
      <c r="BO41" s="43">
        <f t="shared" ref="BO41:BO42" si="929">IF(AY41="","",(AY41-AY$10)*1000)</f>
        <v>-5.0592776834621489</v>
      </c>
      <c r="BP41" s="43" t="str">
        <f t="shared" ref="BP41:BP42" si="930">IF(AZ41="","",(AZ41-AZ$10)*1000)</f>
        <v/>
      </c>
      <c r="BQ41" s="43" t="str">
        <f t="shared" ref="BQ41:BQ42" si="931">IF(BA41="","",(BA41-BA$10)*1000)</f>
        <v/>
      </c>
      <c r="BR41" s="43" t="str">
        <f t="shared" ref="BR41:BR42" si="932">IF(BB41="","",(BB41-BB$10)*1000)</f>
        <v/>
      </c>
      <c r="BS41" s="43">
        <f t="shared" ref="BS41:BS42" si="933">IF(BC41="","",(BC41-BC$10)*1000)</f>
        <v>-5.4180444434450692</v>
      </c>
      <c r="BT41" s="43">
        <f t="shared" ref="BT41:BT42" si="934">IF(BD41="","",(BD41-BD$10)*1000)</f>
        <v>1.9350880989065233</v>
      </c>
      <c r="BU41" s="43">
        <f t="shared" ref="BU41:BU42" si="935">IF(BE41="","",(BE41-BE$10)*1000)</f>
        <v>-9.8578195555676373</v>
      </c>
      <c r="BV41" s="43">
        <f t="shared" ref="BV41:BV42" si="936">IF(BF41="","",(BF41-BF$10)*1000)</f>
        <v>-6.120342244571475</v>
      </c>
      <c r="BW41" s="43">
        <f t="shared" ref="BW41:BW42" si="937">IF(BG41="","",(BG41-BG$10)*1000)</f>
        <v>3.7841132552960399</v>
      </c>
      <c r="BX41" s="43">
        <f t="shared" ref="BX41:BX42" si="938">IF(BH41="","",(BH41-BH$10)*1000)</f>
        <v>-7.800796577564828</v>
      </c>
      <c r="BY41" s="43">
        <f t="shared" ref="BY41:BY42" si="939">IF(BI41="","",(BI41-BI$10)*1000)</f>
        <v>-1.9838646385892389</v>
      </c>
      <c r="BZ41" s="43">
        <f t="shared" ref="BZ41:BZ42" si="940">IF(BJ41="","",(BJ41-BJ$10)*1000)</f>
        <v>-0.52301155365652718</v>
      </c>
      <c r="CA41" s="43">
        <f t="shared" ref="CA41:CA42" si="941">IF(BK41="","",(BK41-BK$10)*1000)</f>
        <v>-1.2481613536259317</v>
      </c>
    </row>
    <row r="42" spans="1:79" ht="29.25" customHeight="1" x14ac:dyDescent="0.2">
      <c r="A42" s="37">
        <v>43769</v>
      </c>
      <c r="B42" s="30">
        <f t="shared" ref="B42:B57" si="942">A42-$A$10</f>
        <v>114</v>
      </c>
      <c r="C42" s="38">
        <v>216.87</v>
      </c>
      <c r="D42" s="38">
        <f t="shared" ref="D42" si="943">C42-PM</f>
        <v>46.47</v>
      </c>
      <c r="E42" s="39">
        <v>823220.7267</v>
      </c>
      <c r="F42" s="39">
        <v>1091507.8792999999</v>
      </c>
      <c r="G42" s="39">
        <v>-122.3527</v>
      </c>
      <c r="H42" s="39">
        <v>823221.64780000004</v>
      </c>
      <c r="I42" s="39">
        <v>1091506.6558000001</v>
      </c>
      <c r="J42" s="39">
        <v>-121.08839999999999</v>
      </c>
      <c r="K42" s="39">
        <v>823222.30090000003</v>
      </c>
      <c r="L42" s="39">
        <v>1091505.2862</v>
      </c>
      <c r="M42" s="39">
        <v>-120.4166</v>
      </c>
      <c r="N42" s="39">
        <v>823222.80980000005</v>
      </c>
      <c r="O42" s="39">
        <v>1091504.7248</v>
      </c>
      <c r="P42" s="39">
        <v>-121.10720000000001</v>
      </c>
      <c r="Q42" s="39">
        <v>823223.2145</v>
      </c>
      <c r="R42" s="39">
        <v>1091503.2298999999</v>
      </c>
      <c r="S42" s="39">
        <v>-122.247</v>
      </c>
      <c r="T42" s="57">
        <f t="shared" si="1"/>
        <v>3.5987159459714531</v>
      </c>
      <c r="U42" s="47">
        <f t="shared" si="2"/>
        <v>1.6594152615450786</v>
      </c>
      <c r="V42" s="47">
        <f t="shared" si="3"/>
        <v>1.025220722587211</v>
      </c>
      <c r="W42" s="57">
        <f t="shared" si="4"/>
        <v>2.9005859425591529</v>
      </c>
      <c r="X42" s="47">
        <f t="shared" si="5"/>
        <v>2.2537432064029015</v>
      </c>
      <c r="Y42" s="57">
        <f t="shared" si="6"/>
        <v>5.2742053135960187</v>
      </c>
      <c r="Z42" s="74">
        <f t="shared" si="921"/>
        <v>-0.62181126617266713</v>
      </c>
      <c r="AA42" s="74">
        <f t="shared" si="922"/>
        <v>-0.51081046531575858</v>
      </c>
      <c r="AB42" s="74">
        <f t="shared" si="923"/>
        <v>-0.223060640405226</v>
      </c>
      <c r="AC42" s="74">
        <f t="shared" si="924"/>
        <v>-7.9107667769582335</v>
      </c>
      <c r="AD42" s="74">
        <f t="shared" si="925"/>
        <v>0.82833851756802801</v>
      </c>
      <c r="AE42" s="74">
        <f t="shared" si="926"/>
        <v>-0.48670144142093363</v>
      </c>
      <c r="AF42" s="40"/>
      <c r="AG42" s="73">
        <f t="shared" si="891"/>
        <v>-5.7000000961124897</v>
      </c>
      <c r="AH42" s="73">
        <f t="shared" si="892"/>
        <v>-1.7999999690800905</v>
      </c>
      <c r="AI42" s="73">
        <f t="shared" si="893"/>
        <v>-5.2500000000037517</v>
      </c>
      <c r="AJ42" s="73">
        <f t="shared" si="894"/>
        <v>-6.1499999137595296</v>
      </c>
      <c r="AK42" s="73">
        <f t="shared" si="895"/>
        <v>-5.3999999072402716</v>
      </c>
      <c r="AL42" s="73">
        <f t="shared" si="896"/>
        <v>-10.749999999987381</v>
      </c>
      <c r="AM42" s="73">
        <f t="shared" si="897"/>
        <v>-3.6999998847022653</v>
      </c>
      <c r="AN42" s="73">
        <f t="shared" si="898"/>
        <v>-3.2000001519918442</v>
      </c>
      <c r="AO42" s="73">
        <f t="shared" si="899"/>
        <v>-9.9000000000017963</v>
      </c>
      <c r="AP42" s="73">
        <f t="shared" si="900"/>
        <v>-3.9999999571591616</v>
      </c>
      <c r="AQ42" s="73">
        <f t="shared" si="901"/>
        <v>-5.1000001840293407</v>
      </c>
      <c r="AR42" s="73">
        <f t="shared" si="902"/>
        <v>-8.2500000000038654</v>
      </c>
      <c r="AS42" s="73">
        <f t="shared" si="903"/>
        <v>-1.9499999471008778</v>
      </c>
      <c r="AT42" s="73">
        <f t="shared" si="904"/>
        <v>0.84999995306134224</v>
      </c>
      <c r="AU42" s="73">
        <f t="shared" si="905"/>
        <v>-1.0500000000064347</v>
      </c>
      <c r="AV42" s="40"/>
      <c r="AW42" s="39">
        <v>170.10381884267812</v>
      </c>
      <c r="AX42" s="39">
        <v>-2.6300562207285809</v>
      </c>
      <c r="AY42" s="39">
        <v>1.4891418115732193</v>
      </c>
      <c r="AZ42" s="39">
        <v>170.42148971490673</v>
      </c>
      <c r="BA42" s="39">
        <v>-1.1319031322125868</v>
      </c>
      <c r="BB42" s="39">
        <v>2.750265102850932</v>
      </c>
      <c r="BC42" s="39">
        <v>170.43452485914679</v>
      </c>
      <c r="BD42" s="39">
        <v>0.38538848618625865</v>
      </c>
      <c r="BE42" s="39">
        <v>3.4219347514085285</v>
      </c>
      <c r="BF42" s="39">
        <v>170.65846004450876</v>
      </c>
      <c r="BG42" s="39">
        <v>1.1092684505305976</v>
      </c>
      <c r="BH42" s="39">
        <v>2.7290953995549074</v>
      </c>
      <c r="BI42" s="39">
        <v>170.39341394685565</v>
      </c>
      <c r="BJ42" s="39">
        <v>2.6351317033251322</v>
      </c>
      <c r="BK42" s="39">
        <v>1.5919458605314389</v>
      </c>
      <c r="BL42" s="40"/>
      <c r="BM42" s="43">
        <f t="shared" si="927"/>
        <v>-5.8811573218804369</v>
      </c>
      <c r="BN42" s="43">
        <f t="shared" si="928"/>
        <v>-0.75622072858072542</v>
      </c>
      <c r="BO42" s="43">
        <f t="shared" si="929"/>
        <v>-5.1581884267806188</v>
      </c>
      <c r="BP42" s="43">
        <f t="shared" si="930"/>
        <v>-7.8102850932850743</v>
      </c>
      <c r="BQ42" s="43">
        <f t="shared" si="931"/>
        <v>2.296867787413337</v>
      </c>
      <c r="BR42" s="43">
        <f t="shared" si="932"/>
        <v>-10.634897149067957</v>
      </c>
      <c r="BS42" s="43">
        <f t="shared" si="933"/>
        <v>-4.675140853208859</v>
      </c>
      <c r="BT42" s="43">
        <f t="shared" si="934"/>
        <v>1.2884861862586527</v>
      </c>
      <c r="BU42" s="43">
        <f t="shared" si="935"/>
        <v>-9.8652485914714205</v>
      </c>
      <c r="BV42" s="43">
        <f t="shared" si="936"/>
        <v>-5.7399554912365147</v>
      </c>
      <c r="BW42" s="43">
        <f t="shared" si="937"/>
        <v>2.9684505305975772</v>
      </c>
      <c r="BX42" s="43">
        <f t="shared" si="938"/>
        <v>-8.2046004450924137</v>
      </c>
      <c r="BY42" s="43">
        <f t="shared" si="939"/>
        <v>-1.3860531443583568</v>
      </c>
      <c r="BZ42" s="43">
        <f t="shared" si="940"/>
        <v>-1.5682966748675753</v>
      </c>
      <c r="CA42" s="43">
        <f t="shared" si="941"/>
        <v>-1.0541394685610328</v>
      </c>
    </row>
    <row r="43" spans="1:79" ht="29.25" customHeight="1" x14ac:dyDescent="0.2">
      <c r="A43" s="37">
        <v>43774</v>
      </c>
      <c r="B43" s="30">
        <f t="shared" si="942"/>
        <v>119</v>
      </c>
      <c r="C43" s="38">
        <v>217.7</v>
      </c>
      <c r="D43" s="38">
        <f t="shared" ref="D43:D49" si="944">C43-PM</f>
        <v>47.299999999999983</v>
      </c>
      <c r="E43" s="39">
        <v>823220.72690000001</v>
      </c>
      <c r="F43" s="39">
        <v>1091507.8788999999</v>
      </c>
      <c r="G43" s="39">
        <v>-122.3532</v>
      </c>
      <c r="H43" s="39">
        <v>823221.64809999999</v>
      </c>
      <c r="I43" s="39">
        <v>1091506.6557</v>
      </c>
      <c r="J43" s="39">
        <v>-121.089</v>
      </c>
      <c r="K43" s="39">
        <v>823222.30090000003</v>
      </c>
      <c r="L43" s="39">
        <v>1091505.2855</v>
      </c>
      <c r="M43" s="39">
        <v>-120.41719999999999</v>
      </c>
      <c r="N43" s="39">
        <v>823222.80980000005</v>
      </c>
      <c r="O43" s="39">
        <v>1091504.7242000001</v>
      </c>
      <c r="P43" s="39">
        <v>-121.10760000000001</v>
      </c>
      <c r="Q43" s="39">
        <v>823223.21470000001</v>
      </c>
      <c r="R43" s="39">
        <v>1091503.2291999999</v>
      </c>
      <c r="S43" s="39">
        <v>-122.2474</v>
      </c>
      <c r="T43" s="57">
        <f t="shared" si="1"/>
        <v>3.5987908468722236</v>
      </c>
      <c r="U43" s="47">
        <f t="shared" si="2"/>
        <v>1.6597924930741552</v>
      </c>
      <c r="V43" s="47">
        <f t="shared" si="3"/>
        <v>1.0250312482805468</v>
      </c>
      <c r="W43" s="57">
        <f t="shared" si="4"/>
        <v>2.9005227408501986</v>
      </c>
      <c r="X43" s="47">
        <f t="shared" si="5"/>
        <v>2.2540153282368398</v>
      </c>
      <c r="Y43" s="57">
        <f t="shared" si="6"/>
        <v>5.2744717810938839</v>
      </c>
      <c r="Z43" s="74">
        <f t="shared" ref="Z43" si="945">IF(T43="","",(T43-T$10)*1000)</f>
        <v>-0.54691036540210902</v>
      </c>
      <c r="AA43" s="74">
        <f t="shared" ref="AA43" si="946">IF(U43="","",(U43-U$10)*1000)</f>
        <v>-0.13357893623910932</v>
      </c>
      <c r="AB43" s="74">
        <f t="shared" ref="AB43" si="947">IF(V43="","",(V43-V$10)*1000)</f>
        <v>-0.41253494706938731</v>
      </c>
      <c r="AC43" s="74">
        <f t="shared" ref="AC43" si="948">IF(W43="","",(W43-W$10)*1000)</f>
        <v>-7.9739684859125859</v>
      </c>
      <c r="AD43" s="74">
        <f t="shared" ref="AD43" si="949">IF(X43="","",(X43-X$10)*1000)</f>
        <v>1.1004603515063494</v>
      </c>
      <c r="AE43" s="74">
        <f t="shared" ref="AE43" si="950">IF(Y43="","",(Y43-Y$10)*1000)</f>
        <v>-0.22023394355574766</v>
      </c>
      <c r="AF43" s="40"/>
      <c r="AG43" s="73">
        <f t="shared" ref="AG43" si="951">IF(E43="","",(E43-E$10)*1000)</f>
        <v>-5.5000000866129994</v>
      </c>
      <c r="AH43" s="73">
        <f t="shared" ref="AH43" si="952">IF(F43="","",(F43-F$10)*1000)</f>
        <v>-2.199999988079071</v>
      </c>
      <c r="AI43" s="73">
        <f t="shared" ref="AI43" si="953">IF(G43="","",(G43-G$10)*1000)</f>
        <v>-5.7500000000061391</v>
      </c>
      <c r="AJ43" s="73">
        <f t="shared" ref="AJ43" si="954">IF(H43="","",(H43-H$10)*1000)</f>
        <v>-5.8499999577179551</v>
      </c>
      <c r="AK43" s="73">
        <f t="shared" ref="AK43" si="955">IF(I43="","",(I43-I$10)*1000)</f>
        <v>-5.4999999701976776</v>
      </c>
      <c r="AL43" s="73">
        <f t="shared" ref="AL43" si="956">IF(J43="","",(J43-J$10)*1000)</f>
        <v>-11.349999999993088</v>
      </c>
      <c r="AM43" s="73">
        <f t="shared" ref="AM43" si="957">IF(K43="","",(K43-K$10)*1000)</f>
        <v>-3.6999998847022653</v>
      </c>
      <c r="AN43" s="73">
        <f t="shared" ref="AN43" si="958">IF(L43="","",(L43-L$10)*1000)</f>
        <v>-3.9000001270323992</v>
      </c>
      <c r="AO43" s="73">
        <f t="shared" ref="AO43" si="959">IF(M43="","",(M43-M$10)*1000)</f>
        <v>-10.499999999993292</v>
      </c>
      <c r="AP43" s="73">
        <f t="shared" ref="AP43" si="960">IF(N43="","",(N43-N$10)*1000)</f>
        <v>-3.9999999571591616</v>
      </c>
      <c r="AQ43" s="73">
        <f t="shared" ref="AQ43" si="961">IF(O43="","",(O43-O$10)*1000)</f>
        <v>-5.7000000961124897</v>
      </c>
      <c r="AR43" s="73">
        <f t="shared" ref="AR43" si="962">IF(P43="","",(P43-P$10)*1000)</f>
        <v>-8.6500000000029331</v>
      </c>
      <c r="AS43" s="73">
        <f t="shared" ref="AS43" si="963">IF(Q43="","",(Q43-Q$10)*1000)</f>
        <v>-1.7499999376013875</v>
      </c>
      <c r="AT43" s="73">
        <f t="shared" ref="AT43" si="964">IF(R43="","",(R43-R$10)*1000)</f>
        <v>0.14999997802078724</v>
      </c>
      <c r="AU43" s="73">
        <f t="shared" ref="AU43" si="965">IF(S43="","",(S43-S$10)*1000)</f>
        <v>-1.4500000000055024</v>
      </c>
      <c r="AV43" s="40"/>
      <c r="AW43" s="39">
        <v>170.10383104028446</v>
      </c>
      <c r="AX43" s="39">
        <v>-2.6296091734856533</v>
      </c>
      <c r="AY43" s="39">
        <v>1.488641689597145</v>
      </c>
      <c r="AZ43" s="39">
        <v>170.42171933725402</v>
      </c>
      <c r="BA43" s="39">
        <v>-1.1316857073661508</v>
      </c>
      <c r="BB43" s="39">
        <v>2.7496628066274553</v>
      </c>
      <c r="BC43" s="39">
        <v>170.43422900275033</v>
      </c>
      <c r="BD43" s="39">
        <v>0.3860228905980474</v>
      </c>
      <c r="BE43" s="39">
        <v>3.4213377099725051</v>
      </c>
      <c r="BF43" s="39">
        <v>170.65820645333983</v>
      </c>
      <c r="BG43" s="39">
        <v>1.1098122256804122</v>
      </c>
      <c r="BH43" s="39">
        <v>2.7286979354665988</v>
      </c>
      <c r="BI43" s="39">
        <v>170.3932993488776</v>
      </c>
      <c r="BJ43" s="39">
        <v>2.6358506381429527</v>
      </c>
      <c r="BK43" s="39">
        <v>1.5915470065112203</v>
      </c>
      <c r="BL43" s="40"/>
      <c r="BM43" s="43">
        <f t="shared" ref="BM43" si="966">IF(AW43="","",(AW43-AW$10)*1000)</f>
        <v>-5.8689597155421325</v>
      </c>
      <c r="BN43" s="43">
        <f t="shared" ref="BN43" si="967">IF(AX43="","",(AX43-AX$10)*1000)</f>
        <v>-0.30917348565306924</v>
      </c>
      <c r="BO43" s="43">
        <f t="shared" ref="BO43" si="968">IF(AY43="","",(AY43-AY$10)*1000)</f>
        <v>-5.6583104028549158</v>
      </c>
      <c r="BP43" s="43">
        <f t="shared" ref="BP43" si="969">IF(AZ43="","",(AZ43-AZ$10)*1000)</f>
        <v>-7.5806627459940046</v>
      </c>
      <c r="BQ43" s="43">
        <f t="shared" ref="BQ43" si="970">IF(BA43="","",(BA43-BA$10)*1000)</f>
        <v>2.5142926338492799</v>
      </c>
      <c r="BR43" s="43">
        <f t="shared" ref="BR43" si="971">IF(BB43="","",(BB43-BB$10)*1000)</f>
        <v>-11.237193372544585</v>
      </c>
      <c r="BS43" s="43">
        <f t="shared" ref="BS43" si="972">IF(BC43="","",(BC43-BC$10)*1000)</f>
        <v>-4.9709972496714272</v>
      </c>
      <c r="BT43" s="43">
        <f t="shared" ref="BT43" si="973">IF(BD43="","",(BD43-BD$10)*1000)</f>
        <v>1.9228905980473998</v>
      </c>
      <c r="BU43" s="43">
        <f t="shared" ref="BU43" si="974">IF(BE43="","",(BE43-BE$10)*1000)</f>
        <v>-10.46229002749488</v>
      </c>
      <c r="BV43" s="43">
        <f t="shared" ref="BV43" si="975">IF(BF43="","",(BF43-BF$10)*1000)</f>
        <v>-5.9935466601643839</v>
      </c>
      <c r="BW43" s="43">
        <f t="shared" ref="BW43" si="976">IF(BG43="","",(BG43-BG$10)*1000)</f>
        <v>3.5122256804120955</v>
      </c>
      <c r="BX43" s="43">
        <f t="shared" ref="BX43" si="977">IF(BH43="","",(BH43-BH$10)*1000)</f>
        <v>-8.6020645334010659</v>
      </c>
      <c r="BY43" s="43">
        <f t="shared" ref="BY43" si="978">IF(BI43="","",(BI43-BI$10)*1000)</f>
        <v>-1.5006511223987218</v>
      </c>
      <c r="BZ43" s="43">
        <f t="shared" ref="BZ43" si="979">IF(BJ43="","",(BJ43-BJ$10)*1000)</f>
        <v>-0.84936185704709288</v>
      </c>
      <c r="CA43" s="43">
        <f t="shared" ref="CA43" si="980">IF(BK43="","",(BK43-BK$10)*1000)</f>
        <v>-1.4529934887796969</v>
      </c>
    </row>
    <row r="44" spans="1:79" ht="29.25" customHeight="1" x14ac:dyDescent="0.2">
      <c r="A44" s="37">
        <v>43776</v>
      </c>
      <c r="B44" s="30">
        <f t="shared" si="942"/>
        <v>121</v>
      </c>
      <c r="C44" s="38">
        <v>218.7</v>
      </c>
      <c r="D44" s="38">
        <f t="shared" si="944"/>
        <v>48.299999999999983</v>
      </c>
      <c r="E44" s="39">
        <v>823220.72660000005</v>
      </c>
      <c r="F44" s="39">
        <v>1091507.8792000001</v>
      </c>
      <c r="G44" s="39">
        <v>-122.35299999999999</v>
      </c>
      <c r="H44" s="39">
        <v>823221.64760000003</v>
      </c>
      <c r="I44" s="39">
        <v>1091506.6557</v>
      </c>
      <c r="J44" s="39">
        <v>-121.08880000000001</v>
      </c>
      <c r="K44" s="39">
        <v>823222.30079999997</v>
      </c>
      <c r="L44" s="39">
        <v>1091505.2858</v>
      </c>
      <c r="M44" s="39">
        <v>-120.417</v>
      </c>
      <c r="N44" s="39">
        <v>823222.80980000005</v>
      </c>
      <c r="O44" s="39">
        <v>1091504.7245</v>
      </c>
      <c r="P44" s="39">
        <v>-121.1074</v>
      </c>
      <c r="Q44" s="39">
        <v>823223.21459999995</v>
      </c>
      <c r="R44" s="39">
        <v>1091503.2294999999</v>
      </c>
      <c r="S44" s="39">
        <v>-122.247</v>
      </c>
      <c r="T44" s="57">
        <f t="shared" si="1"/>
        <v>3.5988783253122469</v>
      </c>
      <c r="U44" s="47">
        <f t="shared" si="2"/>
        <v>1.6597022293346844</v>
      </c>
      <c r="V44" s="47">
        <f t="shared" si="3"/>
        <v>1.0250808992541272</v>
      </c>
      <c r="W44" s="57">
        <f t="shared" si="4"/>
        <v>2.9003965470585436</v>
      </c>
      <c r="X44" s="47">
        <f t="shared" si="5"/>
        <v>2.2540160247913952</v>
      </c>
      <c r="Y44" s="57">
        <f t="shared" si="6"/>
        <v>5.2745701333083872</v>
      </c>
      <c r="Z44" s="74">
        <f t="shared" ref="Z44" si="981">IF(T44="","",(T44-T$10)*1000)</f>
        <v>-0.45943192537878375</v>
      </c>
      <c r="AA44" s="74">
        <f t="shared" ref="AA44" si="982">IF(U44="","",(U44-U$10)*1000)</f>
        <v>-0.22384267570996208</v>
      </c>
      <c r="AB44" s="74">
        <f t="shared" ref="AB44" si="983">IF(V44="","",(V44-V$10)*1000)</f>
        <v>-0.36288397348904766</v>
      </c>
      <c r="AC44" s="74">
        <f t="shared" ref="AC44" si="984">IF(W44="","",(W44-W$10)*1000)</f>
        <v>-8.1001622775676019</v>
      </c>
      <c r="AD44" s="74">
        <f t="shared" ref="AD44" si="985">IF(X44="","",(X44-X$10)*1000)</f>
        <v>1.1011569060617177</v>
      </c>
      <c r="AE44" s="74">
        <f t="shared" ref="AE44" si="986">IF(Y44="","",(Y44-Y$10)*1000)</f>
        <v>-0.12188172905247541</v>
      </c>
      <c r="AF44" s="40"/>
      <c r="AG44" s="73">
        <f t="shared" ref="AG44" si="987">IF(E44="","",(E44-E$10)*1000)</f>
        <v>-5.8000000426545739</v>
      </c>
      <c r="AH44" s="73">
        <f t="shared" ref="AH44" si="988">IF(F44="","",(F44-F$10)*1000)</f>
        <v>-1.8999997992068529</v>
      </c>
      <c r="AI44" s="73">
        <f t="shared" ref="AI44" si="989">IF(G44="","",(G44-G$10)*1000)</f>
        <v>-5.5499999999994998</v>
      </c>
      <c r="AJ44" s="73">
        <f t="shared" ref="AJ44" si="990">IF(H44="","",(H44-H$10)*1000)</f>
        <v>-6.3499999232590199</v>
      </c>
      <c r="AK44" s="73">
        <f t="shared" ref="AK44" si="991">IF(I44="","",(I44-I$10)*1000)</f>
        <v>-5.4999999701976776</v>
      </c>
      <c r="AL44" s="73">
        <f t="shared" ref="AL44" si="992">IF(J44="","",(J44-J$10)*1000)</f>
        <v>-11.150000000000659</v>
      </c>
      <c r="AM44" s="73">
        <f t="shared" ref="AM44" si="993">IF(K44="","",(K44-K$10)*1000)</f>
        <v>-3.7999999476596713</v>
      </c>
      <c r="AN44" s="73">
        <f t="shared" ref="AN44" si="994">IF(L44="","",(L44-L$10)*1000)</f>
        <v>-3.6000001709908247</v>
      </c>
      <c r="AO44" s="73">
        <f t="shared" ref="AO44" si="995">IF(M44="","",(M44-M$10)*1000)</f>
        <v>-10.300000000000864</v>
      </c>
      <c r="AP44" s="73">
        <f t="shared" ref="AP44" si="996">IF(N44="","",(N44-N$10)*1000)</f>
        <v>-3.9999999571591616</v>
      </c>
      <c r="AQ44" s="73">
        <f t="shared" ref="AQ44" si="997">IF(O44="","",(O44-O$10)*1000)</f>
        <v>-5.4000001400709152</v>
      </c>
      <c r="AR44" s="73">
        <f t="shared" ref="AR44" si="998">IF(P44="","",(P44-P$10)*1000)</f>
        <v>-8.4499999999962938</v>
      </c>
      <c r="AS44" s="73">
        <f t="shared" ref="AS44" si="999">IF(Q44="","",(Q44-Q$10)*1000)</f>
        <v>-1.8500000005587935</v>
      </c>
      <c r="AT44" s="73">
        <f t="shared" ref="AT44" si="1000">IF(R44="","",(R44-R$10)*1000)</f>
        <v>0.44999993406236172</v>
      </c>
      <c r="AU44" s="73">
        <f t="shared" ref="AU44" si="1001">IF(S44="","",(S44-S$10)*1000)</f>
        <v>-1.0500000000064347</v>
      </c>
      <c r="AV44" s="40"/>
      <c r="AW44" s="39">
        <v>170.1037</v>
      </c>
      <c r="AX44" s="39">
        <v>-2.63</v>
      </c>
      <c r="AY44" s="39">
        <v>1.4887999999999999</v>
      </c>
      <c r="AZ44" s="39">
        <v>170.4213</v>
      </c>
      <c r="BA44" s="39">
        <v>-1.1318999999999999</v>
      </c>
      <c r="BB44" s="39">
        <v>2.7498999999999998</v>
      </c>
      <c r="BC44" s="39">
        <v>170.43430000000001</v>
      </c>
      <c r="BD44" s="39">
        <v>0.38569999999999999</v>
      </c>
      <c r="BE44" s="39">
        <v>3.4215</v>
      </c>
      <c r="BF44" s="39">
        <v>170.6583</v>
      </c>
      <c r="BG44" s="39">
        <v>1.1094999999999999</v>
      </c>
      <c r="BH44" s="39">
        <v>2.7288999999999999</v>
      </c>
      <c r="BI44" s="39">
        <v>170.39330000000001</v>
      </c>
      <c r="BJ44" s="39">
        <v>2.6355</v>
      </c>
      <c r="BK44" s="39">
        <v>1.5919000000000001</v>
      </c>
      <c r="BL44" s="40"/>
      <c r="BM44" s="43">
        <f t="shared" ref="BM44" si="1002">IF(AW44="","",(AW44-AW$10)*1000)</f>
        <v>-6.0000000000002274</v>
      </c>
      <c r="BN44" s="43">
        <f t="shared" ref="BN44" si="1003">IF(AX44="","",(AX44-AX$10)*1000)</f>
        <v>-0.69999999999970086</v>
      </c>
      <c r="BO44" s="43">
        <f t="shared" ref="BO44" si="1004">IF(AY44="","",(AY44-AY$10)*1000)</f>
        <v>-5.5000000000000604</v>
      </c>
      <c r="BP44" s="43">
        <f t="shared" ref="BP44" si="1005">IF(AZ44="","",(AZ44-AZ$10)*1000)</f>
        <v>-8.0000000000097771</v>
      </c>
      <c r="BQ44" s="43">
        <f t="shared" ref="BQ44" si="1006">IF(BA44="","",(BA44-BA$10)*1000)</f>
        <v>2.3000000000001908</v>
      </c>
      <c r="BR44" s="43">
        <f t="shared" ref="BR44" si="1007">IF(BB44="","",(BB44-BB$10)*1000)</f>
        <v>-11.000000000000121</v>
      </c>
      <c r="BS44" s="43">
        <f t="shared" ref="BS44" si="1008">IF(BC44="","",(BC44-BC$10)*1000)</f>
        <v>-4.8999999999921329</v>
      </c>
      <c r="BT44" s="43">
        <f t="shared" ref="BT44" si="1009">IF(BD44="","",(BD44-BD$10)*1000)</f>
        <v>1.5999999999999903</v>
      </c>
      <c r="BU44" s="43">
        <f t="shared" ref="BU44" si="1010">IF(BE44="","",(BE44-BE$10)*1000)</f>
        <v>-10.299999999999976</v>
      </c>
      <c r="BV44" s="43">
        <f t="shared" ref="BV44" si="1011">IF(BF44="","",(BF44-BF$10)*1000)</f>
        <v>-5.8999999999969077</v>
      </c>
      <c r="BW44" s="43">
        <f t="shared" ref="BW44" si="1012">IF(BG44="","",(BG44-BG$10)*1000)</f>
        <v>3.1999999999998696</v>
      </c>
      <c r="BX44" s="43">
        <f t="shared" ref="BX44" si="1013">IF(BH44="","",(BH44-BH$10)*1000)</f>
        <v>-8.3999999999999631</v>
      </c>
      <c r="BY44" s="43">
        <f t="shared" ref="BY44" si="1014">IF(BI44="","",(BI44-BI$10)*1000)</f>
        <v>-1.4999999999929514</v>
      </c>
      <c r="BZ44" s="43">
        <f t="shared" ref="BZ44" si="1015">IF(BJ44="","",(BJ44-BJ$10)*1000)</f>
        <v>-1.1999999999998678</v>
      </c>
      <c r="CA44" s="43">
        <f t="shared" ref="CA44" si="1016">IF(BK44="","",(BK44-BK$10)*1000)</f>
        <v>-1.0999999999998789</v>
      </c>
    </row>
    <row r="45" spans="1:79" ht="29.25" customHeight="1" x14ac:dyDescent="0.2">
      <c r="A45" s="37">
        <v>43781</v>
      </c>
      <c r="B45" s="30">
        <f t="shared" si="942"/>
        <v>126</v>
      </c>
      <c r="C45" s="38">
        <v>218.7</v>
      </c>
      <c r="D45" s="38">
        <f t="shared" si="944"/>
        <v>48.299999999999983</v>
      </c>
      <c r="E45" s="39">
        <v>823220.72629999998</v>
      </c>
      <c r="F45" s="39">
        <v>1091507.8791</v>
      </c>
      <c r="G45" s="39">
        <v>-122.3532</v>
      </c>
      <c r="H45" s="39">
        <v>823221.64740000002</v>
      </c>
      <c r="I45" s="39">
        <v>1091506.6555000001</v>
      </c>
      <c r="J45" s="39">
        <v>-121.08920000000001</v>
      </c>
      <c r="K45" s="39">
        <v>823222.30050000001</v>
      </c>
      <c r="L45" s="39">
        <v>1091505.2856000001</v>
      </c>
      <c r="M45" s="39">
        <v>-120.41719999999999</v>
      </c>
      <c r="N45" s="39">
        <v>823222.80960000004</v>
      </c>
      <c r="O45" s="39">
        <v>1091504.7242000001</v>
      </c>
      <c r="P45" s="39">
        <v>-121.10760000000001</v>
      </c>
      <c r="Q45" s="39">
        <v>823223.21420000005</v>
      </c>
      <c r="R45" s="39">
        <v>1091503.2294000001</v>
      </c>
      <c r="S45" s="39">
        <v>-122.2471</v>
      </c>
      <c r="T45" s="57">
        <f t="shared" si="1"/>
        <v>3.598950387250115</v>
      </c>
      <c r="U45" s="47">
        <f t="shared" si="2"/>
        <v>1.6597438417202723</v>
      </c>
      <c r="V45" s="47">
        <f t="shared" si="3"/>
        <v>1.0251853149708747</v>
      </c>
      <c r="W45" s="57">
        <f t="shared" si="4"/>
        <v>2.900231049421397</v>
      </c>
      <c r="X45" s="47">
        <f t="shared" si="5"/>
        <v>2.2541000621666245</v>
      </c>
      <c r="Y45" s="57">
        <f t="shared" si="6"/>
        <v>5.2745249748075853</v>
      </c>
      <c r="Z45" s="74">
        <f t="shared" ref="Z45" si="1017">IF(T45="","",(T45-T$10)*1000)</f>
        <v>-0.38736998751076612</v>
      </c>
      <c r="AA45" s="74">
        <f t="shared" ref="AA45" si="1018">IF(U45="","",(U45-U$10)*1000)</f>
        <v>-0.18223029012198744</v>
      </c>
      <c r="AB45" s="74">
        <f t="shared" ref="AB45" si="1019">IF(V45="","",(V45-V$10)*1000)</f>
        <v>-0.25846825674147311</v>
      </c>
      <c r="AC45" s="74">
        <f t="shared" ref="AC45" si="1020">IF(W45="","",(W45-W$10)*1000)</f>
        <v>-8.2656599147141741</v>
      </c>
      <c r="AD45" s="74">
        <f t="shared" ref="AD45" si="1021">IF(X45="","",(X45-X$10)*1000)</f>
        <v>1.1851942812910465</v>
      </c>
      <c r="AE45" s="74">
        <f t="shared" ref="AE45" si="1022">IF(Y45="","",(Y45-Y$10)*1000)</f>
        <v>-0.16704022985436495</v>
      </c>
      <c r="AF45" s="40"/>
      <c r="AG45" s="73">
        <f t="shared" ref="AG45" si="1023">IF(E45="","",(E45-E$10)*1000)</f>
        <v>-6.1000001151114702</v>
      </c>
      <c r="AH45" s="73">
        <f t="shared" ref="AH45" si="1024">IF(F45="","",(F45-F$10)*1000)</f>
        <v>-1.999999862164259</v>
      </c>
      <c r="AI45" s="73">
        <f t="shared" ref="AI45" si="1025">IF(G45="","",(G45-G$10)*1000)</f>
        <v>-5.7500000000061391</v>
      </c>
      <c r="AJ45" s="73">
        <f t="shared" ref="AJ45" si="1026">IF(H45="","",(H45-H$10)*1000)</f>
        <v>-6.5499999327585101</v>
      </c>
      <c r="AK45" s="73">
        <f t="shared" ref="AK45" si="1027">IF(I45="","",(I45-I$10)*1000)</f>
        <v>-5.699999863281846</v>
      </c>
      <c r="AL45" s="73">
        <f t="shared" ref="AL45" si="1028">IF(J45="","",(J45-J$10)*1000)</f>
        <v>-11.549999999999727</v>
      </c>
      <c r="AM45" s="73">
        <f t="shared" ref="AM45" si="1029">IF(K45="","",(K45-K$10)*1000)</f>
        <v>-4.0999999037012458</v>
      </c>
      <c r="AN45" s="73">
        <f t="shared" ref="AN45" si="1030">IF(L45="","",(L45-L$10)*1000)</f>
        <v>-3.8000000640749931</v>
      </c>
      <c r="AO45" s="73">
        <f t="shared" ref="AO45" si="1031">IF(M45="","",(M45-M$10)*1000)</f>
        <v>-10.499999999993292</v>
      </c>
      <c r="AP45" s="73">
        <f t="shared" ref="AP45" si="1032">IF(N45="","",(N45-N$10)*1000)</f>
        <v>-4.1999999666586518</v>
      </c>
      <c r="AQ45" s="73">
        <f t="shared" ref="AQ45" si="1033">IF(O45="","",(O45-O$10)*1000)</f>
        <v>-5.7000000961124897</v>
      </c>
      <c r="AR45" s="73">
        <f t="shared" ref="AR45" si="1034">IF(P45="","",(P45-P$10)*1000)</f>
        <v>-8.6500000000029331</v>
      </c>
      <c r="AS45" s="73">
        <f t="shared" ref="AS45" si="1035">IF(Q45="","",(Q45-Q$10)*1000)</f>
        <v>-2.2499999031424522</v>
      </c>
      <c r="AT45" s="73">
        <f t="shared" ref="AT45" si="1036">IF(R45="","",(R45-R$10)*1000)</f>
        <v>0.35000010393559933</v>
      </c>
      <c r="AU45" s="73">
        <f t="shared" ref="AU45" si="1037">IF(S45="","",(S45-S$10)*1000)</f>
        <v>-1.1500000000097543</v>
      </c>
      <c r="AV45" s="40"/>
      <c r="AW45" s="39">
        <v>170.10339999999999</v>
      </c>
      <c r="AX45" s="39">
        <v>-2.63</v>
      </c>
      <c r="AY45" s="39">
        <v>1.4885999999999999</v>
      </c>
      <c r="AZ45" s="39">
        <v>170.42099999999999</v>
      </c>
      <c r="BA45" s="39">
        <v>-1.1317999999999999</v>
      </c>
      <c r="BB45" s="39">
        <v>2.7494999999999998</v>
      </c>
      <c r="BC45" s="39">
        <v>170.43389999999999</v>
      </c>
      <c r="BD45" s="39">
        <v>0.38579999999999998</v>
      </c>
      <c r="BE45" s="39">
        <v>3.4213</v>
      </c>
      <c r="BF45" s="39">
        <v>170.65799999999999</v>
      </c>
      <c r="BG45" s="39">
        <v>1.1096999999999999</v>
      </c>
      <c r="BH45" s="39">
        <v>2.7286999999999999</v>
      </c>
      <c r="BI45" s="39">
        <v>170.3929</v>
      </c>
      <c r="BJ45" s="39">
        <v>2.6355</v>
      </c>
      <c r="BK45" s="39">
        <v>1.5919000000000001</v>
      </c>
      <c r="BL45" s="40"/>
      <c r="BM45" s="43">
        <f t="shared" ref="BM45" si="1038">IF(AW45="","",(AW45-AW$10)*1000)</f>
        <v>-6.3000000000101863</v>
      </c>
      <c r="BN45" s="43">
        <f t="shared" ref="BN45" si="1039">IF(AX45="","",(AX45-AX$10)*1000)</f>
        <v>-0.69999999999970086</v>
      </c>
      <c r="BO45" s="43">
        <f t="shared" ref="BO45" si="1040">IF(AY45="","",(AY45-AY$10)*1000)</f>
        <v>-5.7000000000000384</v>
      </c>
      <c r="BP45" s="43">
        <f t="shared" ref="BP45" si="1041">IF(AZ45="","",(AZ45-AZ$10)*1000)</f>
        <v>-8.300000000019736</v>
      </c>
      <c r="BQ45" s="43">
        <f t="shared" ref="BQ45" si="1042">IF(BA45="","",(BA45-BA$10)*1000)</f>
        <v>2.4000000000001798</v>
      </c>
      <c r="BR45" s="43">
        <f t="shared" ref="BR45" si="1043">IF(BB45="","",(BB45-BB$10)*1000)</f>
        <v>-11.400000000000077</v>
      </c>
      <c r="BS45" s="43">
        <f t="shared" ref="BS45" si="1044">IF(BC45="","",(BC45-BC$10)*1000)</f>
        <v>-5.3000000000054115</v>
      </c>
      <c r="BT45" s="43">
        <f t="shared" ref="BT45" si="1045">IF(BD45="","",(BD45-BD$10)*1000)</f>
        <v>1.6999999999999793</v>
      </c>
      <c r="BU45" s="43">
        <f t="shared" ref="BU45" si="1046">IF(BE45="","",(BE45-BE$10)*1000)</f>
        <v>-10.499999999999954</v>
      </c>
      <c r="BV45" s="43">
        <f t="shared" ref="BV45" si="1047">IF(BF45="","",(BF45-BF$10)*1000)</f>
        <v>-6.2000000000068667</v>
      </c>
      <c r="BW45" s="43">
        <f t="shared" ref="BW45" si="1048">IF(BG45="","",(BG45-BG$10)*1000)</f>
        <v>3.3999999999998476</v>
      </c>
      <c r="BX45" s="43">
        <f t="shared" ref="BX45" si="1049">IF(BH45="","",(BH45-BH$10)*1000)</f>
        <v>-8.599999999999941</v>
      </c>
      <c r="BY45" s="43">
        <f t="shared" ref="BY45" si="1050">IF(BI45="","",(BI45-BI$10)*1000)</f>
        <v>-1.90000000000623</v>
      </c>
      <c r="BZ45" s="43">
        <f t="shared" ref="BZ45" si="1051">IF(BJ45="","",(BJ45-BJ$10)*1000)</f>
        <v>-1.1999999999998678</v>
      </c>
      <c r="CA45" s="43">
        <f t="shared" ref="CA45" si="1052">IF(BK45="","",(BK45-BK$10)*1000)</f>
        <v>-1.0999999999998789</v>
      </c>
    </row>
    <row r="46" spans="1:79" ht="29.25" customHeight="1" x14ac:dyDescent="0.2">
      <c r="A46" s="37">
        <v>43783</v>
      </c>
      <c r="B46" s="30">
        <f t="shared" si="942"/>
        <v>128</v>
      </c>
      <c r="C46" s="38">
        <v>220.5</v>
      </c>
      <c r="D46" s="38">
        <f t="shared" si="944"/>
        <v>50.099999999999994</v>
      </c>
      <c r="E46" s="39">
        <v>823220.7267</v>
      </c>
      <c r="F46" s="39">
        <v>1091507.8788000001</v>
      </c>
      <c r="G46" s="39">
        <v>-122.3533</v>
      </c>
      <c r="H46" s="39" t="s">
        <v>61</v>
      </c>
      <c r="I46" s="39" t="s">
        <v>61</v>
      </c>
      <c r="J46" s="39" t="s">
        <v>61</v>
      </c>
      <c r="K46" s="39">
        <v>823222.30079999997</v>
      </c>
      <c r="L46" s="39">
        <v>1091505.2852</v>
      </c>
      <c r="M46" s="39">
        <v>-120.4174</v>
      </c>
      <c r="N46" s="39">
        <v>823222.80989999999</v>
      </c>
      <c r="O46" s="39">
        <v>1091504.7241</v>
      </c>
      <c r="P46" s="39">
        <v>-121.1078</v>
      </c>
      <c r="Q46" s="39">
        <v>823223.21470000001</v>
      </c>
      <c r="R46" s="39">
        <v>1091503.2290000001</v>
      </c>
      <c r="S46" s="39">
        <v>-122.24720000000001</v>
      </c>
      <c r="T46" s="57">
        <f t="shared" si="1"/>
        <v>3.5989249200304383</v>
      </c>
      <c r="U46" s="47"/>
      <c r="V46" s="47">
        <f t="shared" si="3"/>
        <v>1.0250210632378431</v>
      </c>
      <c r="W46" s="57">
        <f t="shared" si="4"/>
        <v>2.9002309718443637</v>
      </c>
      <c r="X46" s="47"/>
      <c r="Y46" s="57">
        <f t="shared" si="6"/>
        <v>5.2746602971365304</v>
      </c>
      <c r="Z46" s="74">
        <f t="shared" ref="Z46" si="1053">IF(T46="","",(T46-T$10)*1000)</f>
        <v>-0.41283720718743311</v>
      </c>
      <c r="AA46" s="74" t="str">
        <f t="shared" ref="AA46" si="1054">IF(U46="","",(U46-U$10)*1000)</f>
        <v/>
      </c>
      <c r="AB46" s="74">
        <f t="shared" ref="AB46" si="1055">IF(V46="","",(V46-V$10)*1000)</f>
        <v>-0.42271998977305714</v>
      </c>
      <c r="AC46" s="74">
        <f t="shared" ref="AC46" si="1056">IF(W46="","",(W46-W$10)*1000)</f>
        <v>-8.2657374917474158</v>
      </c>
      <c r="AD46" s="74" t="str">
        <f t="shared" ref="AD46" si="1057">IF(X46="","",(X46-X$10)*1000)</f>
        <v/>
      </c>
      <c r="AE46" s="74">
        <f t="shared" ref="AE46" si="1058">IF(Y46="","",(Y46-Y$10)*1000)</f>
        <v>-3.1717900909278285E-2</v>
      </c>
      <c r="AF46" s="40"/>
      <c r="AG46" s="73">
        <f t="shared" ref="AG46:AG47" si="1059">IF(E46="","",(E46-E$10)*1000)</f>
        <v>-5.7000000961124897</v>
      </c>
      <c r="AH46" s="73">
        <f t="shared" ref="AH46:AH47" si="1060">IF(F46="","",(F46-F$10)*1000)</f>
        <v>-2.2999998182058334</v>
      </c>
      <c r="AI46" s="73">
        <f t="shared" ref="AI46:AI47" si="1061">IF(G46="","",(G46-G$10)*1000)</f>
        <v>-5.8500000000094587</v>
      </c>
      <c r="AJ46" s="73"/>
      <c r="AK46" s="73"/>
      <c r="AL46" s="73"/>
      <c r="AM46" s="73">
        <f t="shared" ref="AM46:AM47" si="1062">IF(K46="","",(K46-K$10)*1000)</f>
        <v>-3.7999999476596713</v>
      </c>
      <c r="AN46" s="73">
        <f t="shared" ref="AN46:AN47" si="1063">IF(L46="","",(L46-L$10)*1000)</f>
        <v>-4.2000000830739737</v>
      </c>
      <c r="AO46" s="73">
        <f t="shared" ref="AO46:AO47" si="1064">IF(M46="","",(M46-M$10)*1000)</f>
        <v>-10.699999999999932</v>
      </c>
      <c r="AP46" s="73">
        <f t="shared" ref="AP46:AP47" si="1065">IF(N46="","",(N46-N$10)*1000)</f>
        <v>-3.9000000106170774</v>
      </c>
      <c r="AQ46" s="73">
        <f t="shared" ref="AQ46:AQ47" si="1066">IF(O46="","",(O46-O$10)*1000)</f>
        <v>-5.8000001590698957</v>
      </c>
      <c r="AR46" s="73">
        <f t="shared" ref="AR46:AR47" si="1067">IF(P46="","",(P46-P$10)*1000)</f>
        <v>-8.8499999999953616</v>
      </c>
      <c r="AS46" s="73">
        <f t="shared" ref="AS46:AS47" si="1068">IF(Q46="","",(Q46-Q$10)*1000)</f>
        <v>-1.7499999376013875</v>
      </c>
      <c r="AT46" s="73">
        <f t="shared" ref="AT46:AT47" si="1069">IF(R46="","",(R46-R$10)*1000)</f>
        <v>-4.9999915063381195E-2</v>
      </c>
      <c r="AU46" s="73">
        <f t="shared" ref="AU46:AU47" si="1070">IF(S46="","",(S46-S$10)*1000)</f>
        <v>-1.250000000013074</v>
      </c>
      <c r="AV46" s="40"/>
      <c r="AW46" s="39">
        <v>170.1036</v>
      </c>
      <c r="AX46" s="39">
        <v>-2.6295999999999999</v>
      </c>
      <c r="AY46" s="39">
        <v>1.4884999999999999</v>
      </c>
      <c r="AZ46" s="39"/>
      <c r="BA46" s="39"/>
      <c r="BB46" s="39"/>
      <c r="BC46" s="39">
        <v>170.434</v>
      </c>
      <c r="BD46" s="39">
        <v>0.38629999999999998</v>
      </c>
      <c r="BE46" s="39">
        <v>3.4211</v>
      </c>
      <c r="BF46" s="39">
        <v>170.6583</v>
      </c>
      <c r="BG46" s="39">
        <v>1.1099000000000001</v>
      </c>
      <c r="BH46" s="39">
        <v>2.7284999999999999</v>
      </c>
      <c r="BI46" s="39">
        <v>170.39320000000001</v>
      </c>
      <c r="BJ46" s="39">
        <v>2.6360000000000001</v>
      </c>
      <c r="BK46" s="39">
        <v>1.5916999999999999</v>
      </c>
      <c r="BL46" s="40"/>
      <c r="BM46" s="43">
        <f t="shared" ref="BM46:BM47" si="1071">IF(AW46="","",(AW46-AW$10)*1000)</f>
        <v>-6.100000000003547</v>
      </c>
      <c r="BN46" s="43">
        <f t="shared" ref="BN46:BN47" si="1072">IF(AX46="","",(AX46-AX$10)*1000)</f>
        <v>-0.29999999999974492</v>
      </c>
      <c r="BO46" s="43">
        <f t="shared" ref="BO46:BO47" si="1073">IF(AY46="","",(AY46-AY$10)*1000)</f>
        <v>-5.8000000000000274</v>
      </c>
      <c r="BP46" s="43" t="str">
        <f t="shared" ref="BP46:BP47" si="1074">IF(AZ46="","",(AZ46-AZ$10)*1000)</f>
        <v/>
      </c>
      <c r="BQ46" s="43" t="str">
        <f t="shared" ref="BQ46:BQ47" si="1075">IF(BA46="","",(BA46-BA$10)*1000)</f>
        <v/>
      </c>
      <c r="BR46" s="43" t="str">
        <f t="shared" ref="BR46:BR47" si="1076">IF(BB46="","",(BB46-BB$10)*1000)</f>
        <v/>
      </c>
      <c r="BS46" s="43">
        <f t="shared" ref="BS46:BS47" si="1077">IF(BC46="","",(BC46-BC$10)*1000)</f>
        <v>-5.2000000000020918</v>
      </c>
      <c r="BT46" s="43">
        <f t="shared" ref="BT46:BT47" si="1078">IF(BD46="","",(BD46-BD$10)*1000)</f>
        <v>2.1999999999999797</v>
      </c>
      <c r="BU46" s="43">
        <f t="shared" ref="BU46:BU47" si="1079">IF(BE46="","",(BE46-BE$10)*1000)</f>
        <v>-10.699999999999932</v>
      </c>
      <c r="BV46" s="43">
        <f t="shared" ref="BV46:BV47" si="1080">IF(BF46="","",(BF46-BF$10)*1000)</f>
        <v>-5.8999999999969077</v>
      </c>
      <c r="BW46" s="43">
        <f t="shared" ref="BW46:BW47" si="1081">IF(BG46="","",(BG46-BG$10)*1000)</f>
        <v>3.6000000000000476</v>
      </c>
      <c r="BX46" s="43">
        <f t="shared" ref="BX46:BX47" si="1082">IF(BH46="","",(BH46-BH$10)*1000)</f>
        <v>-8.799999999999919</v>
      </c>
      <c r="BY46" s="43">
        <f t="shared" ref="BY46:BY47" si="1083">IF(BI46="","",(BI46-BI$10)*1000)</f>
        <v>-1.5999999999962711</v>
      </c>
      <c r="BZ46" s="43">
        <f t="shared" ref="BZ46:BZ47" si="1084">IF(BJ46="","",(BJ46-BJ$10)*1000)</f>
        <v>-0.69999999999970086</v>
      </c>
      <c r="CA46" s="43">
        <f t="shared" ref="CA46:CA47" si="1085">IF(BK46="","",(BK46-BK$10)*1000)</f>
        <v>-1.3000000000000789</v>
      </c>
    </row>
    <row r="47" spans="1:79" ht="29.25" customHeight="1" x14ac:dyDescent="0.2">
      <c r="A47" s="37">
        <v>43787</v>
      </c>
      <c r="B47" s="30">
        <f t="shared" si="942"/>
        <v>132</v>
      </c>
      <c r="C47" s="38">
        <v>221.7</v>
      </c>
      <c r="D47" s="38">
        <f t="shared" si="944"/>
        <v>51.299999999999983</v>
      </c>
      <c r="E47" s="39">
        <v>823220.72640000004</v>
      </c>
      <c r="F47" s="39">
        <v>1091507.8794</v>
      </c>
      <c r="G47" s="39">
        <v>-122.3532</v>
      </c>
      <c r="H47" s="39">
        <v>823221.64729999995</v>
      </c>
      <c r="I47" s="39">
        <v>1091506.6551999999</v>
      </c>
      <c r="J47" s="39">
        <v>-121.0895</v>
      </c>
      <c r="K47" s="39">
        <v>823222.3003</v>
      </c>
      <c r="L47" s="39">
        <v>1091505.2855</v>
      </c>
      <c r="M47" s="39">
        <v>-120.4178</v>
      </c>
      <c r="N47" s="39">
        <v>823222.80980000005</v>
      </c>
      <c r="O47" s="39">
        <v>1091504.7242999999</v>
      </c>
      <c r="P47" s="39">
        <v>-121.1079</v>
      </c>
      <c r="Q47" s="39">
        <v>823223.2145</v>
      </c>
      <c r="R47" s="39">
        <v>1091503.2294000001</v>
      </c>
      <c r="S47" s="39">
        <v>-122.24720000000001</v>
      </c>
      <c r="T47" s="57">
        <f t="shared" si="1"/>
        <v>3.5987847365128918</v>
      </c>
      <c r="U47" s="47">
        <f t="shared" si="2"/>
        <v>1.6594179641829907</v>
      </c>
      <c r="V47" s="47">
        <f t="shared" si="3"/>
        <v>1.0250725341024887</v>
      </c>
      <c r="W47" s="57">
        <f t="shared" si="4"/>
        <v>2.9000022775346346</v>
      </c>
      <c r="X47" s="47">
        <f t="shared" si="5"/>
        <v>2.2539120702358026</v>
      </c>
      <c r="Y47" s="57">
        <f t="shared" si="6"/>
        <v>5.2748817625543136</v>
      </c>
      <c r="Z47" s="74">
        <f t="shared" ref="Z47" si="1086">IF(T47="","",(T47-T$10)*1000)</f>
        <v>-0.55302072473395469</v>
      </c>
      <c r="AA47" s="74">
        <f t="shared" ref="AA47" si="1087">IF(U47="","",(U47-U$10)*1000)</f>
        <v>-0.50810782740362548</v>
      </c>
      <c r="AB47" s="74">
        <f t="shared" ref="AB47" si="1088">IF(V47="","",(V47-V$10)*1000)</f>
        <v>-0.37124912512753738</v>
      </c>
      <c r="AC47" s="74">
        <f t="shared" ref="AC47" si="1089">IF(W47="","",(W47-W$10)*1000)</f>
        <v>-8.4944318014765763</v>
      </c>
      <c r="AD47" s="74">
        <f t="shared" ref="AD47" si="1090">IF(X47="","",(X47-X$10)*1000)</f>
        <v>0.99720235046918404</v>
      </c>
      <c r="AE47" s="74">
        <f t="shared" ref="AE47" si="1091">IF(Y47="","",(Y47-Y$10)*1000)</f>
        <v>0.18974751687395042</v>
      </c>
      <c r="AF47" s="40"/>
      <c r="AG47" s="73">
        <f t="shared" si="1059"/>
        <v>-6.0000000521540642</v>
      </c>
      <c r="AH47" s="73">
        <f t="shared" si="1060"/>
        <v>-1.6999999061226845</v>
      </c>
      <c r="AI47" s="73">
        <f t="shared" si="1061"/>
        <v>-5.7500000000061391</v>
      </c>
      <c r="AJ47" s="73">
        <f t="shared" ref="AJ47" si="1092">IF(H47="","",(H47-H$10)*1000)</f>
        <v>-6.6499999957159162</v>
      </c>
      <c r="AK47" s="73">
        <f t="shared" ref="AK47" si="1093">IF(I47="","",(I47-I$10)*1000)</f>
        <v>-6.0000000521540642</v>
      </c>
      <c r="AL47" s="73">
        <f t="shared" ref="AL47" si="1094">IF(J47="","",(J47-J$10)*1000)</f>
        <v>-11.849999999995475</v>
      </c>
      <c r="AM47" s="73">
        <f t="shared" si="1062"/>
        <v>-4.299999913200736</v>
      </c>
      <c r="AN47" s="73">
        <f t="shared" si="1063"/>
        <v>-3.9000001270323992</v>
      </c>
      <c r="AO47" s="73">
        <f t="shared" si="1064"/>
        <v>-11.099999999999</v>
      </c>
      <c r="AP47" s="73">
        <f t="shared" si="1065"/>
        <v>-3.9999999571591616</v>
      </c>
      <c r="AQ47" s="73">
        <f t="shared" si="1066"/>
        <v>-5.6000002659857273</v>
      </c>
      <c r="AR47" s="73">
        <f t="shared" si="1067"/>
        <v>-8.9499999999986812</v>
      </c>
      <c r="AS47" s="73">
        <f t="shared" si="1068"/>
        <v>-1.9499999471008778</v>
      </c>
      <c r="AT47" s="73">
        <f t="shared" si="1069"/>
        <v>0.35000010393559933</v>
      </c>
      <c r="AU47" s="73">
        <f t="shared" si="1070"/>
        <v>-1.250000000013074</v>
      </c>
      <c r="AV47" s="40"/>
      <c r="AW47" s="39">
        <v>170.1036</v>
      </c>
      <c r="AX47" s="39">
        <v>-2.6303000000000001</v>
      </c>
      <c r="AY47" s="39">
        <v>1.4885999999999999</v>
      </c>
      <c r="AZ47" s="39">
        <v>170.42080000000001</v>
      </c>
      <c r="BA47" s="39">
        <v>-1.1315999999999999</v>
      </c>
      <c r="BB47" s="39">
        <v>2.7492000000000001</v>
      </c>
      <c r="BC47" s="39">
        <v>170.43369999999999</v>
      </c>
      <c r="BD47" s="39">
        <v>0.38579999999999998</v>
      </c>
      <c r="BE47" s="39">
        <v>3.4207000000000001</v>
      </c>
      <c r="BF47" s="39">
        <v>170.65819999999999</v>
      </c>
      <c r="BG47" s="39">
        <v>1.1096999999999999</v>
      </c>
      <c r="BH47" s="39">
        <v>2.7284000000000002</v>
      </c>
      <c r="BI47" s="39">
        <v>170.39320000000001</v>
      </c>
      <c r="BJ47" s="39">
        <v>2.6356000000000002</v>
      </c>
      <c r="BK47" s="39">
        <v>1.5916999999999999</v>
      </c>
      <c r="BL47" s="40"/>
      <c r="BM47" s="43">
        <f t="shared" si="1071"/>
        <v>-6.100000000003547</v>
      </c>
      <c r="BN47" s="43">
        <f t="shared" si="1072"/>
        <v>-0.99999999999988987</v>
      </c>
      <c r="BO47" s="43">
        <f t="shared" si="1073"/>
        <v>-5.7000000000000384</v>
      </c>
      <c r="BP47" s="43">
        <f t="shared" si="1074"/>
        <v>-8.4999999999979536</v>
      </c>
      <c r="BQ47" s="43">
        <f t="shared" si="1075"/>
        <v>2.6000000000001577</v>
      </c>
      <c r="BR47" s="43">
        <f t="shared" si="1076"/>
        <v>-11.699999999999822</v>
      </c>
      <c r="BS47" s="43">
        <f t="shared" si="1077"/>
        <v>-5.5000000000120508</v>
      </c>
      <c r="BT47" s="43">
        <f t="shared" si="1078"/>
        <v>1.6999999999999793</v>
      </c>
      <c r="BU47" s="43">
        <f t="shared" si="1079"/>
        <v>-11.099999999999888</v>
      </c>
      <c r="BV47" s="43">
        <f t="shared" si="1080"/>
        <v>-6.0000000000002274</v>
      </c>
      <c r="BW47" s="43">
        <f t="shared" si="1081"/>
        <v>3.3999999999998476</v>
      </c>
      <c r="BX47" s="43">
        <f t="shared" si="1082"/>
        <v>-8.8999999999996859</v>
      </c>
      <c r="BY47" s="43">
        <f t="shared" si="1083"/>
        <v>-1.5999999999962711</v>
      </c>
      <c r="BZ47" s="43">
        <f t="shared" si="1084"/>
        <v>-1.0999999999996568</v>
      </c>
      <c r="CA47" s="43">
        <f t="shared" si="1085"/>
        <v>-1.3000000000000789</v>
      </c>
    </row>
    <row r="48" spans="1:79" ht="29.25" customHeight="1" x14ac:dyDescent="0.2">
      <c r="A48" s="37">
        <v>43790</v>
      </c>
      <c r="B48" s="30">
        <f t="shared" si="942"/>
        <v>135</v>
      </c>
      <c r="C48" s="38">
        <v>222.9</v>
      </c>
      <c r="D48" s="38">
        <f t="shared" si="944"/>
        <v>52.5</v>
      </c>
      <c r="E48" s="39">
        <v>823220.72649999999</v>
      </c>
      <c r="F48" s="39">
        <v>1091507.879</v>
      </c>
      <c r="G48" s="39">
        <v>-122.3532</v>
      </c>
      <c r="H48" s="39">
        <v>823221.64740000002</v>
      </c>
      <c r="I48" s="39">
        <v>1091506.6551000001</v>
      </c>
      <c r="J48" s="39">
        <v>-121.0896</v>
      </c>
      <c r="K48" s="39">
        <v>823222.30039999995</v>
      </c>
      <c r="L48" s="39">
        <v>1091505.2853000001</v>
      </c>
      <c r="M48" s="39">
        <v>-120.4179</v>
      </c>
      <c r="N48" s="39">
        <v>823222.80980000005</v>
      </c>
      <c r="O48" s="39">
        <v>1091504.7239999999</v>
      </c>
      <c r="P48" s="39">
        <v>-121.1079</v>
      </c>
      <c r="Q48" s="39">
        <v>823223.2145</v>
      </c>
      <c r="R48" s="39">
        <v>1091503.2291999999</v>
      </c>
      <c r="S48" s="39">
        <v>-122.2471</v>
      </c>
      <c r="T48" s="57">
        <f t="shared" si="1"/>
        <v>3.5985868044421254</v>
      </c>
      <c r="U48" s="47">
        <f t="shared" si="2"/>
        <v>1.659500506138412</v>
      </c>
      <c r="V48" s="47">
        <f t="shared" si="3"/>
        <v>1.0250102683858566</v>
      </c>
      <c r="W48" s="57">
        <f t="shared" si="4"/>
        <v>2.89984459251892</v>
      </c>
      <c r="X48" s="47">
        <f t="shared" si="5"/>
        <v>2.2540310247852804</v>
      </c>
      <c r="Y48" s="57">
        <f t="shared" si="6"/>
        <v>5.2746602971365304</v>
      </c>
      <c r="Z48" s="74">
        <f t="shared" ref="Z48" si="1095">IF(T48="","",(T48-T$10)*1000)</f>
        <v>-0.75095279550030369</v>
      </c>
      <c r="AA48" s="74">
        <f t="shared" ref="AA48" si="1096">IF(U48="","",(U48-U$10)*1000)</f>
        <v>-0.4255658719822808</v>
      </c>
      <c r="AB48" s="74">
        <f t="shared" ref="AB48" si="1097">IF(V48="","",(V48-V$10)*1000)</f>
        <v>-0.43351484175957467</v>
      </c>
      <c r="AC48" s="74">
        <f t="shared" ref="AC48" si="1098">IF(W48="","",(W48-W$10)*1000)</f>
        <v>-8.6521168171911356</v>
      </c>
      <c r="AD48" s="74">
        <f t="shared" ref="AD48" si="1099">IF(X48="","",(X48-X$10)*1000)</f>
        <v>1.1161568999469296</v>
      </c>
      <c r="AE48" s="74">
        <f t="shared" ref="AE48" si="1100">IF(Y48="","",(Y48-Y$10)*1000)</f>
        <v>-3.1717900909278285E-2</v>
      </c>
      <c r="AF48" s="40"/>
      <c r="AG48" s="73">
        <f t="shared" ref="AG48" si="1101">IF(E48="","",(E48-E$10)*1000)</f>
        <v>-5.90000010561198</v>
      </c>
      <c r="AH48" s="73">
        <f t="shared" ref="AH48" si="1102">IF(F48="","",(F48-F$10)*1000)</f>
        <v>-2.099999925121665</v>
      </c>
      <c r="AI48" s="73">
        <f t="shared" ref="AI48" si="1103">IF(G48="","",(G48-G$10)*1000)</f>
        <v>-5.7500000000061391</v>
      </c>
      <c r="AJ48" s="73">
        <f t="shared" ref="AJ48" si="1104">IF(H48="","",(H48-H$10)*1000)</f>
        <v>-6.5499999327585101</v>
      </c>
      <c r="AK48" s="73">
        <f t="shared" ref="AK48" si="1105">IF(I48="","",(I48-I$10)*1000)</f>
        <v>-6.0999998822808266</v>
      </c>
      <c r="AL48" s="73">
        <f t="shared" ref="AL48" si="1106">IF(J48="","",(J48-J$10)*1000)</f>
        <v>-11.949999999998795</v>
      </c>
      <c r="AM48" s="73">
        <f t="shared" ref="AM48" si="1107">IF(K48="","",(K48-K$10)*1000)</f>
        <v>-4.1999999666586518</v>
      </c>
      <c r="AN48" s="73">
        <f t="shared" ref="AN48" si="1108">IF(L48="","",(L48-L$10)*1000)</f>
        <v>-4.1000000201165676</v>
      </c>
      <c r="AO48" s="73">
        <f t="shared" ref="AO48" si="1109">IF(M48="","",(M48-M$10)*1000)</f>
        <v>-11.200000000002319</v>
      </c>
      <c r="AP48" s="73">
        <f t="shared" ref="AP48" si="1110">IF(N48="","",(N48-N$10)*1000)</f>
        <v>-3.9999999571591616</v>
      </c>
      <c r="AQ48" s="73">
        <f t="shared" ref="AQ48" si="1111">IF(O48="","",(O48-O$10)*1000)</f>
        <v>-5.9000002220273018</v>
      </c>
      <c r="AR48" s="73">
        <f t="shared" ref="AR48" si="1112">IF(P48="","",(P48-P$10)*1000)</f>
        <v>-8.9499999999986812</v>
      </c>
      <c r="AS48" s="73">
        <f t="shared" ref="AS48" si="1113">IF(Q48="","",(Q48-Q$10)*1000)</f>
        <v>-1.9499999471008778</v>
      </c>
      <c r="AT48" s="73">
        <f t="shared" ref="AT48" si="1114">IF(R48="","",(R48-R$10)*1000)</f>
        <v>0.14999997802078724</v>
      </c>
      <c r="AU48" s="73">
        <f t="shared" ref="AU48" si="1115">IF(S48="","",(S48-S$10)*1000)</f>
        <v>-1.1500000000097543</v>
      </c>
      <c r="AV48" s="40"/>
      <c r="AW48" s="39">
        <v>170.1035</v>
      </c>
      <c r="AX48" s="39">
        <v>-2.6299000000000001</v>
      </c>
      <c r="AY48" s="39">
        <v>1.4885999999999999</v>
      </c>
      <c r="AZ48" s="39">
        <v>170.42080000000001</v>
      </c>
      <c r="BA48" s="39">
        <v>-1.1314</v>
      </c>
      <c r="BB48" s="39">
        <v>2.7490999999999999</v>
      </c>
      <c r="BC48" s="39">
        <v>170.43369999999999</v>
      </c>
      <c r="BD48" s="39">
        <v>0.38600000000000001</v>
      </c>
      <c r="BE48" s="39">
        <v>3.4205999999999999</v>
      </c>
      <c r="BF48" s="39">
        <v>170.65809999999999</v>
      </c>
      <c r="BG48" s="39">
        <v>1.1100000000000001</v>
      </c>
      <c r="BH48" s="39">
        <v>2.7284000000000002</v>
      </c>
      <c r="BI48" s="39">
        <v>170.3931</v>
      </c>
      <c r="BJ48" s="39">
        <v>2.6358000000000001</v>
      </c>
      <c r="BK48" s="39">
        <v>1.5918000000000001</v>
      </c>
      <c r="BL48" s="40"/>
      <c r="BM48" s="43">
        <f t="shared" ref="BM48" si="1116">IF(AW48="","",(AW48-AW$10)*1000)</f>
        <v>-6.2000000000068667</v>
      </c>
      <c r="BN48" s="43">
        <f t="shared" ref="BN48" si="1117">IF(AX48="","",(AX48-AX$10)*1000)</f>
        <v>-0.59999999999993392</v>
      </c>
      <c r="BO48" s="43">
        <f t="shared" ref="BO48" si="1118">IF(AY48="","",(AY48-AY$10)*1000)</f>
        <v>-5.7000000000000384</v>
      </c>
      <c r="BP48" s="43">
        <f t="shared" ref="BP48" si="1119">IF(AZ48="","",(AZ48-AZ$10)*1000)</f>
        <v>-8.4999999999979536</v>
      </c>
      <c r="BQ48" s="43">
        <f t="shared" ref="BQ48" si="1120">IF(BA48="","",(BA48-BA$10)*1000)</f>
        <v>2.8000000000001357</v>
      </c>
      <c r="BR48" s="43">
        <f t="shared" ref="BR48" si="1121">IF(BB48="","",(BB48-BB$10)*1000)</f>
        <v>-11.800000000000033</v>
      </c>
      <c r="BS48" s="43">
        <f t="shared" ref="BS48" si="1122">IF(BC48="","",(BC48-BC$10)*1000)</f>
        <v>-5.5000000000120508</v>
      </c>
      <c r="BT48" s="43">
        <f t="shared" ref="BT48" si="1123">IF(BD48="","",(BD48-BD$10)*1000)</f>
        <v>1.9000000000000128</v>
      </c>
      <c r="BU48" s="43">
        <f t="shared" ref="BU48" si="1124">IF(BE48="","",(BE48-BE$10)*1000)</f>
        <v>-11.200000000000099</v>
      </c>
      <c r="BV48" s="43">
        <f t="shared" ref="BV48" si="1125">IF(BF48="","",(BF48-BF$10)*1000)</f>
        <v>-6.100000000003547</v>
      </c>
      <c r="BW48" s="43">
        <f t="shared" ref="BW48" si="1126">IF(BG48="","",(BG48-BG$10)*1000)</f>
        <v>3.7000000000000366</v>
      </c>
      <c r="BX48" s="43">
        <f t="shared" ref="BX48" si="1127">IF(BH48="","",(BH48-BH$10)*1000)</f>
        <v>-8.8999999999996859</v>
      </c>
      <c r="BY48" s="43">
        <f t="shared" ref="BY48" si="1128">IF(BI48="","",(BI48-BI$10)*1000)</f>
        <v>-1.6999999999995907</v>
      </c>
      <c r="BZ48" s="43">
        <f t="shared" ref="BZ48" si="1129">IF(BJ48="","",(BJ48-BJ$10)*1000)</f>
        <v>-0.89999999999967883</v>
      </c>
      <c r="CA48" s="43">
        <f t="shared" ref="CA48" si="1130">IF(BK48="","",(BK48-BK$10)*1000)</f>
        <v>-1.1999999999998678</v>
      </c>
    </row>
    <row r="49" spans="1:79" ht="29.25" customHeight="1" x14ac:dyDescent="0.2">
      <c r="A49" s="37">
        <v>43795</v>
      </c>
      <c r="B49" s="30">
        <f t="shared" si="942"/>
        <v>140</v>
      </c>
      <c r="C49" s="38">
        <v>222.9</v>
      </c>
      <c r="D49" s="38">
        <f t="shared" si="944"/>
        <v>52.5</v>
      </c>
      <c r="E49" s="39">
        <v>823220.72629999998</v>
      </c>
      <c r="F49" s="39">
        <v>1091507.8794</v>
      </c>
      <c r="G49" s="39">
        <v>-122.3537</v>
      </c>
      <c r="H49" s="39">
        <v>823221.64740000002</v>
      </c>
      <c r="I49" s="39">
        <v>1091506.6557</v>
      </c>
      <c r="J49" s="39">
        <v>-121.09</v>
      </c>
      <c r="K49" s="39">
        <v>823222.30059999996</v>
      </c>
      <c r="L49" s="39">
        <v>1091505.2856999999</v>
      </c>
      <c r="M49" s="39">
        <v>-120.4183</v>
      </c>
      <c r="N49" s="39">
        <v>823222.8101</v>
      </c>
      <c r="O49" s="39">
        <v>1091504.7243999999</v>
      </c>
      <c r="P49" s="39">
        <v>-121.1083</v>
      </c>
      <c r="Q49" s="39">
        <v>823223.21470000001</v>
      </c>
      <c r="R49" s="39">
        <v>1091503.2296</v>
      </c>
      <c r="S49" s="39">
        <v>-122.2473</v>
      </c>
      <c r="T49" s="57">
        <f t="shared" si="1"/>
        <v>3.5988155468671317</v>
      </c>
      <c r="U49" s="47">
        <f t="shared" si="2"/>
        <v>1.6597442966406089</v>
      </c>
      <c r="V49" s="47">
        <f t="shared" si="3"/>
        <v>1.02505996896797</v>
      </c>
      <c r="W49" s="57">
        <f t="shared" si="4"/>
        <v>2.8997184380218282</v>
      </c>
      <c r="X49" s="47">
        <f t="shared" si="5"/>
        <v>2.2543570857740063</v>
      </c>
      <c r="Y49" s="57">
        <f t="shared" si="6"/>
        <v>5.2748550274185728</v>
      </c>
      <c r="Z49" s="74">
        <f t="shared" ref="Z49" si="1131">IF(T49="","",(T49-T$10)*1000)</f>
        <v>-0.52221037049404728</v>
      </c>
      <c r="AA49" s="74">
        <f t="shared" ref="AA49" si="1132">IF(U49="","",(U49-U$10)*1000)</f>
        <v>-0.18177536978547515</v>
      </c>
      <c r="AB49" s="74">
        <f t="shared" ref="AB49" si="1133">IF(V49="","",(V49-V$10)*1000)</f>
        <v>-0.38381425964617577</v>
      </c>
      <c r="AC49" s="74">
        <f t="shared" ref="AC49" si="1134">IF(W49="","",(W49-W$10)*1000)</f>
        <v>-8.7782713142829927</v>
      </c>
      <c r="AD49" s="74">
        <f t="shared" ref="AD49" si="1135">IF(X49="","",(X49-X$10)*1000)</f>
        <v>1.4422178886728254</v>
      </c>
      <c r="AE49" s="74">
        <f t="shared" ref="AE49" si="1136">IF(Y49="","",(Y49-Y$10)*1000)</f>
        <v>0.16301238113314298</v>
      </c>
      <c r="AF49" s="40"/>
      <c r="AG49" s="73">
        <f t="shared" ref="AG49" si="1137">IF(E49="","",(E49-E$10)*1000)</f>
        <v>-6.1000001151114702</v>
      </c>
      <c r="AH49" s="73">
        <f t="shared" ref="AH49" si="1138">IF(F49="","",(F49-F$10)*1000)</f>
        <v>-1.6999999061226845</v>
      </c>
      <c r="AI49" s="73">
        <f t="shared" ref="AI49" si="1139">IF(G49="","",(G49-G$10)*1000)</f>
        <v>-6.2500000000085265</v>
      </c>
      <c r="AJ49" s="73">
        <f t="shared" ref="AJ49" si="1140">IF(H49="","",(H49-H$10)*1000)</f>
        <v>-6.5499999327585101</v>
      </c>
      <c r="AK49" s="73">
        <f t="shared" ref="AK49" si="1141">IF(I49="","",(I49-I$10)*1000)</f>
        <v>-5.4999999701976776</v>
      </c>
      <c r="AL49" s="73">
        <f t="shared" ref="AL49" si="1142">IF(J49="","",(J49-J$10)*1000)</f>
        <v>-12.349999999997863</v>
      </c>
      <c r="AM49" s="73">
        <f t="shared" ref="AM49" si="1143">IF(K49="","",(K49-K$10)*1000)</f>
        <v>-3.9999999571591616</v>
      </c>
      <c r="AN49" s="73">
        <f t="shared" ref="AN49" si="1144">IF(L49="","",(L49-L$10)*1000)</f>
        <v>-3.7000002339482307</v>
      </c>
      <c r="AO49" s="73">
        <f t="shared" ref="AO49" si="1145">IF(M49="","",(M49-M$10)*1000)</f>
        <v>-11.600000000001387</v>
      </c>
      <c r="AP49" s="73">
        <f t="shared" ref="AP49" si="1146">IF(N49="","",(N49-N$10)*1000)</f>
        <v>-3.7000000011175871</v>
      </c>
      <c r="AQ49" s="73">
        <f t="shared" ref="AQ49" si="1147">IF(O49="","",(O49-O$10)*1000)</f>
        <v>-5.5000002030283213</v>
      </c>
      <c r="AR49" s="73">
        <f t="shared" ref="AR49" si="1148">IF(P49="","",(P49-P$10)*1000)</f>
        <v>-9.349999999997749</v>
      </c>
      <c r="AS49" s="73">
        <f t="shared" ref="AS49" si="1149">IF(Q49="","",(Q49-Q$10)*1000)</f>
        <v>-1.7499999376013875</v>
      </c>
      <c r="AT49" s="73">
        <f t="shared" ref="AT49" si="1150">IF(R49="","",(R49-R$10)*1000)</f>
        <v>0.54999999701976776</v>
      </c>
      <c r="AU49" s="73">
        <f t="shared" ref="AU49" si="1151">IF(S49="","",(S49-S$10)*1000)</f>
        <v>-1.3500000000021828</v>
      </c>
      <c r="AV49" s="40"/>
      <c r="AW49" s="39">
        <v>170.1035</v>
      </c>
      <c r="AX49" s="39">
        <v>-2.6303000000000001</v>
      </c>
      <c r="AY49" s="39">
        <v>1.4881</v>
      </c>
      <c r="AZ49" s="39">
        <v>170.4211</v>
      </c>
      <c r="BA49" s="39">
        <v>-1.1319999999999999</v>
      </c>
      <c r="BB49" s="39">
        <v>2.7486999999999999</v>
      </c>
      <c r="BC49" s="39">
        <v>170.434</v>
      </c>
      <c r="BD49" s="39">
        <v>0.38569999999999999</v>
      </c>
      <c r="BE49" s="39">
        <v>3.4201999999999999</v>
      </c>
      <c r="BF49" s="39">
        <v>170.65860000000001</v>
      </c>
      <c r="BG49" s="39">
        <v>1.1097999999999999</v>
      </c>
      <c r="BH49" s="39">
        <v>2.7280000000000002</v>
      </c>
      <c r="BI49" s="39">
        <v>170.39349999999999</v>
      </c>
      <c r="BJ49" s="39">
        <v>2.6355</v>
      </c>
      <c r="BK49" s="39">
        <v>1.5915999999999999</v>
      </c>
      <c r="BL49" s="40"/>
      <c r="BM49" s="43">
        <f t="shared" ref="BM49" si="1152">IF(AW49="","",(AW49-AW$10)*1000)</f>
        <v>-6.2000000000068667</v>
      </c>
      <c r="BN49" s="43">
        <f t="shared" ref="BN49" si="1153">IF(AX49="","",(AX49-AX$10)*1000)</f>
        <v>-0.99999999999988987</v>
      </c>
      <c r="BO49" s="43">
        <f t="shared" ref="BO49" si="1154">IF(AY49="","",(AY49-AY$10)*1000)</f>
        <v>-6.1999999999999833</v>
      </c>
      <c r="BP49" s="43">
        <f t="shared" ref="BP49" si="1155">IF(AZ49="","",(AZ49-AZ$10)*1000)</f>
        <v>-8.2000000000164164</v>
      </c>
      <c r="BQ49" s="43">
        <f t="shared" ref="BQ49" si="1156">IF(BA49="","",(BA49-BA$10)*1000)</f>
        <v>2.2000000000002018</v>
      </c>
      <c r="BR49" s="43">
        <f t="shared" ref="BR49" si="1157">IF(BB49="","",(BB49-BB$10)*1000)</f>
        <v>-12.199999999999989</v>
      </c>
      <c r="BS49" s="43">
        <f t="shared" ref="BS49" si="1158">IF(BC49="","",(BC49-BC$10)*1000)</f>
        <v>-5.2000000000020918</v>
      </c>
      <c r="BT49" s="43">
        <f t="shared" ref="BT49" si="1159">IF(BD49="","",(BD49-BD$10)*1000)</f>
        <v>1.5999999999999903</v>
      </c>
      <c r="BU49" s="43">
        <f t="shared" ref="BU49" si="1160">IF(BE49="","",(BE49-BE$10)*1000)</f>
        <v>-11.600000000000055</v>
      </c>
      <c r="BV49" s="43">
        <f t="shared" ref="BV49" si="1161">IF(BF49="","",(BF49-BF$10)*1000)</f>
        <v>-5.5999999999869488</v>
      </c>
      <c r="BW49" s="43">
        <f t="shared" ref="BW49" si="1162">IF(BG49="","",(BG49-BG$10)*1000)</f>
        <v>3.4999999999998366</v>
      </c>
      <c r="BX49" s="43">
        <f t="shared" ref="BX49" si="1163">IF(BH49="","",(BH49-BH$10)*1000)</f>
        <v>-9.2999999999996419</v>
      </c>
      <c r="BY49" s="43">
        <f t="shared" ref="BY49" si="1164">IF(BI49="","",(BI49-BI$10)*1000)</f>
        <v>-1.3000000000147338</v>
      </c>
      <c r="BZ49" s="43">
        <f t="shared" ref="BZ49" si="1165">IF(BJ49="","",(BJ49-BJ$10)*1000)</f>
        <v>-1.1999999999998678</v>
      </c>
      <c r="CA49" s="43">
        <f t="shared" ref="CA49" si="1166">IF(BK49="","",(BK49-BK$10)*1000)</f>
        <v>-1.4000000000000679</v>
      </c>
    </row>
    <row r="50" spans="1:79" ht="29.25" customHeight="1" x14ac:dyDescent="0.2">
      <c r="A50" s="37">
        <v>43797</v>
      </c>
      <c r="B50" s="30">
        <f t="shared" si="942"/>
        <v>142</v>
      </c>
      <c r="C50" s="38">
        <v>222.9</v>
      </c>
      <c r="D50" s="38">
        <f t="shared" ref="D50" si="1167">C50-PM</f>
        <v>52.5</v>
      </c>
      <c r="E50" s="39">
        <v>823220.72600000002</v>
      </c>
      <c r="F50" s="39">
        <v>1091507.8783</v>
      </c>
      <c r="G50" s="39">
        <v>-122.3536</v>
      </c>
      <c r="H50" s="39">
        <v>823221.64709999994</v>
      </c>
      <c r="I50" s="39">
        <v>1091506.6544000001</v>
      </c>
      <c r="J50" s="39">
        <v>-121.09</v>
      </c>
      <c r="K50" s="39">
        <v>823222.3003</v>
      </c>
      <c r="L50" s="39">
        <v>1091505.2845999999</v>
      </c>
      <c r="M50" s="39">
        <v>-120.4181</v>
      </c>
      <c r="N50" s="39">
        <v>823222.80949999997</v>
      </c>
      <c r="O50" s="39">
        <v>1091504.7231000001</v>
      </c>
      <c r="P50" s="39">
        <v>-121.1084</v>
      </c>
      <c r="Q50" s="39">
        <v>823223.21420000005</v>
      </c>
      <c r="R50" s="39">
        <v>1091503.2283000001</v>
      </c>
      <c r="S50" s="39">
        <v>-122.24720000000001</v>
      </c>
      <c r="T50" s="57">
        <f t="shared" si="1"/>
        <v>3.5988693266597758</v>
      </c>
      <c r="U50" s="47">
        <f t="shared" si="2"/>
        <v>1.6596601732511345</v>
      </c>
      <c r="V50" s="47">
        <f t="shared" si="3"/>
        <v>1.0252224050354752</v>
      </c>
      <c r="W50" s="57">
        <f t="shared" si="4"/>
        <v>2.8998602913496883</v>
      </c>
      <c r="X50" s="47">
        <f t="shared" si="5"/>
        <v>2.2542031874437747</v>
      </c>
      <c r="Y50" s="57">
        <f t="shared" si="6"/>
        <v>5.2749369853337011</v>
      </c>
      <c r="Z50" s="74">
        <f t="shared" ref="Z50" si="1168">IF(T50="","",(T50-T$10)*1000)</f>
        <v>-0.46843057784995423</v>
      </c>
      <c r="AA50" s="74">
        <f t="shared" ref="AA50" si="1169">IF(U50="","",(U50-U$10)*1000)</f>
        <v>-0.26589875925986384</v>
      </c>
      <c r="AB50" s="74">
        <f t="shared" ref="AB50" si="1170">IF(V50="","",(V50-V$10)*1000)</f>
        <v>-0.2213781921409641</v>
      </c>
      <c r="AC50" s="74">
        <f t="shared" ref="AC50" si="1171">IF(W50="","",(W50-W$10)*1000)</f>
        <v>-8.6364179864228952</v>
      </c>
      <c r="AD50" s="74">
        <f t="shared" ref="AD50" si="1172">IF(X50="","",(X50-X$10)*1000)</f>
        <v>1.2883195584412199</v>
      </c>
      <c r="AE50" s="74">
        <f t="shared" ref="AE50" si="1173">IF(Y50="","",(Y50-Y$10)*1000)</f>
        <v>0.24497029626147082</v>
      </c>
      <c r="AF50" s="40"/>
      <c r="AG50" s="73">
        <f t="shared" ref="AG50" si="1174">IF(E50="","",(E50-E$10)*1000)</f>
        <v>-6.4000000711530447</v>
      </c>
      <c r="AH50" s="73">
        <f t="shared" ref="AH50" si="1175">IF(F50="","",(F50-F$10)*1000)</f>
        <v>-2.79999990016222</v>
      </c>
      <c r="AI50" s="73">
        <f t="shared" ref="AI50" si="1176">IF(G50="","",(G50-G$10)*1000)</f>
        <v>-6.1500000000052069</v>
      </c>
      <c r="AJ50" s="73">
        <f t="shared" ref="AJ50" si="1177">IF(H50="","",(H50-H$10)*1000)</f>
        <v>-6.8500000052154064</v>
      </c>
      <c r="AK50" s="73">
        <f t="shared" ref="AK50" si="1178">IF(I50="","",(I50-I$10)*1000)</f>
        <v>-6.7999998573213816</v>
      </c>
      <c r="AL50" s="73">
        <f t="shared" ref="AL50" si="1179">IF(J50="","",(J50-J$10)*1000)</f>
        <v>-12.349999999997863</v>
      </c>
      <c r="AM50" s="73">
        <f t="shared" ref="AM50" si="1180">IF(K50="","",(K50-K$10)*1000)</f>
        <v>-4.299999913200736</v>
      </c>
      <c r="AN50" s="73">
        <f t="shared" ref="AN50" si="1181">IF(L50="","",(L50-L$10)*1000)</f>
        <v>-4.8000002279877663</v>
      </c>
      <c r="AO50" s="73">
        <f t="shared" ref="AO50" si="1182">IF(M50="","",(M50-M$10)*1000)</f>
        <v>-11.399999999994748</v>
      </c>
      <c r="AP50" s="73">
        <f t="shared" ref="AP50" si="1183">IF(N50="","",(N50-N$10)*1000)</f>
        <v>-4.3000000296160579</v>
      </c>
      <c r="AQ50" s="73">
        <f t="shared" ref="AQ50" si="1184">IF(O50="","",(O50-O$10)*1000)</f>
        <v>-6.8000000901520252</v>
      </c>
      <c r="AR50" s="73">
        <f t="shared" ref="AR50" si="1185">IF(P50="","",(P50-P$10)*1000)</f>
        <v>-9.4500000000010687</v>
      </c>
      <c r="AS50" s="73">
        <f t="shared" ref="AS50" si="1186">IF(Q50="","",(Q50-Q$10)*1000)</f>
        <v>-2.2499999031424522</v>
      </c>
      <c r="AT50" s="73">
        <f t="shared" ref="AT50" si="1187">IF(R50="","",(R50-R$10)*1000)</f>
        <v>-0.7499998901039362</v>
      </c>
      <c r="AU50" s="73">
        <f t="shared" ref="AU50" si="1188">IF(S50="","",(S50-S$10)*1000)</f>
        <v>-1.250000000013074</v>
      </c>
      <c r="AV50" s="40"/>
      <c r="AW50" s="39">
        <v>170.1028</v>
      </c>
      <c r="AX50" s="39">
        <v>-2.6294</v>
      </c>
      <c r="AY50" s="39">
        <v>1.4883</v>
      </c>
      <c r="AZ50" s="39">
        <v>170.4203</v>
      </c>
      <c r="BA50" s="39">
        <v>-1.1309</v>
      </c>
      <c r="BB50" s="39">
        <v>2.7486999999999999</v>
      </c>
      <c r="BC50" s="39">
        <v>170.4333</v>
      </c>
      <c r="BD50" s="39">
        <v>0.3866</v>
      </c>
      <c r="BE50" s="39">
        <v>3.4203999999999999</v>
      </c>
      <c r="BF50" s="39">
        <v>170.6575</v>
      </c>
      <c r="BG50" s="39">
        <v>1.1107</v>
      </c>
      <c r="BH50" s="39">
        <v>2.7279</v>
      </c>
      <c r="BI50" s="39">
        <v>170.39250000000001</v>
      </c>
      <c r="BJ50" s="39">
        <v>2.6364999999999998</v>
      </c>
      <c r="BK50" s="39">
        <v>1.5918000000000001</v>
      </c>
      <c r="BL50" s="40"/>
      <c r="BM50" s="43">
        <f t="shared" ref="BM50" si="1189">IF(AW50="","",(AW50-AW$10)*1000)</f>
        <v>-6.9000000000016826</v>
      </c>
      <c r="BN50" s="43">
        <f t="shared" ref="BN50" si="1190">IF(AX50="","",(AX50-AX$10)*1000)</f>
        <v>-9.9999999999766942E-2</v>
      </c>
      <c r="BO50" s="43">
        <f t="shared" ref="BO50" si="1191">IF(AY50="","",(AY50-AY$10)*1000)</f>
        <v>-6.0000000000000053</v>
      </c>
      <c r="BP50" s="43">
        <f t="shared" ref="BP50" si="1192">IF(AZ50="","",(AZ50-AZ$10)*1000)</f>
        <v>-9.0000000000145519</v>
      </c>
      <c r="BQ50" s="43">
        <f t="shared" ref="BQ50" si="1193">IF(BA50="","",(BA50-BA$10)*1000)</f>
        <v>3.3000000000000806</v>
      </c>
      <c r="BR50" s="43">
        <f t="shared" ref="BR50" si="1194">IF(BB50="","",(BB50-BB$10)*1000)</f>
        <v>-12.199999999999989</v>
      </c>
      <c r="BS50" s="43">
        <f t="shared" ref="BS50" si="1195">IF(BC50="","",(BC50-BC$10)*1000)</f>
        <v>-5.8999999999969077</v>
      </c>
      <c r="BT50" s="43">
        <f t="shared" ref="BT50" si="1196">IF(BD50="","",(BD50-BD$10)*1000)</f>
        <v>2.5000000000000022</v>
      </c>
      <c r="BU50" s="43">
        <f t="shared" ref="BU50" si="1197">IF(BE50="","",(BE50-BE$10)*1000)</f>
        <v>-11.400000000000077</v>
      </c>
      <c r="BV50" s="43">
        <f t="shared" ref="BV50" si="1198">IF(BF50="","",(BF50-BF$10)*1000)</f>
        <v>-6.6999999999950433</v>
      </c>
      <c r="BW50" s="43">
        <f t="shared" ref="BW50" si="1199">IF(BG50="","",(BG50-BG$10)*1000)</f>
        <v>4.3999999999999595</v>
      </c>
      <c r="BX50" s="43">
        <f t="shared" ref="BX50" si="1200">IF(BH50="","",(BH50-BH$10)*1000)</f>
        <v>-9.3999999999998529</v>
      </c>
      <c r="BY50" s="43">
        <f t="shared" ref="BY50" si="1201">IF(BI50="","",(BI50-BI$10)*1000)</f>
        <v>-2.299999999991087</v>
      </c>
      <c r="BZ50" s="43">
        <f t="shared" ref="BZ50" si="1202">IF(BJ50="","",(BJ50-BJ$10)*1000)</f>
        <v>-0.19999999999997797</v>
      </c>
      <c r="CA50" s="43">
        <f t="shared" ref="CA50" si="1203">IF(BK50="","",(BK50-BK$10)*1000)</f>
        <v>-1.1999999999998678</v>
      </c>
    </row>
    <row r="51" spans="1:79" ht="29.25" customHeight="1" x14ac:dyDescent="0.2">
      <c r="A51" s="37">
        <v>43801</v>
      </c>
      <c r="B51" s="30">
        <f t="shared" si="942"/>
        <v>146</v>
      </c>
      <c r="C51" s="38">
        <v>222.9</v>
      </c>
      <c r="D51" s="38">
        <f t="shared" ref="D51" si="1204">C51-PM</f>
        <v>52.5</v>
      </c>
      <c r="E51" s="39">
        <v>823220.72620000003</v>
      </c>
      <c r="F51" s="39">
        <v>1091507.8792000001</v>
      </c>
      <c r="G51" s="39">
        <v>-122.3535</v>
      </c>
      <c r="H51" s="39">
        <v>823221.64709999994</v>
      </c>
      <c r="I51" s="39">
        <v>1091506.655</v>
      </c>
      <c r="J51" s="39">
        <v>-121.0903</v>
      </c>
      <c r="K51" s="39">
        <v>823222.30059999996</v>
      </c>
      <c r="L51" s="39">
        <v>1091505.2853999999</v>
      </c>
      <c r="M51" s="39">
        <v>-120.41800000000001</v>
      </c>
      <c r="N51" s="39">
        <v>823222.80960000004</v>
      </c>
      <c r="O51" s="39">
        <v>1091504.7237</v>
      </c>
      <c r="P51" s="39">
        <v>-121.1084</v>
      </c>
      <c r="Q51" s="39">
        <v>823223.21440000006</v>
      </c>
      <c r="R51" s="39">
        <v>1091503.2294000001</v>
      </c>
      <c r="S51" s="39">
        <v>-122.2473</v>
      </c>
      <c r="T51" s="57">
        <f t="shared" si="1"/>
        <v>3.5989851417491034</v>
      </c>
      <c r="U51" s="47">
        <f t="shared" si="2"/>
        <v>1.6597751957037898</v>
      </c>
      <c r="V51" s="47">
        <f t="shared" si="3"/>
        <v>1.0252999805115319</v>
      </c>
      <c r="W51" s="57">
        <f t="shared" si="4"/>
        <v>2.8997422177885355</v>
      </c>
      <c r="X51" s="47">
        <f t="shared" si="5"/>
        <v>2.2542523262554384</v>
      </c>
      <c r="Y51" s="57">
        <f t="shared" si="6"/>
        <v>5.2747566503333321</v>
      </c>
      <c r="Z51" s="74">
        <f t="shared" ref="Z51" si="1205">IF(T51="","",(T51-T$10)*1000)</f>
        <v>-0.35261548852227875</v>
      </c>
      <c r="AA51" s="74">
        <f t="shared" ref="AA51" si="1206">IF(U51="","",(U51-U$10)*1000)</f>
        <v>-0.15087630660448603</v>
      </c>
      <c r="AB51" s="74">
        <f t="shared" ref="AB51" si="1207">IF(V51="","",(V51-V$10)*1000)</f>
        <v>-0.14380271608427364</v>
      </c>
      <c r="AC51" s="74">
        <f t="shared" ref="AC51" si="1208">IF(W51="","",(W51-W$10)*1000)</f>
        <v>-8.7544915475756824</v>
      </c>
      <c r="AD51" s="74">
        <f t="shared" ref="AD51" si="1209">IF(X51="","",(X51-X$10)*1000)</f>
        <v>1.3374583701049048</v>
      </c>
      <c r="AE51" s="74">
        <f t="shared" ref="AE51" si="1210">IF(Y51="","",(Y51-Y$10)*1000)</f>
        <v>6.4635295892401246E-2</v>
      </c>
      <c r="AF51" s="40"/>
      <c r="AG51" s="73">
        <f t="shared" ref="AG51" si="1211">IF(E51="","",(E51-E$10)*1000)</f>
        <v>-6.2000000616535544</v>
      </c>
      <c r="AH51" s="73">
        <f t="shared" ref="AH51" si="1212">IF(F51="","",(F51-F$10)*1000)</f>
        <v>-1.8999997992068529</v>
      </c>
      <c r="AI51" s="73">
        <f t="shared" ref="AI51" si="1213">IF(G51="","",(G51-G$10)*1000)</f>
        <v>-6.0500000000018872</v>
      </c>
      <c r="AJ51" s="73">
        <f t="shared" ref="AJ51" si="1214">IF(H51="","",(H51-H$10)*1000)</f>
        <v>-6.8500000052154064</v>
      </c>
      <c r="AK51" s="73">
        <f t="shared" ref="AK51" si="1215">IF(I51="","",(I51-I$10)*1000)</f>
        <v>-6.1999999452382326</v>
      </c>
      <c r="AL51" s="73">
        <f t="shared" ref="AL51" si="1216">IF(J51="","",(J51-J$10)*1000)</f>
        <v>-12.649999999993611</v>
      </c>
      <c r="AM51" s="73">
        <f t="shared" ref="AM51" si="1217">IF(K51="","",(K51-K$10)*1000)</f>
        <v>-3.9999999571591616</v>
      </c>
      <c r="AN51" s="73">
        <f t="shared" ref="AN51" si="1218">IF(L51="","",(L51-L$10)*1000)</f>
        <v>-4.0000001899898052</v>
      </c>
      <c r="AO51" s="73">
        <f t="shared" ref="AO51" si="1219">IF(M51="","",(M51-M$10)*1000)</f>
        <v>-11.300000000005639</v>
      </c>
      <c r="AP51" s="73">
        <f t="shared" ref="AP51" si="1220">IF(N51="","",(N51-N$10)*1000)</f>
        <v>-4.1999999666586518</v>
      </c>
      <c r="AQ51" s="73">
        <f t="shared" ref="AQ51" si="1221">IF(O51="","",(O51-O$10)*1000)</f>
        <v>-6.2000001780688763</v>
      </c>
      <c r="AR51" s="73">
        <f t="shared" ref="AR51" si="1222">IF(P51="","",(P51-P$10)*1000)</f>
        <v>-9.4500000000010687</v>
      </c>
      <c r="AS51" s="73">
        <f t="shared" ref="AS51" si="1223">IF(Q51="","",(Q51-Q$10)*1000)</f>
        <v>-2.049999893642962</v>
      </c>
      <c r="AT51" s="73">
        <f t="shared" ref="AT51" si="1224">IF(R51="","",(R51-R$10)*1000)</f>
        <v>0.35000010393559933</v>
      </c>
      <c r="AU51" s="73">
        <f t="shared" ref="AU51" si="1225">IF(S51="","",(S51-S$10)*1000)</f>
        <v>-1.3500000000021828</v>
      </c>
      <c r="AV51" s="40"/>
      <c r="AW51" s="39">
        <v>170.10329999999999</v>
      </c>
      <c r="AX51" s="39">
        <v>-2.6301999999999999</v>
      </c>
      <c r="AY51" s="39">
        <v>1.4883</v>
      </c>
      <c r="AZ51" s="39">
        <v>170.4205</v>
      </c>
      <c r="BA51" s="39">
        <v>-1.1315</v>
      </c>
      <c r="BB51" s="39">
        <v>2.7484000000000002</v>
      </c>
      <c r="BC51" s="39">
        <v>170.43389999999999</v>
      </c>
      <c r="BD51" s="39">
        <v>0.38600000000000001</v>
      </c>
      <c r="BE51" s="39">
        <v>3.4205000000000001</v>
      </c>
      <c r="BF51" s="39">
        <v>170.65780000000001</v>
      </c>
      <c r="BG51" s="39">
        <v>1.1102000000000001</v>
      </c>
      <c r="BH51" s="39">
        <v>2.7279</v>
      </c>
      <c r="BI51" s="39">
        <v>170.3931</v>
      </c>
      <c r="BJ51" s="39">
        <v>2.6355</v>
      </c>
      <c r="BK51" s="39">
        <v>1.5915999999999999</v>
      </c>
      <c r="BL51" s="40"/>
      <c r="BM51" s="43">
        <f t="shared" ref="BM51" si="1226">IF(AW51="","",(AW51-AW$10)*1000)</f>
        <v>-6.400000000013506</v>
      </c>
      <c r="BN51" s="43">
        <f t="shared" ref="BN51" si="1227">IF(AX51="","",(AX51-AX$10)*1000)</f>
        <v>-0.89999999999967883</v>
      </c>
      <c r="BO51" s="43">
        <f t="shared" ref="BO51" si="1228">IF(AY51="","",(AY51-AY$10)*1000)</f>
        <v>-6.0000000000000053</v>
      </c>
      <c r="BP51" s="43">
        <f t="shared" ref="BP51" si="1229">IF(AZ51="","",(AZ51-AZ$10)*1000)</f>
        <v>-8.8000000000079126</v>
      </c>
      <c r="BQ51" s="43">
        <f t="shared" ref="BQ51" si="1230">IF(BA51="","",(BA51-BA$10)*1000)</f>
        <v>2.7000000000001467</v>
      </c>
      <c r="BR51" s="43">
        <f t="shared" ref="BR51" si="1231">IF(BB51="","",(BB51-BB$10)*1000)</f>
        <v>-12.499999999999734</v>
      </c>
      <c r="BS51" s="43">
        <f t="shared" ref="BS51" si="1232">IF(BC51="","",(BC51-BC$10)*1000)</f>
        <v>-5.3000000000054115</v>
      </c>
      <c r="BT51" s="43">
        <f t="shared" ref="BT51" si="1233">IF(BD51="","",(BD51-BD$10)*1000)</f>
        <v>1.9000000000000128</v>
      </c>
      <c r="BU51" s="43">
        <f t="shared" ref="BU51" si="1234">IF(BE51="","",(BE51-BE$10)*1000)</f>
        <v>-11.299999999999866</v>
      </c>
      <c r="BV51" s="43">
        <f t="shared" ref="BV51" si="1235">IF(BF51="","",(BF51-BF$10)*1000)</f>
        <v>-6.3999999999850843</v>
      </c>
      <c r="BW51" s="43">
        <f t="shared" ref="BW51" si="1236">IF(BG51="","",(BG51-BG$10)*1000)</f>
        <v>3.9000000000000146</v>
      </c>
      <c r="BX51" s="43">
        <f t="shared" ref="BX51" si="1237">IF(BH51="","",(BH51-BH$10)*1000)</f>
        <v>-9.3999999999998529</v>
      </c>
      <c r="BY51" s="43">
        <f t="shared" ref="BY51" si="1238">IF(BI51="","",(BI51-BI$10)*1000)</f>
        <v>-1.6999999999995907</v>
      </c>
      <c r="BZ51" s="43">
        <f t="shared" ref="BZ51" si="1239">IF(BJ51="","",(BJ51-BJ$10)*1000)</f>
        <v>-1.1999999999998678</v>
      </c>
      <c r="CA51" s="43">
        <f t="shared" ref="CA51" si="1240">IF(BK51="","",(BK51-BK$10)*1000)</f>
        <v>-1.4000000000000679</v>
      </c>
    </row>
    <row r="52" spans="1:79" ht="29.25" customHeight="1" x14ac:dyDescent="0.2">
      <c r="A52" s="37">
        <v>43803</v>
      </c>
      <c r="B52" s="30">
        <f t="shared" si="942"/>
        <v>148</v>
      </c>
      <c r="C52" s="38">
        <v>222.9</v>
      </c>
      <c r="D52" s="38">
        <f t="shared" ref="D52" si="1241">C52-PM</f>
        <v>52.5</v>
      </c>
      <c r="E52" s="39">
        <v>823220.72629999998</v>
      </c>
      <c r="F52" s="39">
        <v>1091507.8792000001</v>
      </c>
      <c r="G52" s="39">
        <v>-122.3535</v>
      </c>
      <c r="H52" s="39">
        <v>823221.64760000003</v>
      </c>
      <c r="I52" s="39">
        <v>1091506.6554</v>
      </c>
      <c r="J52" s="39">
        <v>-121.0899</v>
      </c>
      <c r="K52" s="39">
        <v>823222.30059999996</v>
      </c>
      <c r="L52" s="39">
        <v>1091505.2853999999</v>
      </c>
      <c r="M52" s="39">
        <v>-120.4183</v>
      </c>
      <c r="N52" s="39">
        <v>823222.80949999997</v>
      </c>
      <c r="O52" s="39">
        <v>1091504.7239000001</v>
      </c>
      <c r="P52" s="39">
        <v>-121.10850000000001</v>
      </c>
      <c r="Q52" s="39">
        <v>823223.21459999995</v>
      </c>
      <c r="R52" s="39">
        <v>1091503.2296</v>
      </c>
      <c r="S52" s="39">
        <v>-122.2471</v>
      </c>
      <c r="T52" s="57">
        <f t="shared" si="1"/>
        <v>3.5987800670087027</v>
      </c>
      <c r="U52" s="47">
        <f t="shared" si="2"/>
        <v>1.6596251264121793</v>
      </c>
      <c r="V52" s="47">
        <f t="shared" si="3"/>
        <v>1.0250060974606334</v>
      </c>
      <c r="W52" s="57">
        <f t="shared" si="4"/>
        <v>2.8993480439349573</v>
      </c>
      <c r="X52" s="47">
        <f t="shared" si="5"/>
        <v>2.2541184129672955</v>
      </c>
      <c r="Y52" s="57">
        <f t="shared" si="6"/>
        <v>5.2746315521526146</v>
      </c>
      <c r="Z52" s="74">
        <f t="shared" ref="Z52:Z53" si="1242">IF(T52="","",(T52-T$10)*1000)</f>
        <v>-0.55769022892304676</v>
      </c>
      <c r="AA52" s="74">
        <f t="shared" ref="AA52:AA53" si="1243">IF(U52="","",(U52-U$10)*1000)</f>
        <v>-0.30094559821502997</v>
      </c>
      <c r="AB52" s="74">
        <f t="shared" ref="AB52:AB53" si="1244">IF(V52="","",(V52-V$10)*1000)</f>
        <v>-0.43768576698277606</v>
      </c>
      <c r="AC52" s="74">
        <f t="shared" ref="AC52:AC53" si="1245">IF(W52="","",(W52-W$10)*1000)</f>
        <v>-9.1486654011538882</v>
      </c>
      <c r="AD52" s="74">
        <f t="shared" ref="AD52:AD53" si="1246">IF(X52="","",(X52-X$10)*1000)</f>
        <v>1.2035450819620763</v>
      </c>
      <c r="AE52" s="74">
        <f t="shared" ref="AE52:AE53" si="1247">IF(Y52="","",(Y52-Y$10)*1000)</f>
        <v>-6.0462884825085439E-2</v>
      </c>
      <c r="AF52" s="40"/>
      <c r="AG52" s="73">
        <f t="shared" ref="AG52" si="1248">IF(E52="","",(E52-E$10)*1000)</f>
        <v>-6.1000001151114702</v>
      </c>
      <c r="AH52" s="73">
        <f t="shared" ref="AH52" si="1249">IF(F52="","",(F52-F$10)*1000)</f>
        <v>-1.8999997992068529</v>
      </c>
      <c r="AI52" s="73">
        <f t="shared" ref="AI52" si="1250">IF(G52="","",(G52-G$10)*1000)</f>
        <v>-6.0500000000018872</v>
      </c>
      <c r="AJ52" s="73">
        <f t="shared" ref="AJ52" si="1251">IF(H52="","",(H52-H$10)*1000)</f>
        <v>-6.3499999232590199</v>
      </c>
      <c r="AK52" s="73">
        <f t="shared" ref="AK52" si="1252">IF(I52="","",(I52-I$10)*1000)</f>
        <v>-5.7999999262392521</v>
      </c>
      <c r="AL52" s="73">
        <f t="shared" ref="AL52" si="1253">IF(J52="","",(J52-J$10)*1000)</f>
        <v>-12.249999999994543</v>
      </c>
      <c r="AM52" s="73">
        <f t="shared" ref="AM52" si="1254">IF(K52="","",(K52-K$10)*1000)</f>
        <v>-3.9999999571591616</v>
      </c>
      <c r="AN52" s="73">
        <f t="shared" ref="AN52" si="1255">IF(L52="","",(L52-L$10)*1000)</f>
        <v>-4.0000001899898052</v>
      </c>
      <c r="AO52" s="73">
        <f t="shared" ref="AO52" si="1256">IF(M52="","",(M52-M$10)*1000)</f>
        <v>-11.600000000001387</v>
      </c>
      <c r="AP52" s="73">
        <f t="shared" ref="AP52" si="1257">IF(N52="","",(N52-N$10)*1000)</f>
        <v>-4.3000000296160579</v>
      </c>
      <c r="AQ52" s="73">
        <f t="shared" ref="AQ52" si="1258">IF(O52="","",(O52-O$10)*1000)</f>
        <v>-6.0000000521540642</v>
      </c>
      <c r="AR52" s="73">
        <f t="shared" ref="AR52" si="1259">IF(P52="","",(P52-P$10)*1000)</f>
        <v>-9.5500000000043883</v>
      </c>
      <c r="AS52" s="73">
        <f t="shared" ref="AS52" si="1260">IF(Q52="","",(Q52-Q$10)*1000)</f>
        <v>-1.8500000005587935</v>
      </c>
      <c r="AT52" s="73">
        <f t="shared" ref="AT52" si="1261">IF(R52="","",(R52-R$10)*1000)</f>
        <v>0.54999999701976776</v>
      </c>
      <c r="AU52" s="73">
        <f t="shared" ref="AU52" si="1262">IF(S52="","",(S52-S$10)*1000)</f>
        <v>-1.1500000000097543</v>
      </c>
      <c r="AV52" s="40"/>
      <c r="AW52" s="39">
        <v>170.10339999999999</v>
      </c>
      <c r="AX52" s="39">
        <v>-2.6301000000000001</v>
      </c>
      <c r="AY52" s="39">
        <v>1.4883</v>
      </c>
      <c r="AZ52" s="39">
        <v>170.4211</v>
      </c>
      <c r="BA52" s="39">
        <v>-1.1315999999999999</v>
      </c>
      <c r="BB52" s="39">
        <v>2.7488000000000001</v>
      </c>
      <c r="BC52" s="39">
        <v>170.43389999999999</v>
      </c>
      <c r="BD52" s="39">
        <v>0.38600000000000001</v>
      </c>
      <c r="BE52" s="39">
        <v>3.4201999999999999</v>
      </c>
      <c r="BF52" s="39">
        <v>170.65780000000001</v>
      </c>
      <c r="BG52" s="39">
        <v>1.1100000000000001</v>
      </c>
      <c r="BH52" s="39">
        <v>2.7277999999999998</v>
      </c>
      <c r="BI52" s="39">
        <v>170.39340000000001</v>
      </c>
      <c r="BJ52" s="39">
        <v>2.6354000000000002</v>
      </c>
      <c r="BK52" s="39">
        <v>1.5918000000000001</v>
      </c>
      <c r="BL52" s="40"/>
      <c r="BM52" s="43">
        <f t="shared" ref="BM52" si="1263">IF(AW52="","",(AW52-AW$10)*1000)</f>
        <v>-6.3000000000101863</v>
      </c>
      <c r="BN52" s="43">
        <f t="shared" ref="BN52" si="1264">IF(AX52="","",(AX52-AX$10)*1000)</f>
        <v>-0.79999999999991189</v>
      </c>
      <c r="BO52" s="43">
        <f t="shared" ref="BO52" si="1265">IF(AY52="","",(AY52-AY$10)*1000)</f>
        <v>-6.0000000000000053</v>
      </c>
      <c r="BP52" s="43">
        <f t="shared" ref="BP52" si="1266">IF(AZ52="","",(AZ52-AZ$10)*1000)</f>
        <v>-8.2000000000164164</v>
      </c>
      <c r="BQ52" s="43">
        <f t="shared" ref="BQ52" si="1267">IF(BA52="","",(BA52-BA$10)*1000)</f>
        <v>2.6000000000001577</v>
      </c>
      <c r="BR52" s="43">
        <f t="shared" ref="BR52" si="1268">IF(BB52="","",(BB52-BB$10)*1000)</f>
        <v>-12.099999999999778</v>
      </c>
      <c r="BS52" s="43">
        <f t="shared" ref="BS52" si="1269">IF(BC52="","",(BC52-BC$10)*1000)</f>
        <v>-5.3000000000054115</v>
      </c>
      <c r="BT52" s="43">
        <f t="shared" ref="BT52" si="1270">IF(BD52="","",(BD52-BD$10)*1000)</f>
        <v>1.9000000000000128</v>
      </c>
      <c r="BU52" s="43">
        <f t="shared" ref="BU52" si="1271">IF(BE52="","",(BE52-BE$10)*1000)</f>
        <v>-11.600000000000055</v>
      </c>
      <c r="BV52" s="43">
        <f t="shared" ref="BV52" si="1272">IF(BF52="","",(BF52-BF$10)*1000)</f>
        <v>-6.3999999999850843</v>
      </c>
      <c r="BW52" s="43">
        <f t="shared" ref="BW52" si="1273">IF(BG52="","",(BG52-BG$10)*1000)</f>
        <v>3.7000000000000366</v>
      </c>
      <c r="BX52" s="43">
        <f t="shared" ref="BX52" si="1274">IF(BH52="","",(BH52-BH$10)*1000)</f>
        <v>-9.5000000000000639</v>
      </c>
      <c r="BY52" s="43">
        <f t="shared" ref="BY52" si="1275">IF(BI52="","",(BI52-BI$10)*1000)</f>
        <v>-1.3999999999896318</v>
      </c>
      <c r="BZ52" s="43">
        <f t="shared" ref="BZ52" si="1276">IF(BJ52="","",(BJ52-BJ$10)*1000)</f>
        <v>-1.2999999999996348</v>
      </c>
      <c r="CA52" s="43">
        <f t="shared" ref="CA52" si="1277">IF(BK52="","",(BK52-BK$10)*1000)</f>
        <v>-1.1999999999998678</v>
      </c>
    </row>
    <row r="53" spans="1:79" ht="29.25" customHeight="1" x14ac:dyDescent="0.2">
      <c r="A53" s="37">
        <v>43808</v>
      </c>
      <c r="B53" s="30">
        <f t="shared" si="942"/>
        <v>153</v>
      </c>
      <c r="C53" s="38">
        <v>222.9</v>
      </c>
      <c r="D53" s="38">
        <f t="shared" ref="D53" si="1278">C53-PM</f>
        <v>52.5</v>
      </c>
      <c r="E53" s="39">
        <v>823220.72560000001</v>
      </c>
      <c r="F53" s="39">
        <v>1091507.8792000001</v>
      </c>
      <c r="G53" s="39">
        <v>-122.3541</v>
      </c>
      <c r="H53" s="39">
        <v>823221.64670000004</v>
      </c>
      <c r="I53" s="39">
        <v>1091506.6551999999</v>
      </c>
      <c r="J53" s="39">
        <v>-121.0907</v>
      </c>
      <c r="K53" s="39">
        <v>823222.29980000004</v>
      </c>
      <c r="L53" s="39">
        <v>1091505.2852</v>
      </c>
      <c r="M53" s="39">
        <v>-120.41889999999999</v>
      </c>
      <c r="N53" s="39">
        <v>823222.80920000002</v>
      </c>
      <c r="O53" s="39">
        <v>1091504.7239999999</v>
      </c>
      <c r="P53" s="39">
        <v>-121.10890000000001</v>
      </c>
      <c r="Q53" s="39">
        <v>823223.21400000004</v>
      </c>
      <c r="R53" s="39">
        <v>1091503.2294999999</v>
      </c>
      <c r="S53" s="39">
        <v>-122.24760000000001</v>
      </c>
      <c r="T53" s="57">
        <f t="shared" si="1"/>
        <v>3.5988804759692852</v>
      </c>
      <c r="U53" s="47">
        <f t="shared" si="2"/>
        <v>1.6597454171236372</v>
      </c>
      <c r="V53" s="47">
        <f t="shared" si="3"/>
        <v>1.0249555112819106</v>
      </c>
      <c r="W53" s="57">
        <f t="shared" si="4"/>
        <v>2.8992771203500523</v>
      </c>
      <c r="X53" s="47">
        <f t="shared" si="5"/>
        <v>2.2541674582679549</v>
      </c>
      <c r="Y53" s="57">
        <f t="shared" si="6"/>
        <v>5.2747688955880054</v>
      </c>
      <c r="Z53" s="74">
        <f t="shared" si="1242"/>
        <v>-0.45728126834054805</v>
      </c>
      <c r="AA53" s="74">
        <f t="shared" si="1243"/>
        <v>-0.1806548867571145</v>
      </c>
      <c r="AB53" s="74">
        <f t="shared" si="1244"/>
        <v>-0.48827194570555399</v>
      </c>
      <c r="AC53" s="74">
        <f t="shared" si="1245"/>
        <v>-9.219588986058902</v>
      </c>
      <c r="AD53" s="74">
        <f t="shared" si="1246"/>
        <v>1.2525903826214879</v>
      </c>
      <c r="AE53" s="74">
        <f t="shared" si="1247"/>
        <v>7.6880550565761041E-2</v>
      </c>
      <c r="AF53" s="40"/>
      <c r="AG53" s="73">
        <f t="shared" ref="AG53" si="1279">IF(E53="","",(E53-E$10)*1000)</f>
        <v>-6.8000000901520252</v>
      </c>
      <c r="AH53" s="73">
        <f t="shared" ref="AH53" si="1280">IF(F53="","",(F53-F$10)*1000)</f>
        <v>-1.8999997992068529</v>
      </c>
      <c r="AI53" s="73">
        <f t="shared" ref="AI53" si="1281">IF(G53="","",(G53-G$10)*1000)</f>
        <v>-6.6500000000075943</v>
      </c>
      <c r="AJ53" s="73">
        <f t="shared" ref="AJ53" si="1282">IF(H53="","",(H53-H$10)*1000)</f>
        <v>-7.2499999077990651</v>
      </c>
      <c r="AK53" s="73">
        <f t="shared" ref="AK53" si="1283">IF(I53="","",(I53-I$10)*1000)</f>
        <v>-6.0000000521540642</v>
      </c>
      <c r="AL53" s="73">
        <f t="shared" ref="AL53" si="1284">IF(J53="","",(J53-J$10)*1000)</f>
        <v>-13.049999999992679</v>
      </c>
      <c r="AM53" s="73">
        <f t="shared" ref="AM53" si="1285">IF(K53="","",(K53-K$10)*1000)</f>
        <v>-4.7999998787418008</v>
      </c>
      <c r="AN53" s="73">
        <f t="shared" ref="AN53" si="1286">IF(L53="","",(L53-L$10)*1000)</f>
        <v>-4.2000000830739737</v>
      </c>
      <c r="AO53" s="73">
        <f t="shared" ref="AO53" si="1287">IF(M53="","",(M53-M$10)*1000)</f>
        <v>-12.199999999992883</v>
      </c>
      <c r="AP53" s="73">
        <f t="shared" ref="AP53" si="1288">IF(N53="","",(N53-N$10)*1000)</f>
        <v>-4.5999999856576324</v>
      </c>
      <c r="AQ53" s="73">
        <f t="shared" ref="AQ53" si="1289">IF(O53="","",(O53-O$10)*1000)</f>
        <v>-5.9000002220273018</v>
      </c>
      <c r="AR53" s="73">
        <f t="shared" ref="AR53" si="1290">IF(P53="","",(P53-P$10)*1000)</f>
        <v>-9.9500000000034561</v>
      </c>
      <c r="AS53" s="73">
        <f t="shared" ref="AS53" si="1291">IF(Q53="","",(Q53-Q$10)*1000)</f>
        <v>-2.4499999126419425</v>
      </c>
      <c r="AT53" s="73">
        <f t="shared" ref="AT53" si="1292">IF(R53="","",(R53-R$10)*1000)</f>
        <v>0.44999993406236172</v>
      </c>
      <c r="AU53" s="73">
        <f t="shared" ref="AU53" si="1293">IF(S53="","",(S53-S$10)*1000)</f>
        <v>-1.6500000000121418</v>
      </c>
      <c r="AV53" s="40"/>
      <c r="AW53" s="39">
        <v>170.10277965630021</v>
      </c>
      <c r="AX53" s="39">
        <v>-2.6304305088862008</v>
      </c>
      <c r="AY53" s="39">
        <v>1.4877522034369974</v>
      </c>
      <c r="AZ53" s="39">
        <v>170.42023920239075</v>
      </c>
      <c r="BA53" s="39">
        <v>-1.1318242740603504</v>
      </c>
      <c r="BB53" s="39">
        <v>2.7479776079760967</v>
      </c>
      <c r="BC53" s="39">
        <v>170.43310528591718</v>
      </c>
      <c r="BD53" s="39">
        <v>0.38582986096437222</v>
      </c>
      <c r="BE53" s="39">
        <v>3.4196489471408285</v>
      </c>
      <c r="BF53" s="39">
        <v>170.65757814762929</v>
      </c>
      <c r="BG53" s="39">
        <v>1.1097398929862647</v>
      </c>
      <c r="BH53" s="39">
        <v>2.7274042185237022</v>
      </c>
      <c r="BI53" s="39">
        <v>170.39279174005026</v>
      </c>
      <c r="BJ53" s="39">
        <v>2.6352828941715267</v>
      </c>
      <c r="BK53" s="39">
        <v>1.5913520825994851</v>
      </c>
      <c r="BL53" s="40"/>
      <c r="BM53" s="43">
        <f t="shared" ref="BM53" si="1294">IF(AW53="","",(AW53-AW$10)*1000)</f>
        <v>-6.9203436997895551</v>
      </c>
      <c r="BN53" s="43">
        <f t="shared" ref="BN53" si="1295">IF(AX53="","",(AX53-AX$10)*1000)</f>
        <v>-1.1305088862005874</v>
      </c>
      <c r="BO53" s="43">
        <f t="shared" ref="BO53" si="1296">IF(AY53="","",(AY53-AY$10)*1000)</f>
        <v>-6.5477965630025281</v>
      </c>
      <c r="BP53" s="43">
        <f t="shared" ref="BP53" si="1297">IF(AZ53="","",(AZ53-AZ$10)*1000)</f>
        <v>-9.0607976092655917</v>
      </c>
      <c r="BQ53" s="43">
        <f t="shared" ref="BQ53" si="1298">IF(BA53="","",(BA53-BA$10)*1000)</f>
        <v>2.3757259396497421</v>
      </c>
      <c r="BR53" s="43">
        <f t="shared" ref="BR53" si="1299">IF(BB53="","",(BB53-BB$10)*1000)</f>
        <v>-12.922392023903218</v>
      </c>
      <c r="BS53" s="43">
        <f t="shared" ref="BS53" si="1300">IF(BC53="","",(BC53-BC$10)*1000)</f>
        <v>-6.0947140828204738</v>
      </c>
      <c r="BT53" s="43">
        <f t="shared" ref="BT53" si="1301">IF(BD53="","",(BD53-BD$10)*1000)</f>
        <v>1.7298609643722207</v>
      </c>
      <c r="BU53" s="43">
        <f t="shared" ref="BU53" si="1302">IF(BE53="","",(BE53-BE$10)*1000)</f>
        <v>-12.151052859171507</v>
      </c>
      <c r="BV53" s="43">
        <f t="shared" ref="BV53" si="1303">IF(BF53="","",(BF53-BF$10)*1000)</f>
        <v>-6.6218523706993437</v>
      </c>
      <c r="BW53" s="43">
        <f t="shared" ref="BW53" si="1304">IF(BG53="","",(BG53-BG$10)*1000)</f>
        <v>3.439892986264681</v>
      </c>
      <c r="BX53" s="43">
        <f t="shared" ref="BX53" si="1305">IF(BH53="","",(BH53-BH$10)*1000)</f>
        <v>-9.8957814762976604</v>
      </c>
      <c r="BY53" s="43">
        <f t="shared" ref="BY53" si="1306">IF(BI53="","",(BI53-BI$10)*1000)</f>
        <v>-2.008259949747071</v>
      </c>
      <c r="BZ53" s="43">
        <f t="shared" ref="BZ53" si="1307">IF(BJ53="","",(BJ53-BJ$10)*1000)</f>
        <v>-1.4171058284730975</v>
      </c>
      <c r="CA53" s="43">
        <f t="shared" ref="CA53" si="1308">IF(BK53="","",(BK53-BK$10)*1000)</f>
        <v>-1.6479174005148423</v>
      </c>
    </row>
    <row r="54" spans="1:79" ht="29.25" customHeight="1" x14ac:dyDescent="0.2">
      <c r="A54" s="37">
        <v>43811</v>
      </c>
      <c r="B54" s="30">
        <f t="shared" si="942"/>
        <v>156</v>
      </c>
      <c r="C54" s="38">
        <v>222.9</v>
      </c>
      <c r="D54" s="38">
        <f t="shared" ref="D54" si="1309">C54-PM</f>
        <v>52.5</v>
      </c>
      <c r="E54" s="39">
        <v>823220.72589999996</v>
      </c>
      <c r="F54" s="39">
        <v>1091507.8792999999</v>
      </c>
      <c r="G54" s="39">
        <v>-122.35339999999999</v>
      </c>
      <c r="H54" s="39">
        <v>823221.64679999999</v>
      </c>
      <c r="I54" s="39">
        <v>1091506.655</v>
      </c>
      <c r="J54" s="39">
        <v>-121.0904</v>
      </c>
      <c r="K54" s="39">
        <v>823222.3</v>
      </c>
      <c r="L54" s="39">
        <v>1091505.2853999999</v>
      </c>
      <c r="M54" s="39">
        <v>-120.41840000000001</v>
      </c>
      <c r="N54" s="39">
        <v>823222.80909999995</v>
      </c>
      <c r="O54" s="39">
        <v>1091504.7239000001</v>
      </c>
      <c r="P54" s="39">
        <v>-121.10850000000001</v>
      </c>
      <c r="Q54" s="39">
        <v>823223.21400000004</v>
      </c>
      <c r="R54" s="39">
        <v>1091503.2293</v>
      </c>
      <c r="S54" s="39">
        <v>-122.2469</v>
      </c>
      <c r="T54" s="57">
        <f t="shared" si="1"/>
        <v>3.5986571134458614</v>
      </c>
      <c r="U54" s="47">
        <f t="shared" si="2"/>
        <v>1.6595355977896278</v>
      </c>
      <c r="V54" s="47">
        <f t="shared" si="3"/>
        <v>1.0250380820840841</v>
      </c>
      <c r="W54" s="57">
        <f t="shared" si="4"/>
        <v>2.8993715628888697</v>
      </c>
      <c r="X54" s="47">
        <f t="shared" si="5"/>
        <v>2.2539778414281244</v>
      </c>
      <c r="Y54" s="57">
        <f t="shared" si="6"/>
        <v>5.2748918339154027</v>
      </c>
      <c r="Z54" s="74">
        <f t="shared" ref="Z54" si="1310">IF(T54="","",(T54-T$10)*1000)</f>
        <v>-0.68064379176435708</v>
      </c>
      <c r="AA54" s="74">
        <f t="shared" ref="AA54" si="1311">IF(U54="","",(U54-U$10)*1000)</f>
        <v>-0.3904742207665457</v>
      </c>
      <c r="AB54" s="74">
        <f t="shared" ref="AB54" si="1312">IF(V54="","",(V54-V$10)*1000)</f>
        <v>-0.40570114353211117</v>
      </c>
      <c r="AC54" s="74">
        <f t="shared" ref="AC54" si="1313">IF(W54="","",(W54-W$10)*1000)</f>
        <v>-9.1251464472414945</v>
      </c>
      <c r="AD54" s="74">
        <f t="shared" ref="AD54" si="1314">IF(X54="","",(X54-X$10)*1000)</f>
        <v>1.0629735427909459</v>
      </c>
      <c r="AE54" s="74">
        <f t="shared" ref="AE54" si="1315">IF(Y54="","",(Y54-Y$10)*1000)</f>
        <v>0.19981887796305386</v>
      </c>
      <c r="AF54" s="40"/>
      <c r="AG54" s="73">
        <f t="shared" ref="AG54" si="1316">IF(E54="","",(E54-E$10)*1000)</f>
        <v>-6.5000001341104507</v>
      </c>
      <c r="AH54" s="73">
        <f t="shared" ref="AH54" si="1317">IF(F54="","",(F54-F$10)*1000)</f>
        <v>-1.7999999690800905</v>
      </c>
      <c r="AI54" s="73">
        <f t="shared" ref="AI54" si="1318">IF(G54="","",(G54-G$10)*1000)</f>
        <v>-5.9499999999985675</v>
      </c>
      <c r="AJ54" s="73">
        <f t="shared" ref="AJ54" si="1319">IF(H54="","",(H54-H$10)*1000)</f>
        <v>-7.1499999612569809</v>
      </c>
      <c r="AK54" s="73">
        <f t="shared" ref="AK54" si="1320">IF(I54="","",(I54-I$10)*1000)</f>
        <v>-6.1999999452382326</v>
      </c>
      <c r="AL54" s="73">
        <f t="shared" ref="AL54" si="1321">IF(J54="","",(J54-J$10)*1000)</f>
        <v>-12.74999999999693</v>
      </c>
      <c r="AM54" s="73">
        <f t="shared" ref="AM54" si="1322">IF(K54="","",(K54-K$10)*1000)</f>
        <v>-4.5999998692423105</v>
      </c>
      <c r="AN54" s="73">
        <f t="shared" ref="AN54" si="1323">IF(L54="","",(L54-L$10)*1000)</f>
        <v>-4.0000001899898052</v>
      </c>
      <c r="AO54" s="73">
        <f t="shared" ref="AO54" si="1324">IF(M54="","",(M54-M$10)*1000)</f>
        <v>-11.700000000004707</v>
      </c>
      <c r="AP54" s="73">
        <f t="shared" ref="AP54" si="1325">IF(N54="","",(N54-N$10)*1000)</f>
        <v>-4.7000000486150384</v>
      </c>
      <c r="AQ54" s="73">
        <f t="shared" ref="AQ54" si="1326">IF(O54="","",(O54-O$10)*1000)</f>
        <v>-6.0000000521540642</v>
      </c>
      <c r="AR54" s="73">
        <f t="shared" ref="AR54" si="1327">IF(P54="","",(P54-P$10)*1000)</f>
        <v>-9.5500000000043883</v>
      </c>
      <c r="AS54" s="73">
        <f t="shared" ref="AS54" si="1328">IF(Q54="","",(Q54-Q$10)*1000)</f>
        <v>-2.4499999126419425</v>
      </c>
      <c r="AT54" s="73">
        <f t="shared" ref="AT54" si="1329">IF(R54="","",(R54-R$10)*1000)</f>
        <v>0.25000004097819328</v>
      </c>
      <c r="AU54" s="73">
        <f t="shared" ref="AU54" si="1330">IF(S54="","",(S54-S$10)*1000)</f>
        <v>-0.95000000000311502</v>
      </c>
      <c r="AV54" s="40"/>
      <c r="AW54" s="39">
        <v>170.10310000000001</v>
      </c>
      <c r="AX54" s="39">
        <v>-2.6303999999999998</v>
      </c>
      <c r="AY54" s="39">
        <v>1.4883999999999999</v>
      </c>
      <c r="AZ54" s="39">
        <v>170.42019999999999</v>
      </c>
      <c r="BA54" s="39">
        <v>-1.1315999999999999</v>
      </c>
      <c r="BB54" s="39">
        <v>2.7483</v>
      </c>
      <c r="BC54" s="39">
        <v>170.43340000000001</v>
      </c>
      <c r="BD54" s="39">
        <v>0.38569999999999999</v>
      </c>
      <c r="BE54" s="39">
        <v>3.4201000000000001</v>
      </c>
      <c r="BF54" s="39">
        <v>170.6574</v>
      </c>
      <c r="BG54" s="39">
        <v>1.1097999999999999</v>
      </c>
      <c r="BH54" s="39">
        <v>2.7277999999999998</v>
      </c>
      <c r="BI54" s="39">
        <v>170.39269999999999</v>
      </c>
      <c r="BJ54" s="39">
        <v>2.6355</v>
      </c>
      <c r="BK54" s="39">
        <v>1.5921000000000001</v>
      </c>
      <c r="BL54" s="40"/>
      <c r="BM54" s="43">
        <f t="shared" ref="BM54" si="1331">IF(AW54="","",(AW54-AW$10)*1000)</f>
        <v>-6.5999999999917236</v>
      </c>
      <c r="BN54" s="43">
        <f t="shared" ref="BN54" si="1332">IF(AX54="","",(AX54-AX$10)*1000)</f>
        <v>-1.0999999999996568</v>
      </c>
      <c r="BO54" s="43">
        <f t="shared" ref="BO54" si="1333">IF(AY54="","",(AY54-AY$10)*1000)</f>
        <v>-5.9000000000000163</v>
      </c>
      <c r="BP54" s="43">
        <f t="shared" ref="BP54" si="1334">IF(AZ54="","",(AZ54-AZ$10)*1000)</f>
        <v>-9.1000000000178716</v>
      </c>
      <c r="BQ54" s="43">
        <f t="shared" ref="BQ54" si="1335">IF(BA54="","",(BA54-BA$10)*1000)</f>
        <v>2.6000000000001577</v>
      </c>
      <c r="BR54" s="43">
        <f t="shared" ref="BR54" si="1336">IF(BB54="","",(BB54-BB$10)*1000)</f>
        <v>-12.599999999999945</v>
      </c>
      <c r="BS54" s="43">
        <f t="shared" ref="BS54" si="1337">IF(BC54="","",(BC54-BC$10)*1000)</f>
        <v>-5.7999999999935881</v>
      </c>
      <c r="BT54" s="43">
        <f t="shared" ref="BT54" si="1338">IF(BD54="","",(BD54-BD$10)*1000)</f>
        <v>1.5999999999999903</v>
      </c>
      <c r="BU54" s="43">
        <f t="shared" ref="BU54" si="1339">IF(BE54="","",(BE54-BE$10)*1000)</f>
        <v>-11.699999999999822</v>
      </c>
      <c r="BV54" s="43">
        <f t="shared" ref="BV54" si="1340">IF(BF54="","",(BF54-BF$10)*1000)</f>
        <v>-6.7999999999983629</v>
      </c>
      <c r="BW54" s="43">
        <f t="shared" ref="BW54" si="1341">IF(BG54="","",(BG54-BG$10)*1000)</f>
        <v>3.4999999999998366</v>
      </c>
      <c r="BX54" s="43">
        <f t="shared" ref="BX54" si="1342">IF(BH54="","",(BH54-BH$10)*1000)</f>
        <v>-9.5000000000000639</v>
      </c>
      <c r="BY54" s="43">
        <f t="shared" ref="BY54" si="1343">IF(BI54="","",(BI54-BI$10)*1000)</f>
        <v>-2.1000000000128694</v>
      </c>
      <c r="BZ54" s="43">
        <f t="shared" ref="BZ54" si="1344">IF(BJ54="","",(BJ54-BJ$10)*1000)</f>
        <v>-1.1999999999998678</v>
      </c>
      <c r="CA54" s="43">
        <f t="shared" ref="CA54" si="1345">IF(BK54="","",(BK54-BK$10)*1000)</f>
        <v>-0.89999999999990088</v>
      </c>
    </row>
    <row r="55" spans="1:79" ht="29.25" customHeight="1" x14ac:dyDescent="0.2">
      <c r="A55" s="37">
        <v>43815</v>
      </c>
      <c r="B55" s="30">
        <f t="shared" si="942"/>
        <v>160</v>
      </c>
      <c r="C55" s="38">
        <v>222.9</v>
      </c>
      <c r="D55" s="38">
        <f t="shared" ref="D55" si="1346">C55-PM</f>
        <v>52.5</v>
      </c>
      <c r="E55" s="39">
        <v>823220.72560000001</v>
      </c>
      <c r="F55" s="39">
        <v>1091507.879</v>
      </c>
      <c r="G55" s="39">
        <v>-122.3544</v>
      </c>
      <c r="H55" s="39">
        <v>823221.64670000004</v>
      </c>
      <c r="I55" s="39">
        <v>1091506.6549</v>
      </c>
      <c r="J55" s="39">
        <v>-121.09139999999999</v>
      </c>
      <c r="K55" s="39">
        <v>823222.3</v>
      </c>
      <c r="L55" s="39">
        <v>1091505.2853000001</v>
      </c>
      <c r="M55" s="39">
        <v>-120.4192</v>
      </c>
      <c r="N55" s="39">
        <v>823222.80920000002</v>
      </c>
      <c r="O55" s="39">
        <v>1091504.7235999999</v>
      </c>
      <c r="P55" s="39">
        <v>-121.1095</v>
      </c>
      <c r="Q55" s="39">
        <v>823223.21420000005</v>
      </c>
      <c r="R55" s="39">
        <v>1091503.2291000001</v>
      </c>
      <c r="S55" s="39">
        <v>-122.2478</v>
      </c>
      <c r="T55" s="57">
        <f t="shared" si="1"/>
        <v>3.5987517404459841</v>
      </c>
      <c r="U55" s="47">
        <f t="shared" si="2"/>
        <v>1.6596559551977517</v>
      </c>
      <c r="V55" s="47">
        <f t="shared" si="3"/>
        <v>1.0253319560950267</v>
      </c>
      <c r="W55" s="57">
        <f t="shared" si="4"/>
        <v>2.8995685954922523</v>
      </c>
      <c r="X55" s="47">
        <f t="shared" si="5"/>
        <v>2.2542523261954042</v>
      </c>
      <c r="Y55" s="57">
        <f t="shared" si="6"/>
        <v>5.2750415665424377</v>
      </c>
      <c r="Z55" s="74">
        <f t="shared" ref="Z55" si="1347">IF(T55="","",(T55-T$10)*1000)</f>
        <v>-0.58601679164160814</v>
      </c>
      <c r="AA55" s="74">
        <f t="shared" ref="AA55" si="1348">IF(U55="","",(U55-U$10)*1000)</f>
        <v>-0.2701168126426623</v>
      </c>
      <c r="AB55" s="74">
        <f t="shared" ref="AB55" si="1349">IF(V55="","",(V55-V$10)*1000)</f>
        <v>-0.11182713258950372</v>
      </c>
      <c r="AC55" s="74">
        <f t="shared" ref="AC55" si="1350">IF(W55="","",(W55-W$10)*1000)</f>
        <v>-8.9281138438588314</v>
      </c>
      <c r="AD55" s="74">
        <f t="shared" ref="AD55" si="1351">IF(X55="","",(X55-X$10)*1000)</f>
        <v>1.3374583100707049</v>
      </c>
      <c r="AE55" s="74">
        <f t="shared" ref="AE55" si="1352">IF(Y55="","",(Y55-Y$10)*1000)</f>
        <v>0.34955150499804688</v>
      </c>
      <c r="AF55" s="40"/>
      <c r="AG55" s="73">
        <f t="shared" ref="AG55" si="1353">IF(E55="","",(E55-E$10)*1000)</f>
        <v>-6.8000000901520252</v>
      </c>
      <c r="AH55" s="73">
        <f t="shared" ref="AH55" si="1354">IF(F55="","",(F55-F$10)*1000)</f>
        <v>-2.099999925121665</v>
      </c>
      <c r="AI55" s="73">
        <f t="shared" ref="AI55" si="1355">IF(G55="","",(G55-G$10)*1000)</f>
        <v>-6.9500000000033424</v>
      </c>
      <c r="AJ55" s="73">
        <f t="shared" ref="AJ55" si="1356">IF(H55="","",(H55-H$10)*1000)</f>
        <v>-7.2499999077990651</v>
      </c>
      <c r="AK55" s="73">
        <f t="shared" ref="AK55" si="1357">IF(I55="","",(I55-I$10)*1000)</f>
        <v>-6.3000000081956387</v>
      </c>
      <c r="AL55" s="73">
        <f t="shared" ref="AL55" si="1358">IF(J55="","",(J55-J$10)*1000)</f>
        <v>-13.749999999987494</v>
      </c>
      <c r="AM55" s="73">
        <f t="shared" ref="AM55" si="1359">IF(K55="","",(K55-K$10)*1000)</f>
        <v>-4.5999998692423105</v>
      </c>
      <c r="AN55" s="73">
        <f t="shared" ref="AN55" si="1360">IF(L55="","",(L55-L$10)*1000)</f>
        <v>-4.1000000201165676</v>
      </c>
      <c r="AO55" s="73">
        <f t="shared" ref="AO55" si="1361">IF(M55="","",(M55-M$10)*1000)</f>
        <v>-12.500000000002842</v>
      </c>
      <c r="AP55" s="73">
        <f t="shared" ref="AP55" si="1362">IF(N55="","",(N55-N$10)*1000)</f>
        <v>-4.5999999856576324</v>
      </c>
      <c r="AQ55" s="73">
        <f t="shared" ref="AQ55" si="1363">IF(O55="","",(O55-O$10)*1000)</f>
        <v>-6.3000002410262823</v>
      </c>
      <c r="AR55" s="73">
        <f t="shared" ref="AR55" si="1364">IF(P55="","",(P55-P$10)*1000)</f>
        <v>-10.549999999994952</v>
      </c>
      <c r="AS55" s="73">
        <f t="shared" ref="AS55" si="1365">IF(Q55="","",(Q55-Q$10)*1000)</f>
        <v>-2.2499999031424522</v>
      </c>
      <c r="AT55" s="73">
        <f t="shared" ref="AT55" si="1366">IF(R55="","",(R55-R$10)*1000)</f>
        <v>5.0000147894024849E-2</v>
      </c>
      <c r="AU55" s="73">
        <f t="shared" ref="AU55" si="1367">IF(S55="","",(S55-S$10)*1000)</f>
        <v>-1.8500000000045702</v>
      </c>
      <c r="AV55" s="40"/>
      <c r="AW55" s="39">
        <v>170.1027</v>
      </c>
      <c r="AX55" s="39">
        <v>-2.6301999999999999</v>
      </c>
      <c r="AY55" s="39">
        <v>1.4875</v>
      </c>
      <c r="AZ55" s="39">
        <v>170.42009999999999</v>
      </c>
      <c r="BA55" s="39">
        <v>-1.1315999999999999</v>
      </c>
      <c r="BB55" s="39">
        <v>2.7473000000000001</v>
      </c>
      <c r="BC55" s="39">
        <v>170.4333</v>
      </c>
      <c r="BD55" s="39">
        <v>0.38579999999999998</v>
      </c>
      <c r="BE55" s="39">
        <v>3.4192999999999998</v>
      </c>
      <c r="BF55" s="39">
        <v>170.6574</v>
      </c>
      <c r="BG55" s="39">
        <v>1.1101000000000001</v>
      </c>
      <c r="BH55" s="39">
        <v>2.7267999999999999</v>
      </c>
      <c r="BI55" s="39">
        <v>170.39279999999999</v>
      </c>
      <c r="BJ55" s="39">
        <v>2.6356999999999999</v>
      </c>
      <c r="BK55" s="39">
        <v>1.5911999999999999</v>
      </c>
      <c r="BL55" s="40"/>
      <c r="BM55" s="43">
        <f t="shared" ref="BM55" si="1368">IF(AW55="","",(AW55-AW$10)*1000)</f>
        <v>-7.0000000000050022</v>
      </c>
      <c r="BN55" s="43">
        <f t="shared" ref="BN55" si="1369">IF(AX55="","",(AX55-AX$10)*1000)</f>
        <v>-0.89999999999967883</v>
      </c>
      <c r="BO55" s="43">
        <f t="shared" ref="BO55" si="1370">IF(AY55="","",(AY55-AY$10)*1000)</f>
        <v>-6.7999999999999172</v>
      </c>
      <c r="BP55" s="43">
        <f t="shared" ref="BP55" si="1371">IF(AZ55="","",(AZ55-AZ$10)*1000)</f>
        <v>-9.2000000000211912</v>
      </c>
      <c r="BQ55" s="43">
        <f t="shared" ref="BQ55" si="1372">IF(BA55="","",(BA55-BA$10)*1000)</f>
        <v>2.6000000000001577</v>
      </c>
      <c r="BR55" s="43">
        <f t="shared" ref="BR55" si="1373">IF(BB55="","",(BB55-BB$10)*1000)</f>
        <v>-13.599999999999834</v>
      </c>
      <c r="BS55" s="43">
        <f t="shared" ref="BS55" si="1374">IF(BC55="","",(BC55-BC$10)*1000)</f>
        <v>-5.8999999999969077</v>
      </c>
      <c r="BT55" s="43">
        <f t="shared" ref="BT55" si="1375">IF(BD55="","",(BD55-BD$10)*1000)</f>
        <v>1.6999999999999793</v>
      </c>
      <c r="BU55" s="43">
        <f t="shared" ref="BU55" si="1376">IF(BE55="","",(BE55-BE$10)*1000)</f>
        <v>-12.500000000000178</v>
      </c>
      <c r="BV55" s="43">
        <f t="shared" ref="BV55" si="1377">IF(BF55="","",(BF55-BF$10)*1000)</f>
        <v>-6.7999999999983629</v>
      </c>
      <c r="BW55" s="43">
        <f t="shared" ref="BW55" si="1378">IF(BG55="","",(BG55-BG$10)*1000)</f>
        <v>3.8000000000000256</v>
      </c>
      <c r="BX55" s="43">
        <f t="shared" ref="BX55" si="1379">IF(BH55="","",(BH55-BH$10)*1000)</f>
        <v>-10.499999999999954</v>
      </c>
      <c r="BY55" s="43">
        <f t="shared" ref="BY55" si="1380">IF(BI55="","",(BI55-BI$10)*1000)</f>
        <v>-2.0000000000095497</v>
      </c>
      <c r="BZ55" s="43">
        <f t="shared" ref="BZ55" si="1381">IF(BJ55="","",(BJ55-BJ$10)*1000)</f>
        <v>-0.99999999999988987</v>
      </c>
      <c r="CA55" s="43">
        <f t="shared" ref="CA55" si="1382">IF(BK55="","",(BK55-BK$10)*1000)</f>
        <v>-1.8000000000000238</v>
      </c>
    </row>
    <row r="56" spans="1:79" ht="29.25" customHeight="1" x14ac:dyDescent="0.2">
      <c r="A56" s="37">
        <v>43818</v>
      </c>
      <c r="B56" s="30">
        <f t="shared" si="942"/>
        <v>163</v>
      </c>
      <c r="C56" s="38">
        <v>222.9</v>
      </c>
      <c r="D56" s="38">
        <f t="shared" ref="D56" si="1383">C56-PM</f>
        <v>52.5</v>
      </c>
      <c r="E56" s="39">
        <v>823220.72589999996</v>
      </c>
      <c r="F56" s="39">
        <v>1091507.879</v>
      </c>
      <c r="G56" s="39">
        <v>-122.354</v>
      </c>
      <c r="H56" s="39">
        <v>823221.647</v>
      </c>
      <c r="I56" s="39">
        <v>1091506.655</v>
      </c>
      <c r="J56" s="39">
        <v>-121.09099999999999</v>
      </c>
      <c r="K56" s="39">
        <v>823222.30009999999</v>
      </c>
      <c r="L56" s="39">
        <v>1091505.2849999999</v>
      </c>
      <c r="M56" s="39">
        <v>-120.419</v>
      </c>
      <c r="N56" s="39">
        <v>823222.80940000003</v>
      </c>
      <c r="O56" s="39">
        <v>1091504.7239999999</v>
      </c>
      <c r="P56" s="39">
        <v>-121.1091</v>
      </c>
      <c r="Q56" s="39">
        <v>823223.21409999998</v>
      </c>
      <c r="R56" s="39">
        <v>1091503.2290000001</v>
      </c>
      <c r="S56" s="39">
        <v>-122.2473</v>
      </c>
      <c r="T56" s="57">
        <f t="shared" si="1"/>
        <v>3.5987729353646203</v>
      </c>
      <c r="U56" s="47">
        <f t="shared" si="2"/>
        <v>1.6598263795653032</v>
      </c>
      <c r="V56" s="47">
        <f t="shared" si="3"/>
        <v>1.0248636494774719</v>
      </c>
      <c r="W56" s="57">
        <f t="shared" si="4"/>
        <v>2.8991745186224658</v>
      </c>
      <c r="X56" s="47">
        <f t="shared" si="5"/>
        <v>2.2539437371974058</v>
      </c>
      <c r="Y56" s="57">
        <f t="shared" si="6"/>
        <v>5.27494304511825</v>
      </c>
      <c r="Z56" s="74">
        <f t="shared" ref="Z56" si="1384">IF(T56="","",(T56-T$10)*1000)</f>
        <v>-0.56482187300543885</v>
      </c>
      <c r="AA56" s="74">
        <f t="shared" ref="AA56" si="1385">IF(U56="","",(U56-U$10)*1000)</f>
        <v>-9.9692445091115189E-2</v>
      </c>
      <c r="AB56" s="74">
        <f t="shared" ref="AB56" si="1386">IF(V56="","",(V56-V$10)*1000)</f>
        <v>-0.58013375014431823</v>
      </c>
      <c r="AC56" s="74">
        <f t="shared" ref="AC56" si="1387">IF(W56="","",(W56-W$10)*1000)</f>
        <v>-9.322190713645373</v>
      </c>
      <c r="AD56" s="74">
        <f t="shared" ref="AD56" si="1388">IF(X56="","",(X56-X$10)*1000)</f>
        <v>1.0288693120723558</v>
      </c>
      <c r="AE56" s="74">
        <f t="shared" ref="AE56" si="1389">IF(Y56="","",(Y56-Y$10)*1000)</f>
        <v>0.25103008081028833</v>
      </c>
      <c r="AF56" s="40"/>
      <c r="AG56" s="73">
        <f t="shared" ref="AG56" si="1390">IF(E56="","",(E56-E$10)*1000)</f>
        <v>-6.5000001341104507</v>
      </c>
      <c r="AH56" s="73">
        <f t="shared" ref="AH56" si="1391">IF(F56="","",(F56-F$10)*1000)</f>
        <v>-2.099999925121665</v>
      </c>
      <c r="AI56" s="73">
        <f t="shared" ref="AI56" si="1392">IF(G56="","",(G56-G$10)*1000)</f>
        <v>-6.5500000000042746</v>
      </c>
      <c r="AJ56" s="73">
        <f t="shared" ref="AJ56" si="1393">IF(H56="","",(H56-H$10)*1000)</f>
        <v>-6.9499999517574906</v>
      </c>
      <c r="AK56" s="73">
        <f t="shared" ref="AK56" si="1394">IF(I56="","",(I56-I$10)*1000)</f>
        <v>-6.1999999452382326</v>
      </c>
      <c r="AL56" s="73">
        <f t="shared" ref="AL56" si="1395">IF(J56="","",(J56-J$10)*1000)</f>
        <v>-13.349999999988427</v>
      </c>
      <c r="AM56" s="73">
        <f t="shared" ref="AM56" si="1396">IF(K56="","",(K56-K$10)*1000)</f>
        <v>-4.4999999227002263</v>
      </c>
      <c r="AN56" s="73">
        <f t="shared" ref="AN56" si="1397">IF(L56="","",(L56-L$10)*1000)</f>
        <v>-4.4000002089887857</v>
      </c>
      <c r="AO56" s="73">
        <f t="shared" ref="AO56" si="1398">IF(M56="","",(M56-M$10)*1000)</f>
        <v>-12.299999999996203</v>
      </c>
      <c r="AP56" s="73">
        <f t="shared" ref="AP56" si="1399">IF(N56="","",(N56-N$10)*1000)</f>
        <v>-4.3999999761581421</v>
      </c>
      <c r="AQ56" s="73">
        <f t="shared" ref="AQ56" si="1400">IF(O56="","",(O56-O$10)*1000)</f>
        <v>-5.9000002220273018</v>
      </c>
      <c r="AR56" s="73">
        <f t="shared" ref="AR56" si="1401">IF(P56="","",(P56-P$10)*1000)</f>
        <v>-10.149999999995885</v>
      </c>
      <c r="AS56" s="73">
        <f t="shared" ref="AS56" si="1402">IF(Q56="","",(Q56-Q$10)*1000)</f>
        <v>-2.3499999660998583</v>
      </c>
      <c r="AT56" s="73">
        <f t="shared" ref="AT56" si="1403">IF(R56="","",(R56-R$10)*1000)</f>
        <v>-4.9999915063381195E-2</v>
      </c>
      <c r="AU56" s="73">
        <f t="shared" ref="AU56" si="1404">IF(S56="","",(S56-S$10)*1000)</f>
        <v>-1.3500000000021828</v>
      </c>
      <c r="AV56" s="40"/>
      <c r="AW56" s="39">
        <v>170.10310000000001</v>
      </c>
      <c r="AX56" s="39">
        <v>-2.6303000000000001</v>
      </c>
      <c r="AY56" s="39">
        <v>1.4878</v>
      </c>
      <c r="AZ56" s="39">
        <v>170.4204</v>
      </c>
      <c r="BA56" s="39">
        <v>-1.1314</v>
      </c>
      <c r="BB56" s="39">
        <v>2.7477</v>
      </c>
      <c r="BC56" s="39">
        <v>170.43340000000001</v>
      </c>
      <c r="BD56" s="39">
        <v>0.38600000000000001</v>
      </c>
      <c r="BE56" s="39">
        <v>3.4195000000000002</v>
      </c>
      <c r="BF56" s="39">
        <v>170.6576</v>
      </c>
      <c r="BG56" s="39">
        <v>1.1102000000000001</v>
      </c>
      <c r="BH56" s="39">
        <v>2.7271999999999998</v>
      </c>
      <c r="BI56" s="39">
        <v>170.39279999999999</v>
      </c>
      <c r="BJ56" s="39">
        <v>2.6356000000000002</v>
      </c>
      <c r="BK56" s="39">
        <v>1.5916999999999999</v>
      </c>
      <c r="BL56" s="40"/>
      <c r="BM56" s="43">
        <f t="shared" ref="BM56" si="1405">IF(AW56="","",(AW56-AW$10)*1000)</f>
        <v>-6.5999999999917236</v>
      </c>
      <c r="BN56" s="43">
        <f t="shared" ref="BN56" si="1406">IF(AX56="","",(AX56-AX$10)*1000)</f>
        <v>-0.99999999999988987</v>
      </c>
      <c r="BO56" s="43">
        <f t="shared" ref="BO56" si="1407">IF(AY56="","",(AY56-AY$10)*1000)</f>
        <v>-6.4999999999999503</v>
      </c>
      <c r="BP56" s="43">
        <f t="shared" ref="BP56" si="1408">IF(AZ56="","",(AZ56-AZ$10)*1000)</f>
        <v>-8.9000000000112323</v>
      </c>
      <c r="BQ56" s="43">
        <f t="shared" ref="BQ56" si="1409">IF(BA56="","",(BA56-BA$10)*1000)</f>
        <v>2.8000000000001357</v>
      </c>
      <c r="BR56" s="43">
        <f t="shared" ref="BR56" si="1410">IF(BB56="","",(BB56-BB$10)*1000)</f>
        <v>-13.199999999999878</v>
      </c>
      <c r="BS56" s="43">
        <f t="shared" ref="BS56" si="1411">IF(BC56="","",(BC56-BC$10)*1000)</f>
        <v>-5.7999999999935881</v>
      </c>
      <c r="BT56" s="43">
        <f t="shared" ref="BT56" si="1412">IF(BD56="","",(BD56-BD$10)*1000)</f>
        <v>1.9000000000000128</v>
      </c>
      <c r="BU56" s="43">
        <f t="shared" ref="BU56" si="1413">IF(BE56="","",(BE56-BE$10)*1000)</f>
        <v>-12.299999999999756</v>
      </c>
      <c r="BV56" s="43">
        <f t="shared" ref="BV56" si="1414">IF(BF56="","",(BF56-BF$10)*1000)</f>
        <v>-6.5999999999917236</v>
      </c>
      <c r="BW56" s="43">
        <f t="shared" ref="BW56" si="1415">IF(BG56="","",(BG56-BG$10)*1000)</f>
        <v>3.9000000000000146</v>
      </c>
      <c r="BX56" s="43">
        <f t="shared" ref="BX56" si="1416">IF(BH56="","",(BH56-BH$10)*1000)</f>
        <v>-10.099999999999998</v>
      </c>
      <c r="BY56" s="43">
        <f t="shared" ref="BY56" si="1417">IF(BI56="","",(BI56-BI$10)*1000)</f>
        <v>-2.0000000000095497</v>
      </c>
      <c r="BZ56" s="43">
        <f t="shared" ref="BZ56" si="1418">IF(BJ56="","",(BJ56-BJ$10)*1000)</f>
        <v>-1.0999999999996568</v>
      </c>
      <c r="CA56" s="43">
        <f t="shared" ref="CA56" si="1419">IF(BK56="","",(BK56-BK$10)*1000)</f>
        <v>-1.3000000000000789</v>
      </c>
    </row>
    <row r="57" spans="1:79" ht="29.25" customHeight="1" x14ac:dyDescent="0.2">
      <c r="A57" s="37">
        <v>43837</v>
      </c>
      <c r="B57" s="30">
        <f t="shared" si="942"/>
        <v>182</v>
      </c>
      <c r="C57" s="38">
        <v>222.9</v>
      </c>
      <c r="D57" s="38">
        <f t="shared" ref="D57" si="1420">C57-PM</f>
        <v>52.5</v>
      </c>
      <c r="E57" s="39">
        <v>823220.72549999994</v>
      </c>
      <c r="F57" s="39">
        <v>1091507.8788999999</v>
      </c>
      <c r="G57" s="39">
        <v>-122.35420000000001</v>
      </c>
      <c r="H57" s="39">
        <v>823221.64639999997</v>
      </c>
      <c r="I57" s="39">
        <v>1091506.6544999999</v>
      </c>
      <c r="J57" s="39">
        <v>-121.0916</v>
      </c>
      <c r="K57" s="39">
        <v>823222.29989999998</v>
      </c>
      <c r="L57" s="39">
        <v>1091505.2849000001</v>
      </c>
      <c r="M57" s="39">
        <v>-120.4194</v>
      </c>
      <c r="N57" s="39">
        <v>823222.80909999995</v>
      </c>
      <c r="O57" s="39">
        <v>1091504.7234</v>
      </c>
      <c r="P57" s="39">
        <v>-121.1096</v>
      </c>
      <c r="Q57" s="39">
        <v>823223.21409999998</v>
      </c>
      <c r="R57" s="39">
        <v>1091503.2293</v>
      </c>
      <c r="S57" s="39">
        <v>-122.2474</v>
      </c>
      <c r="T57" s="57">
        <f t="shared" si="1"/>
        <v>3.598752894981109</v>
      </c>
      <c r="U57" s="47">
        <f t="shared" si="2"/>
        <v>1.6597346925445038</v>
      </c>
      <c r="V57" s="47">
        <f t="shared" si="3"/>
        <v>1.025155076097362</v>
      </c>
      <c r="W57" s="57">
        <f t="shared" si="4"/>
        <v>2.8987647369744236</v>
      </c>
      <c r="X57" s="47">
        <f t="shared" si="5"/>
        <v>2.2541833332036552</v>
      </c>
      <c r="Y57" s="57">
        <f t="shared" si="6"/>
        <v>5.2747811669451625</v>
      </c>
      <c r="Z57" s="74">
        <f t="shared" ref="Z57" si="1421">IF(T57="","",(T57-T$10)*1000)</f>
        <v>-0.58486225651677159</v>
      </c>
      <c r="AA57" s="74">
        <f t="shared" ref="AA57" si="1422">IF(U57="","",(U57-U$10)*1000)</f>
        <v>-0.19137946589053989</v>
      </c>
      <c r="AB57" s="74">
        <f t="shared" ref="AB57" si="1423">IF(V57="","",(V57-V$10)*1000)</f>
        <v>-0.28870713025419548</v>
      </c>
      <c r="AC57" s="74">
        <f t="shared" ref="AC57" si="1424">IF(W57="","",(W57-W$10)*1000)</f>
        <v>-9.7319723616875464</v>
      </c>
      <c r="AD57" s="74">
        <f t="shared" ref="AD57" si="1425">IF(X57="","",(X57-X$10)*1000)</f>
        <v>1.2684653183216987</v>
      </c>
      <c r="AE57" s="74">
        <f t="shared" ref="AE57" si="1426">IF(Y57="","",(Y57-Y$10)*1000)</f>
        <v>8.9151907722850865E-2</v>
      </c>
      <c r="AF57" s="40"/>
      <c r="AG57" s="73">
        <f t="shared" ref="AG57" si="1427">IF(E57="","",(E57-E$10)*1000)</f>
        <v>-6.9000001531094313</v>
      </c>
      <c r="AH57" s="73">
        <f t="shared" ref="AH57" si="1428">IF(F57="","",(F57-F$10)*1000)</f>
        <v>-2.199999988079071</v>
      </c>
      <c r="AI57" s="73">
        <f t="shared" ref="AI57" si="1429">IF(G57="","",(G57-G$10)*1000)</f>
        <v>-6.7500000000109139</v>
      </c>
      <c r="AJ57" s="73">
        <f t="shared" ref="AJ57" si="1430">IF(H57="","",(H57-H$10)*1000)</f>
        <v>-7.5499999802559614</v>
      </c>
      <c r="AK57" s="73">
        <f t="shared" ref="AK57" si="1431">IF(I57="","",(I57-I$10)*1000)</f>
        <v>-6.7000000271946192</v>
      </c>
      <c r="AL57" s="73">
        <f t="shared" ref="AL57" si="1432">IF(J57="","",(J57-J$10)*1000)</f>
        <v>-13.949999999994134</v>
      </c>
      <c r="AM57" s="73">
        <f t="shared" ref="AM57" si="1433">IF(K57="","",(K57-K$10)*1000)</f>
        <v>-4.6999999321997166</v>
      </c>
      <c r="AN57" s="73">
        <f t="shared" ref="AN57" si="1434">IF(L57="","",(L57-L$10)*1000)</f>
        <v>-4.5000000391155481</v>
      </c>
      <c r="AO57" s="73">
        <f t="shared" ref="AO57" si="1435">IF(M57="","",(M57-M$10)*1000)</f>
        <v>-12.699999999995271</v>
      </c>
      <c r="AP57" s="73">
        <f t="shared" ref="AP57" si="1436">IF(N57="","",(N57-N$10)*1000)</f>
        <v>-4.7000000486150384</v>
      </c>
      <c r="AQ57" s="73">
        <f t="shared" ref="AQ57" si="1437">IF(O57="","",(O57-O$10)*1000)</f>
        <v>-6.5000001341104507</v>
      </c>
      <c r="AR57" s="73">
        <f t="shared" ref="AR57" si="1438">IF(P57="","",(P57-P$10)*1000)</f>
        <v>-10.649999999998272</v>
      </c>
      <c r="AS57" s="73">
        <f t="shared" ref="AS57" si="1439">IF(Q57="","",(Q57-Q$10)*1000)</f>
        <v>-2.3499999660998583</v>
      </c>
      <c r="AT57" s="73">
        <f t="shared" ref="AT57" si="1440">IF(R57="","",(R57-R$10)*1000)</f>
        <v>0.25000004097819328</v>
      </c>
      <c r="AU57" s="73">
        <f t="shared" ref="AU57" si="1441">IF(S57="","",(S57-S$10)*1000)</f>
        <v>-1.4500000000055024</v>
      </c>
      <c r="AV57" s="40"/>
      <c r="AW57" s="39">
        <v>170.1026</v>
      </c>
      <c r="AX57" s="39">
        <v>-2.6301999999999999</v>
      </c>
      <c r="AY57" s="39">
        <v>1.4877</v>
      </c>
      <c r="AZ57" s="39">
        <v>170.41970000000001</v>
      </c>
      <c r="BA57" s="39">
        <v>-1.1313</v>
      </c>
      <c r="BB57" s="39">
        <v>2.7471000000000001</v>
      </c>
      <c r="BC57" s="39">
        <v>170.4331</v>
      </c>
      <c r="BD57" s="39">
        <v>0.3861</v>
      </c>
      <c r="BE57" s="39">
        <v>3.4190999999999998</v>
      </c>
      <c r="BF57" s="39">
        <v>170.65719999999999</v>
      </c>
      <c r="BG57" s="39">
        <v>1.1102000000000001</v>
      </c>
      <c r="BH57" s="39">
        <v>2.7267000000000001</v>
      </c>
      <c r="BI57" s="39">
        <v>170.39279999999999</v>
      </c>
      <c r="BJ57" s="39">
        <v>2.6355</v>
      </c>
      <c r="BK57" s="39">
        <v>1.5915999999999999</v>
      </c>
      <c r="BL57" s="40"/>
      <c r="BM57" s="43">
        <f t="shared" ref="BM57" si="1442">IF(AW57="","",(AW57-AW$10)*1000)</f>
        <v>-7.1000000000083219</v>
      </c>
      <c r="BN57" s="43">
        <f t="shared" ref="BN57" si="1443">IF(AX57="","",(AX57-AX$10)*1000)</f>
        <v>-0.89999999999967883</v>
      </c>
      <c r="BO57" s="43">
        <f t="shared" ref="BO57" si="1444">IF(AY57="","",(AY57-AY$10)*1000)</f>
        <v>-6.5999999999999392</v>
      </c>
      <c r="BP57" s="43">
        <f t="shared" ref="BP57" si="1445">IF(AZ57="","",(AZ57-AZ$10)*1000)</f>
        <v>-9.6000000000060481</v>
      </c>
      <c r="BQ57" s="43">
        <f t="shared" ref="BQ57" si="1446">IF(BA57="","",(BA57-BA$10)*1000)</f>
        <v>2.9000000000001247</v>
      </c>
      <c r="BR57" s="43">
        <f t="shared" ref="BR57" si="1447">IF(BB57="","",(BB57-BB$10)*1000)</f>
        <v>-13.799999999999812</v>
      </c>
      <c r="BS57" s="43">
        <f t="shared" ref="BS57" si="1448">IF(BC57="","",(BC57-BC$10)*1000)</f>
        <v>-6.100000000003547</v>
      </c>
      <c r="BT57" s="43">
        <f t="shared" ref="BT57" si="1449">IF(BD57="","",(BD57-BD$10)*1000)</f>
        <v>2.0000000000000018</v>
      </c>
      <c r="BU57" s="43">
        <f t="shared" ref="BU57" si="1450">IF(BE57="","",(BE57-BE$10)*1000)</f>
        <v>-12.700000000000156</v>
      </c>
      <c r="BV57" s="43">
        <f t="shared" ref="BV57" si="1451">IF(BF57="","",(BF57-BF$10)*1000)</f>
        <v>-7.0000000000050022</v>
      </c>
      <c r="BW57" s="43">
        <f t="shared" ref="BW57" si="1452">IF(BG57="","",(BG57-BG$10)*1000)</f>
        <v>3.9000000000000146</v>
      </c>
      <c r="BX57" s="43">
        <f t="shared" ref="BX57" si="1453">IF(BH57="","",(BH57-BH$10)*1000)</f>
        <v>-10.599999999999721</v>
      </c>
      <c r="BY57" s="43">
        <f t="shared" ref="BY57" si="1454">IF(BI57="","",(BI57-BI$10)*1000)</f>
        <v>-2.0000000000095497</v>
      </c>
      <c r="BZ57" s="43">
        <f t="shared" ref="BZ57" si="1455">IF(BJ57="","",(BJ57-BJ$10)*1000)</f>
        <v>-1.1999999999998678</v>
      </c>
      <c r="CA57" s="43">
        <f t="shared" ref="CA57" si="1456">IF(BK57="","",(BK57-BK$10)*1000)</f>
        <v>-1.4000000000000679</v>
      </c>
    </row>
    <row r="58" spans="1:79" ht="29.25" customHeight="1" x14ac:dyDescent="0.2">
      <c r="A58" s="37">
        <v>43843</v>
      </c>
      <c r="B58" s="30">
        <f t="shared" ref="B58:B73" si="1457">IF(A58="","",A58-excav)</f>
        <v>188</v>
      </c>
      <c r="C58" s="38">
        <v>222.9</v>
      </c>
      <c r="D58" s="38">
        <f t="shared" ref="D58" si="1458">C58-PM</f>
        <v>52.5</v>
      </c>
      <c r="E58" s="39">
        <v>823220.72580000001</v>
      </c>
      <c r="F58" s="39">
        <v>1091507.879</v>
      </c>
      <c r="G58" s="39">
        <v>-122.35420000000001</v>
      </c>
      <c r="H58" s="39">
        <v>823221.64610000001</v>
      </c>
      <c r="I58" s="39">
        <v>1091506.6543000001</v>
      </c>
      <c r="J58" s="39">
        <v>-121.09180000000001</v>
      </c>
      <c r="K58" s="39">
        <v>823222.29969999997</v>
      </c>
      <c r="L58" s="39">
        <v>1091505.2847</v>
      </c>
      <c r="M58" s="39">
        <v>-120.41970000000001</v>
      </c>
      <c r="N58" s="39">
        <v>823222.8088</v>
      </c>
      <c r="O58" s="39">
        <v>1091504.7231000001</v>
      </c>
      <c r="P58" s="39">
        <v>-121.1096</v>
      </c>
      <c r="Q58" s="39">
        <v>823223.21340000001</v>
      </c>
      <c r="R58" s="39">
        <v>1091503.2291000001</v>
      </c>
      <c r="S58" s="39">
        <v>-122.2474</v>
      </c>
      <c r="T58" s="57">
        <f t="shared" si="1"/>
        <v>3.5985891610264038</v>
      </c>
      <c r="U58" s="47">
        <f t="shared" si="2"/>
        <v>1.6597335720541675</v>
      </c>
      <c r="V58" s="47">
        <f t="shared" si="3"/>
        <v>1.0249582332523717</v>
      </c>
      <c r="W58" s="57">
        <f t="shared" si="4"/>
        <v>2.8984179028276995</v>
      </c>
      <c r="X58" s="47">
        <f t="shared" si="5"/>
        <v>2.2542674131380891</v>
      </c>
      <c r="Y58" s="57">
        <f t="shared" si="6"/>
        <v>5.2745739172481141</v>
      </c>
      <c r="Z58" s="74">
        <f t="shared" ref="Z58" si="1459">IF(T58="","",(T58-T$10)*1000)</f>
        <v>-0.74859621122191911</v>
      </c>
      <c r="AA58" s="74">
        <f t="shared" ref="AA58" si="1460">IF(U58="","",(U58-U$10)*1000)</f>
        <v>-0.19249995622683258</v>
      </c>
      <c r="AB58" s="74">
        <f t="shared" ref="AB58" si="1461">IF(V58="","",(V58-V$10)*1000)</f>
        <v>-0.48554997524452581</v>
      </c>
      <c r="AC58" s="74">
        <f t="shared" ref="AC58" si="1462">IF(W58="","",(W58-W$10)*1000)</f>
        <v>-10.078806508411642</v>
      </c>
      <c r="AD58" s="74">
        <f t="shared" ref="AD58" si="1463">IF(X58="","",(X58-X$10)*1000)</f>
        <v>1.3525452527556325</v>
      </c>
      <c r="AE58" s="74">
        <f t="shared" ref="AE58" si="1464">IF(Y58="","",(Y58-Y$10)*1000)</f>
        <v>-0.11809778932558856</v>
      </c>
      <c r="AF58" s="40"/>
      <c r="AG58" s="43">
        <f t="shared" ref="AG58:AG79" si="1465">IF(E58="","",(E58-E$10)*1000)</f>
        <v>-6.600000080652535</v>
      </c>
      <c r="AH58" s="43">
        <f t="shared" ref="AH58:AH79" si="1466">IF(F58="","",(F58-F$10)*1000)</f>
        <v>-2.099999925121665</v>
      </c>
      <c r="AI58" s="43">
        <f t="shared" ref="AI58:AI79" si="1467">IF(G58="","",(G58-G$10)*1000)</f>
        <v>-6.7500000000109139</v>
      </c>
      <c r="AJ58" s="43">
        <f t="shared" ref="AJ58:AJ84" si="1468">IF(H58="","",(H58-H$10)*1000)</f>
        <v>-7.8499999362975359</v>
      </c>
      <c r="AK58" s="43">
        <f t="shared" ref="AK58:AK84" si="1469">IF(I58="","",(I58-I$10)*1000)</f>
        <v>-6.8999999202787876</v>
      </c>
      <c r="AL58" s="43">
        <f t="shared" ref="AL58:AL84" si="1470">IF(J58="","",(J58-J$10)*1000)</f>
        <v>-14.150000000000773</v>
      </c>
      <c r="AM58" s="43">
        <f t="shared" ref="AM58:AM79" si="1471">IF(K58="","",(K58-K$10)*1000)</f>
        <v>-4.8999999416992068</v>
      </c>
      <c r="AN58" s="43">
        <f t="shared" ref="AN58:AN79" si="1472">IF(L58="","",(L58-L$10)*1000)</f>
        <v>-4.7000001650303602</v>
      </c>
      <c r="AO58" s="43">
        <f t="shared" ref="AO58:AO79" si="1473">IF(M58="","",(M58-M$10)*1000)</f>
        <v>-13.00000000000523</v>
      </c>
      <c r="AP58" s="43">
        <f t="shared" ref="AP58:AP79" si="1474">IF(N58="","",(N58-N$10)*1000)</f>
        <v>-5.0000000046566129</v>
      </c>
      <c r="AQ58" s="43">
        <f t="shared" ref="AQ58:AQ79" si="1475">IF(O58="","",(O58-O$10)*1000)</f>
        <v>-6.8000000901520252</v>
      </c>
      <c r="AR58" s="43">
        <f t="shared" ref="AR58:AR79" si="1476">IF(P58="","",(P58-P$10)*1000)</f>
        <v>-10.649999999998272</v>
      </c>
      <c r="AS58" s="43">
        <f t="shared" ref="AS58:AS79" si="1477">IF(Q58="","",(Q58-Q$10)*1000)</f>
        <v>-3.0499999411404133</v>
      </c>
      <c r="AT58" s="43">
        <f t="shared" ref="AT58:AT79" si="1478">IF(R58="","",(R58-R$10)*1000)</f>
        <v>5.0000147894024849E-2</v>
      </c>
      <c r="AU58" s="43">
        <f t="shared" ref="AU58:AU79" si="1479">IF(S58="","",(S58-S$10)*1000)</f>
        <v>-1.4500000000055024</v>
      </c>
      <c r="AV58" s="40"/>
      <c r="AW58" s="39">
        <v>170.10290000000001</v>
      </c>
      <c r="AX58" s="39">
        <v>-2.6303000000000001</v>
      </c>
      <c r="AY58" s="39">
        <v>1.4877</v>
      </c>
      <c r="AZ58" s="41">
        <v>170.41929999999999</v>
      </c>
      <c r="BA58" s="42">
        <v>-1.1313</v>
      </c>
      <c r="BB58" s="42">
        <v>2.7469000000000001</v>
      </c>
      <c r="BC58" s="41">
        <v>170.43279999999999</v>
      </c>
      <c r="BD58" s="42">
        <v>0.38619999999999999</v>
      </c>
      <c r="BE58" s="42">
        <v>3.4188999999999998</v>
      </c>
      <c r="BF58" s="41">
        <v>170.6568</v>
      </c>
      <c r="BG58" s="42">
        <v>1.1104000000000001</v>
      </c>
      <c r="BH58" s="42">
        <v>2.7267000000000001</v>
      </c>
      <c r="BI58" s="41">
        <v>170.3921</v>
      </c>
      <c r="BJ58" s="42">
        <v>2.6354000000000002</v>
      </c>
      <c r="BK58" s="42">
        <v>1.5915999999999999</v>
      </c>
      <c r="BL58" s="40"/>
      <c r="BM58" s="43">
        <f t="shared" ref="BM58:BM79" si="1480">IF(AW58="","",(AW58-AW$10)*1000)</f>
        <v>-6.7999999999983629</v>
      </c>
      <c r="BN58" s="43">
        <f t="shared" ref="BN58:BN79" si="1481">IF(AX58="","",(AX58-AX$10)*1000)</f>
        <v>-0.99999999999988987</v>
      </c>
      <c r="BO58" s="43">
        <f t="shared" ref="BO58:BO79" si="1482">IF(AY58="","",(AY58-AY$10)*1000)</f>
        <v>-6.5999999999999392</v>
      </c>
      <c r="BP58" s="43">
        <f t="shared" ref="BP58:BP75" si="1483">IF(AZ58="","",(AZ58-AZ$10)*1000)</f>
        <v>-10.000000000019327</v>
      </c>
      <c r="BQ58" s="43">
        <f t="shared" ref="BQ58:BQ75" si="1484">IF(BA58="","",(BA58-BA$10)*1000)</f>
        <v>2.9000000000001247</v>
      </c>
      <c r="BR58" s="43">
        <f t="shared" ref="BR58:BR75" si="1485">IF(BB58="","",(BB58-BB$10)*1000)</f>
        <v>-13.99999999999979</v>
      </c>
      <c r="BS58" s="43">
        <f t="shared" ref="BS58:BS74" si="1486">IF(BC58="","",(BC58-BC$10)*1000)</f>
        <v>-6.400000000013506</v>
      </c>
      <c r="BT58" s="43">
        <f t="shared" ref="BT58:BT74" si="1487">IF(BD58="","",(BD58-BD$10)*1000)</f>
        <v>2.0999999999999908</v>
      </c>
      <c r="BU58" s="43">
        <f t="shared" ref="BU58:BU74" si="1488">IF(BE58="","",(BE58-BE$10)*1000)</f>
        <v>-12.900000000000134</v>
      </c>
      <c r="BV58" s="43">
        <f t="shared" ref="BV58:BV75" si="1489">IF(BF58="","",(BF58-BF$10)*1000)</f>
        <v>-7.3999999999898591</v>
      </c>
      <c r="BW58" s="43">
        <f t="shared" ref="BW58:BW75" si="1490">IF(BG58="","",(BG58-BG$10)*1000)</f>
        <v>4.0999999999999925</v>
      </c>
      <c r="BX58" s="43">
        <f t="shared" ref="BX58:BX75" si="1491">IF(BH58="","",(BH58-BH$10)*1000)</f>
        <v>-10.599999999999721</v>
      </c>
      <c r="BY58" s="43">
        <f t="shared" ref="BY58:BY79" si="1492">IF(BI58="","",(BI58-BI$10)*1000)</f>
        <v>-2.7000000000043656</v>
      </c>
      <c r="BZ58" s="43">
        <f t="shared" ref="BZ58:BZ79" si="1493">IF(BJ58="","",(BJ58-BJ$10)*1000)</f>
        <v>-1.2999999999996348</v>
      </c>
      <c r="CA58" s="43">
        <f t="shared" ref="CA58:CA79" si="1494">IF(BK58="","",(BK58-BK$10)*1000)</f>
        <v>-1.4000000000000679</v>
      </c>
    </row>
    <row r="59" spans="1:79" ht="29.25" customHeight="1" x14ac:dyDescent="0.2">
      <c r="A59" s="37">
        <v>43850</v>
      </c>
      <c r="B59" s="30">
        <f t="shared" si="1457"/>
        <v>195</v>
      </c>
      <c r="C59" s="38">
        <v>222.9</v>
      </c>
      <c r="D59" s="38">
        <f t="shared" ref="D59" si="1495">C59-PM</f>
        <v>52.5</v>
      </c>
      <c r="E59" s="39">
        <v>823220.72560000001</v>
      </c>
      <c r="F59" s="39">
        <v>1091507.8792000001</v>
      </c>
      <c r="G59" s="39">
        <v>-122.35420000000001</v>
      </c>
      <c r="H59" s="39">
        <v>823221.64630000002</v>
      </c>
      <c r="I59" s="39">
        <v>1091506.6547000001</v>
      </c>
      <c r="J59" s="39">
        <v>-121.0919</v>
      </c>
      <c r="K59" s="39">
        <v>823222.29980000004</v>
      </c>
      <c r="L59" s="39">
        <v>1091505.2852</v>
      </c>
      <c r="M59" s="39">
        <v>-120.4196</v>
      </c>
      <c r="N59" s="39">
        <v>823222.80920000002</v>
      </c>
      <c r="O59" s="39">
        <v>1091504.7235000001</v>
      </c>
      <c r="P59" s="39">
        <v>-121.1095</v>
      </c>
      <c r="Q59" s="39">
        <v>823223.21400000004</v>
      </c>
      <c r="R59" s="39">
        <v>1091503.2294000001</v>
      </c>
      <c r="S59" s="39">
        <v>-122.24720000000001</v>
      </c>
      <c r="T59" s="57">
        <f t="shared" si="1"/>
        <v>3.598557877860642</v>
      </c>
      <c r="U59" s="47">
        <f t="shared" si="2"/>
        <v>1.6596926794142024</v>
      </c>
      <c r="V59" s="47">
        <f t="shared" si="3"/>
        <v>1.0251620652061602</v>
      </c>
      <c r="W59" s="57">
        <f t="shared" si="4"/>
        <v>2.8986543498469834</v>
      </c>
      <c r="X59" s="47">
        <f t="shared" si="5"/>
        <v>2.2543690048344751</v>
      </c>
      <c r="Y59" s="57">
        <f t="shared" si="6"/>
        <v>5.2748671642310567</v>
      </c>
      <c r="Z59" s="74">
        <f t="shared" ref="Z59" si="1496">IF(T59="","",(T59-T$10)*1000)</f>
        <v>-0.77987937698376086</v>
      </c>
      <c r="AA59" s="74">
        <f t="shared" ref="AA59" si="1497">IF(U59="","",(U59-U$10)*1000)</f>
        <v>-0.23339259619192809</v>
      </c>
      <c r="AB59" s="74">
        <f t="shared" ref="AB59" si="1498">IF(V59="","",(V59-V$10)*1000)</f>
        <v>-0.28171802145604552</v>
      </c>
      <c r="AC59" s="74">
        <f t="shared" ref="AC59" si="1499">IF(W59="","",(W59-W$10)*1000)</f>
        <v>-9.8423594891277055</v>
      </c>
      <c r="AD59" s="74">
        <f t="shared" ref="AD59" si="1500">IF(X59="","",(X59-X$10)*1000)</f>
        <v>1.4541369491416489</v>
      </c>
      <c r="AE59" s="74">
        <f t="shared" ref="AE59" si="1501">IF(Y59="","",(Y59-Y$10)*1000)</f>
        <v>0.17514919361705239</v>
      </c>
      <c r="AF59" s="40"/>
      <c r="AG59" s="43">
        <f t="shared" si="1465"/>
        <v>-6.8000000901520252</v>
      </c>
      <c r="AH59" s="43">
        <f t="shared" si="1466"/>
        <v>-1.8999997992068529</v>
      </c>
      <c r="AI59" s="43">
        <f t="shared" si="1467"/>
        <v>-6.7500000000109139</v>
      </c>
      <c r="AJ59" s="43">
        <f t="shared" si="1468"/>
        <v>-7.6499999267980456</v>
      </c>
      <c r="AK59" s="43">
        <f t="shared" si="1469"/>
        <v>-6.4999999012798071</v>
      </c>
      <c r="AL59" s="43">
        <f t="shared" si="1470"/>
        <v>-14.249999999989882</v>
      </c>
      <c r="AM59" s="43">
        <f t="shared" si="1471"/>
        <v>-4.7999998787418008</v>
      </c>
      <c r="AN59" s="43">
        <f t="shared" si="1472"/>
        <v>-4.2000000830739737</v>
      </c>
      <c r="AO59" s="43">
        <f t="shared" si="1473"/>
        <v>-12.90000000000191</v>
      </c>
      <c r="AP59" s="43">
        <f t="shared" si="1474"/>
        <v>-4.5999999856576324</v>
      </c>
      <c r="AQ59" s="43">
        <f t="shared" si="1475"/>
        <v>-6.4000000711530447</v>
      </c>
      <c r="AR59" s="43">
        <f t="shared" si="1476"/>
        <v>-10.549999999994952</v>
      </c>
      <c r="AS59" s="43">
        <f t="shared" si="1477"/>
        <v>-2.4499999126419425</v>
      </c>
      <c r="AT59" s="43">
        <f t="shared" si="1478"/>
        <v>0.35000010393559933</v>
      </c>
      <c r="AU59" s="43">
        <f t="shared" si="1479"/>
        <v>-1.250000000013074</v>
      </c>
      <c r="AV59" s="40"/>
      <c r="AW59" s="39">
        <v>170.1028</v>
      </c>
      <c r="AX59" s="39">
        <v>-2.6303999999999998</v>
      </c>
      <c r="AY59" s="39">
        <v>1.4877</v>
      </c>
      <c r="AZ59" s="41">
        <v>170.41970000000001</v>
      </c>
      <c r="BA59" s="42">
        <v>-1.1315</v>
      </c>
      <c r="BB59" s="42">
        <v>2.7467999999999999</v>
      </c>
      <c r="BC59" s="41">
        <v>170.4331</v>
      </c>
      <c r="BD59" s="42">
        <v>0.38579999999999998</v>
      </c>
      <c r="BE59" s="42">
        <v>3.4188999999999998</v>
      </c>
      <c r="BF59" s="41">
        <v>170.6574</v>
      </c>
      <c r="BG59" s="42">
        <v>1.1102000000000001</v>
      </c>
      <c r="BH59" s="42">
        <v>2.7267999999999999</v>
      </c>
      <c r="BI59" s="41">
        <v>170.39269999999999</v>
      </c>
      <c r="BJ59" s="42">
        <v>2.6354000000000002</v>
      </c>
      <c r="BK59" s="42">
        <v>1.5918000000000001</v>
      </c>
      <c r="BL59" s="40"/>
      <c r="BM59" s="43">
        <f t="shared" si="1480"/>
        <v>-6.9000000000016826</v>
      </c>
      <c r="BN59" s="43">
        <f t="shared" si="1481"/>
        <v>-1.0999999999996568</v>
      </c>
      <c r="BO59" s="43">
        <f t="shared" si="1482"/>
        <v>-6.5999999999999392</v>
      </c>
      <c r="BP59" s="43">
        <f t="shared" si="1483"/>
        <v>-9.6000000000060481</v>
      </c>
      <c r="BQ59" s="43">
        <f t="shared" si="1484"/>
        <v>2.7000000000001467</v>
      </c>
      <c r="BR59" s="43">
        <f t="shared" si="1485"/>
        <v>-14.100000000000001</v>
      </c>
      <c r="BS59" s="43">
        <f t="shared" si="1486"/>
        <v>-6.100000000003547</v>
      </c>
      <c r="BT59" s="43">
        <f t="shared" si="1487"/>
        <v>1.6999999999999793</v>
      </c>
      <c r="BU59" s="43">
        <f t="shared" si="1488"/>
        <v>-12.900000000000134</v>
      </c>
      <c r="BV59" s="43">
        <f t="shared" si="1489"/>
        <v>-6.7999999999983629</v>
      </c>
      <c r="BW59" s="43">
        <f t="shared" si="1490"/>
        <v>3.9000000000000146</v>
      </c>
      <c r="BX59" s="43">
        <f t="shared" si="1491"/>
        <v>-10.499999999999954</v>
      </c>
      <c r="BY59" s="43">
        <f t="shared" si="1492"/>
        <v>-2.1000000000128694</v>
      </c>
      <c r="BZ59" s="43">
        <f t="shared" si="1493"/>
        <v>-1.2999999999996348</v>
      </c>
      <c r="CA59" s="43">
        <f t="shared" si="1494"/>
        <v>-1.1999999999998678</v>
      </c>
    </row>
    <row r="60" spans="1:79" ht="29.25" customHeight="1" x14ac:dyDescent="0.2">
      <c r="A60" s="37">
        <v>43857</v>
      </c>
      <c r="B60" s="30">
        <f t="shared" si="1457"/>
        <v>202</v>
      </c>
      <c r="C60" s="38">
        <v>222.9</v>
      </c>
      <c r="D60" s="38">
        <f t="shared" ref="D60" si="1502">C60-PM</f>
        <v>52.5</v>
      </c>
      <c r="E60" s="39">
        <v>823220.72580000001</v>
      </c>
      <c r="F60" s="39">
        <v>1091507.879</v>
      </c>
      <c r="G60" s="39">
        <v>-122.35469999999999</v>
      </c>
      <c r="H60" s="39">
        <v>823221.64630000002</v>
      </c>
      <c r="I60" s="39">
        <v>1091506.6544000001</v>
      </c>
      <c r="J60" s="39">
        <v>-121.0925</v>
      </c>
      <c r="K60" s="39">
        <v>823222.29980000004</v>
      </c>
      <c r="L60" s="39">
        <v>1091505.2849000001</v>
      </c>
      <c r="M60" s="39">
        <v>-120.42019999999999</v>
      </c>
      <c r="N60" s="39">
        <v>823222.80920000002</v>
      </c>
      <c r="O60" s="39">
        <v>1091504.7231000001</v>
      </c>
      <c r="P60" s="39">
        <v>-121.11</v>
      </c>
      <c r="Q60" s="39">
        <v>823223.21389999997</v>
      </c>
      <c r="R60" s="39">
        <v>1091503.2294000001</v>
      </c>
      <c r="S60" s="39">
        <v>-122.2474</v>
      </c>
      <c r="T60" s="57">
        <f t="shared" si="1"/>
        <v>3.5984887188098327</v>
      </c>
      <c r="U60" s="47">
        <f t="shared" si="2"/>
        <v>1.6596926794142082</v>
      </c>
      <c r="V60" s="47">
        <f t="shared" si="3"/>
        <v>1.0251495695792423</v>
      </c>
      <c r="W60" s="57">
        <f t="shared" si="4"/>
        <v>2.8981578459346333</v>
      </c>
      <c r="X60" s="47">
        <f t="shared" si="5"/>
        <v>2.254453891788776</v>
      </c>
      <c r="Y60" s="57">
        <f t="shared" si="6"/>
        <v>5.2745554370725403</v>
      </c>
      <c r="Z60" s="74">
        <f t="shared" ref="Z60:Z62" si="1503">IF(T60="","",(T60-T$10)*1000)</f>
        <v>-0.84903842779304739</v>
      </c>
      <c r="AA60" s="74">
        <f t="shared" ref="AA60:AA62" si="1504">IF(U60="","",(U60-U$10)*1000)</f>
        <v>-0.23339259618615493</v>
      </c>
      <c r="AB60" s="74">
        <f t="shared" ref="AB60:AB62" si="1505">IF(V60="","",(V60-V$10)*1000)</f>
        <v>-0.29421364837389774</v>
      </c>
      <c r="AC60" s="74">
        <f t="shared" ref="AC60:AC62" si="1506">IF(W60="","",(W60-W$10)*1000)</f>
        <v>-10.338863401477827</v>
      </c>
      <c r="AD60" s="74">
        <f t="shared" ref="AD60:AD62" si="1507">IF(X60="","",(X60-X$10)*1000)</f>
        <v>1.5390239034425157</v>
      </c>
      <c r="AE60" s="74">
        <f t="shared" ref="AE60:AE62" si="1508">IF(Y60="","",(Y60-Y$10)*1000)</f>
        <v>-0.13657796489940921</v>
      </c>
      <c r="AF60" s="40"/>
      <c r="AG60" s="43">
        <f t="shared" si="1465"/>
        <v>-6.600000080652535</v>
      </c>
      <c r="AH60" s="43">
        <f t="shared" si="1466"/>
        <v>-2.099999925121665</v>
      </c>
      <c r="AI60" s="43">
        <f t="shared" si="1467"/>
        <v>-7.2499999999990905</v>
      </c>
      <c r="AJ60" s="43">
        <f t="shared" si="1468"/>
        <v>-7.6499999267980456</v>
      </c>
      <c r="AK60" s="43">
        <f t="shared" si="1469"/>
        <v>-6.7999998573213816</v>
      </c>
      <c r="AL60" s="43">
        <f t="shared" si="1470"/>
        <v>-14.849999999995589</v>
      </c>
      <c r="AM60" s="43">
        <f t="shared" si="1471"/>
        <v>-4.7999998787418008</v>
      </c>
      <c r="AN60" s="43">
        <f t="shared" si="1472"/>
        <v>-4.5000000391155481</v>
      </c>
      <c r="AO60" s="43">
        <f t="shared" si="1473"/>
        <v>-13.499999999993406</v>
      </c>
      <c r="AP60" s="43">
        <f t="shared" si="1474"/>
        <v>-4.5999999856576324</v>
      </c>
      <c r="AQ60" s="43">
        <f t="shared" si="1475"/>
        <v>-6.8000000901520252</v>
      </c>
      <c r="AR60" s="43">
        <f t="shared" si="1476"/>
        <v>-11.04999999999734</v>
      </c>
      <c r="AS60" s="43">
        <f t="shared" si="1477"/>
        <v>-2.5499999755993485</v>
      </c>
      <c r="AT60" s="43">
        <f t="shared" si="1478"/>
        <v>0.35000010393559933</v>
      </c>
      <c r="AU60" s="43">
        <f t="shared" si="1479"/>
        <v>-1.4500000000055024</v>
      </c>
      <c r="AV60" s="40"/>
      <c r="AW60" s="39">
        <v>170.10290000000001</v>
      </c>
      <c r="AX60" s="39">
        <v>-2.6301999999999999</v>
      </c>
      <c r="AY60" s="39">
        <v>1.4872000000000001</v>
      </c>
      <c r="AZ60" s="41">
        <v>170.4195</v>
      </c>
      <c r="BA60" s="42">
        <v>-1.1313</v>
      </c>
      <c r="BB60" s="42">
        <v>2.7462</v>
      </c>
      <c r="BC60" s="41">
        <v>170.43299999999999</v>
      </c>
      <c r="BD60" s="42">
        <v>0.3861</v>
      </c>
      <c r="BE60" s="42">
        <v>3.4184000000000001</v>
      </c>
      <c r="BF60" s="41">
        <v>170.65719999999999</v>
      </c>
      <c r="BG60" s="42">
        <v>1.1106</v>
      </c>
      <c r="BH60" s="42">
        <v>2.7263000000000002</v>
      </c>
      <c r="BI60" s="41">
        <v>170.39269999999999</v>
      </c>
      <c r="BJ60" s="42">
        <v>2.6353</v>
      </c>
      <c r="BK60" s="42">
        <v>1.5915999999999999</v>
      </c>
      <c r="BL60" s="40"/>
      <c r="BM60" s="43">
        <f t="shared" si="1480"/>
        <v>-6.7999999999983629</v>
      </c>
      <c r="BN60" s="43">
        <f t="shared" si="1481"/>
        <v>-0.89999999999967883</v>
      </c>
      <c r="BO60" s="43">
        <f t="shared" si="1482"/>
        <v>-7.0999999999998842</v>
      </c>
      <c r="BP60" s="43">
        <f t="shared" si="1483"/>
        <v>-9.8000000000126875</v>
      </c>
      <c r="BQ60" s="43">
        <f t="shared" si="1484"/>
        <v>2.9000000000001247</v>
      </c>
      <c r="BR60" s="43">
        <f t="shared" si="1485"/>
        <v>-14.699999999999935</v>
      </c>
      <c r="BS60" s="43">
        <f t="shared" si="1486"/>
        <v>-6.2000000000068667</v>
      </c>
      <c r="BT60" s="43">
        <f t="shared" si="1487"/>
        <v>2.0000000000000018</v>
      </c>
      <c r="BU60" s="43">
        <f t="shared" si="1488"/>
        <v>-13.399999999999856</v>
      </c>
      <c r="BV60" s="43">
        <f t="shared" si="1489"/>
        <v>-7.0000000000050022</v>
      </c>
      <c r="BW60" s="43">
        <f t="shared" si="1490"/>
        <v>4.2999999999999705</v>
      </c>
      <c r="BX60" s="43">
        <f t="shared" si="1491"/>
        <v>-10.999999999999677</v>
      </c>
      <c r="BY60" s="43">
        <f t="shared" si="1492"/>
        <v>-2.1000000000128694</v>
      </c>
      <c r="BZ60" s="43">
        <f t="shared" si="1493"/>
        <v>-1.3999999999998458</v>
      </c>
      <c r="CA60" s="43">
        <f t="shared" si="1494"/>
        <v>-1.4000000000000679</v>
      </c>
    </row>
    <row r="61" spans="1:79" ht="29.25" customHeight="1" x14ac:dyDescent="0.2">
      <c r="A61" s="37">
        <v>43865</v>
      </c>
      <c r="B61" s="30">
        <f t="shared" ref="B61:B62" si="1509">IF(A61="","",A61-excav)</f>
        <v>210</v>
      </c>
      <c r="C61" s="38">
        <v>222.9</v>
      </c>
      <c r="D61" s="38">
        <f t="shared" ref="D61" si="1510">C61-PM</f>
        <v>52.5</v>
      </c>
      <c r="E61" s="39">
        <v>823220.7254</v>
      </c>
      <c r="F61" s="39">
        <v>1091507.8791</v>
      </c>
      <c r="G61" s="39">
        <v>-122.35509999999999</v>
      </c>
      <c r="H61" s="39">
        <v>823221.64659999998</v>
      </c>
      <c r="I61" s="39">
        <v>1091506.6547000001</v>
      </c>
      <c r="J61" s="39">
        <v>-121.09269999999999</v>
      </c>
      <c r="K61" s="39">
        <v>823222.29980000004</v>
      </c>
      <c r="L61" s="39">
        <v>1091505.2851</v>
      </c>
      <c r="M61" s="39">
        <v>-120.4205</v>
      </c>
      <c r="N61" s="39">
        <v>823222.80889999995</v>
      </c>
      <c r="O61" s="39">
        <v>1091504.7234</v>
      </c>
      <c r="P61" s="39">
        <v>-121.11060000000001</v>
      </c>
      <c r="Q61" s="39">
        <v>823223.21400000004</v>
      </c>
      <c r="R61" s="39">
        <v>1091503.2294999999</v>
      </c>
      <c r="S61" s="39">
        <v>-122.2479</v>
      </c>
      <c r="T61" s="57">
        <f t="shared" ref="T61:T107" si="1511">IF(Xhaut="","",SQRT(((Xintergauche-Xhaut)^2+(Yintergauche-Yhaut)^2)+(Zintergauche-Zhaut)^2))</f>
        <v>3.5986453729622703</v>
      </c>
      <c r="U61" s="47">
        <f t="shared" ref="U61:U62" si="1512">IF(Xhaut="","",SQRT(((Xhautgauche-Xhaut)^2+(Yhautgauche-Yhaut)^2)+(Zhautgauche-Zhaut)^2))</f>
        <v>1.659616594376836</v>
      </c>
      <c r="V61" s="47">
        <f t="shared" ref="V61:V62" si="1513">IF(Xhaut="","",SQRT(((Xhautdroit-Xhaut)^2+(Yhautdroit-Yhaut)^2)+(Zhautdroit-Zhaut)^2))</f>
        <v>1.0251476527135028</v>
      </c>
      <c r="W61" s="57">
        <f t="shared" ref="W61:W107" si="1514">IF(Xhaut="","",SQRT(((Xinterdroit-Xhaut)^2+(Yinterdroit-Yhaut)^2)+(Zinterdroit-Zhaut)^2))</f>
        <v>2.8983864063175528</v>
      </c>
      <c r="X61" s="47">
        <f t="shared" ref="X61:X62" si="1515">IF(Xhautdroit="","",SQRT(((Xhautdroit-Xhautgauche)^2+(Yhautdroit-Yhautgauche)^2)+(Zhautdroit-Zhautgauche)^2))</f>
        <v>2.2541475972383256</v>
      </c>
      <c r="Y61" s="57">
        <f t="shared" ref="Y61:Y107" si="1516">IF(Xinterdroit="","",SQRT(((Xinterdroit-Xintergauche)^2+(Yinterdroit-Yintergauche)^2)+(Zinterdroit-Zintergauche)^2))</f>
        <v>5.2747892812248445</v>
      </c>
      <c r="Z61" s="74">
        <f t="shared" si="1503"/>
        <v>-0.692384275355451</v>
      </c>
      <c r="AA61" s="74">
        <f t="shared" si="1504"/>
        <v>-0.30947763355837488</v>
      </c>
      <c r="AB61" s="74">
        <f t="shared" si="1505"/>
        <v>-0.29613051411336855</v>
      </c>
      <c r="AC61" s="74">
        <f t="shared" si="1506"/>
        <v>-10.110303018558309</v>
      </c>
      <c r="AD61" s="74">
        <f t="shared" si="1507"/>
        <v>1.2327293529921235</v>
      </c>
      <c r="AE61" s="74">
        <f t="shared" si="1508"/>
        <v>9.7266187404798643E-2</v>
      </c>
      <c r="AF61" s="40"/>
      <c r="AG61" s="43">
        <f t="shared" si="1465"/>
        <v>-7.0000000996515155</v>
      </c>
      <c r="AH61" s="43">
        <f t="shared" si="1466"/>
        <v>-1.999999862164259</v>
      </c>
      <c r="AI61" s="43">
        <f t="shared" si="1467"/>
        <v>-7.6499999999981583</v>
      </c>
      <c r="AJ61" s="43">
        <f t="shared" si="1468"/>
        <v>-7.3499999707564712</v>
      </c>
      <c r="AK61" s="43">
        <f t="shared" si="1469"/>
        <v>-6.4999999012798071</v>
      </c>
      <c r="AL61" s="43">
        <f t="shared" si="1470"/>
        <v>-15.049999999988017</v>
      </c>
      <c r="AM61" s="43">
        <f t="shared" si="1471"/>
        <v>-4.7999998787418008</v>
      </c>
      <c r="AN61" s="43">
        <f t="shared" si="1472"/>
        <v>-4.3000001460313797</v>
      </c>
      <c r="AO61" s="43">
        <f t="shared" si="1473"/>
        <v>-13.800000000003365</v>
      </c>
      <c r="AP61" s="43">
        <f t="shared" si="1474"/>
        <v>-4.9000000581145287</v>
      </c>
      <c r="AQ61" s="43">
        <f t="shared" si="1475"/>
        <v>-6.5000001341104507</v>
      </c>
      <c r="AR61" s="43">
        <f t="shared" si="1476"/>
        <v>-11.650000000003047</v>
      </c>
      <c r="AS61" s="43">
        <f t="shared" si="1477"/>
        <v>-2.4499999126419425</v>
      </c>
      <c r="AT61" s="43">
        <f t="shared" si="1478"/>
        <v>0.44999993406236172</v>
      </c>
      <c r="AU61" s="43">
        <f t="shared" si="1479"/>
        <v>-1.9500000000078899</v>
      </c>
      <c r="AV61" s="40"/>
      <c r="AW61" s="39">
        <v>170.1026</v>
      </c>
      <c r="AX61" s="39">
        <v>-2.6303999999999998</v>
      </c>
      <c r="AY61" s="39">
        <v>1.4867999999999999</v>
      </c>
      <c r="AZ61" s="41">
        <v>170.41990000000001</v>
      </c>
      <c r="BA61" s="42">
        <v>-1.1314</v>
      </c>
      <c r="BB61" s="42">
        <v>2.746</v>
      </c>
      <c r="BC61" s="41">
        <v>170.4331</v>
      </c>
      <c r="BD61" s="42">
        <v>0.38590000000000002</v>
      </c>
      <c r="BE61" s="42">
        <v>3.4180000000000001</v>
      </c>
      <c r="BF61" s="41">
        <v>170.65710000000001</v>
      </c>
      <c r="BG61" s="42">
        <v>1.1102000000000001</v>
      </c>
      <c r="BH61" s="42">
        <v>2.7256999999999998</v>
      </c>
      <c r="BI61" s="41">
        <v>170.39279999999999</v>
      </c>
      <c r="BJ61" s="42">
        <v>2.6353</v>
      </c>
      <c r="BK61" s="42">
        <v>1.5911</v>
      </c>
      <c r="BL61" s="40"/>
      <c r="BM61" s="43">
        <f t="shared" si="1480"/>
        <v>-7.1000000000083219</v>
      </c>
      <c r="BN61" s="43">
        <f t="shared" si="1481"/>
        <v>-1.0999999999996568</v>
      </c>
      <c r="BO61" s="43">
        <f t="shared" si="1482"/>
        <v>-7.5000000000000622</v>
      </c>
      <c r="BP61" s="43">
        <f t="shared" si="1483"/>
        <v>-9.3999999999994088</v>
      </c>
      <c r="BQ61" s="43">
        <f t="shared" si="1484"/>
        <v>2.8000000000001357</v>
      </c>
      <c r="BR61" s="43">
        <f t="shared" si="1485"/>
        <v>-14.899999999999913</v>
      </c>
      <c r="BS61" s="43">
        <f t="shared" si="1486"/>
        <v>-6.100000000003547</v>
      </c>
      <c r="BT61" s="43">
        <f t="shared" si="1487"/>
        <v>1.8000000000000238</v>
      </c>
      <c r="BU61" s="43">
        <f t="shared" si="1488"/>
        <v>-13.799999999999812</v>
      </c>
      <c r="BV61" s="43">
        <f t="shared" si="1489"/>
        <v>-7.0999999999799002</v>
      </c>
      <c r="BW61" s="43">
        <f t="shared" si="1490"/>
        <v>3.9000000000000146</v>
      </c>
      <c r="BX61" s="43">
        <f t="shared" si="1491"/>
        <v>-11.600000000000055</v>
      </c>
      <c r="BY61" s="43">
        <f t="shared" si="1492"/>
        <v>-2.0000000000095497</v>
      </c>
      <c r="BZ61" s="43">
        <f t="shared" si="1493"/>
        <v>-1.3999999999998458</v>
      </c>
      <c r="CA61" s="43">
        <f t="shared" si="1494"/>
        <v>-1.9000000000000128</v>
      </c>
    </row>
    <row r="62" spans="1:79" ht="29.25" customHeight="1" x14ac:dyDescent="0.2">
      <c r="A62" s="37">
        <v>43878</v>
      </c>
      <c r="B62" s="30">
        <f t="shared" si="1509"/>
        <v>223</v>
      </c>
      <c r="C62" s="38">
        <v>222.9</v>
      </c>
      <c r="D62" s="38">
        <f t="shared" ref="D62" si="1517">C62-PM</f>
        <v>52.5</v>
      </c>
      <c r="E62" s="39">
        <v>823220.72620000003</v>
      </c>
      <c r="F62" s="39">
        <v>1091507.8785000001</v>
      </c>
      <c r="G62" s="39">
        <v>-122.3553</v>
      </c>
      <c r="H62" s="39">
        <v>823221.64690000005</v>
      </c>
      <c r="I62" s="39">
        <v>1091506.6539</v>
      </c>
      <c r="J62" s="39">
        <v>-121.0934</v>
      </c>
      <c r="K62" s="39">
        <v>823222.30009999999</v>
      </c>
      <c r="L62" s="39">
        <v>1091505.2842999999</v>
      </c>
      <c r="M62" s="39">
        <v>-120.4212</v>
      </c>
      <c r="N62" s="39">
        <v>823222.80949999997</v>
      </c>
      <c r="O62" s="39">
        <v>1091504.7224999999</v>
      </c>
      <c r="P62" s="39">
        <v>-121.111</v>
      </c>
      <c r="Q62" s="39">
        <v>823223.2145</v>
      </c>
      <c r="R62" s="39">
        <v>1091503.2286</v>
      </c>
      <c r="S62" s="39">
        <v>-122.2479</v>
      </c>
      <c r="T62" s="57">
        <f t="shared" si="1511"/>
        <v>3.598302052460034</v>
      </c>
      <c r="U62" s="47">
        <f t="shared" si="1512"/>
        <v>1.6596165943310224</v>
      </c>
      <c r="V62" s="47">
        <f t="shared" si="1513"/>
        <v>1.0251495695792423</v>
      </c>
      <c r="W62" s="57">
        <f t="shared" si="1514"/>
        <v>2.8980791465460993</v>
      </c>
      <c r="X62" s="47">
        <f t="shared" si="1515"/>
        <v>2.2543856103773123</v>
      </c>
      <c r="Y62" s="57">
        <f t="shared" si="1516"/>
        <v>5.2749162704781547</v>
      </c>
      <c r="Z62" s="74">
        <f t="shared" si="1503"/>
        <v>-1.0357047775917394</v>
      </c>
      <c r="AA62" s="74">
        <f t="shared" si="1504"/>
        <v>-0.30947767937195003</v>
      </c>
      <c r="AB62" s="74">
        <f t="shared" si="1505"/>
        <v>-0.29421364837389774</v>
      </c>
      <c r="AC62" s="74">
        <f t="shared" si="1506"/>
        <v>-10.417562790011825</v>
      </c>
      <c r="AD62" s="74">
        <f t="shared" si="1507"/>
        <v>1.4707424919788714</v>
      </c>
      <c r="AE62" s="74">
        <f t="shared" si="1508"/>
        <v>0.22425544071502657</v>
      </c>
      <c r="AF62" s="40"/>
      <c r="AG62" s="43">
        <f t="shared" si="1465"/>
        <v>-6.2000000616535544</v>
      </c>
      <c r="AH62" s="43">
        <f t="shared" si="1466"/>
        <v>-2.5999997742474079</v>
      </c>
      <c r="AI62" s="43">
        <f t="shared" si="1467"/>
        <v>-7.8500000000047976</v>
      </c>
      <c r="AJ62" s="43">
        <f t="shared" si="1468"/>
        <v>-7.0499998982995749</v>
      </c>
      <c r="AK62" s="43">
        <f t="shared" si="1469"/>
        <v>-7.2999999392777681</v>
      </c>
      <c r="AL62" s="43">
        <f t="shared" si="1470"/>
        <v>-15.749999999997044</v>
      </c>
      <c r="AM62" s="43">
        <f t="shared" si="1471"/>
        <v>-4.4999999227002263</v>
      </c>
      <c r="AN62" s="43">
        <f t="shared" si="1472"/>
        <v>-5.1000001840293407</v>
      </c>
      <c r="AO62" s="43">
        <f t="shared" si="1473"/>
        <v>-14.499999999998181</v>
      </c>
      <c r="AP62" s="43">
        <f t="shared" si="1474"/>
        <v>-4.3000000296160579</v>
      </c>
      <c r="AQ62" s="43">
        <f t="shared" si="1475"/>
        <v>-7.4000002350658178</v>
      </c>
      <c r="AR62" s="43">
        <f t="shared" si="1476"/>
        <v>-12.050000000002115</v>
      </c>
      <c r="AS62" s="43">
        <f t="shared" si="1477"/>
        <v>-1.9499999471008778</v>
      </c>
      <c r="AT62" s="43">
        <f t="shared" si="1478"/>
        <v>-0.44999993406236172</v>
      </c>
      <c r="AU62" s="43">
        <f t="shared" si="1479"/>
        <v>-1.9500000000078899</v>
      </c>
      <c r="AV62" s="40"/>
      <c r="AW62" s="39">
        <v>170.10300000000001</v>
      </c>
      <c r="AX62" s="39">
        <v>-2.6295000000000002</v>
      </c>
      <c r="AY62" s="39">
        <v>1.4864999999999999</v>
      </c>
      <c r="AZ62" s="41">
        <v>170.41990000000001</v>
      </c>
      <c r="BA62" s="42">
        <v>-1.1306</v>
      </c>
      <c r="BB62" s="42">
        <v>2.7452999999999999</v>
      </c>
      <c r="BC62" s="41">
        <v>170.43299999999999</v>
      </c>
      <c r="BD62" s="42">
        <v>0.38679999999999998</v>
      </c>
      <c r="BE62" s="42">
        <v>3.4174000000000002</v>
      </c>
      <c r="BF62" s="41">
        <v>170.65719999999999</v>
      </c>
      <c r="BG62" s="42">
        <v>1.1112</v>
      </c>
      <c r="BH62" s="42">
        <v>2.7252999999999998</v>
      </c>
      <c r="BI62" s="41">
        <v>170.3929</v>
      </c>
      <c r="BJ62" s="42">
        <v>2.6362999999999999</v>
      </c>
      <c r="BK62" s="42">
        <v>1.5911</v>
      </c>
      <c r="BL62" s="40"/>
      <c r="BM62" s="43">
        <f t="shared" si="1480"/>
        <v>-6.6999999999950433</v>
      </c>
      <c r="BN62" s="43">
        <f t="shared" si="1481"/>
        <v>-0.19999999999997797</v>
      </c>
      <c r="BO62" s="43">
        <f t="shared" si="1482"/>
        <v>-7.8000000000000291</v>
      </c>
      <c r="BP62" s="43">
        <f t="shared" si="1483"/>
        <v>-9.3999999999994088</v>
      </c>
      <c r="BQ62" s="43">
        <f t="shared" si="1484"/>
        <v>3.6000000000000476</v>
      </c>
      <c r="BR62" s="43">
        <f t="shared" si="1485"/>
        <v>-15.600000000000058</v>
      </c>
      <c r="BS62" s="43">
        <f t="shared" si="1486"/>
        <v>-6.2000000000068667</v>
      </c>
      <c r="BT62" s="43">
        <f t="shared" si="1487"/>
        <v>2.6999999999999802</v>
      </c>
      <c r="BU62" s="43">
        <f t="shared" si="1488"/>
        <v>-14.399999999999746</v>
      </c>
      <c r="BV62" s="43">
        <f t="shared" si="1489"/>
        <v>-7.0000000000050022</v>
      </c>
      <c r="BW62" s="43">
        <f t="shared" si="1490"/>
        <v>4.8999999999999044</v>
      </c>
      <c r="BX62" s="43">
        <f t="shared" si="1491"/>
        <v>-12.000000000000011</v>
      </c>
      <c r="BY62" s="43">
        <f t="shared" si="1492"/>
        <v>-1.90000000000623</v>
      </c>
      <c r="BZ62" s="43">
        <f t="shared" si="1493"/>
        <v>-0.39999999999995595</v>
      </c>
      <c r="CA62" s="43">
        <f t="shared" si="1494"/>
        <v>-1.9000000000000128</v>
      </c>
    </row>
    <row r="63" spans="1:79" ht="29.25" customHeight="1" x14ac:dyDescent="0.2">
      <c r="A63" s="37">
        <v>43886</v>
      </c>
      <c r="B63" s="30">
        <f t="shared" si="1457"/>
        <v>231</v>
      </c>
      <c r="C63" s="38">
        <v>222.9</v>
      </c>
      <c r="D63" s="38">
        <f t="shared" ref="D63" si="1518">C63-PM</f>
        <v>52.5</v>
      </c>
      <c r="E63" s="39">
        <v>823220.72560000001</v>
      </c>
      <c r="F63" s="39">
        <v>1091507.8794</v>
      </c>
      <c r="G63" s="39">
        <v>-122.3552</v>
      </c>
      <c r="H63" s="39">
        <v>823221.64639999997</v>
      </c>
      <c r="I63" s="39">
        <v>1091506.6547000001</v>
      </c>
      <c r="J63" s="39">
        <v>-121.09310000000001</v>
      </c>
      <c r="K63" s="39">
        <v>823222.30009999999</v>
      </c>
      <c r="L63" s="39">
        <v>1091505.2853000001</v>
      </c>
      <c r="M63" s="39">
        <v>-120.4208</v>
      </c>
      <c r="N63" s="39">
        <v>823222.80940000003</v>
      </c>
      <c r="O63" s="39">
        <v>1091504.7234</v>
      </c>
      <c r="P63" s="39">
        <v>-121.1109</v>
      </c>
      <c r="Q63" s="39">
        <v>823223.21429999999</v>
      </c>
      <c r="R63" s="39">
        <v>1091503.2297</v>
      </c>
      <c r="S63" s="39">
        <v>-122.24769999999999</v>
      </c>
      <c r="T63" s="57">
        <f t="shared" si="1511"/>
        <v>3.5986536953829176</v>
      </c>
      <c r="U63" s="39">
        <f t="shared" ref="U63:U77" si="1519">IF(Xhaut="","",SQRT(((Xhautgauche-Xhaut)^2+(Yhautgauche-Yhaut)^2)+(Zhautgauche-Zhaut)^2))</f>
        <v>1.659688928667389</v>
      </c>
      <c r="V63" s="39">
        <f t="shared" ref="V63:V82" si="1520">IF(Xhaut="","",SQRT(((Xhautdroit-Xhaut)^2+(Yhautdroit-Yhaut)^2)+(Zhautdroit-Zhaut)^2))</f>
        <v>1.0253565770665893</v>
      </c>
      <c r="W63" s="57">
        <f t="shared" si="1514"/>
        <v>2.8980711879328238</v>
      </c>
      <c r="X63" s="39">
        <f t="shared" ref="X63:X77" si="1521">IF(Xhautdroit="","",SQRT(((Xhautdroit-Xhautgauche)^2+(Yhautdroit-Yhautgauche)^2)+(Zhautdroit-Zhautgauche)^2))</f>
        <v>2.2545078244148979</v>
      </c>
      <c r="Y63" s="57">
        <f t="shared" si="1516"/>
        <v>5.2749307132396295</v>
      </c>
      <c r="Z63" s="43">
        <f t="shared" ref="Z63:Z80" si="1522">IF(T63="","",(T63-T$10)*1000)</f>
        <v>-0.68406185470815117</v>
      </c>
      <c r="AA63" s="43">
        <f t="shared" ref="AA63:AA80" si="1523">IF(U63="","",(U63-U$10)*1000)</f>
        <v>-0.23714334300528606</v>
      </c>
      <c r="AB63" s="43">
        <f t="shared" ref="AB63:AB80" si="1524">IF(V63="","",(V63-V$10)*1000)</f>
        <v>-8.7206161026864848E-2</v>
      </c>
      <c r="AC63" s="43">
        <f t="shared" ref="AC63:AC80" si="1525">IF(W63="","",(W63-W$10)*1000)</f>
        <v>-10.425521403287341</v>
      </c>
      <c r="AD63" s="43">
        <f t="shared" ref="AD63:AD80" si="1526">IF(X63="","",(X63-X$10)*1000)</f>
        <v>1.5929565295644821</v>
      </c>
      <c r="AE63" s="43">
        <f t="shared" ref="AE63:AE80" si="1527">IF(Y63="","",(Y63-Y$10)*1000)</f>
        <v>0.23869820218980209</v>
      </c>
      <c r="AF63" s="40"/>
      <c r="AG63" s="43">
        <f t="shared" si="1465"/>
        <v>-6.8000000901520252</v>
      </c>
      <c r="AH63" s="43">
        <f t="shared" si="1466"/>
        <v>-1.6999999061226845</v>
      </c>
      <c r="AI63" s="43">
        <f t="shared" si="1467"/>
        <v>-7.7500000000014779</v>
      </c>
      <c r="AJ63" s="43">
        <f t="shared" si="1468"/>
        <v>-7.5499999802559614</v>
      </c>
      <c r="AK63" s="43">
        <f t="shared" si="1469"/>
        <v>-6.4999999012798071</v>
      </c>
      <c r="AL63" s="43">
        <f t="shared" si="1470"/>
        <v>-15.450000000001296</v>
      </c>
      <c r="AM63" s="43">
        <f t="shared" si="1471"/>
        <v>-4.4999999227002263</v>
      </c>
      <c r="AN63" s="43">
        <f t="shared" si="1472"/>
        <v>-4.1000000201165676</v>
      </c>
      <c r="AO63" s="43">
        <f t="shared" si="1473"/>
        <v>-14.099999999999113</v>
      </c>
      <c r="AP63" s="43">
        <f t="shared" si="1474"/>
        <v>-4.3999999761581421</v>
      </c>
      <c r="AQ63" s="43">
        <f t="shared" si="1475"/>
        <v>-6.5000001341104507</v>
      </c>
      <c r="AR63" s="43">
        <f t="shared" si="1476"/>
        <v>-11.949999999998795</v>
      </c>
      <c r="AS63" s="43">
        <f t="shared" si="1477"/>
        <v>-2.149999956600368</v>
      </c>
      <c r="AT63" s="43">
        <f t="shared" si="1478"/>
        <v>0.65000005997717381</v>
      </c>
      <c r="AU63" s="43">
        <f t="shared" si="1479"/>
        <v>-1.7500000000012506</v>
      </c>
      <c r="AV63" s="40"/>
      <c r="AW63" s="39">
        <v>170.10290000000001</v>
      </c>
      <c r="AX63" s="39">
        <v>-2.6305999999999998</v>
      </c>
      <c r="AY63" s="39">
        <v>1.4866999999999999</v>
      </c>
      <c r="AZ63" s="41">
        <v>170.41980000000001</v>
      </c>
      <c r="BA63" s="42">
        <v>-1.1315</v>
      </c>
      <c r="BB63" s="42">
        <v>2.7456</v>
      </c>
      <c r="BC63" s="41">
        <v>170.43340000000001</v>
      </c>
      <c r="BD63" s="42">
        <v>0.38590000000000002</v>
      </c>
      <c r="BE63" s="42">
        <v>3.4177</v>
      </c>
      <c r="BF63" s="41">
        <v>170.6575</v>
      </c>
      <c r="BG63" s="42">
        <v>1.1104000000000001</v>
      </c>
      <c r="BH63" s="42">
        <v>2.7254</v>
      </c>
      <c r="BI63" s="41">
        <v>170.3931</v>
      </c>
      <c r="BJ63" s="42">
        <v>2.6352000000000002</v>
      </c>
      <c r="BK63" s="42">
        <v>1.5911999999999999</v>
      </c>
      <c r="BL63" s="40"/>
      <c r="BM63" s="43">
        <f t="shared" si="1480"/>
        <v>-6.7999999999983629</v>
      </c>
      <c r="BN63" s="43">
        <f t="shared" si="1481"/>
        <v>-1.2999999999996348</v>
      </c>
      <c r="BO63" s="43">
        <f t="shared" si="1482"/>
        <v>-7.6000000000000512</v>
      </c>
      <c r="BP63" s="43">
        <f t="shared" si="1483"/>
        <v>-9.5000000000027285</v>
      </c>
      <c r="BQ63" s="43">
        <f t="shared" si="1484"/>
        <v>2.7000000000001467</v>
      </c>
      <c r="BR63" s="43">
        <f t="shared" si="1485"/>
        <v>-15.299999999999869</v>
      </c>
      <c r="BS63" s="43">
        <f t="shared" si="1486"/>
        <v>-5.7999999999935881</v>
      </c>
      <c r="BT63" s="43">
        <f t="shared" si="1487"/>
        <v>1.8000000000000238</v>
      </c>
      <c r="BU63" s="43">
        <f t="shared" si="1488"/>
        <v>-14.100000000000001</v>
      </c>
      <c r="BV63" s="43">
        <f t="shared" si="1489"/>
        <v>-6.6999999999950433</v>
      </c>
      <c r="BW63" s="43">
        <f t="shared" si="1490"/>
        <v>4.0999999999999925</v>
      </c>
      <c r="BX63" s="43">
        <f t="shared" si="1491"/>
        <v>-11.8999999999998</v>
      </c>
      <c r="BY63" s="43">
        <f t="shared" si="1492"/>
        <v>-1.6999999999995907</v>
      </c>
      <c r="BZ63" s="43">
        <f t="shared" si="1493"/>
        <v>-1.4999999999996128</v>
      </c>
      <c r="CA63" s="43">
        <f t="shared" si="1494"/>
        <v>-1.8000000000000238</v>
      </c>
    </row>
    <row r="64" spans="1:79" ht="29.25" customHeight="1" x14ac:dyDescent="0.2">
      <c r="A64" s="37">
        <v>43896</v>
      </c>
      <c r="B64" s="30">
        <f t="shared" si="1457"/>
        <v>241</v>
      </c>
      <c r="C64" s="38">
        <v>222.9</v>
      </c>
      <c r="D64" s="38">
        <f t="shared" ref="D64" si="1528">C64-PM</f>
        <v>52.5</v>
      </c>
      <c r="E64" s="39">
        <v>823220.7254</v>
      </c>
      <c r="F64" s="39">
        <v>1091507.879</v>
      </c>
      <c r="G64" s="39">
        <v>-122.3552</v>
      </c>
      <c r="H64" s="39">
        <v>823221.6459</v>
      </c>
      <c r="I64" s="39">
        <v>1091506.6540999999</v>
      </c>
      <c r="J64" s="39">
        <v>-121.0934</v>
      </c>
      <c r="K64" s="39">
        <v>823222.29960000003</v>
      </c>
      <c r="L64" s="39">
        <v>1091505.2844</v>
      </c>
      <c r="M64" s="39">
        <v>-120.42100000000001</v>
      </c>
      <c r="N64" s="39">
        <v>823222.80929999996</v>
      </c>
      <c r="O64" s="39">
        <v>1091504.7226</v>
      </c>
      <c r="P64" s="39">
        <v>-121.1108</v>
      </c>
      <c r="Q64" s="39">
        <v>823223.21400000004</v>
      </c>
      <c r="R64" s="39">
        <v>1091503.2291000001</v>
      </c>
      <c r="S64" s="39">
        <v>-122.24760000000001</v>
      </c>
      <c r="T64" s="57">
        <f t="shared" si="1511"/>
        <v>3.598775408365555</v>
      </c>
      <c r="U64" s="39">
        <f t="shared" si="1519"/>
        <v>1.6599769696657396</v>
      </c>
      <c r="V64" s="39">
        <f t="shared" si="1520"/>
        <v>1.0252986735403804</v>
      </c>
      <c r="W64" s="57">
        <f t="shared" si="1514"/>
        <v>2.8977323909511261</v>
      </c>
      <c r="X64" s="39">
        <f t="shared" si="1521"/>
        <v>2.2548823848946937</v>
      </c>
      <c r="Y64" s="57">
        <f t="shared" si="1516"/>
        <v>5.2750618696609139</v>
      </c>
      <c r="Z64" s="43">
        <f t="shared" ref="Z64" si="1529">IF(T64="","",(T64-T$10)*1000)</f>
        <v>-0.56234887207073925</v>
      </c>
      <c r="AA64" s="43">
        <f t="shared" ref="AA64" si="1530">IF(U64="","",(U64-U$10)*1000)</f>
        <v>5.0897655345272241E-2</v>
      </c>
      <c r="AB64" s="43">
        <f t="shared" ref="AB64" si="1531">IF(V64="","",(V64-V$10)*1000)</f>
        <v>-0.14510968723580042</v>
      </c>
      <c r="AC64" s="43">
        <f t="shared" ref="AC64" si="1532">IF(W64="","",(W64-W$10)*1000)</f>
        <v>-10.764318384985039</v>
      </c>
      <c r="AD64" s="43">
        <f t="shared" ref="AD64" si="1533">IF(X64="","",(X64-X$10)*1000)</f>
        <v>1.9675170093602645</v>
      </c>
      <c r="AE64" s="43">
        <f t="shared" ref="AE64" si="1534">IF(Y64="","",(Y64-Y$10)*1000)</f>
        <v>0.369854623474275</v>
      </c>
      <c r="AF64" s="40"/>
      <c r="AG64" s="43">
        <f t="shared" si="1465"/>
        <v>-7.0000000996515155</v>
      </c>
      <c r="AH64" s="43">
        <f t="shared" si="1466"/>
        <v>-2.099999925121665</v>
      </c>
      <c r="AI64" s="43">
        <f t="shared" si="1467"/>
        <v>-7.7500000000014779</v>
      </c>
      <c r="AJ64" s="43">
        <f t="shared" si="1468"/>
        <v>-8.0499999457970262</v>
      </c>
      <c r="AK64" s="43">
        <f t="shared" si="1469"/>
        <v>-7.1000000461935997</v>
      </c>
      <c r="AL64" s="43">
        <f t="shared" si="1470"/>
        <v>-15.749999999997044</v>
      </c>
      <c r="AM64" s="43">
        <f t="shared" si="1471"/>
        <v>-4.999999888241291</v>
      </c>
      <c r="AN64" s="43">
        <f t="shared" si="1472"/>
        <v>-5.0000001210719347</v>
      </c>
      <c r="AO64" s="43">
        <f t="shared" si="1473"/>
        <v>-14.300000000005753</v>
      </c>
      <c r="AP64" s="43">
        <f t="shared" si="1474"/>
        <v>-4.5000000391155481</v>
      </c>
      <c r="AQ64" s="43">
        <f t="shared" si="1475"/>
        <v>-7.3000001721084118</v>
      </c>
      <c r="AR64" s="43">
        <f t="shared" si="1476"/>
        <v>-11.849999999995475</v>
      </c>
      <c r="AS64" s="43">
        <f t="shared" si="1477"/>
        <v>-2.4499999126419425</v>
      </c>
      <c r="AT64" s="43">
        <f t="shared" si="1478"/>
        <v>5.0000147894024849E-2</v>
      </c>
      <c r="AU64" s="43">
        <f t="shared" si="1479"/>
        <v>-1.6500000000121418</v>
      </c>
      <c r="AV64" s="40"/>
      <c r="AW64" s="39">
        <v>170.10249999999999</v>
      </c>
      <c r="AX64" s="39">
        <v>-2.6303000000000001</v>
      </c>
      <c r="AY64" s="39">
        <v>1.4866999999999999</v>
      </c>
      <c r="AZ64" s="41">
        <v>170.41900000000001</v>
      </c>
      <c r="BA64" s="42">
        <v>-1.1312</v>
      </c>
      <c r="BB64" s="42">
        <v>2.7452999999999999</v>
      </c>
      <c r="BC64" s="41">
        <v>170.43260000000001</v>
      </c>
      <c r="BD64" s="42">
        <v>0.38650000000000001</v>
      </c>
      <c r="BE64" s="42">
        <v>3.4176000000000002</v>
      </c>
      <c r="BF64" s="41">
        <v>170.65710000000001</v>
      </c>
      <c r="BG64" s="42">
        <v>1.1111</v>
      </c>
      <c r="BH64" s="42">
        <v>2.7254999999999998</v>
      </c>
      <c r="BI64" s="41">
        <v>170.39259999999999</v>
      </c>
      <c r="BJ64" s="42">
        <v>2.6356000000000002</v>
      </c>
      <c r="BK64" s="42">
        <v>1.5913999999999999</v>
      </c>
      <c r="BL64" s="40"/>
      <c r="BM64" s="43">
        <f t="shared" si="1480"/>
        <v>-7.2000000000116415</v>
      </c>
      <c r="BN64" s="43">
        <f t="shared" si="1481"/>
        <v>-0.99999999999988987</v>
      </c>
      <c r="BO64" s="43">
        <f t="shared" si="1482"/>
        <v>-7.6000000000000512</v>
      </c>
      <c r="BP64" s="43">
        <f t="shared" si="1483"/>
        <v>-10.300000000000864</v>
      </c>
      <c r="BQ64" s="43">
        <f t="shared" si="1484"/>
        <v>3.0000000000001137</v>
      </c>
      <c r="BR64" s="43">
        <f t="shared" si="1485"/>
        <v>-15.600000000000058</v>
      </c>
      <c r="BS64" s="43">
        <f t="shared" si="1486"/>
        <v>-6.5999999999917236</v>
      </c>
      <c r="BT64" s="43">
        <f t="shared" si="1487"/>
        <v>2.4000000000000132</v>
      </c>
      <c r="BU64" s="43">
        <f t="shared" si="1488"/>
        <v>-14.199999999999768</v>
      </c>
      <c r="BV64" s="43">
        <f t="shared" si="1489"/>
        <v>-7.0999999999799002</v>
      </c>
      <c r="BW64" s="43">
        <f t="shared" si="1490"/>
        <v>4.7999999999999154</v>
      </c>
      <c r="BX64" s="43">
        <f t="shared" si="1491"/>
        <v>-11.800000000000033</v>
      </c>
      <c r="BY64" s="43">
        <f t="shared" si="1492"/>
        <v>-2.200000000016189</v>
      </c>
      <c r="BZ64" s="43">
        <f t="shared" si="1493"/>
        <v>-1.0999999999996568</v>
      </c>
      <c r="CA64" s="43">
        <f t="shared" si="1494"/>
        <v>-1.6000000000000458</v>
      </c>
    </row>
    <row r="65" spans="1:79" ht="29.25" customHeight="1" x14ac:dyDescent="0.2">
      <c r="A65" s="37">
        <v>43970</v>
      </c>
      <c r="B65" s="30">
        <f t="shared" si="1457"/>
        <v>315</v>
      </c>
      <c r="C65" s="38">
        <v>222.9</v>
      </c>
      <c r="D65" s="38">
        <f t="shared" ref="D65" si="1535">C65-PM</f>
        <v>52.5</v>
      </c>
      <c r="E65" s="39">
        <v>823220.72510000004</v>
      </c>
      <c r="F65" s="39">
        <v>1091507.878</v>
      </c>
      <c r="G65" s="39">
        <v>-122.35599999999999</v>
      </c>
      <c r="H65" s="39">
        <v>823221.64529999997</v>
      </c>
      <c r="I65" s="39">
        <v>1091506.6529999999</v>
      </c>
      <c r="J65" s="39">
        <v>-121.0951</v>
      </c>
      <c r="K65" s="39">
        <v>823222.29920000001</v>
      </c>
      <c r="L65" s="39">
        <v>1091505.284</v>
      </c>
      <c r="M65" s="39">
        <v>-120.4225</v>
      </c>
      <c r="N65" s="39">
        <v>823222.8088</v>
      </c>
      <c r="O65" s="39">
        <v>1091504.7220000001</v>
      </c>
      <c r="P65" s="39">
        <v>-121.1122</v>
      </c>
      <c r="Q65" s="39">
        <v>823223.21369999996</v>
      </c>
      <c r="R65" s="39">
        <v>1091503.2290000001</v>
      </c>
      <c r="S65" s="39">
        <v>-122.24769999999999</v>
      </c>
      <c r="T65" s="57">
        <f t="shared" si="1511"/>
        <v>3.5979228813462147</v>
      </c>
      <c r="U65" s="39">
        <f t="shared" si="1519"/>
        <v>1.6595592697766297</v>
      </c>
      <c r="V65" s="39">
        <f t="shared" si="1520"/>
        <v>1.0252913000206392</v>
      </c>
      <c r="W65" s="57">
        <f t="shared" si="1514"/>
        <v>2.8966688263676739</v>
      </c>
      <c r="X65" s="39">
        <f t="shared" si="1521"/>
        <v>2.2545034175042655</v>
      </c>
      <c r="Y65" s="57">
        <f t="shared" si="1516"/>
        <v>5.2742828753677529</v>
      </c>
      <c r="Z65" s="43">
        <f t="shared" ref="Z65" si="1536">IF(T65="","",(T65-T$10)*1000)</f>
        <v>-1.4148758914109827</v>
      </c>
      <c r="AA65" s="43">
        <f t="shared" ref="AA65" si="1537">IF(U65="","",(U65-U$10)*1000)</f>
        <v>-0.36680223376461818</v>
      </c>
      <c r="AB65" s="43">
        <f t="shared" ref="AB65" si="1538">IF(V65="","",(V65-V$10)*1000)</f>
        <v>-0.15248320697702766</v>
      </c>
      <c r="AC65" s="43">
        <f t="shared" ref="AC65" si="1539">IF(W65="","",(W65-W$10)*1000)</f>
        <v>-11.827882968437287</v>
      </c>
      <c r="AD65" s="43">
        <f t="shared" ref="AD65" si="1540">IF(X65="","",(X65-X$10)*1000)</f>
        <v>1.5885496189320669</v>
      </c>
      <c r="AE65" s="43">
        <f t="shared" ref="AE65" si="1541">IF(Y65="","",(Y65-Y$10)*1000)</f>
        <v>-0.40913966968680882</v>
      </c>
      <c r="AF65" s="40"/>
      <c r="AG65" s="43">
        <f t="shared" si="1465"/>
        <v>-7.30000005569309</v>
      </c>
      <c r="AH65" s="43">
        <f t="shared" si="1466"/>
        <v>-3.0999998562037945</v>
      </c>
      <c r="AI65" s="43">
        <f t="shared" si="1467"/>
        <v>-8.5499999999996135</v>
      </c>
      <c r="AJ65" s="43">
        <f t="shared" si="1468"/>
        <v>-8.6499999742954969</v>
      </c>
      <c r="AK65" s="43">
        <f t="shared" si="1469"/>
        <v>-8.2000000402331352</v>
      </c>
      <c r="AL65" s="43">
        <f t="shared" si="1470"/>
        <v>-17.449999999996635</v>
      </c>
      <c r="AM65" s="43">
        <f t="shared" si="1471"/>
        <v>-5.3999999072402716</v>
      </c>
      <c r="AN65" s="43">
        <f t="shared" si="1472"/>
        <v>-5.4000001400709152</v>
      </c>
      <c r="AO65" s="43">
        <f t="shared" si="1473"/>
        <v>-15.799999999998704</v>
      </c>
      <c r="AP65" s="43">
        <f t="shared" si="1474"/>
        <v>-5.0000000046566129</v>
      </c>
      <c r="AQ65" s="43">
        <f t="shared" si="1475"/>
        <v>-7.9000000841915607</v>
      </c>
      <c r="AR65" s="43">
        <f t="shared" si="1476"/>
        <v>-13.249999999999318</v>
      </c>
      <c r="AS65" s="43">
        <f t="shared" si="1477"/>
        <v>-2.7499999850988388</v>
      </c>
      <c r="AT65" s="43">
        <f t="shared" si="1478"/>
        <v>-4.9999915063381195E-2</v>
      </c>
      <c r="AU65" s="43">
        <f t="shared" si="1479"/>
        <v>-1.7500000000012506</v>
      </c>
      <c r="AV65" s="40"/>
      <c r="AW65" s="39">
        <v>170.1018</v>
      </c>
      <c r="AX65" s="39">
        <v>-2.6295999999999999</v>
      </c>
      <c r="AY65" s="39">
        <v>1.4859</v>
      </c>
      <c r="AZ65" s="41">
        <v>170.41820000000001</v>
      </c>
      <c r="BA65" s="42">
        <v>-1.1307</v>
      </c>
      <c r="BB65" s="42">
        <v>2.7435999999999998</v>
      </c>
      <c r="BC65" s="41">
        <v>170.43209999999999</v>
      </c>
      <c r="BD65" s="42">
        <v>0.3866</v>
      </c>
      <c r="BE65" s="42">
        <v>3.4161000000000001</v>
      </c>
      <c r="BF65" s="41">
        <v>170.65629999999999</v>
      </c>
      <c r="BG65" s="42">
        <v>1.1114999999999999</v>
      </c>
      <c r="BH65" s="42">
        <v>2.7241</v>
      </c>
      <c r="BI65" s="41">
        <v>170.3922</v>
      </c>
      <c r="BJ65" s="42">
        <v>2.6358000000000001</v>
      </c>
      <c r="BK65" s="42">
        <v>1.5912999999999999</v>
      </c>
      <c r="BL65" s="40"/>
      <c r="BM65" s="43">
        <f t="shared" ref="BM65" si="1542">IF(AW65="","",(AW65-AW$10)*1000)</f>
        <v>-7.9000000000064574</v>
      </c>
      <c r="BN65" s="43">
        <f t="shared" ref="BN65" si="1543">IF(AX65="","",(AX65-AX$10)*1000)</f>
        <v>-0.29999999999974492</v>
      </c>
      <c r="BO65" s="43">
        <f t="shared" ref="BO65" si="1544">IF(AY65="","",(AY65-AY$10)*1000)</f>
        <v>-8.3999999999999631</v>
      </c>
      <c r="BP65" s="43">
        <f t="shared" ref="BP65" si="1545">IF(AZ65="","",(AZ65-AZ$10)*1000)</f>
        <v>-11.099999999999</v>
      </c>
      <c r="BQ65" s="43">
        <f t="shared" ref="BQ65" si="1546">IF(BA65="","",(BA65-BA$10)*1000)</f>
        <v>3.5000000000000586</v>
      </c>
      <c r="BR65" s="43">
        <f t="shared" ref="BR65" si="1547">IF(BB65="","",(BB65-BB$10)*1000)</f>
        <v>-17.300000000000093</v>
      </c>
      <c r="BS65" s="43">
        <f t="shared" ref="BS65" si="1548">IF(BC65="","",(BC65-BC$10)*1000)</f>
        <v>-7.1000000000083219</v>
      </c>
      <c r="BT65" s="43">
        <f t="shared" ref="BT65" si="1549">IF(BD65="","",(BD65-BD$10)*1000)</f>
        <v>2.5000000000000022</v>
      </c>
      <c r="BU65" s="43">
        <f t="shared" ref="BU65" si="1550">IF(BE65="","",(BE65-BE$10)*1000)</f>
        <v>-15.699999999999825</v>
      </c>
      <c r="BV65" s="43">
        <f t="shared" ref="BV65" si="1551">IF(BF65="","",(BF65-BF$10)*1000)</f>
        <v>-7.9000000000064574</v>
      </c>
      <c r="BW65" s="43">
        <f t="shared" ref="BW65" si="1552">IF(BG65="","",(BG65-BG$10)*1000)</f>
        <v>5.1999999999998714</v>
      </c>
      <c r="BX65" s="43">
        <f t="shared" ref="BX65" si="1553">IF(BH65="","",(BH65-BH$10)*1000)</f>
        <v>-13.199999999999878</v>
      </c>
      <c r="BY65" s="43">
        <f t="shared" ref="BY65" si="1554">IF(BI65="","",(BI65-BI$10)*1000)</f>
        <v>-2.6000000000010459</v>
      </c>
      <c r="BZ65" s="43">
        <f t="shared" ref="BZ65" si="1555">IF(BJ65="","",(BJ65-BJ$10)*1000)</f>
        <v>-0.89999999999967883</v>
      </c>
      <c r="CA65" s="43">
        <f t="shared" ref="CA65" si="1556">IF(BK65="","",(BK65-BK$10)*1000)</f>
        <v>-1.7000000000000348</v>
      </c>
    </row>
    <row r="66" spans="1:79" ht="29.25" customHeight="1" x14ac:dyDescent="0.2">
      <c r="A66" s="37">
        <v>43977</v>
      </c>
      <c r="B66" s="30">
        <f t="shared" si="1457"/>
        <v>322</v>
      </c>
      <c r="C66" s="38">
        <v>222.9</v>
      </c>
      <c r="D66" s="38">
        <f t="shared" ref="D66" si="1557">C66-PM</f>
        <v>52.5</v>
      </c>
      <c r="E66" s="39">
        <v>823220.72560000001</v>
      </c>
      <c r="F66" s="39">
        <v>1091507.8785999999</v>
      </c>
      <c r="G66" s="39">
        <v>-122.3556</v>
      </c>
      <c r="H66" s="39">
        <v>823221.64580000006</v>
      </c>
      <c r="I66" s="39">
        <v>1091506.6535</v>
      </c>
      <c r="J66" s="39">
        <v>-121.0946</v>
      </c>
      <c r="K66" s="39">
        <v>823222.29960000003</v>
      </c>
      <c r="L66" s="39">
        <v>1091505.2841</v>
      </c>
      <c r="M66" s="39">
        <v>-120.4222</v>
      </c>
      <c r="N66" s="39">
        <v>823222.80909999995</v>
      </c>
      <c r="O66" s="39">
        <v>1091504.7220999999</v>
      </c>
      <c r="P66" s="39">
        <v>-121.1118</v>
      </c>
      <c r="Q66" s="39">
        <v>823223.21380000003</v>
      </c>
      <c r="R66" s="39">
        <v>1091503.2290000001</v>
      </c>
      <c r="S66" s="39">
        <v>-122.24760000000001</v>
      </c>
      <c r="T66" s="57">
        <f t="shared" si="1511"/>
        <v>3.5981859053556531</v>
      </c>
      <c r="U66" s="39">
        <f t="shared" si="1519"/>
        <v>1.6597688272380569</v>
      </c>
      <c r="V66" s="39">
        <f t="shared" si="1520"/>
        <v>1.0251743315629578</v>
      </c>
      <c r="W66" s="57">
        <f t="shared" si="1514"/>
        <v>2.8967711007239521</v>
      </c>
      <c r="X66" s="39">
        <f t="shared" si="1521"/>
        <v>2.2547435974447536</v>
      </c>
      <c r="Y66" s="57">
        <f t="shared" si="1516"/>
        <v>5.274616895952235</v>
      </c>
      <c r="Z66" s="43">
        <f t="shared" si="1522"/>
        <v>-1.1518518819726431</v>
      </c>
      <c r="AA66" s="43">
        <f t="shared" si="1523"/>
        <v>-0.15724477233747258</v>
      </c>
      <c r="AB66" s="43">
        <f t="shared" si="1524"/>
        <v>-0.26945166465841552</v>
      </c>
      <c r="AC66" s="43">
        <f t="shared" si="1525"/>
        <v>-11.7256086121591</v>
      </c>
      <c r="AD66" s="43">
        <f t="shared" si="1526"/>
        <v>1.8287295594201503</v>
      </c>
      <c r="AE66" s="43">
        <f t="shared" si="1527"/>
        <v>-7.5119085204633507E-2</v>
      </c>
      <c r="AF66" s="40"/>
      <c r="AG66" s="43">
        <f t="shared" si="1465"/>
        <v>-6.8000000901520252</v>
      </c>
      <c r="AH66" s="43">
        <f t="shared" si="1466"/>
        <v>-2.4999999441206455</v>
      </c>
      <c r="AI66" s="43">
        <f t="shared" si="1467"/>
        <v>-8.1500000000005457</v>
      </c>
      <c r="AJ66" s="43">
        <f t="shared" si="1468"/>
        <v>-8.1499998923391104</v>
      </c>
      <c r="AK66" s="43">
        <f t="shared" si="1469"/>
        <v>-7.6999999582767487</v>
      </c>
      <c r="AL66" s="43">
        <f t="shared" si="1470"/>
        <v>-16.949999999994247</v>
      </c>
      <c r="AM66" s="43">
        <f t="shared" si="1471"/>
        <v>-4.999999888241291</v>
      </c>
      <c r="AN66" s="43">
        <f t="shared" si="1472"/>
        <v>-5.3000000771135092</v>
      </c>
      <c r="AO66" s="43">
        <f t="shared" si="1473"/>
        <v>-15.500000000002956</v>
      </c>
      <c r="AP66" s="43">
        <f t="shared" si="1474"/>
        <v>-4.7000000486150384</v>
      </c>
      <c r="AQ66" s="43">
        <f t="shared" si="1475"/>
        <v>-7.8000002540647984</v>
      </c>
      <c r="AR66" s="43">
        <f t="shared" si="1476"/>
        <v>-12.85000000000025</v>
      </c>
      <c r="AS66" s="43">
        <f t="shared" si="1477"/>
        <v>-2.6499999221414328</v>
      </c>
      <c r="AT66" s="43">
        <f t="shared" si="1478"/>
        <v>-4.9999915063381195E-2</v>
      </c>
      <c r="AU66" s="43">
        <f t="shared" si="1479"/>
        <v>-1.6500000000121418</v>
      </c>
      <c r="AV66" s="40"/>
      <c r="AW66" s="39">
        <v>170.10249999999999</v>
      </c>
      <c r="AX66" s="39">
        <v>-2.6299000000000001</v>
      </c>
      <c r="AY66" s="39">
        <v>1.4863</v>
      </c>
      <c r="AZ66" s="41">
        <v>170.4187</v>
      </c>
      <c r="BA66" s="42">
        <v>-1.1307</v>
      </c>
      <c r="BB66" s="42">
        <v>2.7441</v>
      </c>
      <c r="BC66" s="41">
        <v>170.4325</v>
      </c>
      <c r="BD66" s="42">
        <v>0.38669999999999999</v>
      </c>
      <c r="BE66" s="42">
        <v>3.4163999999999999</v>
      </c>
      <c r="BF66" s="41">
        <v>170.6567</v>
      </c>
      <c r="BG66" s="42">
        <v>1.1113999999999999</v>
      </c>
      <c r="BH66" s="42">
        <v>2.7244999999999999</v>
      </c>
      <c r="BI66" s="41">
        <v>170.39240000000001</v>
      </c>
      <c r="BJ66" s="42">
        <v>2.6356999999999999</v>
      </c>
      <c r="BK66" s="42">
        <v>1.5913999999999999</v>
      </c>
      <c r="BL66" s="40"/>
      <c r="BM66" s="43">
        <f t="shared" si="1480"/>
        <v>-7.2000000000116415</v>
      </c>
      <c r="BN66" s="43">
        <f t="shared" si="1481"/>
        <v>-0.59999999999993392</v>
      </c>
      <c r="BO66" s="43">
        <f t="shared" si="1482"/>
        <v>-8.0000000000000071</v>
      </c>
      <c r="BP66" s="43">
        <f t="shared" si="1483"/>
        <v>-10.600000000010823</v>
      </c>
      <c r="BQ66" s="43">
        <f t="shared" si="1484"/>
        <v>3.5000000000000586</v>
      </c>
      <c r="BR66" s="43">
        <f t="shared" si="1485"/>
        <v>-16.799999999999926</v>
      </c>
      <c r="BS66" s="43">
        <f t="shared" si="1486"/>
        <v>-6.6999999999950433</v>
      </c>
      <c r="BT66" s="43">
        <f t="shared" si="1487"/>
        <v>2.5999999999999912</v>
      </c>
      <c r="BU66" s="43">
        <f t="shared" si="1488"/>
        <v>-15.40000000000008</v>
      </c>
      <c r="BV66" s="43">
        <f t="shared" si="1489"/>
        <v>-7.4999999999931788</v>
      </c>
      <c r="BW66" s="43">
        <f t="shared" si="1490"/>
        <v>5.0999999999998824</v>
      </c>
      <c r="BX66" s="43">
        <f t="shared" si="1491"/>
        <v>-12.799999999999923</v>
      </c>
      <c r="BY66" s="43">
        <f t="shared" si="1492"/>
        <v>-2.3999999999944066</v>
      </c>
      <c r="BZ66" s="43">
        <f t="shared" si="1493"/>
        <v>-0.99999999999988987</v>
      </c>
      <c r="CA66" s="43">
        <f t="shared" si="1494"/>
        <v>-1.6000000000000458</v>
      </c>
    </row>
    <row r="67" spans="1:79" ht="29.25" customHeight="1" x14ac:dyDescent="0.2">
      <c r="A67" s="37">
        <v>43984</v>
      </c>
      <c r="B67" s="30">
        <f t="shared" si="1457"/>
        <v>329</v>
      </c>
      <c r="C67" s="38">
        <v>222.9</v>
      </c>
      <c r="D67" s="38">
        <f t="shared" ref="D67" si="1558">C67-PM</f>
        <v>52.5</v>
      </c>
      <c r="E67" s="39">
        <v>823220.72510000004</v>
      </c>
      <c r="F67" s="39">
        <v>1091507.8785000001</v>
      </c>
      <c r="G67" s="39">
        <v>-122.3557</v>
      </c>
      <c r="H67" s="39">
        <v>823221.64560000005</v>
      </c>
      <c r="I67" s="39">
        <v>1091506.6536999999</v>
      </c>
      <c r="J67" s="39">
        <v>-121.095</v>
      </c>
      <c r="K67" s="39">
        <v>823222.29940000002</v>
      </c>
      <c r="L67" s="39">
        <v>1091505.2844</v>
      </c>
      <c r="M67" s="39">
        <v>-120.4224</v>
      </c>
      <c r="N67" s="39">
        <v>823222.80870000005</v>
      </c>
      <c r="O67" s="39">
        <v>1091504.7222</v>
      </c>
      <c r="P67" s="39">
        <v>-121.1121</v>
      </c>
      <c r="Q67" s="39">
        <v>823223.21329999994</v>
      </c>
      <c r="R67" s="39">
        <v>1091503.2291999999</v>
      </c>
      <c r="S67" s="39">
        <v>-122.24769999999999</v>
      </c>
      <c r="T67" s="57">
        <f t="shared" si="1511"/>
        <v>3.5979750124856644</v>
      </c>
      <c r="U67" s="39">
        <f t="shared" si="1519"/>
        <v>1.6597673601136982</v>
      </c>
      <c r="V67" s="39">
        <f t="shared" si="1520"/>
        <v>1.0252518812878813</v>
      </c>
      <c r="W67" s="57">
        <f t="shared" si="1514"/>
        <v>2.8966843701231566</v>
      </c>
      <c r="X67" s="39">
        <f t="shared" si="1521"/>
        <v>2.2547253202575832</v>
      </c>
      <c r="Y67" s="57">
        <f t="shared" si="1516"/>
        <v>5.2743524466098473</v>
      </c>
      <c r="Z67" s="43">
        <f t="shared" si="1522"/>
        <v>-1.3627447519612979</v>
      </c>
      <c r="AA67" s="43">
        <f t="shared" si="1523"/>
        <v>-0.15871189669613983</v>
      </c>
      <c r="AB67" s="43">
        <f t="shared" si="1524"/>
        <v>-0.19190193973495084</v>
      </c>
      <c r="AC67" s="43">
        <f t="shared" si="1525"/>
        <v>-11.812339212954548</v>
      </c>
      <c r="AD67" s="43">
        <f t="shared" si="1526"/>
        <v>1.810452372249749</v>
      </c>
      <c r="AE67" s="43">
        <f t="shared" si="1527"/>
        <v>-0.33956842759241823</v>
      </c>
      <c r="AF67" s="40"/>
      <c r="AG67" s="43">
        <f t="shared" si="1465"/>
        <v>-7.30000005569309</v>
      </c>
      <c r="AH67" s="43">
        <f t="shared" si="1466"/>
        <v>-2.5999997742474079</v>
      </c>
      <c r="AI67" s="43">
        <f t="shared" si="1467"/>
        <v>-8.2500000000038654</v>
      </c>
      <c r="AJ67" s="43">
        <f t="shared" si="1468"/>
        <v>-8.3499999018386006</v>
      </c>
      <c r="AK67" s="43">
        <f t="shared" si="1469"/>
        <v>-7.5000000651925802</v>
      </c>
      <c r="AL67" s="43">
        <f t="shared" si="1470"/>
        <v>-17.349999999993315</v>
      </c>
      <c r="AM67" s="43">
        <f t="shared" si="1471"/>
        <v>-5.1999998977407813</v>
      </c>
      <c r="AN67" s="43">
        <f t="shared" si="1472"/>
        <v>-5.0000001210719347</v>
      </c>
      <c r="AO67" s="43">
        <f t="shared" si="1473"/>
        <v>-15.699999999995384</v>
      </c>
      <c r="AP67" s="43">
        <f t="shared" si="1474"/>
        <v>-5.0999999511986971</v>
      </c>
      <c r="AQ67" s="43">
        <f t="shared" si="1475"/>
        <v>-7.7000001911073923</v>
      </c>
      <c r="AR67" s="43">
        <f t="shared" si="1476"/>
        <v>-13.149999999995998</v>
      </c>
      <c r="AS67" s="43">
        <f t="shared" si="1477"/>
        <v>-3.1500000040978193</v>
      </c>
      <c r="AT67" s="43">
        <f t="shared" si="1478"/>
        <v>0.14999997802078724</v>
      </c>
      <c r="AU67" s="43">
        <f t="shared" si="1479"/>
        <v>-1.7500000000012506</v>
      </c>
      <c r="AV67" s="40"/>
      <c r="AW67" s="39">
        <v>170.10203065391033</v>
      </c>
      <c r="AX67" s="39">
        <v>-2.6300074304648828</v>
      </c>
      <c r="AY67" s="39">
        <v>1.4861596934608912</v>
      </c>
      <c r="AZ67" s="41">
        <v>170.41860830312143</v>
      </c>
      <c r="BA67" s="42">
        <v>-1.130929753183368</v>
      </c>
      <c r="BB67" s="42">
        <v>2.7436939169687804</v>
      </c>
      <c r="BC67" s="41">
        <v>170.43240464745617</v>
      </c>
      <c r="BD67" s="42">
        <v>0.38638583382606512</v>
      </c>
      <c r="BE67" s="42">
        <v>3.4161559535254327</v>
      </c>
      <c r="BF67" s="41">
        <v>170.65636422803084</v>
      </c>
      <c r="BG67" s="42">
        <v>1.1111598926562081</v>
      </c>
      <c r="BH67" s="42">
        <v>2.7242163577196834</v>
      </c>
      <c r="BI67" s="41">
        <v>170.39203053994851</v>
      </c>
      <c r="BJ67" s="42">
        <v>2.6352589253007275</v>
      </c>
      <c r="BK67" s="42">
        <v>1.5912596946005237</v>
      </c>
      <c r="BL67" s="40"/>
      <c r="BM67" s="43">
        <f t="shared" si="1480"/>
        <v>-7.6693460896706256</v>
      </c>
      <c r="BN67" s="43">
        <f t="shared" si="1481"/>
        <v>-0.70743046488264127</v>
      </c>
      <c r="BO67" s="43">
        <f t="shared" si="1482"/>
        <v>-8.1403065391087992</v>
      </c>
      <c r="BP67" s="43">
        <f t="shared" si="1483"/>
        <v>-10.69169687858107</v>
      </c>
      <c r="BQ67" s="43">
        <f t="shared" si="1484"/>
        <v>3.2702468166321275</v>
      </c>
      <c r="BR67" s="43">
        <f t="shared" si="1485"/>
        <v>-17.20608303121951</v>
      </c>
      <c r="BS67" s="43">
        <f t="shared" si="1486"/>
        <v>-6.7953525438326778</v>
      </c>
      <c r="BT67" s="43">
        <f t="shared" si="1487"/>
        <v>2.2858338260651201</v>
      </c>
      <c r="BU67" s="43">
        <f t="shared" si="1488"/>
        <v>-15.644046474567297</v>
      </c>
      <c r="BV67" s="43">
        <f t="shared" si="1489"/>
        <v>-7.8357719691553029</v>
      </c>
      <c r="BW67" s="43">
        <f t="shared" si="1490"/>
        <v>4.8598926562080091</v>
      </c>
      <c r="BX67" s="43">
        <f t="shared" si="1491"/>
        <v>-13.083642280316443</v>
      </c>
      <c r="BY67" s="43">
        <f t="shared" si="1492"/>
        <v>-2.7694600514962531</v>
      </c>
      <c r="BZ67" s="43">
        <f t="shared" si="1493"/>
        <v>-1.4410746992723489</v>
      </c>
      <c r="CA67" s="43">
        <f t="shared" si="1494"/>
        <v>-1.7403053994762274</v>
      </c>
    </row>
    <row r="68" spans="1:79" ht="29.25" customHeight="1" x14ac:dyDescent="0.2">
      <c r="A68" s="37">
        <v>43990</v>
      </c>
      <c r="B68" s="30">
        <f t="shared" si="1457"/>
        <v>335</v>
      </c>
      <c r="C68" s="38">
        <v>222.9</v>
      </c>
      <c r="D68" s="38">
        <f t="shared" ref="D68" si="1559">C68-PM</f>
        <v>52.5</v>
      </c>
      <c r="E68" s="39">
        <v>823220.7254</v>
      </c>
      <c r="F68" s="39">
        <v>1091507.878</v>
      </c>
      <c r="G68" s="39">
        <v>-122.3561</v>
      </c>
      <c r="H68" s="39">
        <v>823221.64529999997</v>
      </c>
      <c r="I68" s="39">
        <v>1091506.6529000001</v>
      </c>
      <c r="J68" s="39">
        <v>-121.0954</v>
      </c>
      <c r="K68" s="39">
        <v>823222.29909999995</v>
      </c>
      <c r="L68" s="39">
        <v>1091505.2834999999</v>
      </c>
      <c r="M68" s="39">
        <v>-120.423</v>
      </c>
      <c r="N68" s="39">
        <v>823222.80850000004</v>
      </c>
      <c r="O68" s="39">
        <v>1091504.7215</v>
      </c>
      <c r="P68" s="39">
        <v>-121.1127</v>
      </c>
      <c r="Q68" s="39">
        <v>823223.21340000001</v>
      </c>
      <c r="R68" s="39">
        <v>1091503.2286</v>
      </c>
      <c r="S68" s="39">
        <v>-122.24809999999999</v>
      </c>
      <c r="T68" s="57">
        <f t="shared" si="1511"/>
        <v>3.5978934879287618</v>
      </c>
      <c r="U68" s="39">
        <f t="shared" si="1519"/>
        <v>1.659768827430155</v>
      </c>
      <c r="V68" s="39">
        <f t="shared" si="1520"/>
        <v>1.0251919088672823</v>
      </c>
      <c r="W68" s="57">
        <f t="shared" si="1514"/>
        <v>2.8964717346432129</v>
      </c>
      <c r="X68" s="39">
        <f t="shared" si="1521"/>
        <v>2.2546927707812707</v>
      </c>
      <c r="Y68" s="57">
        <f t="shared" si="1516"/>
        <v>5.2743462495376381</v>
      </c>
      <c r="Z68" s="43">
        <f t="shared" ref="Z68" si="1560">IF(T68="","",(T68-T$10)*1000)</f>
        <v>-1.4442693088638769</v>
      </c>
      <c r="AA68" s="43">
        <f t="shared" ref="AA68" si="1561">IF(U68="","",(U68-U$10)*1000)</f>
        <v>-0.15724458023935739</v>
      </c>
      <c r="AB68" s="43">
        <f t="shared" ref="AB68" si="1562">IF(V68="","",(V68-V$10)*1000)</f>
        <v>-0.25187436033391464</v>
      </c>
      <c r="AC68" s="43">
        <f t="shared" ref="AC68" si="1563">IF(W68="","",(W68-W$10)*1000)</f>
        <v>-12.024974692898205</v>
      </c>
      <c r="AD68" s="43">
        <f t="shared" ref="AD68" si="1564">IF(X68="","",(X68-X$10)*1000)</f>
        <v>1.7779028959372667</v>
      </c>
      <c r="AE68" s="43">
        <f t="shared" ref="AE68" si="1565">IF(Y68="","",(Y68-Y$10)*1000)</f>
        <v>-0.34576549980158688</v>
      </c>
      <c r="AF68" s="40"/>
      <c r="AG68" s="43">
        <f t="shared" si="1465"/>
        <v>-7.0000000996515155</v>
      </c>
      <c r="AH68" s="43">
        <f t="shared" si="1466"/>
        <v>-3.0999998562037945</v>
      </c>
      <c r="AI68" s="43">
        <f t="shared" si="1467"/>
        <v>-8.6500000000029331</v>
      </c>
      <c r="AJ68" s="43">
        <f t="shared" si="1468"/>
        <v>-8.6499999742954969</v>
      </c>
      <c r="AK68" s="43">
        <f t="shared" si="1469"/>
        <v>-8.2999998703598976</v>
      </c>
      <c r="AL68" s="43">
        <f t="shared" si="1470"/>
        <v>-17.749999999992383</v>
      </c>
      <c r="AM68" s="43">
        <f t="shared" si="1471"/>
        <v>-5.4999999701976776</v>
      </c>
      <c r="AN68" s="43">
        <f t="shared" si="1472"/>
        <v>-5.9000002220273018</v>
      </c>
      <c r="AO68" s="43">
        <f t="shared" si="1473"/>
        <v>-16.300000000001091</v>
      </c>
      <c r="AP68" s="43">
        <f t="shared" si="1474"/>
        <v>-5.2999999606981874</v>
      </c>
      <c r="AQ68" s="43">
        <f t="shared" si="1475"/>
        <v>-8.4000001661479473</v>
      </c>
      <c r="AR68" s="43">
        <f t="shared" si="1476"/>
        <v>-13.750000000001705</v>
      </c>
      <c r="AS68" s="43">
        <f t="shared" si="1477"/>
        <v>-3.0499999411404133</v>
      </c>
      <c r="AT68" s="43">
        <f t="shared" si="1478"/>
        <v>-0.44999993406236172</v>
      </c>
      <c r="AU68" s="43">
        <f t="shared" si="1479"/>
        <v>-2.1500000000003183</v>
      </c>
      <c r="AV68" s="40"/>
      <c r="AW68" s="39">
        <v>170.10209121544557</v>
      </c>
      <c r="AX68" s="39">
        <v>-2.6294274887815656</v>
      </c>
      <c r="AY68" s="39">
        <v>1.4857590878455369</v>
      </c>
      <c r="AZ68" s="41">
        <v>170.4179982939153</v>
      </c>
      <c r="BA68" s="42">
        <v>-1.1303315153542661</v>
      </c>
      <c r="BB68" s="42">
        <v>2.7433000170608466</v>
      </c>
      <c r="BC68" s="41">
        <v>170.431752372924</v>
      </c>
      <c r="BD68" s="42">
        <v>0.38707470112815012</v>
      </c>
      <c r="BE68" s="42">
        <v>3.4155624762707504</v>
      </c>
      <c r="BF68" s="41">
        <v>170.6558871132159</v>
      </c>
      <c r="BG68" s="42">
        <v>1.1117097666619786</v>
      </c>
      <c r="BH68" s="42">
        <v>2.7236211288678334</v>
      </c>
      <c r="BI68" s="41">
        <v>170.39186757804157</v>
      </c>
      <c r="BJ68" s="42">
        <v>2.6358449656781451</v>
      </c>
      <c r="BK68" s="42">
        <v>1.5908613242195884</v>
      </c>
      <c r="BL68" s="40"/>
      <c r="BM68" s="43">
        <f t="shared" si="1480"/>
        <v>-7.608784554435033</v>
      </c>
      <c r="BN68" s="43">
        <f t="shared" si="1481"/>
        <v>-0.12748878156543242</v>
      </c>
      <c r="BO68" s="43">
        <f t="shared" si="1482"/>
        <v>-8.5409121544630651</v>
      </c>
      <c r="BP68" s="43">
        <f t="shared" si="1483"/>
        <v>-11.301706084708485</v>
      </c>
      <c r="BQ68" s="43">
        <f t="shared" si="1484"/>
        <v>3.8684846457339717</v>
      </c>
      <c r="BR68" s="43">
        <f t="shared" si="1485"/>
        <v>-17.599982939153325</v>
      </c>
      <c r="BS68" s="43">
        <f t="shared" si="1486"/>
        <v>-7.4476270760044372</v>
      </c>
      <c r="BT68" s="43">
        <f t="shared" si="1487"/>
        <v>2.9747011281501257</v>
      </c>
      <c r="BU68" s="43">
        <f t="shared" si="1488"/>
        <v>-16.237523729249581</v>
      </c>
      <c r="BV68" s="43">
        <f t="shared" si="1489"/>
        <v>-8.3128867840969178</v>
      </c>
      <c r="BW68" s="43">
        <f t="shared" si="1490"/>
        <v>5.4097666619785656</v>
      </c>
      <c r="BX68" s="43">
        <f t="shared" si="1491"/>
        <v>-13.678871132166481</v>
      </c>
      <c r="BY68" s="43">
        <f t="shared" si="1492"/>
        <v>-2.9324219584339062</v>
      </c>
      <c r="BZ68" s="43">
        <f t="shared" si="1493"/>
        <v>-0.85503432185474182</v>
      </c>
      <c r="CA68" s="43">
        <f t="shared" si="1494"/>
        <v>-2.138675780411603</v>
      </c>
    </row>
    <row r="69" spans="1:79" ht="29.25" customHeight="1" x14ac:dyDescent="0.2">
      <c r="A69" s="37">
        <v>43997</v>
      </c>
      <c r="B69" s="30">
        <f t="shared" si="1457"/>
        <v>342</v>
      </c>
      <c r="C69" s="38">
        <v>223.9</v>
      </c>
      <c r="D69" s="38">
        <f t="shared" ref="D69" si="1566">C69-PM</f>
        <v>53.5</v>
      </c>
      <c r="E69" s="39">
        <v>823220.72549999994</v>
      </c>
      <c r="F69" s="39">
        <v>1091507.8783</v>
      </c>
      <c r="G69" s="39">
        <v>-122.355</v>
      </c>
      <c r="H69" s="39">
        <v>823221.64529999997</v>
      </c>
      <c r="I69" s="39">
        <v>1091506.6531</v>
      </c>
      <c r="J69" s="39">
        <v>-121.0947</v>
      </c>
      <c r="K69" s="39">
        <v>823222.29929999996</v>
      </c>
      <c r="L69" s="39">
        <v>1091505.2837</v>
      </c>
      <c r="M69" s="39">
        <v>-120.4218</v>
      </c>
      <c r="N69" s="39">
        <v>823222.8088</v>
      </c>
      <c r="O69" s="39">
        <v>1091504.7219</v>
      </c>
      <c r="P69" s="39">
        <v>-121.1117</v>
      </c>
      <c r="Q69" s="39">
        <v>823223.21340000001</v>
      </c>
      <c r="R69" s="39">
        <v>1091503.2290000001</v>
      </c>
      <c r="S69" s="39">
        <v>-122.24679999999999</v>
      </c>
      <c r="T69" s="57">
        <f t="shared" si="1511"/>
        <v>3.598063067790346</v>
      </c>
      <c r="U69" s="39">
        <f t="shared" si="1519"/>
        <v>1.6600502311326639</v>
      </c>
      <c r="V69" s="39">
        <f t="shared" si="1520"/>
        <v>1.0252665507430936</v>
      </c>
      <c r="W69" s="57">
        <f t="shared" si="1514"/>
        <v>2.8962037048538329</v>
      </c>
      <c r="X69" s="39">
        <f t="shared" si="1521"/>
        <v>2.2546739653494674</v>
      </c>
      <c r="Y69" s="57">
        <f t="shared" si="1516"/>
        <v>5.2742150259249314</v>
      </c>
      <c r="Z69" s="43">
        <f t="shared" si="1522"/>
        <v>-1.2746894472797088</v>
      </c>
      <c r="AA69" s="43">
        <f t="shared" si="1523"/>
        <v>0.12415912226959591</v>
      </c>
      <c r="AB69" s="43">
        <f t="shared" si="1524"/>
        <v>-0.17723248452261586</v>
      </c>
      <c r="AC69" s="43">
        <f t="shared" si="1525"/>
        <v>-12.293004482278214</v>
      </c>
      <c r="AD69" s="43">
        <f t="shared" si="1526"/>
        <v>1.7590974641339407</v>
      </c>
      <c r="AE69" s="43">
        <f t="shared" si="1527"/>
        <v>-0.4769891125082637</v>
      </c>
      <c r="AF69" s="40"/>
      <c r="AG69" s="43">
        <f t="shared" si="1465"/>
        <v>-6.9000001531094313</v>
      </c>
      <c r="AH69" s="43">
        <f t="shared" si="1466"/>
        <v>-2.79999990016222</v>
      </c>
      <c r="AI69" s="43">
        <f t="shared" si="1467"/>
        <v>-7.5500000000090495</v>
      </c>
      <c r="AJ69" s="43">
        <f t="shared" si="1468"/>
        <v>-8.6499999742954969</v>
      </c>
      <c r="AK69" s="43">
        <f t="shared" si="1469"/>
        <v>-8.0999999772757292</v>
      </c>
      <c r="AL69" s="43">
        <f t="shared" si="1470"/>
        <v>-17.049999999997567</v>
      </c>
      <c r="AM69" s="43">
        <f t="shared" si="1471"/>
        <v>-5.2999999606981874</v>
      </c>
      <c r="AN69" s="43">
        <f t="shared" si="1472"/>
        <v>-5.7000000961124897</v>
      </c>
      <c r="AO69" s="43">
        <f t="shared" si="1473"/>
        <v>-15.100000000003888</v>
      </c>
      <c r="AP69" s="43">
        <f t="shared" si="1474"/>
        <v>-5.0000000046566129</v>
      </c>
      <c r="AQ69" s="43">
        <f t="shared" si="1475"/>
        <v>-8.0000001471489668</v>
      </c>
      <c r="AR69" s="43">
        <f t="shared" si="1476"/>
        <v>-12.74999999999693</v>
      </c>
      <c r="AS69" s="43">
        <f t="shared" si="1477"/>
        <v>-3.0499999411404133</v>
      </c>
      <c r="AT69" s="43">
        <f t="shared" si="1478"/>
        <v>-4.9999915063381195E-2</v>
      </c>
      <c r="AU69" s="43">
        <f t="shared" si="1479"/>
        <v>-0.84999999999979536</v>
      </c>
      <c r="AV69" s="40"/>
      <c r="AW69" s="39">
        <v>170.10230864018646</v>
      </c>
      <c r="AX69" s="39">
        <v>-2.6296571111780964</v>
      </c>
      <c r="AY69" s="39">
        <v>1.4868569135981318</v>
      </c>
      <c r="AZ69" s="41">
        <v>170.41808282427212</v>
      </c>
      <c r="BA69" s="42">
        <v>-1.1305127736672029</v>
      </c>
      <c r="BB69" s="42">
        <v>2.7439991717572667</v>
      </c>
      <c r="BC69" s="41">
        <v>170.43201816179769</v>
      </c>
      <c r="BD69" s="42">
        <v>0.38697797301024278</v>
      </c>
      <c r="BE69" s="42">
        <v>3.4167598183820189</v>
      </c>
      <c r="BF69" s="41">
        <v>170.65632806160286</v>
      </c>
      <c r="BG69" s="42">
        <v>1.1114740454095635</v>
      </c>
      <c r="BH69" s="42">
        <v>2.7246167193839739</v>
      </c>
      <c r="BI69" s="41">
        <v>170.39203663885363</v>
      </c>
      <c r="BJ69" s="42">
        <v>2.6354824488412674</v>
      </c>
      <c r="BK69" s="42">
        <v>1.5921596336114732</v>
      </c>
      <c r="BL69" s="40"/>
      <c r="BM69" s="43">
        <f t="shared" si="1480"/>
        <v>-7.3913598135391112</v>
      </c>
      <c r="BN69" s="43">
        <f t="shared" si="1481"/>
        <v>-0.3571111780962255</v>
      </c>
      <c r="BO69" s="43">
        <f t="shared" si="1482"/>
        <v>-7.443086401868193</v>
      </c>
      <c r="BP69" s="43">
        <f t="shared" si="1483"/>
        <v>-11.217175727892936</v>
      </c>
      <c r="BQ69" s="43">
        <f t="shared" si="1484"/>
        <v>3.6872263327971666</v>
      </c>
      <c r="BR69" s="43">
        <f t="shared" si="1485"/>
        <v>-16.900828242733201</v>
      </c>
      <c r="BS69" s="43">
        <f t="shared" si="1486"/>
        <v>-7.1818382023138838</v>
      </c>
      <c r="BT69" s="43">
        <f t="shared" si="1487"/>
        <v>2.8779730102427847</v>
      </c>
      <c r="BU69" s="43">
        <f t="shared" si="1488"/>
        <v>-15.040181617981041</v>
      </c>
      <c r="BV69" s="43">
        <f t="shared" si="1489"/>
        <v>-7.8719383971304069</v>
      </c>
      <c r="BW69" s="43">
        <f t="shared" si="1490"/>
        <v>5.1740454095634547</v>
      </c>
      <c r="BX69" s="43">
        <f t="shared" si="1491"/>
        <v>-12.683280616025971</v>
      </c>
      <c r="BY69" s="43">
        <f t="shared" si="1492"/>
        <v>-2.7633611463784291</v>
      </c>
      <c r="BZ69" s="43">
        <f t="shared" si="1493"/>
        <v>-1.217551158732455</v>
      </c>
      <c r="CA69" s="43">
        <f t="shared" si="1494"/>
        <v>-0.84036638852680312</v>
      </c>
    </row>
    <row r="70" spans="1:79" ht="29.25" customHeight="1" x14ac:dyDescent="0.2">
      <c r="A70" s="37">
        <v>44004</v>
      </c>
      <c r="B70" s="30">
        <f t="shared" si="1457"/>
        <v>349</v>
      </c>
      <c r="C70" s="38">
        <v>223.9</v>
      </c>
      <c r="D70" s="38">
        <f t="shared" ref="D70" si="1567">C70-PM</f>
        <v>53.5</v>
      </c>
      <c r="E70" s="39">
        <v>823220.72510000004</v>
      </c>
      <c r="F70" s="39">
        <v>1091507.8785000001</v>
      </c>
      <c r="G70" s="39">
        <v>-122.3556</v>
      </c>
      <c r="H70" s="39">
        <v>823221.64509999997</v>
      </c>
      <c r="I70" s="39">
        <v>1091506.6532999999</v>
      </c>
      <c r="J70" s="39">
        <v>-121.09529999999999</v>
      </c>
      <c r="K70" s="39">
        <v>823222.29909999995</v>
      </c>
      <c r="L70" s="39">
        <v>1091505.2842000001</v>
      </c>
      <c r="M70" s="39">
        <v>-120.4226</v>
      </c>
      <c r="N70" s="39">
        <v>823222.80850000004</v>
      </c>
      <c r="O70" s="39">
        <v>1091504.7220999999</v>
      </c>
      <c r="P70" s="39">
        <v>-121.1125</v>
      </c>
      <c r="Q70" s="39">
        <v>823223.2132</v>
      </c>
      <c r="R70" s="39">
        <v>1091503.2294000001</v>
      </c>
      <c r="S70" s="39">
        <v>-122.2475</v>
      </c>
      <c r="T70" s="57">
        <f t="shared" si="1511"/>
        <v>3.5978267731629878</v>
      </c>
      <c r="U70" s="39">
        <f t="shared" si="1519"/>
        <v>1.6597216933469456</v>
      </c>
      <c r="V70" s="39">
        <f t="shared" si="1520"/>
        <v>1.0253812853467923</v>
      </c>
      <c r="W70" s="57">
        <f t="shared" si="1514"/>
        <v>2.8962116394123951</v>
      </c>
      <c r="X70" s="39">
        <f t="shared" si="1521"/>
        <v>2.2546238799740133</v>
      </c>
      <c r="Y70" s="57">
        <f t="shared" si="1516"/>
        <v>5.2741310213299091</v>
      </c>
      <c r="Z70" s="43">
        <f t="shared" ref="Z70" si="1568">IF(T70="","",(T70-T$10)*1000)</f>
        <v>-1.5109840746379</v>
      </c>
      <c r="AA70" s="43">
        <f t="shared" ref="AA70" si="1569">IF(U70="","",(U70-U$10)*1000)</f>
        <v>-0.20437866344868993</v>
      </c>
      <c r="AB70" s="43">
        <f t="shared" ref="AB70" si="1570">IF(V70="","",(V70-V$10)*1000)</f>
        <v>-6.2497880823908503E-2</v>
      </c>
      <c r="AC70" s="43">
        <f t="shared" ref="AC70" si="1571">IF(W70="","",(W70-W$10)*1000)</f>
        <v>-12.28506992371603</v>
      </c>
      <c r="AD70" s="43">
        <f t="shared" ref="AD70" si="1572">IF(X70="","",(X70-X$10)*1000)</f>
        <v>1.7090120886797955</v>
      </c>
      <c r="AE70" s="43">
        <f t="shared" ref="AE70" si="1573">IF(Y70="","",(Y70-Y$10)*1000)</f>
        <v>-0.56099370753059929</v>
      </c>
      <c r="AF70" s="40"/>
      <c r="AG70" s="43">
        <f t="shared" si="1465"/>
        <v>-7.30000005569309</v>
      </c>
      <c r="AH70" s="43">
        <f t="shared" si="1466"/>
        <v>-2.5999997742474079</v>
      </c>
      <c r="AI70" s="43">
        <f t="shared" si="1467"/>
        <v>-8.1500000000005457</v>
      </c>
      <c r="AJ70" s="43">
        <f t="shared" si="1468"/>
        <v>-8.8499999837949872</v>
      </c>
      <c r="AK70" s="43">
        <f t="shared" si="1469"/>
        <v>-7.9000000841915607</v>
      </c>
      <c r="AL70" s="43">
        <f t="shared" si="1470"/>
        <v>-17.649999999989063</v>
      </c>
      <c r="AM70" s="43">
        <f t="shared" si="1471"/>
        <v>-5.4999999701976776</v>
      </c>
      <c r="AN70" s="43">
        <f t="shared" si="1472"/>
        <v>-5.2000000141561031</v>
      </c>
      <c r="AO70" s="43">
        <f t="shared" si="1473"/>
        <v>-15.900000000002024</v>
      </c>
      <c r="AP70" s="43">
        <f t="shared" si="1474"/>
        <v>-5.2999999606981874</v>
      </c>
      <c r="AQ70" s="43">
        <f t="shared" si="1475"/>
        <v>-7.8000002540647984</v>
      </c>
      <c r="AR70" s="43">
        <f t="shared" si="1476"/>
        <v>-13.549999999995066</v>
      </c>
      <c r="AS70" s="43">
        <f t="shared" si="1477"/>
        <v>-3.2499999506399035</v>
      </c>
      <c r="AT70" s="43">
        <f t="shared" si="1478"/>
        <v>0.35000010393559933</v>
      </c>
      <c r="AU70" s="43">
        <f t="shared" si="1479"/>
        <v>-1.5500000000088221</v>
      </c>
      <c r="AV70" s="40"/>
      <c r="AW70" s="39">
        <v>170.10203065391033</v>
      </c>
      <c r="AX70" s="39">
        <v>-2.6300074304648828</v>
      </c>
      <c r="AY70" s="39">
        <v>1.4862596934608945</v>
      </c>
      <c r="AZ70" s="41">
        <v>170.41798609621051</v>
      </c>
      <c r="BA70" s="42">
        <v>-1.1307785623861752</v>
      </c>
      <c r="BB70" s="42">
        <v>2.7434001390379024</v>
      </c>
      <c r="BC70" s="41">
        <v>170.43204822941891</v>
      </c>
      <c r="BD70" s="42">
        <v>0.38644029650535749</v>
      </c>
      <c r="BE70" s="42">
        <v>3.4159595177058009</v>
      </c>
      <c r="BF70" s="41">
        <v>170.6561407043848</v>
      </c>
      <c r="BG70" s="42">
        <v>1.111165991512151</v>
      </c>
      <c r="BH70" s="42">
        <v>2.7238185929561496</v>
      </c>
      <c r="BI70" s="41">
        <v>170.39202444124726</v>
      </c>
      <c r="BJ70" s="42">
        <v>2.6350354015983437</v>
      </c>
      <c r="BK70" s="42">
        <v>1.5914597555875218</v>
      </c>
      <c r="BL70" s="40"/>
      <c r="BM70" s="43">
        <f t="shared" si="1480"/>
        <v>-7.6693460896706256</v>
      </c>
      <c r="BN70" s="43">
        <f t="shared" si="1481"/>
        <v>-0.70743046488264127</v>
      </c>
      <c r="BO70" s="43">
        <f t="shared" si="1482"/>
        <v>-8.0403065391054795</v>
      </c>
      <c r="BP70" s="43">
        <f t="shared" si="1483"/>
        <v>-11.313903789499591</v>
      </c>
      <c r="BQ70" s="43">
        <f t="shared" si="1484"/>
        <v>3.4214376138248515</v>
      </c>
      <c r="BR70" s="43">
        <f t="shared" si="1485"/>
        <v>-17.499860962097546</v>
      </c>
      <c r="BS70" s="43">
        <f t="shared" si="1486"/>
        <v>-7.1517705810890675</v>
      </c>
      <c r="BT70" s="43">
        <f t="shared" si="1487"/>
        <v>2.3402965053574976</v>
      </c>
      <c r="BU70" s="43">
        <f t="shared" si="1488"/>
        <v>-15.840482294199099</v>
      </c>
      <c r="BV70" s="43">
        <f t="shared" si="1489"/>
        <v>-8.0592956151974704</v>
      </c>
      <c r="BW70" s="43">
        <f t="shared" si="1490"/>
        <v>4.8659915121509467</v>
      </c>
      <c r="BX70" s="43">
        <f t="shared" si="1491"/>
        <v>-13.481407043850258</v>
      </c>
      <c r="BY70" s="43">
        <f t="shared" si="1492"/>
        <v>-2.7755587527451553</v>
      </c>
      <c r="BZ70" s="43">
        <f t="shared" si="1493"/>
        <v>-1.6645984016561144</v>
      </c>
      <c r="CA70" s="43">
        <f t="shared" si="1494"/>
        <v>-1.5402444124781312</v>
      </c>
    </row>
    <row r="71" spans="1:79" ht="29.25" customHeight="1" x14ac:dyDescent="0.2">
      <c r="A71" s="37">
        <v>44018</v>
      </c>
      <c r="B71" s="30">
        <f t="shared" si="1457"/>
        <v>363</v>
      </c>
      <c r="C71" s="38">
        <v>223.9</v>
      </c>
      <c r="D71" s="38">
        <f t="shared" ref="D71" si="1574">C71-PM</f>
        <v>53.5</v>
      </c>
      <c r="E71" s="39">
        <v>823220.72519999999</v>
      </c>
      <c r="F71" s="39">
        <v>1091507.8783</v>
      </c>
      <c r="G71" s="39">
        <v>-122.3558</v>
      </c>
      <c r="H71" s="39">
        <v>823221.64480000001</v>
      </c>
      <c r="I71" s="39">
        <v>1091506.6529999999</v>
      </c>
      <c r="J71" s="39">
        <v>-121.0959</v>
      </c>
      <c r="K71" s="39">
        <v>823222.29890000005</v>
      </c>
      <c r="L71" s="39">
        <v>1091505.2841</v>
      </c>
      <c r="M71" s="39">
        <v>-120.42310000000001</v>
      </c>
      <c r="N71" s="39">
        <v>823222.80850000004</v>
      </c>
      <c r="O71" s="39">
        <v>1091504.7219</v>
      </c>
      <c r="P71" s="39">
        <v>-121.1127</v>
      </c>
      <c r="Q71" s="39">
        <v>823223.21329999994</v>
      </c>
      <c r="R71" s="39">
        <v>1091503.2294000001</v>
      </c>
      <c r="S71" s="39">
        <v>-122.24760000000001</v>
      </c>
      <c r="T71" s="57">
        <f t="shared" si="1511"/>
        <v>3.5974622471773881</v>
      </c>
      <c r="U71" s="39">
        <f t="shared" si="1519"/>
        <v>1.6596366649786984</v>
      </c>
      <c r="V71" s="39">
        <f t="shared" si="1520"/>
        <v>1.0253336822905768</v>
      </c>
      <c r="W71" s="57">
        <f t="shared" si="1514"/>
        <v>2.895983373521998</v>
      </c>
      <c r="X71" s="39">
        <f t="shared" si="1521"/>
        <v>2.2546900318677192</v>
      </c>
      <c r="Y71" s="57">
        <f t="shared" si="1516"/>
        <v>5.273956774470542</v>
      </c>
      <c r="Z71" s="43">
        <f t="shared" si="1522"/>
        <v>-1.8755100602376729</v>
      </c>
      <c r="AA71" s="43">
        <f t="shared" si="1523"/>
        <v>-0.28940703169588744</v>
      </c>
      <c r="AB71" s="43">
        <f t="shared" si="1524"/>
        <v>-0.1101009370394479</v>
      </c>
      <c r="AC71" s="43">
        <f t="shared" si="1525"/>
        <v>-12.51333581411318</v>
      </c>
      <c r="AD71" s="43">
        <f t="shared" si="1526"/>
        <v>1.7751639823857523</v>
      </c>
      <c r="AE71" s="43">
        <f t="shared" si="1527"/>
        <v>-0.73524056689766581</v>
      </c>
      <c r="AF71" s="40"/>
      <c r="AG71" s="43">
        <f t="shared" si="1465"/>
        <v>-7.2000001091510057</v>
      </c>
      <c r="AH71" s="43">
        <f t="shared" si="1466"/>
        <v>-2.79999990016222</v>
      </c>
      <c r="AI71" s="43">
        <f t="shared" si="1467"/>
        <v>-8.350000000007185</v>
      </c>
      <c r="AJ71" s="43">
        <f t="shared" si="1468"/>
        <v>-9.1499999398365617</v>
      </c>
      <c r="AK71" s="43">
        <f t="shared" si="1469"/>
        <v>-8.2000000402331352</v>
      </c>
      <c r="AL71" s="43">
        <f t="shared" si="1470"/>
        <v>-18.24999999999477</v>
      </c>
      <c r="AM71" s="43">
        <f t="shared" si="1471"/>
        <v>-5.699999863281846</v>
      </c>
      <c r="AN71" s="43">
        <f t="shared" si="1472"/>
        <v>-5.3000000771135092</v>
      </c>
      <c r="AO71" s="43">
        <f t="shared" si="1473"/>
        <v>-16.400000000004411</v>
      </c>
      <c r="AP71" s="43">
        <f t="shared" si="1474"/>
        <v>-5.2999999606981874</v>
      </c>
      <c r="AQ71" s="43">
        <f t="shared" si="1475"/>
        <v>-8.0000001471489668</v>
      </c>
      <c r="AR71" s="43">
        <f t="shared" si="1476"/>
        <v>-13.750000000001705</v>
      </c>
      <c r="AS71" s="43">
        <f t="shared" si="1477"/>
        <v>-3.1500000040978193</v>
      </c>
      <c r="AT71" s="43">
        <f t="shared" si="1478"/>
        <v>0.35000010393559933</v>
      </c>
      <c r="AU71" s="43">
        <f t="shared" si="1479"/>
        <v>-1.6500000000121418</v>
      </c>
      <c r="AV71" s="40"/>
      <c r="AW71" s="39">
        <v>170.10203675261158</v>
      </c>
      <c r="AX71" s="39">
        <v>-2.6297839067625</v>
      </c>
      <c r="AY71" s="39">
        <v>1.4860596324738822</v>
      </c>
      <c r="AZ71" s="41">
        <v>170.41758741305117</v>
      </c>
      <c r="BA71" s="42">
        <v>-1.1306334703957091</v>
      </c>
      <c r="BB71" s="42">
        <v>2.7428041258694833</v>
      </c>
      <c r="BC71" s="41">
        <v>170.43182470587837</v>
      </c>
      <c r="BD71" s="42">
        <v>0.38644639541047937</v>
      </c>
      <c r="BE71" s="42">
        <v>3.4154617529412121</v>
      </c>
      <c r="BF71" s="41">
        <v>170.65605617402795</v>
      </c>
      <c r="BG71" s="42">
        <v>1.1113472498251167</v>
      </c>
      <c r="BH71" s="42">
        <v>2.7236194382597176</v>
      </c>
      <c r="BI71" s="41">
        <v>170.39211507040375</v>
      </c>
      <c r="BJ71" s="42">
        <v>2.6350776667767599</v>
      </c>
      <c r="BK71" s="42">
        <v>1.5913588492959576</v>
      </c>
      <c r="BL71" s="40"/>
      <c r="BM71" s="43">
        <f t="shared" si="1480"/>
        <v>-7.6632473884217234</v>
      </c>
      <c r="BN71" s="43">
        <f t="shared" si="1481"/>
        <v>-0.48390676249976394</v>
      </c>
      <c r="BO71" s="43">
        <f t="shared" si="1482"/>
        <v>-8.2403675261177867</v>
      </c>
      <c r="BP71" s="43">
        <f t="shared" si="1483"/>
        <v>-11.712586948846138</v>
      </c>
      <c r="BQ71" s="43">
        <f t="shared" si="1484"/>
        <v>3.5665296042910466</v>
      </c>
      <c r="BR71" s="43">
        <f t="shared" si="1485"/>
        <v>-18.095874130516609</v>
      </c>
      <c r="BS71" s="43">
        <f t="shared" si="1486"/>
        <v>-7.3752941216298495</v>
      </c>
      <c r="BT71" s="43">
        <f t="shared" si="1487"/>
        <v>2.3463954104793738</v>
      </c>
      <c r="BU71" s="43">
        <f t="shared" si="1488"/>
        <v>-16.338247058787836</v>
      </c>
      <c r="BV71" s="43">
        <f t="shared" si="1489"/>
        <v>-8.1438259720414408</v>
      </c>
      <c r="BW71" s="43">
        <f t="shared" si="1490"/>
        <v>5.0472498251166176</v>
      </c>
      <c r="BX71" s="43">
        <f t="shared" si="1491"/>
        <v>-13.680561740282204</v>
      </c>
      <c r="BY71" s="43">
        <f t="shared" si="1492"/>
        <v>-2.6849295962563247</v>
      </c>
      <c r="BZ71" s="43">
        <f t="shared" si="1493"/>
        <v>-1.6223332232399024</v>
      </c>
      <c r="CA71" s="43">
        <f t="shared" si="1494"/>
        <v>-1.6411507040423601</v>
      </c>
    </row>
    <row r="72" spans="1:79" ht="29.25" customHeight="1" x14ac:dyDescent="0.2">
      <c r="A72" s="37">
        <v>44027</v>
      </c>
      <c r="B72" s="30">
        <f t="shared" si="1457"/>
        <v>372</v>
      </c>
      <c r="C72" s="38">
        <v>223.9</v>
      </c>
      <c r="D72" s="38">
        <f t="shared" ref="D72" si="1575">C72-PM</f>
        <v>53.5</v>
      </c>
      <c r="E72" s="39">
        <v>823220.72549999994</v>
      </c>
      <c r="F72" s="39">
        <v>1091507.8769</v>
      </c>
      <c r="G72" s="39">
        <v>-122.3552</v>
      </c>
      <c r="H72" s="39">
        <v>823221.64500000002</v>
      </c>
      <c r="I72" s="39">
        <v>1091506.6517</v>
      </c>
      <c r="J72" s="39">
        <v>-121.0954</v>
      </c>
      <c r="K72" s="39">
        <v>823222.29909999995</v>
      </c>
      <c r="L72" s="39">
        <v>1091505.2829</v>
      </c>
      <c r="M72" s="39">
        <v>-120.4226</v>
      </c>
      <c r="N72" s="39">
        <v>823222.80850000004</v>
      </c>
      <c r="O72" s="39">
        <v>1091504.7208</v>
      </c>
      <c r="P72" s="39">
        <v>-121.11239999999999</v>
      </c>
      <c r="Q72" s="39">
        <v>823223.21310000005</v>
      </c>
      <c r="R72" s="39">
        <v>1091503.2279999999</v>
      </c>
      <c r="S72" s="39">
        <v>-122.2469</v>
      </c>
      <c r="T72" s="57">
        <f t="shared" si="1511"/>
        <v>3.5972205548483016</v>
      </c>
      <c r="U72" s="39">
        <f t="shared" si="1519"/>
        <v>1.6595541841272885</v>
      </c>
      <c r="V72" s="39">
        <f t="shared" si="1520"/>
        <v>1.0253140055991077</v>
      </c>
      <c r="W72" s="57">
        <f t="shared" si="1514"/>
        <v>2.8958730118263603</v>
      </c>
      <c r="X72" s="39">
        <f t="shared" si="1521"/>
        <v>2.2544170111570874</v>
      </c>
      <c r="Y72" s="57">
        <f t="shared" si="1516"/>
        <v>5.2737229602908808</v>
      </c>
      <c r="Z72" s="43">
        <f t="shared" si="1522"/>
        <v>-2.1172023893241132</v>
      </c>
      <c r="AA72" s="43">
        <f t="shared" si="1523"/>
        <v>-0.37188788310582588</v>
      </c>
      <c r="AB72" s="43">
        <f t="shared" si="1524"/>
        <v>-0.12977762850852059</v>
      </c>
      <c r="AC72" s="43">
        <f t="shared" si="1525"/>
        <v>-12.623697509750897</v>
      </c>
      <c r="AD72" s="43">
        <f t="shared" si="1526"/>
        <v>1.5021432717539085</v>
      </c>
      <c r="AE72" s="43">
        <f t="shared" si="1527"/>
        <v>-0.9690547465588395</v>
      </c>
      <c r="AF72" s="40"/>
      <c r="AG72" s="43">
        <f t="shared" si="1465"/>
        <v>-6.9000001531094313</v>
      </c>
      <c r="AH72" s="43">
        <f t="shared" si="1466"/>
        <v>-4.19999985024333</v>
      </c>
      <c r="AI72" s="43">
        <f t="shared" si="1467"/>
        <v>-7.7500000000014779</v>
      </c>
      <c r="AJ72" s="43">
        <f t="shared" si="1468"/>
        <v>-8.9499999303370714</v>
      </c>
      <c r="AK72" s="43">
        <f t="shared" si="1469"/>
        <v>-9.4999999273568392</v>
      </c>
      <c r="AL72" s="43">
        <f t="shared" si="1470"/>
        <v>-17.749999999992383</v>
      </c>
      <c r="AM72" s="43">
        <f t="shared" si="1471"/>
        <v>-5.4999999701976776</v>
      </c>
      <c r="AN72" s="43">
        <f t="shared" si="1472"/>
        <v>-6.5000001341104507</v>
      </c>
      <c r="AO72" s="43">
        <f t="shared" si="1473"/>
        <v>-15.900000000002024</v>
      </c>
      <c r="AP72" s="43">
        <f t="shared" si="1474"/>
        <v>-5.2999999606981874</v>
      </c>
      <c r="AQ72" s="43">
        <f t="shared" si="1475"/>
        <v>-9.1000001411885023</v>
      </c>
      <c r="AR72" s="43">
        <f t="shared" si="1476"/>
        <v>-13.449999999991746</v>
      </c>
      <c r="AS72" s="43">
        <f t="shared" si="1477"/>
        <v>-3.3499998971819878</v>
      </c>
      <c r="AT72" s="43">
        <f t="shared" si="1478"/>
        <v>-1.0500000789761543</v>
      </c>
      <c r="AU72" s="43">
        <f t="shared" si="1479"/>
        <v>-0.95000000000311502</v>
      </c>
      <c r="AV72" s="40"/>
      <c r="AW72" s="39">
        <v>170.10171692739345</v>
      </c>
      <c r="AX72" s="39">
        <v>-2.6283883023544856</v>
      </c>
      <c r="AY72" s="39">
        <v>1.4866628307260612</v>
      </c>
      <c r="AZ72" s="41">
        <v>170.4172192239042</v>
      </c>
      <c r="BA72" s="42">
        <v>-1.1293707604280951</v>
      </c>
      <c r="BB72" s="42">
        <v>2.7433078077609565</v>
      </c>
      <c r="BC72" s="41">
        <v>170.43149878175512</v>
      </c>
      <c r="BD72" s="42">
        <v>0.38761847627797597</v>
      </c>
      <c r="BE72" s="42">
        <v>3.4159650121824399</v>
      </c>
      <c r="BF72" s="41">
        <v>170.65559125681938</v>
      </c>
      <c r="BG72" s="42">
        <v>1.1123441710737814</v>
      </c>
      <c r="BH72" s="42">
        <v>2.7239240874318114</v>
      </c>
      <c r="BI72" s="41">
        <v>170.39134209919933</v>
      </c>
      <c r="BJ72" s="42">
        <v>2.6362619454545224</v>
      </c>
      <c r="BK72" s="42">
        <v>1.5920665790080051</v>
      </c>
      <c r="BL72" s="40"/>
      <c r="BM72" s="43">
        <f t="shared" si="1480"/>
        <v>-7.9830726065495128</v>
      </c>
      <c r="BN72" s="43">
        <f t="shared" si="1481"/>
        <v>0.91169764551457533</v>
      </c>
      <c r="BO72" s="43">
        <f t="shared" si="1482"/>
        <v>-7.6371692739387598</v>
      </c>
      <c r="BP72" s="43">
        <f t="shared" si="1483"/>
        <v>-12.080776095814372</v>
      </c>
      <c r="BQ72" s="43">
        <f t="shared" si="1484"/>
        <v>4.829239571904953</v>
      </c>
      <c r="BR72" s="43">
        <f t="shared" si="1485"/>
        <v>-17.592192239043403</v>
      </c>
      <c r="BS72" s="43">
        <f t="shared" si="1486"/>
        <v>-7.7012182448754629</v>
      </c>
      <c r="BT72" s="43">
        <f t="shared" si="1487"/>
        <v>3.5184762779759682</v>
      </c>
      <c r="BU72" s="43">
        <f t="shared" si="1488"/>
        <v>-15.834987817560098</v>
      </c>
      <c r="BV72" s="43">
        <f t="shared" si="1489"/>
        <v>-8.6087431806163295</v>
      </c>
      <c r="BW72" s="43">
        <f t="shared" si="1490"/>
        <v>6.0441710737813015</v>
      </c>
      <c r="BX72" s="43">
        <f t="shared" si="1491"/>
        <v>-13.375912568188486</v>
      </c>
      <c r="BY72" s="43">
        <f t="shared" si="1492"/>
        <v>-3.4579008006687673</v>
      </c>
      <c r="BZ72" s="43">
        <f t="shared" si="1493"/>
        <v>-0.43805454547740652</v>
      </c>
      <c r="CA72" s="43">
        <f t="shared" si="1494"/>
        <v>-0.93342099199489326</v>
      </c>
    </row>
    <row r="73" spans="1:79" ht="29.25" customHeight="1" x14ac:dyDescent="0.2">
      <c r="A73" s="37">
        <v>44039</v>
      </c>
      <c r="B73" s="30">
        <f t="shared" si="1457"/>
        <v>384</v>
      </c>
      <c r="C73" s="38">
        <v>223.9</v>
      </c>
      <c r="D73" s="38">
        <f t="shared" ref="D73" si="1576">C73-PM</f>
        <v>53.5</v>
      </c>
      <c r="E73" s="39">
        <v>823220.72549999994</v>
      </c>
      <c r="F73" s="39">
        <v>1091507.8777000001</v>
      </c>
      <c r="G73" s="39">
        <v>-122.3565</v>
      </c>
      <c r="H73" s="39">
        <v>823221.64509999997</v>
      </c>
      <c r="I73" s="39">
        <v>1091506.6525000001</v>
      </c>
      <c r="J73" s="39">
        <v>-121.09699999999999</v>
      </c>
      <c r="K73" s="39">
        <v>823222.299</v>
      </c>
      <c r="L73" s="39">
        <v>1091505.2836</v>
      </c>
      <c r="M73" s="39">
        <v>-120.4243</v>
      </c>
      <c r="N73" s="39">
        <v>823222.80889999995</v>
      </c>
      <c r="O73" s="39">
        <v>1091504.7215</v>
      </c>
      <c r="P73" s="39">
        <v>-121.11369999999999</v>
      </c>
      <c r="Q73" s="39">
        <v>823223.21349999995</v>
      </c>
      <c r="R73" s="39">
        <v>1091503.2289</v>
      </c>
      <c r="S73" s="39">
        <v>-122.2482</v>
      </c>
      <c r="T73" s="57">
        <f t="shared" si="1511"/>
        <v>3.597034042196154</v>
      </c>
      <c r="U73" s="39">
        <f t="shared" si="1519"/>
        <v>1.659517312463662</v>
      </c>
      <c r="V73" s="39">
        <f t="shared" si="1520"/>
        <v>1.0252935091591695</v>
      </c>
      <c r="W73" s="57">
        <f t="shared" si="1514"/>
        <v>2.8956369851607708</v>
      </c>
      <c r="X73" s="39">
        <f t="shared" si="1521"/>
        <v>2.2546552575361272</v>
      </c>
      <c r="Y73" s="57">
        <f t="shared" si="1516"/>
        <v>5.2738235020551425</v>
      </c>
      <c r="Z73" s="43">
        <f t="shared" ref="Z73" si="1577">IF(T73="","",(T73-T$10)*1000)</f>
        <v>-2.3037150414717544</v>
      </c>
      <c r="AA73" s="43">
        <f t="shared" ref="AA73" si="1578">IF(U73="","",(U73-U$10)*1000)</f>
        <v>-0.40875954673236237</v>
      </c>
      <c r="AB73" s="43">
        <f t="shared" ref="AB73" si="1579">IF(V73="","",(V73-V$10)*1000)</f>
        <v>-0.15027406844669855</v>
      </c>
      <c r="AC73" s="43">
        <f t="shared" ref="AC73" si="1580">IF(W73="","",(W73-W$10)*1000)</f>
        <v>-12.859724175340315</v>
      </c>
      <c r="AD73" s="43">
        <f t="shared" ref="AD73" si="1581">IF(X73="","",(X73-X$10)*1000)</f>
        <v>1.7403896507937056</v>
      </c>
      <c r="AE73" s="43">
        <f t="shared" ref="AE73" si="1582">IF(Y73="","",(Y73-Y$10)*1000)</f>
        <v>-0.86851298229717599</v>
      </c>
      <c r="AF73" s="40"/>
      <c r="AG73" s="43">
        <f t="shared" si="1465"/>
        <v>-6.9000001531094313</v>
      </c>
      <c r="AH73" s="43">
        <f t="shared" si="1466"/>
        <v>-3.399999812245369</v>
      </c>
      <c r="AI73" s="43">
        <f t="shared" si="1467"/>
        <v>-9.0500000000020009</v>
      </c>
      <c r="AJ73" s="43">
        <f t="shared" si="1468"/>
        <v>-8.8499999837949872</v>
      </c>
      <c r="AK73" s="43">
        <f t="shared" si="1469"/>
        <v>-8.6999998893588781</v>
      </c>
      <c r="AL73" s="43">
        <f t="shared" si="1470"/>
        <v>-19.349999999988654</v>
      </c>
      <c r="AM73" s="43">
        <f t="shared" si="1471"/>
        <v>-5.5999999167397618</v>
      </c>
      <c r="AN73" s="43">
        <f t="shared" si="1472"/>
        <v>-5.8000001590698957</v>
      </c>
      <c r="AO73" s="43">
        <f t="shared" si="1473"/>
        <v>-17.600000000001614</v>
      </c>
      <c r="AP73" s="43">
        <f t="shared" si="1474"/>
        <v>-4.9000000581145287</v>
      </c>
      <c r="AQ73" s="43">
        <f t="shared" si="1475"/>
        <v>-8.4000001661479473</v>
      </c>
      <c r="AR73" s="43">
        <f t="shared" si="1476"/>
        <v>-14.749999999992269</v>
      </c>
      <c r="AS73" s="43">
        <f t="shared" si="1477"/>
        <v>-2.9499999945983291</v>
      </c>
      <c r="AT73" s="43">
        <f t="shared" si="1478"/>
        <v>-0.14999997802078724</v>
      </c>
      <c r="AU73" s="43">
        <f t="shared" si="1479"/>
        <v>-2.250000000003638</v>
      </c>
      <c r="AV73" s="40"/>
      <c r="AW73" s="39">
        <v>170.10205504901759</v>
      </c>
      <c r="AX73" s="39">
        <v>-2.6291133360282419</v>
      </c>
      <c r="AY73" s="39">
        <v>1.4853594495098292</v>
      </c>
      <c r="AZ73" s="41">
        <v>170.41764797468477</v>
      </c>
      <c r="BA73" s="42">
        <v>-1.1300535289234148</v>
      </c>
      <c r="BB73" s="42">
        <v>2.7417035202531537</v>
      </c>
      <c r="BC73" s="41">
        <v>170.43170400899518</v>
      </c>
      <c r="BD73" s="42">
        <v>0.38694180668777728</v>
      </c>
      <c r="BE73" s="42">
        <v>3.4142629599100474</v>
      </c>
      <c r="BF73" s="41">
        <v>170.6562496299473</v>
      </c>
      <c r="BG73" s="42">
        <v>1.1118788274248623</v>
      </c>
      <c r="BH73" s="42">
        <v>2.7226175037005333</v>
      </c>
      <c r="BI73" s="41">
        <v>170.39208500278249</v>
      </c>
      <c r="BJ73" s="42">
        <v>2.6356153432816707</v>
      </c>
      <c r="BK73" s="42">
        <v>1.5907591499721718</v>
      </c>
      <c r="BL73" s="40"/>
      <c r="BM73" s="43">
        <f t="shared" si="1480"/>
        <v>-7.6449509824101369</v>
      </c>
      <c r="BN73" s="43">
        <f t="shared" si="1481"/>
        <v>0.18666397175826077</v>
      </c>
      <c r="BO73" s="43">
        <f t="shared" si="1482"/>
        <v>-8.9405504901707289</v>
      </c>
      <c r="BP73" s="43">
        <f t="shared" si="1483"/>
        <v>-11.652025315243009</v>
      </c>
      <c r="BQ73" s="43">
        <f t="shared" si="1484"/>
        <v>4.1464710765852786</v>
      </c>
      <c r="BR73" s="43">
        <f t="shared" si="1485"/>
        <v>-19.19647974684624</v>
      </c>
      <c r="BS73" s="43">
        <f t="shared" si="1486"/>
        <v>-7.4959910048164602</v>
      </c>
      <c r="BT73" s="43">
        <f t="shared" si="1487"/>
        <v>2.8418066877772818</v>
      </c>
      <c r="BU73" s="43">
        <f t="shared" si="1488"/>
        <v>-17.537040089952605</v>
      </c>
      <c r="BV73" s="43">
        <f t="shared" si="1489"/>
        <v>-7.9503700526970533</v>
      </c>
      <c r="BW73" s="43">
        <f t="shared" si="1490"/>
        <v>5.5788274248622649</v>
      </c>
      <c r="BX73" s="43">
        <f t="shared" si="1491"/>
        <v>-14.682496299466496</v>
      </c>
      <c r="BY73" s="43">
        <f t="shared" si="1492"/>
        <v>-2.7149972175095627</v>
      </c>
      <c r="BZ73" s="43">
        <f t="shared" si="1493"/>
        <v>-1.0846567183291356</v>
      </c>
      <c r="CA73" s="43">
        <f t="shared" si="1494"/>
        <v>-2.2408500278281451</v>
      </c>
    </row>
    <row r="74" spans="1:79" ht="29.25" customHeight="1" x14ac:dyDescent="0.2">
      <c r="A74" s="37">
        <v>44053</v>
      </c>
      <c r="B74" s="30">
        <f t="shared" ref="B74:B84" si="1583">IF(A74="","",A74-excav)</f>
        <v>398</v>
      </c>
      <c r="C74" s="38">
        <v>223.9</v>
      </c>
      <c r="D74" s="38">
        <f t="shared" ref="D74" si="1584">C74-PM</f>
        <v>53.5</v>
      </c>
      <c r="E74" s="39">
        <v>823220.72530000005</v>
      </c>
      <c r="F74" s="39">
        <v>1091507.8776</v>
      </c>
      <c r="G74" s="39">
        <v>-122.35599999999999</v>
      </c>
      <c r="H74" s="39">
        <v>823221.64450000005</v>
      </c>
      <c r="I74" s="39">
        <v>1091506.6523</v>
      </c>
      <c r="J74" s="39">
        <v>-121.0972</v>
      </c>
      <c r="K74" s="39">
        <v>823222.29879999999</v>
      </c>
      <c r="L74" s="39">
        <v>1091505.2834999999</v>
      </c>
      <c r="M74" s="39">
        <v>-120.4242</v>
      </c>
      <c r="N74" s="39">
        <v>823222.80859999999</v>
      </c>
      <c r="O74" s="39">
        <v>1091504.7215</v>
      </c>
      <c r="P74" s="39">
        <v>-121.11360000000001</v>
      </c>
      <c r="Q74" s="39">
        <v>823223.21270000003</v>
      </c>
      <c r="R74" s="39">
        <v>1091503.2291000001</v>
      </c>
      <c r="S74" s="39">
        <v>-122.2479</v>
      </c>
      <c r="T74" s="57">
        <f t="shared" si="1511"/>
        <v>3.5968191920572887</v>
      </c>
      <c r="U74" s="39">
        <f t="shared" si="1519"/>
        <v>1.6597141109440507</v>
      </c>
      <c r="V74" s="39">
        <f t="shared" si="1520"/>
        <v>1.0251889581475697</v>
      </c>
      <c r="W74" s="57">
        <f t="shared" si="1514"/>
        <v>2.8951086783082443</v>
      </c>
      <c r="X74" s="39">
        <f t="shared" si="1521"/>
        <v>2.2546366469448405</v>
      </c>
      <c r="Y74" s="57">
        <f t="shared" si="1516"/>
        <v>5.2732719083062065</v>
      </c>
      <c r="Z74" s="43">
        <f t="shared" ref="Z74" si="1585">IF(T74="","",(T74-T$10)*1000)</f>
        <v>-2.5185651803369957</v>
      </c>
      <c r="AA74" s="43">
        <f t="shared" ref="AA74" si="1586">IF(U74="","",(U74-U$10)*1000)</f>
        <v>-0.21196106634358003</v>
      </c>
      <c r="AB74" s="43">
        <f t="shared" ref="AB74" si="1587">IF(V74="","",(V74-V$10)*1000)</f>
        <v>-0.25482508004648352</v>
      </c>
      <c r="AC74" s="43">
        <f t="shared" ref="AC74" si="1588">IF(W74="","",(W74-W$10)*1000)</f>
        <v>-13.388031027866898</v>
      </c>
      <c r="AD74" s="43">
        <f t="shared" ref="AD74" si="1589">IF(X74="","",(X74-X$10)*1000)</f>
        <v>1.7217790595069893</v>
      </c>
      <c r="AE74" s="43">
        <f t="shared" ref="AE74" si="1590">IF(Y74="","",(Y74-Y$10)*1000)</f>
        <v>-1.4201067312331617</v>
      </c>
      <c r="AF74" s="40"/>
      <c r="AG74" s="43">
        <f t="shared" si="1465"/>
        <v>-7.1000000461935997</v>
      </c>
      <c r="AH74" s="43">
        <f t="shared" si="1466"/>
        <v>-3.499999875202775</v>
      </c>
      <c r="AI74" s="43">
        <f t="shared" si="1467"/>
        <v>-8.5499999999996135</v>
      </c>
      <c r="AJ74" s="43">
        <f t="shared" si="1468"/>
        <v>-9.4499998958781362</v>
      </c>
      <c r="AK74" s="43">
        <f t="shared" si="1469"/>
        <v>-8.9000000152736902</v>
      </c>
      <c r="AL74" s="43">
        <f t="shared" si="1470"/>
        <v>-19.549999999995293</v>
      </c>
      <c r="AM74" s="43">
        <f t="shared" si="1471"/>
        <v>-5.7999999262392521</v>
      </c>
      <c r="AN74" s="43">
        <f t="shared" si="1472"/>
        <v>-5.9000002220273018</v>
      </c>
      <c r="AO74" s="43">
        <f t="shared" si="1473"/>
        <v>-17.499999999998295</v>
      </c>
      <c r="AP74" s="43">
        <f t="shared" si="1474"/>
        <v>-5.2000000141561031</v>
      </c>
      <c r="AQ74" s="43">
        <f t="shared" si="1475"/>
        <v>-8.4000001661479473</v>
      </c>
      <c r="AR74" s="43">
        <f t="shared" si="1476"/>
        <v>-14.65000000000316</v>
      </c>
      <c r="AS74" s="43">
        <f t="shared" si="1477"/>
        <v>-3.7499999161809683</v>
      </c>
      <c r="AT74" s="43">
        <f t="shared" si="1478"/>
        <v>5.0000147894024849E-2</v>
      </c>
      <c r="AU74" s="43">
        <f t="shared" si="1479"/>
        <v>-1.9500000000078899</v>
      </c>
      <c r="AV74" s="40"/>
      <c r="AW74" s="39">
        <v>170.10183152547702</v>
      </c>
      <c r="AX74" s="39">
        <v>-2.6291072371231086</v>
      </c>
      <c r="AY74" s="39">
        <v>1.4858616847452311</v>
      </c>
      <c r="AZ74" s="41">
        <v>170.41701966907974</v>
      </c>
      <c r="BA74" s="42">
        <v>-1.1301258615683887</v>
      </c>
      <c r="BB74" s="42">
        <v>2.7415098033091994</v>
      </c>
      <c r="BC74" s="41">
        <v>170.43148048534911</v>
      </c>
      <c r="BD74" s="42">
        <v>0.3869479055437019</v>
      </c>
      <c r="BE74" s="42">
        <v>3.4143651951465017</v>
      </c>
      <c r="BF74" s="41">
        <v>170.65597774237239</v>
      </c>
      <c r="BG74" s="42">
        <v>1.1117520318404071</v>
      </c>
      <c r="BH74" s="42">
        <v>2.722720222576271</v>
      </c>
      <c r="BI74" s="41">
        <v>170.39144449966949</v>
      </c>
      <c r="BJ74" s="42">
        <v>2.6350959631827591</v>
      </c>
      <c r="BK74" s="42">
        <v>1.591065555003297</v>
      </c>
      <c r="BL74" s="40"/>
      <c r="BM74" s="43">
        <f t="shared" si="1480"/>
        <v>-7.8684745229793407</v>
      </c>
      <c r="BN74" s="43">
        <f t="shared" si="1481"/>
        <v>0.19276287689162785</v>
      </c>
      <c r="BO74" s="43">
        <f t="shared" si="1482"/>
        <v>-8.4383152547689022</v>
      </c>
      <c r="BP74" s="43">
        <f t="shared" si="1483"/>
        <v>-12.280330920276583</v>
      </c>
      <c r="BQ74" s="43">
        <f t="shared" si="1484"/>
        <v>4.0741384316114182</v>
      </c>
      <c r="BR74" s="43">
        <f t="shared" si="1485"/>
        <v>-19.390196690800554</v>
      </c>
      <c r="BS74" s="43">
        <f t="shared" si="1486"/>
        <v>-7.7195146508870494</v>
      </c>
      <c r="BT74" s="43">
        <f t="shared" si="1487"/>
        <v>2.8479055437019007</v>
      </c>
      <c r="BU74" s="43">
        <f t="shared" si="1488"/>
        <v>-17.434804853498242</v>
      </c>
      <c r="BV74" s="43">
        <f t="shared" ref="BV74" si="1591">IF(BF74="","",(BF74-BF$10)*1000)</f>
        <v>-8.2222576276080872</v>
      </c>
      <c r="BW74" s="43">
        <f t="shared" ref="BW74" si="1592">IF(BG74="","",(BG74-BG$10)*1000)</f>
        <v>5.4520318404069901</v>
      </c>
      <c r="BX74" s="43">
        <f t="shared" ref="BX74" si="1593">IF(BH74="","",(BH74-BH$10)*1000)</f>
        <v>-14.579777423728846</v>
      </c>
      <c r="BY74" s="43">
        <f t="shared" ref="BY74" si="1594">IF(BI74="","",(BI74-BI$10)*1000)</f>
        <v>-3.3555003305139053</v>
      </c>
      <c r="BZ74" s="43">
        <f t="shared" ref="BZ74" si="1595">IF(BJ74="","",(BJ74-BJ$10)*1000)</f>
        <v>-1.6040368172407504</v>
      </c>
      <c r="CA74" s="43">
        <f t="shared" ref="CA74" si="1596">IF(BK74="","",(BK74-BK$10)*1000)</f>
        <v>-1.934444996702922</v>
      </c>
    </row>
    <row r="75" spans="1:79" ht="29.25" customHeight="1" x14ac:dyDescent="0.2">
      <c r="A75" s="37">
        <v>44075</v>
      </c>
      <c r="B75" s="30">
        <f t="shared" si="1583"/>
        <v>420</v>
      </c>
      <c r="C75" s="38">
        <v>223.9</v>
      </c>
      <c r="D75" s="38">
        <v>53.5</v>
      </c>
      <c r="E75" s="39">
        <v>823220.72530000005</v>
      </c>
      <c r="F75" s="39">
        <v>1091507.8777000001</v>
      </c>
      <c r="G75" s="39">
        <v>-122.3566</v>
      </c>
      <c r="H75" s="39">
        <v>823221.64450000005</v>
      </c>
      <c r="I75" s="39">
        <v>1091506.6525000001</v>
      </c>
      <c r="J75" s="39">
        <v>-121.09820000000001</v>
      </c>
      <c r="K75" s="39"/>
      <c r="L75" s="39"/>
      <c r="M75" s="39"/>
      <c r="N75" s="39">
        <v>823222.8088</v>
      </c>
      <c r="O75" s="39">
        <v>1091504.7216</v>
      </c>
      <c r="P75" s="39">
        <v>-121.1144</v>
      </c>
      <c r="Q75" s="39">
        <v>823223.2132</v>
      </c>
      <c r="R75" s="39">
        <v>1091503.2293</v>
      </c>
      <c r="S75" s="39">
        <v>-122.2483</v>
      </c>
      <c r="T75" s="57" t="str">
        <f t="shared" si="1511"/>
        <v/>
      </c>
      <c r="U75" s="39" t="str">
        <f t="shared" si="1519"/>
        <v/>
      </c>
      <c r="V75" s="39" t="str">
        <f t="shared" si="1520"/>
        <v/>
      </c>
      <c r="W75" s="57" t="str">
        <f t="shared" si="1514"/>
        <v/>
      </c>
      <c r="X75" s="39">
        <f t="shared" si="1521"/>
        <v>2.2548241040072043</v>
      </c>
      <c r="Y75" s="57">
        <f t="shared" si="1516"/>
        <v>5.2734237322956714</v>
      </c>
      <c r="Z75" s="43" t="str">
        <f t="shared" ref="Z75:Z78" si="1597">IF(T75="","",(T75-T$10)*1000)</f>
        <v/>
      </c>
      <c r="AA75" s="43" t="str">
        <f t="shared" ref="AA75:AA78" si="1598">IF(U75="","",(U75-U$10)*1000)</f>
        <v/>
      </c>
      <c r="AB75" s="43" t="str">
        <f t="shared" ref="AB75:AB78" si="1599">IF(V75="","",(V75-V$10)*1000)</f>
        <v/>
      </c>
      <c r="AC75" s="43" t="str">
        <f t="shared" ref="AC75:AC78" si="1600">IF(W75="","",(W75-W$10)*1000)</f>
        <v/>
      </c>
      <c r="AD75" s="43">
        <f t="shared" ref="AD75:AD78" si="1601">IF(X75="","",(X75-X$10)*1000)</f>
        <v>1.9092361218708831</v>
      </c>
      <c r="AE75" s="43">
        <f t="shared" ref="AE75:AE78" si="1602">IF(Y75="","",(Y75-Y$10)*1000)</f>
        <v>-1.2682827417682674</v>
      </c>
      <c r="AF75" s="40"/>
      <c r="AG75" s="43">
        <f t="shared" si="1465"/>
        <v>-7.1000000461935997</v>
      </c>
      <c r="AH75" s="43">
        <f t="shared" si="1466"/>
        <v>-3.399999812245369</v>
      </c>
      <c r="AI75" s="43">
        <f t="shared" si="1467"/>
        <v>-9.1500000000053205</v>
      </c>
      <c r="AJ75" s="43">
        <f t="shared" si="1468"/>
        <v>-9.4499998958781362</v>
      </c>
      <c r="AK75" s="43">
        <f t="shared" si="1469"/>
        <v>-8.6999998893588781</v>
      </c>
      <c r="AL75" s="43">
        <f t="shared" si="1470"/>
        <v>-20.550000000000068</v>
      </c>
      <c r="AM75" s="43" t="str">
        <f t="shared" si="1471"/>
        <v/>
      </c>
      <c r="AN75" s="43" t="str">
        <f t="shared" si="1472"/>
        <v/>
      </c>
      <c r="AO75" s="43" t="str">
        <f t="shared" si="1473"/>
        <v/>
      </c>
      <c r="AP75" s="43">
        <f t="shared" si="1474"/>
        <v>-5.0000000046566129</v>
      </c>
      <c r="AQ75" s="43">
        <f t="shared" si="1475"/>
        <v>-8.3000001031905413</v>
      </c>
      <c r="AR75" s="43">
        <f t="shared" si="1476"/>
        <v>-15.450000000001296</v>
      </c>
      <c r="AS75" s="43">
        <f t="shared" si="1477"/>
        <v>-3.2499999506399035</v>
      </c>
      <c r="AT75" s="43">
        <f t="shared" si="1478"/>
        <v>0.25000004097819328</v>
      </c>
      <c r="AU75" s="43">
        <f t="shared" si="1479"/>
        <v>-2.3500000000069576</v>
      </c>
      <c r="AV75" s="40"/>
      <c r="AW75" s="39">
        <v>170.10187379070467</v>
      </c>
      <c r="AX75" s="39">
        <v>-2.6291978663850957</v>
      </c>
      <c r="AY75" s="39">
        <v>1.4852612620929477</v>
      </c>
      <c r="AZ75" s="41">
        <v>170.41710419953498</v>
      </c>
      <c r="BA75" s="42">
        <v>-1.1303071200923251</v>
      </c>
      <c r="BB75" s="42">
        <v>2.7405089580046393</v>
      </c>
      <c r="BC75" s="41">
        <v>0</v>
      </c>
      <c r="BD75" s="42">
        <v>0</v>
      </c>
      <c r="BE75" s="42">
        <v>0</v>
      </c>
      <c r="BF75" s="41">
        <v>170.65620126601843</v>
      </c>
      <c r="BG75" s="42">
        <v>1.1117459329844592</v>
      </c>
      <c r="BH75" s="42">
        <v>2.7219179873398076</v>
      </c>
      <c r="BI75" s="41">
        <v>170.39198217601967</v>
      </c>
      <c r="BJ75" s="42">
        <v>2.6351260308603397</v>
      </c>
      <c r="BK75" s="42">
        <v>1.5906601782398013</v>
      </c>
      <c r="BL75" s="40"/>
      <c r="BM75" s="43">
        <f t="shared" si="1480"/>
        <v>-7.8262092953309548</v>
      </c>
      <c r="BN75" s="43">
        <f t="shared" si="1481"/>
        <v>0.10213361490452044</v>
      </c>
      <c r="BO75" s="43">
        <f t="shared" si="1482"/>
        <v>-9.03873790705223</v>
      </c>
      <c r="BP75" s="43">
        <f t="shared" si="1483"/>
        <v>-12.195800465036655</v>
      </c>
      <c r="BQ75" s="43">
        <f t="shared" si="1484"/>
        <v>3.892879907674951</v>
      </c>
      <c r="BR75" s="43">
        <f t="shared" si="1485"/>
        <v>-20.39104199536057</v>
      </c>
      <c r="BS75" s="43"/>
      <c r="BT75" s="43"/>
      <c r="BU75" s="43"/>
      <c r="BV75" s="43">
        <f t="shared" si="1489"/>
        <v>-7.9987339815659197</v>
      </c>
      <c r="BW75" s="43">
        <f t="shared" si="1490"/>
        <v>5.4459329844591675</v>
      </c>
      <c r="BX75" s="43">
        <f t="shared" si="1491"/>
        <v>-15.382012660192235</v>
      </c>
      <c r="BY75" s="43">
        <f t="shared" si="1492"/>
        <v>-2.8178239803366978</v>
      </c>
      <c r="BZ75" s="43">
        <f t="shared" si="1493"/>
        <v>-1.5739691396601252</v>
      </c>
      <c r="CA75" s="43">
        <f t="shared" si="1494"/>
        <v>-2.339821760198646</v>
      </c>
    </row>
    <row r="76" spans="1:79" ht="29.25" customHeight="1" x14ac:dyDescent="0.2">
      <c r="A76" s="37">
        <v>44082</v>
      </c>
      <c r="B76" s="30">
        <f t="shared" si="1583"/>
        <v>427</v>
      </c>
      <c r="C76" s="38">
        <v>223.9</v>
      </c>
      <c r="D76" s="38">
        <v>53.5</v>
      </c>
      <c r="E76" s="39">
        <v>823220.72580000001</v>
      </c>
      <c r="F76" s="39">
        <v>1091507.8779</v>
      </c>
      <c r="G76" s="39">
        <v>-122.3562</v>
      </c>
      <c r="H76" s="39">
        <v>823221.6446</v>
      </c>
      <c r="I76" s="39">
        <v>1091506.6524</v>
      </c>
      <c r="J76" s="39">
        <v>-121.0981</v>
      </c>
      <c r="K76" s="39"/>
      <c r="L76" s="39"/>
      <c r="M76" s="39"/>
      <c r="N76" s="39">
        <v>823222.80889999995</v>
      </c>
      <c r="O76" s="39">
        <v>1091504.7215</v>
      </c>
      <c r="P76" s="39">
        <v>-121.1144</v>
      </c>
      <c r="Q76" s="39">
        <v>823223.21310000005</v>
      </c>
      <c r="R76" s="39">
        <v>1091503.2293</v>
      </c>
      <c r="S76" s="39">
        <v>-122.2479</v>
      </c>
      <c r="T76" s="57" t="str">
        <f t="shared" si="1511"/>
        <v/>
      </c>
      <c r="U76" s="39" t="str">
        <f t="shared" si="1519"/>
        <v/>
      </c>
      <c r="V76" s="39" t="str">
        <f t="shared" si="1520"/>
        <v/>
      </c>
      <c r="W76" s="57" t="str">
        <f t="shared" si="1514"/>
        <v/>
      </c>
      <c r="X76" s="39">
        <f t="shared" si="1521"/>
        <v>2.2548248246841465</v>
      </c>
      <c r="Y76" s="57">
        <f t="shared" si="1516"/>
        <v>5.2733169959507107</v>
      </c>
      <c r="Z76" s="43" t="str">
        <f t="shared" si="1597"/>
        <v/>
      </c>
      <c r="AA76" s="43" t="str">
        <f t="shared" si="1598"/>
        <v/>
      </c>
      <c r="AB76" s="43" t="str">
        <f t="shared" si="1599"/>
        <v/>
      </c>
      <c r="AC76" s="43" t="str">
        <f t="shared" si="1600"/>
        <v/>
      </c>
      <c r="AD76" s="43">
        <f t="shared" si="1601"/>
        <v>1.9099567988130062</v>
      </c>
      <c r="AE76" s="43">
        <f t="shared" si="1602"/>
        <v>-1.3750190867289902</v>
      </c>
      <c r="AF76" s="40"/>
      <c r="AG76" s="43">
        <f t="shared" si="1465"/>
        <v>-6.600000080652535</v>
      </c>
      <c r="AH76" s="43">
        <f t="shared" si="1466"/>
        <v>-3.1999999191612005</v>
      </c>
      <c r="AI76" s="43">
        <f t="shared" si="1467"/>
        <v>-8.7500000000062528</v>
      </c>
      <c r="AJ76" s="43">
        <f t="shared" si="1468"/>
        <v>-9.3499999493360519</v>
      </c>
      <c r="AK76" s="43">
        <f t="shared" si="1469"/>
        <v>-8.7999999523162842</v>
      </c>
      <c r="AL76" s="43">
        <f t="shared" si="1470"/>
        <v>-20.449999999996749</v>
      </c>
      <c r="AM76" s="43"/>
      <c r="AN76" s="43"/>
      <c r="AO76" s="43"/>
      <c r="AP76" s="43">
        <f t="shared" si="1474"/>
        <v>-4.9000000581145287</v>
      </c>
      <c r="AQ76" s="43">
        <f t="shared" si="1475"/>
        <v>-8.4000001661479473</v>
      </c>
      <c r="AR76" s="43">
        <f t="shared" si="1476"/>
        <v>-15.450000000001296</v>
      </c>
      <c r="AS76" s="43">
        <f t="shared" si="1477"/>
        <v>-3.3499998971819878</v>
      </c>
      <c r="AT76" s="43">
        <f t="shared" si="1478"/>
        <v>0.25000004097819328</v>
      </c>
      <c r="AU76" s="43">
        <f t="shared" si="1479"/>
        <v>-1.9500000000078899</v>
      </c>
      <c r="AV76" s="40"/>
      <c r="AW76" s="39">
        <v>170.10241146705482</v>
      </c>
      <c r="AX76" s="39">
        <v>-2.6291677987075364</v>
      </c>
      <c r="AY76" s="39">
        <v>1.4856558853294501</v>
      </c>
      <c r="AZ76" s="41">
        <v>170.41715256346384</v>
      </c>
      <c r="BA76" s="42">
        <v>-1.1301742256519356</v>
      </c>
      <c r="BB76" s="42">
        <v>2.7406084743653594</v>
      </c>
      <c r="BC76" s="41" t="s">
        <v>61</v>
      </c>
      <c r="BD76" s="42" t="s">
        <v>61</v>
      </c>
      <c r="BE76" s="42" t="s">
        <v>61</v>
      </c>
      <c r="BF76" s="41">
        <v>170.6562496299473</v>
      </c>
      <c r="BG76" s="42">
        <v>1.1118788274248623</v>
      </c>
      <c r="BH76" s="42">
        <v>2.7219175037005243</v>
      </c>
      <c r="BI76" s="41">
        <v>170.39189154686318</v>
      </c>
      <c r="BJ76" s="42">
        <v>2.6350837656819102</v>
      </c>
      <c r="BK76" s="42">
        <v>1.5910610845313613</v>
      </c>
      <c r="BL76" s="40"/>
      <c r="BM76" s="43">
        <f t="shared" si="1480"/>
        <v>-7.288532945182169</v>
      </c>
      <c r="BN76" s="43">
        <f t="shared" si="1481"/>
        <v>0.13220129246382939</v>
      </c>
      <c r="BO76" s="43">
        <f t="shared" si="1482"/>
        <v>-8.6441146705498184</v>
      </c>
      <c r="BP76" s="43">
        <f t="shared" ref="BP76:BP84" si="1603">IF(AZ76="","",(AZ76-AZ$10)*1000)</f>
        <v>-12.147436536167788</v>
      </c>
      <c r="BQ76" s="43">
        <f t="shared" ref="BQ76:BQ84" si="1604">IF(BA76="","",(BA76-BA$10)*1000)</f>
        <v>4.0257743480645036</v>
      </c>
      <c r="BR76" s="43">
        <f t="shared" ref="BR76:BR84" si="1605">IF(BB76="","",(BB76-BB$10)*1000)</f>
        <v>-20.291525634640539</v>
      </c>
      <c r="BS76" s="43"/>
      <c r="BT76" s="43"/>
      <c r="BU76" s="43"/>
      <c r="BV76" s="43">
        <f t="shared" ref="BV76:BV79" si="1606">IF(BF76="","",(BF76-BF$10)*1000)</f>
        <v>-7.9503700526970533</v>
      </c>
      <c r="BW76" s="43">
        <f t="shared" ref="BW76:BW79" si="1607">IF(BG76="","",(BG76-BG$10)*1000)</f>
        <v>5.5788274248622649</v>
      </c>
      <c r="BX76" s="43">
        <f t="shared" ref="BX76:BX79" si="1608">IF(BH76="","",(BH76-BH$10)*1000)</f>
        <v>-15.382496299475523</v>
      </c>
      <c r="BY76" s="43">
        <f t="shared" si="1492"/>
        <v>-2.9084531368255284</v>
      </c>
      <c r="BZ76" s="43">
        <f t="shared" si="1493"/>
        <v>-1.6162343180896599</v>
      </c>
      <c r="CA76" s="43">
        <f t="shared" si="1494"/>
        <v>-1.9389154686386689</v>
      </c>
    </row>
    <row r="77" spans="1:79" ht="29.25" customHeight="1" x14ac:dyDescent="0.2">
      <c r="A77" s="37">
        <v>44112</v>
      </c>
      <c r="B77" s="30">
        <f t="shared" si="1583"/>
        <v>457</v>
      </c>
      <c r="C77" s="38">
        <v>223.9</v>
      </c>
      <c r="D77" s="38">
        <v>53.5</v>
      </c>
      <c r="E77" s="39"/>
      <c r="F77" s="39"/>
      <c r="G77" s="39"/>
      <c r="H77" s="39">
        <v>823221.6446</v>
      </c>
      <c r="I77" s="39">
        <v>1091506.6527</v>
      </c>
      <c r="J77" s="39">
        <v>-121.0981</v>
      </c>
      <c r="K77" s="39"/>
      <c r="L77" s="39"/>
      <c r="M77" s="39"/>
      <c r="N77" s="39">
        <v>823222.80920000002</v>
      </c>
      <c r="O77" s="39">
        <v>1091504.7213999999</v>
      </c>
      <c r="P77" s="39">
        <v>-121.1139</v>
      </c>
      <c r="Q77" s="39">
        <v>823223.21409999998</v>
      </c>
      <c r="R77" s="39">
        <v>1091503.2296</v>
      </c>
      <c r="S77" s="39">
        <v>-122.2466</v>
      </c>
      <c r="T77" s="57" t="str">
        <f t="shared" si="1511"/>
        <v/>
      </c>
      <c r="U77" s="39" t="str">
        <f t="shared" si="1519"/>
        <v/>
      </c>
      <c r="V77" s="39" t="str">
        <f t="shared" si="1520"/>
        <v/>
      </c>
      <c r="W77" s="57" t="str">
        <f t="shared" si="1514"/>
        <v/>
      </c>
      <c r="X77" s="39">
        <f t="shared" si="1521"/>
        <v>2.2553187114583251</v>
      </c>
      <c r="Y77" s="57"/>
      <c r="Z77" s="43" t="str">
        <f t="shared" si="1597"/>
        <v/>
      </c>
      <c r="AA77" s="43" t="str">
        <f t="shared" si="1598"/>
        <v/>
      </c>
      <c r="AB77" s="43" t="str">
        <f t="shared" si="1599"/>
        <v/>
      </c>
      <c r="AC77" s="43" t="str">
        <f t="shared" si="1600"/>
        <v/>
      </c>
      <c r="AD77" s="43">
        <f t="shared" si="1601"/>
        <v>2.4038435729916152</v>
      </c>
      <c r="AE77" s="43" t="str">
        <f t="shared" si="1602"/>
        <v/>
      </c>
      <c r="AF77" s="40"/>
      <c r="AG77" s="43" t="str">
        <f t="shared" si="1465"/>
        <v/>
      </c>
      <c r="AH77" s="43" t="str">
        <f t="shared" si="1466"/>
        <v/>
      </c>
      <c r="AI77" s="43" t="str">
        <f t="shared" si="1467"/>
        <v/>
      </c>
      <c r="AJ77" s="43">
        <f t="shared" si="1468"/>
        <v>-9.3499999493360519</v>
      </c>
      <c r="AK77" s="43">
        <f t="shared" si="1469"/>
        <v>-8.4999999962747097</v>
      </c>
      <c r="AL77" s="43">
        <f t="shared" si="1470"/>
        <v>-20.449999999996749</v>
      </c>
      <c r="AM77" s="43" t="str">
        <f t="shared" si="1471"/>
        <v/>
      </c>
      <c r="AN77" s="43" t="str">
        <f t="shared" si="1472"/>
        <v/>
      </c>
      <c r="AO77" s="43" t="str">
        <f t="shared" si="1473"/>
        <v/>
      </c>
      <c r="AP77" s="43">
        <f t="shared" si="1474"/>
        <v>-4.5999999856576324</v>
      </c>
      <c r="AQ77" s="43">
        <f t="shared" si="1475"/>
        <v>-8.5000002291053534</v>
      </c>
      <c r="AR77" s="43">
        <f t="shared" si="1476"/>
        <v>-14.949999999998909</v>
      </c>
      <c r="AS77" s="43">
        <f t="shared" si="1477"/>
        <v>-2.3499999660998583</v>
      </c>
      <c r="AT77" s="43">
        <f t="shared" si="1478"/>
        <v>0.54999999701976776</v>
      </c>
      <c r="AU77" s="43">
        <f t="shared" si="1479"/>
        <v>-0.65000000000736691</v>
      </c>
      <c r="AV77" s="40"/>
      <c r="AW77" s="41" t="s">
        <v>61</v>
      </c>
      <c r="AX77" s="42" t="s">
        <v>61</v>
      </c>
      <c r="AY77" s="42" t="s">
        <v>61</v>
      </c>
      <c r="AZ77" s="41">
        <v>170.41727935904825</v>
      </c>
      <c r="BA77" s="41">
        <v>-1.13044611322685</v>
      </c>
      <c r="BB77" s="41">
        <v>2.7406072064095071</v>
      </c>
      <c r="BC77" s="39" t="s">
        <v>61</v>
      </c>
      <c r="BD77" s="39" t="s">
        <v>61</v>
      </c>
      <c r="BE77" s="39" t="s">
        <v>61</v>
      </c>
      <c r="BF77" s="39">
        <v>170.65647925240009</v>
      </c>
      <c r="BG77" s="39">
        <v>1.1120962523204734</v>
      </c>
      <c r="BH77" s="39">
        <v>2.72241520747599</v>
      </c>
      <c r="BI77" s="39">
        <v>170.39292463443434</v>
      </c>
      <c r="BJ77" s="39">
        <v>2.6352345300879811</v>
      </c>
      <c r="BK77" s="39">
        <v>1.5923507536556514</v>
      </c>
      <c r="BL77" s="40"/>
      <c r="BM77" s="43"/>
      <c r="BN77" s="43"/>
      <c r="BO77" s="43"/>
      <c r="BP77" s="43">
        <f t="shared" si="1603"/>
        <v>-12.020640951760697</v>
      </c>
      <c r="BQ77" s="43">
        <f t="shared" si="1604"/>
        <v>3.7538867731501391</v>
      </c>
      <c r="BR77" s="43">
        <f t="shared" si="1605"/>
        <v>-20.292793590492852</v>
      </c>
      <c r="BS77" s="43"/>
      <c r="BT77" s="43"/>
      <c r="BU77" s="43"/>
      <c r="BV77" s="43">
        <f t="shared" si="1606"/>
        <v>-7.7207475999045982</v>
      </c>
      <c r="BW77" s="43">
        <f t="shared" si="1607"/>
        <v>5.7962523204733163</v>
      </c>
      <c r="BX77" s="43">
        <f t="shared" si="1608"/>
        <v>-14.884792524009871</v>
      </c>
      <c r="BY77" s="43">
        <f t="shared" si="1492"/>
        <v>-1.8753655656666979</v>
      </c>
      <c r="BZ77" s="43">
        <f t="shared" si="1493"/>
        <v>-1.4654699120186798</v>
      </c>
      <c r="CA77" s="43">
        <f t="shared" si="1494"/>
        <v>-0.6492463443485974</v>
      </c>
    </row>
    <row r="78" spans="1:79" ht="29.25" customHeight="1" x14ac:dyDescent="0.2">
      <c r="A78" s="37">
        <v>44134</v>
      </c>
      <c r="B78" s="30">
        <f t="shared" si="1583"/>
        <v>479</v>
      </c>
      <c r="C78" s="38">
        <v>223.9</v>
      </c>
      <c r="D78" s="38">
        <v>53.5</v>
      </c>
      <c r="E78" s="39">
        <v>823220.72479999997</v>
      </c>
      <c r="F78" s="39">
        <v>1091507.8777999999</v>
      </c>
      <c r="G78" s="39">
        <v>-122.3558</v>
      </c>
      <c r="H78" s="39"/>
      <c r="I78" s="39"/>
      <c r="J78" s="39"/>
      <c r="K78" s="39">
        <v>823222.29799999995</v>
      </c>
      <c r="L78" s="39">
        <v>1091505.2841</v>
      </c>
      <c r="M78" s="39">
        <v>-120.4256</v>
      </c>
      <c r="N78" s="39">
        <v>823222.80799999996</v>
      </c>
      <c r="O78" s="39">
        <v>1091504.7217000001</v>
      </c>
      <c r="P78" s="39">
        <v>-121.1147</v>
      </c>
      <c r="Q78" s="39">
        <v>823223.21290000004</v>
      </c>
      <c r="R78" s="39">
        <v>1091503.2302000001</v>
      </c>
      <c r="S78" s="39">
        <v>-122.2471</v>
      </c>
      <c r="T78" s="57">
        <f t="shared" si="1511"/>
        <v>3.5955402889111925</v>
      </c>
      <c r="U78" s="39"/>
      <c r="V78" s="39">
        <f t="shared" si="1520"/>
        <v>1.0253060859756369</v>
      </c>
      <c r="W78" s="57">
        <f t="shared" si="1514"/>
        <v>2.8936844109063915</v>
      </c>
      <c r="X78" s="39"/>
      <c r="Y78" s="57">
        <f t="shared" si="1516"/>
        <v>5.2728211669322009</v>
      </c>
      <c r="Z78" s="43">
        <f t="shared" si="1597"/>
        <v>-3.7974683264332398</v>
      </c>
      <c r="AA78" s="43" t="str">
        <f t="shared" si="1598"/>
        <v/>
      </c>
      <c r="AB78" s="43">
        <f t="shared" si="1599"/>
        <v>-0.13769725197931848</v>
      </c>
      <c r="AC78" s="43">
        <f t="shared" si="1600"/>
        <v>-14.81229842971965</v>
      </c>
      <c r="AD78" s="43" t="str">
        <f t="shared" si="1601"/>
        <v/>
      </c>
      <c r="AE78" s="43">
        <f t="shared" si="1602"/>
        <v>-1.8708481052387427</v>
      </c>
      <c r="AF78" s="40"/>
      <c r="AG78" s="43">
        <f t="shared" si="1465"/>
        <v>-7.6000001281499863</v>
      </c>
      <c r="AH78" s="43">
        <f t="shared" si="1466"/>
        <v>-3.2999999821186066</v>
      </c>
      <c r="AI78" s="43">
        <f t="shared" si="1467"/>
        <v>-8.350000000007185</v>
      </c>
      <c r="AJ78" s="43" t="str">
        <f t="shared" si="1468"/>
        <v/>
      </c>
      <c r="AK78" s="43" t="str">
        <f t="shared" si="1469"/>
        <v/>
      </c>
      <c r="AL78" s="43" t="str">
        <f t="shared" si="1470"/>
        <v/>
      </c>
      <c r="AM78" s="43">
        <f t="shared" si="1471"/>
        <v>-6.5999999642372131</v>
      </c>
      <c r="AN78" s="43">
        <f t="shared" si="1472"/>
        <v>-5.3000000771135092</v>
      </c>
      <c r="AO78" s="43">
        <f t="shared" si="1473"/>
        <v>-18.900000000002137</v>
      </c>
      <c r="AP78" s="43">
        <f t="shared" si="1474"/>
        <v>-5.8000000426545739</v>
      </c>
      <c r="AQ78" s="43">
        <f t="shared" si="1475"/>
        <v>-8.2000000402331352</v>
      </c>
      <c r="AR78" s="43">
        <f t="shared" si="1476"/>
        <v>-15.749999999997044</v>
      </c>
      <c r="AS78" s="43">
        <f t="shared" si="1477"/>
        <v>-3.549999906681478</v>
      </c>
      <c r="AT78" s="43">
        <f t="shared" si="1478"/>
        <v>1.1500001419335604</v>
      </c>
      <c r="AU78" s="43">
        <f t="shared" si="1479"/>
        <v>-1.1500000000097543</v>
      </c>
      <c r="AV78" s="40"/>
      <c r="AW78" s="39">
        <v>170.10146290973501</v>
      </c>
      <c r="AX78" s="39">
        <v>-2.6294998214757288</v>
      </c>
      <c r="AY78" s="39">
        <v>1.4860653709026508</v>
      </c>
      <c r="AZ78" s="41"/>
      <c r="BA78" s="42"/>
      <c r="BB78" s="42"/>
      <c r="BC78" s="41">
        <v>170.43100904294263</v>
      </c>
      <c r="BD78" s="42">
        <v>0.38606600855872086</v>
      </c>
      <c r="BE78" s="42">
        <v>3.4129699095705632</v>
      </c>
      <c r="BF78" s="41">
        <v>170.65551849757227</v>
      </c>
      <c r="BG78" s="42">
        <v>1.1113171820983443</v>
      </c>
      <c r="BH78" s="42">
        <v>2.7216248150242706</v>
      </c>
      <c r="BI78" s="41">
        <v>170.39209067529649</v>
      </c>
      <c r="BJ78" s="42">
        <v>2.6341835723401306</v>
      </c>
      <c r="BK78" s="42">
        <v>1.5918590932470238</v>
      </c>
      <c r="BL78" s="40"/>
      <c r="BM78" s="43">
        <f t="shared" si="1480"/>
        <v>-8.2370902649984146</v>
      </c>
      <c r="BN78" s="43">
        <f t="shared" si="1481"/>
        <v>-0.19982147572861209</v>
      </c>
      <c r="BO78" s="43">
        <f t="shared" si="1482"/>
        <v>-8.2346290973491776</v>
      </c>
      <c r="BP78" s="43" t="str">
        <f t="shared" si="1603"/>
        <v/>
      </c>
      <c r="BQ78" s="43" t="str">
        <f t="shared" si="1604"/>
        <v/>
      </c>
      <c r="BR78" s="43" t="str">
        <f t="shared" si="1605"/>
        <v/>
      </c>
      <c r="BS78" s="43">
        <f t="shared" ref="BS78:BS79" si="1609">IF(BC78="","",(BC78-BC$10)*1000)</f>
        <v>-8.190957057365722</v>
      </c>
      <c r="BT78" s="43">
        <f t="shared" ref="BT78:BT79" si="1610">IF(BD78="","",(BD78-BD$10)*1000)</f>
        <v>1.9660085587208664</v>
      </c>
      <c r="BU78" s="43">
        <f t="shared" ref="BU78:BU79" si="1611">IF(BE78="","",(BE78-BE$10)*1000)</f>
        <v>-18.83009042943673</v>
      </c>
      <c r="BV78" s="43">
        <f t="shared" si="1606"/>
        <v>-8.6815024277200337</v>
      </c>
      <c r="BW78" s="43">
        <f t="shared" si="1607"/>
        <v>5.0171820983442306</v>
      </c>
      <c r="BX78" s="43">
        <f t="shared" si="1608"/>
        <v>-15.675184975729284</v>
      </c>
      <c r="BY78" s="43">
        <f t="shared" si="1492"/>
        <v>-2.7093247035168133</v>
      </c>
      <c r="BZ78" s="43">
        <f t="shared" si="1493"/>
        <v>-2.5164276598692581</v>
      </c>
      <c r="CA78" s="43">
        <f t="shared" si="1494"/>
        <v>-1.1409067529761785</v>
      </c>
    </row>
    <row r="79" spans="1:79" s="94" customFormat="1" ht="58.5" customHeight="1" x14ac:dyDescent="0.2">
      <c r="A79" s="86"/>
      <c r="B79" s="87" t="str">
        <f t="shared" si="1583"/>
        <v/>
      </c>
      <c r="C79" s="88"/>
      <c r="D79" s="88" t="str">
        <f>IF(C79="","",+C79-#REF!)</f>
        <v/>
      </c>
      <c r="E79" s="89"/>
      <c r="F79" s="89"/>
      <c r="G79" s="89"/>
      <c r="H79" s="89"/>
      <c r="I79" s="89"/>
      <c r="J79" s="89"/>
      <c r="K79" s="89"/>
      <c r="L79" s="89"/>
      <c r="M79" s="89"/>
      <c r="N79" s="89"/>
      <c r="O79" s="89"/>
      <c r="P79" s="89"/>
      <c r="Q79" s="89"/>
      <c r="R79" s="89"/>
      <c r="S79" s="89"/>
      <c r="T79" s="89"/>
      <c r="U79" s="89" t="str">
        <f t="shared" ref="U79:U81" si="1612">IF(Xhaut="","",SQRT(((Xhautgauche-Xhaut)^2+(Yhautgauche-Yhaut)^2)+(Zhautgauche-Zhaut)^2))</f>
        <v/>
      </c>
      <c r="V79" s="89" t="str">
        <f t="shared" ref="V79:V107" si="1613">IF(Xhaut="","",SQRT(((Xhautdroit-Xhaut)^2+(Yhautdroit-Yhaut)^2)+(Zhautdroit-Zhaut)^2))</f>
        <v/>
      </c>
      <c r="W79" s="89"/>
      <c r="X79" s="89" t="str">
        <f t="shared" ref="X79:X81" si="1614">IF(Xhautdroit="","",SQRT(((Xhautdroit-Xhautgauche)^2+(Yhautdroit-Yhautgauche)^2)+(Zhautdroit-Zhautgauche)^2))</f>
        <v/>
      </c>
      <c r="Y79" s="89"/>
      <c r="Z79" s="90" t="str">
        <f t="shared" si="1522"/>
        <v/>
      </c>
      <c r="AA79" s="90" t="str">
        <f t="shared" si="1523"/>
        <v/>
      </c>
      <c r="AB79" s="90" t="str">
        <f t="shared" si="1524"/>
        <v/>
      </c>
      <c r="AC79" s="90" t="str">
        <f t="shared" si="1525"/>
        <v/>
      </c>
      <c r="AD79" s="90" t="str">
        <f t="shared" si="1526"/>
        <v/>
      </c>
      <c r="AE79" s="90" t="str">
        <f t="shared" si="1527"/>
        <v/>
      </c>
      <c r="AF79" s="91"/>
      <c r="AG79" s="90" t="str">
        <f t="shared" si="1465"/>
        <v/>
      </c>
      <c r="AH79" s="90" t="str">
        <f t="shared" si="1466"/>
        <v/>
      </c>
      <c r="AI79" s="90" t="str">
        <f t="shared" si="1467"/>
        <v/>
      </c>
      <c r="AJ79" s="90" t="str">
        <f t="shared" si="1468"/>
        <v/>
      </c>
      <c r="AK79" s="90" t="str">
        <f t="shared" si="1469"/>
        <v/>
      </c>
      <c r="AL79" s="90" t="str">
        <f t="shared" si="1470"/>
        <v/>
      </c>
      <c r="AM79" s="90" t="str">
        <f t="shared" si="1471"/>
        <v/>
      </c>
      <c r="AN79" s="90" t="str">
        <f t="shared" si="1472"/>
        <v/>
      </c>
      <c r="AO79" s="90" t="str">
        <f t="shared" si="1473"/>
        <v/>
      </c>
      <c r="AP79" s="90" t="str">
        <f t="shared" si="1474"/>
        <v/>
      </c>
      <c r="AQ79" s="90" t="str">
        <f t="shared" si="1475"/>
        <v/>
      </c>
      <c r="AR79" s="90" t="str">
        <f t="shared" si="1476"/>
        <v/>
      </c>
      <c r="AS79" s="90" t="str">
        <f t="shared" si="1477"/>
        <v/>
      </c>
      <c r="AT79" s="90" t="str">
        <f t="shared" si="1478"/>
        <v/>
      </c>
      <c r="AU79" s="90" t="str">
        <f t="shared" si="1479"/>
        <v/>
      </c>
      <c r="AV79" s="91"/>
      <c r="AW79" s="89"/>
      <c r="AX79" s="89"/>
      <c r="AY79" s="89"/>
      <c r="AZ79" s="92"/>
      <c r="BA79" s="93"/>
      <c r="BB79" s="93"/>
      <c r="BC79" s="92"/>
      <c r="BD79" s="93"/>
      <c r="BE79" s="93"/>
      <c r="BF79" s="92"/>
      <c r="BG79" s="93"/>
      <c r="BH79" s="93"/>
      <c r="BI79" s="92"/>
      <c r="BJ79" s="93"/>
      <c r="BK79" s="93"/>
      <c r="BL79" s="91"/>
      <c r="BM79" s="90" t="str">
        <f t="shared" si="1480"/>
        <v/>
      </c>
      <c r="BN79" s="90" t="str">
        <f t="shared" si="1481"/>
        <v/>
      </c>
      <c r="BO79" s="90" t="str">
        <f t="shared" si="1482"/>
        <v/>
      </c>
      <c r="BP79" s="90" t="str">
        <f t="shared" si="1603"/>
        <v/>
      </c>
      <c r="BQ79" s="90" t="str">
        <f t="shared" si="1604"/>
        <v/>
      </c>
      <c r="BR79" s="90" t="str">
        <f t="shared" si="1605"/>
        <v/>
      </c>
      <c r="BS79" s="90" t="str">
        <f t="shared" si="1609"/>
        <v/>
      </c>
      <c r="BT79" s="90" t="str">
        <f t="shared" si="1610"/>
        <v/>
      </c>
      <c r="BU79" s="90" t="str">
        <f t="shared" si="1611"/>
        <v/>
      </c>
      <c r="BV79" s="90" t="str">
        <f t="shared" si="1606"/>
        <v/>
      </c>
      <c r="BW79" s="90" t="str">
        <f t="shared" si="1607"/>
        <v/>
      </c>
      <c r="BX79" s="90" t="str">
        <f t="shared" si="1608"/>
        <v/>
      </c>
      <c r="BY79" s="90" t="str">
        <f t="shared" si="1492"/>
        <v/>
      </c>
      <c r="BZ79" s="90" t="str">
        <f t="shared" si="1493"/>
        <v/>
      </c>
      <c r="CA79" s="90" t="str">
        <f t="shared" si="1494"/>
        <v/>
      </c>
    </row>
    <row r="80" spans="1:79" ht="29.25" customHeight="1" x14ac:dyDescent="0.2">
      <c r="A80" s="37">
        <v>44134</v>
      </c>
      <c r="B80" s="30">
        <f t="shared" ref="B80:B81" si="1615">IF(A80="","",A80-excav)</f>
        <v>479</v>
      </c>
      <c r="C80" s="38">
        <v>223.9</v>
      </c>
      <c r="D80" s="38">
        <v>53.5</v>
      </c>
      <c r="E80" s="39">
        <v>823220.68909999996</v>
      </c>
      <c r="F80" s="39">
        <v>1091507.8454</v>
      </c>
      <c r="G80" s="39">
        <v>-122.3402</v>
      </c>
      <c r="H80" s="39"/>
      <c r="I80" s="39"/>
      <c r="J80" s="39"/>
      <c r="K80" s="39">
        <v>823222.26340000005</v>
      </c>
      <c r="L80" s="39">
        <v>1091505.2520999999</v>
      </c>
      <c r="M80" s="39">
        <v>-120.4101</v>
      </c>
      <c r="N80" s="39">
        <v>823222.77370000002</v>
      </c>
      <c r="O80" s="39">
        <v>1091504.6899000001</v>
      </c>
      <c r="P80" s="39">
        <v>-121.0992</v>
      </c>
      <c r="Q80" s="39">
        <v>823223.17920000001</v>
      </c>
      <c r="R80" s="39">
        <v>1091503.1984999999</v>
      </c>
      <c r="S80" s="39">
        <v>-122.2315</v>
      </c>
      <c r="T80" s="57">
        <f t="shared" si="1511"/>
        <v>3.5956795450429797</v>
      </c>
      <c r="U80" s="39"/>
      <c r="V80" s="39">
        <f t="shared" si="1520"/>
        <v>1.0253456684222486</v>
      </c>
      <c r="W80" s="57">
        <f t="shared" si="1514"/>
        <v>2.893693238728297</v>
      </c>
      <c r="X80" s="39"/>
      <c r="Y80" s="57">
        <f t="shared" si="1516"/>
        <v>5.2731483300527415</v>
      </c>
      <c r="Z80" s="43">
        <f t="shared" si="1522"/>
        <v>-3.6582121946460155</v>
      </c>
      <c r="AA80" s="43" t="str">
        <f t="shared" si="1523"/>
        <v/>
      </c>
      <c r="AB80" s="43">
        <f t="shared" si="1524"/>
        <v>-9.8114805367588431E-2</v>
      </c>
      <c r="AC80" s="43">
        <f t="shared" si="1525"/>
        <v>-14.803470607814173</v>
      </c>
      <c r="AD80" s="43" t="str">
        <f t="shared" si="1526"/>
        <v/>
      </c>
      <c r="AE80" s="43">
        <f t="shared" si="1527"/>
        <v>-1.543684984698146</v>
      </c>
      <c r="AF80" s="40"/>
      <c r="AG80" s="43">
        <f>AG78</f>
        <v>-7.6000001281499863</v>
      </c>
      <c r="AH80" s="43">
        <f>AH78</f>
        <v>-3.2999999821186066</v>
      </c>
      <c r="AI80" s="43">
        <f>AI78</f>
        <v>-8.350000000007185</v>
      </c>
      <c r="AJ80" s="43" t="str">
        <f t="shared" si="1468"/>
        <v/>
      </c>
      <c r="AK80" s="43" t="str">
        <f t="shared" si="1469"/>
        <v/>
      </c>
      <c r="AL80" s="43" t="str">
        <f t="shared" si="1470"/>
        <v/>
      </c>
      <c r="AM80" s="43">
        <f t="shared" ref="AM80:AU80" si="1616">AM78</f>
        <v>-6.5999999642372131</v>
      </c>
      <c r="AN80" s="43">
        <f t="shared" si="1616"/>
        <v>-5.3000000771135092</v>
      </c>
      <c r="AO80" s="43">
        <f t="shared" si="1616"/>
        <v>-18.900000000002137</v>
      </c>
      <c r="AP80" s="43">
        <f t="shared" si="1616"/>
        <v>-5.8000000426545739</v>
      </c>
      <c r="AQ80" s="43">
        <f t="shared" si="1616"/>
        <v>-8.2000000402331352</v>
      </c>
      <c r="AR80" s="43">
        <f t="shared" si="1616"/>
        <v>-15.749999999997044</v>
      </c>
      <c r="AS80" s="43">
        <f t="shared" si="1616"/>
        <v>-3.549999906681478</v>
      </c>
      <c r="AT80" s="43">
        <f t="shared" si="1616"/>
        <v>1.1500001419335604</v>
      </c>
      <c r="AU80" s="43">
        <f t="shared" si="1616"/>
        <v>-1.1500000000097543</v>
      </c>
      <c r="AV80" s="40"/>
      <c r="AW80" s="39">
        <v>170.05541435848463</v>
      </c>
      <c r="AX80" s="39">
        <v>-2.6152246359289353</v>
      </c>
      <c r="AY80" s="39">
        <v>1.5021258564151481</v>
      </c>
      <c r="AZ80" s="41"/>
      <c r="BA80" s="42"/>
      <c r="BB80" s="42"/>
      <c r="BC80" s="41">
        <v>170.3861264737601</v>
      </c>
      <c r="BD80" s="42">
        <v>0.40044359473747565</v>
      </c>
      <c r="BE80" s="42">
        <v>3.4289187352623998</v>
      </c>
      <c r="BF80" s="41">
        <v>170.61099234641986</v>
      </c>
      <c r="BG80" s="42">
        <v>1.1256403053375719</v>
      </c>
      <c r="BH80" s="42">
        <v>2.7375700765358033</v>
      </c>
      <c r="BI80" s="41">
        <v>170.34815056442312</v>
      </c>
      <c r="BJ80" s="42">
        <v>2.6486696576973006</v>
      </c>
      <c r="BK80" s="42">
        <v>1.6078984943557657</v>
      </c>
      <c r="BL80" s="40"/>
      <c r="BM80" s="43">
        <f>BM78</f>
        <v>-8.2370902649984146</v>
      </c>
      <c r="BN80" s="43">
        <f t="shared" ref="BN80:BO80" si="1617">BN78</f>
        <v>-0.19982147572861209</v>
      </c>
      <c r="BO80" s="43">
        <f t="shared" si="1617"/>
        <v>-8.2346290973491776</v>
      </c>
      <c r="BP80" s="43" t="str">
        <f t="shared" si="1603"/>
        <v/>
      </c>
      <c r="BQ80" s="43" t="str">
        <f t="shared" si="1604"/>
        <v/>
      </c>
      <c r="BR80" s="43" t="str">
        <f t="shared" si="1605"/>
        <v/>
      </c>
      <c r="BS80" s="43">
        <f>BS78</f>
        <v>-8.190957057365722</v>
      </c>
      <c r="BT80" s="43">
        <f t="shared" ref="BT80:CA80" si="1618">BT78</f>
        <v>1.9660085587208664</v>
      </c>
      <c r="BU80" s="43">
        <f t="shared" si="1618"/>
        <v>-18.83009042943673</v>
      </c>
      <c r="BV80" s="43">
        <f t="shared" si="1618"/>
        <v>-8.6815024277200337</v>
      </c>
      <c r="BW80" s="43">
        <f t="shared" si="1618"/>
        <v>5.0171820983442306</v>
      </c>
      <c r="BX80" s="43">
        <f t="shared" si="1618"/>
        <v>-15.675184975729284</v>
      </c>
      <c r="BY80" s="43">
        <f t="shared" si="1618"/>
        <v>-2.7093247035168133</v>
      </c>
      <c r="BZ80" s="43">
        <f t="shared" si="1618"/>
        <v>-2.5164276598692581</v>
      </c>
      <c r="CA80" s="43">
        <f t="shared" si="1618"/>
        <v>-1.1409067529761785</v>
      </c>
    </row>
    <row r="81" spans="1:79" s="94" customFormat="1" ht="58.5" customHeight="1" x14ac:dyDescent="0.2">
      <c r="A81" s="86"/>
      <c r="B81" s="87" t="str">
        <f t="shared" si="1615"/>
        <v/>
      </c>
      <c r="C81" s="88"/>
      <c r="D81" s="88" t="str">
        <f>IF(C81="","",+C81-#REF!)</f>
        <v/>
      </c>
      <c r="E81" s="89"/>
      <c r="F81" s="89"/>
      <c r="G81" s="89"/>
      <c r="H81" s="89"/>
      <c r="I81" s="89"/>
      <c r="J81" s="89"/>
      <c r="K81" s="89"/>
      <c r="L81" s="89"/>
      <c r="M81" s="89"/>
      <c r="N81" s="89"/>
      <c r="O81" s="89"/>
      <c r="P81" s="89"/>
      <c r="Q81" s="89"/>
      <c r="R81" s="89"/>
      <c r="S81" s="89"/>
      <c r="T81" s="89"/>
      <c r="U81" s="89" t="str">
        <f t="shared" si="1612"/>
        <v/>
      </c>
      <c r="V81" s="89" t="str">
        <f t="shared" si="1613"/>
        <v/>
      </c>
      <c r="W81" s="89"/>
      <c r="X81" s="89" t="str">
        <f t="shared" si="1614"/>
        <v/>
      </c>
      <c r="Y81" s="89"/>
      <c r="Z81" s="90" t="str">
        <f t="shared" ref="Z81:Z82" si="1619">IF(T81="","",(T81-T$10)*1000)</f>
        <v/>
      </c>
      <c r="AA81" s="90" t="str">
        <f t="shared" ref="AA81:AA82" si="1620">IF(U81="","",(U81-U$10)*1000)</f>
        <v/>
      </c>
      <c r="AB81" s="90" t="str">
        <f t="shared" ref="AB81:AB82" si="1621">IF(V81="","",(V81-V$10)*1000)</f>
        <v/>
      </c>
      <c r="AC81" s="90" t="str">
        <f t="shared" ref="AC81:AC82" si="1622">IF(W81="","",(W81-W$10)*1000)</f>
        <v/>
      </c>
      <c r="AD81" s="90" t="str">
        <f t="shared" ref="AD81:AD82" si="1623">IF(X81="","",(X81-X$10)*1000)</f>
        <v/>
      </c>
      <c r="AE81" s="90" t="str">
        <f t="shared" ref="AE81:AE82" si="1624">IF(Y81="","",(Y81-Y$10)*1000)</f>
        <v/>
      </c>
      <c r="AF81" s="91"/>
      <c r="AG81" s="90" t="str">
        <f t="shared" ref="AG81" si="1625">IF(E81="","",(E81-E$10)*1000)</f>
        <v/>
      </c>
      <c r="AH81" s="90" t="str">
        <f t="shared" ref="AH81" si="1626">IF(F81="","",(F81-F$10)*1000)</f>
        <v/>
      </c>
      <c r="AI81" s="90" t="str">
        <f t="shared" ref="AI81" si="1627">IF(G81="","",(G81-G$10)*1000)</f>
        <v/>
      </c>
      <c r="AJ81" s="90" t="str">
        <f t="shared" ref="AJ81" si="1628">IF(H81="","",(H81-H$10)*1000)</f>
        <v/>
      </c>
      <c r="AK81" s="90" t="str">
        <f t="shared" ref="AK81" si="1629">IF(I81="","",(I81-I$10)*1000)</f>
        <v/>
      </c>
      <c r="AL81" s="90" t="str">
        <f t="shared" ref="AL81" si="1630">IF(J81="","",(J81-J$10)*1000)</f>
        <v/>
      </c>
      <c r="AM81" s="90" t="str">
        <f t="shared" ref="AM81" si="1631">IF(K81="","",(K81-K$10)*1000)</f>
        <v/>
      </c>
      <c r="AN81" s="90" t="str">
        <f t="shared" ref="AN81" si="1632">IF(L81="","",(L81-L$10)*1000)</f>
        <v/>
      </c>
      <c r="AO81" s="90" t="str">
        <f t="shared" ref="AO81" si="1633">IF(M81="","",(M81-M$10)*1000)</f>
        <v/>
      </c>
      <c r="AP81" s="90" t="str">
        <f t="shared" ref="AP81" si="1634">IF(N81="","",(N81-N$10)*1000)</f>
        <v/>
      </c>
      <c r="AQ81" s="90" t="str">
        <f t="shared" ref="AQ81" si="1635">IF(O81="","",(O81-O$10)*1000)</f>
        <v/>
      </c>
      <c r="AR81" s="90" t="str">
        <f t="shared" ref="AR81" si="1636">IF(P81="","",(P81-P$10)*1000)</f>
        <v/>
      </c>
      <c r="AS81" s="90" t="str">
        <f t="shared" ref="AS81" si="1637">IF(Q81="","",(Q81-Q$10)*1000)</f>
        <v/>
      </c>
      <c r="AT81" s="90" t="str">
        <f t="shared" ref="AT81" si="1638">IF(R81="","",(R81-R$10)*1000)</f>
        <v/>
      </c>
      <c r="AU81" s="90" t="str">
        <f t="shared" ref="AU81" si="1639">IF(S81="","",(S81-S$10)*1000)</f>
        <v/>
      </c>
      <c r="AV81" s="91"/>
      <c r="AW81" s="89"/>
      <c r="AX81" s="89"/>
      <c r="AY81" s="89"/>
      <c r="AZ81" s="92"/>
      <c r="BA81" s="93"/>
      <c r="BB81" s="93"/>
      <c r="BC81" s="92"/>
      <c r="BD81" s="93"/>
      <c r="BE81" s="93"/>
      <c r="BF81" s="92"/>
      <c r="BG81" s="93"/>
      <c r="BH81" s="93"/>
      <c r="BI81" s="92"/>
      <c r="BJ81" s="93"/>
      <c r="BK81" s="93"/>
      <c r="BL81" s="91"/>
      <c r="BM81" s="90" t="str">
        <f t="shared" ref="BM81" si="1640">IF(AW81="","",(AW81-AW$10)*1000)</f>
        <v/>
      </c>
      <c r="BN81" s="90" t="str">
        <f t="shared" ref="BN81" si="1641">IF(AX81="","",(AX81-AX$10)*1000)</f>
        <v/>
      </c>
      <c r="BO81" s="90" t="str">
        <f t="shared" ref="BO81" si="1642">IF(AY81="","",(AY81-AY$10)*1000)</f>
        <v/>
      </c>
      <c r="BP81" s="90" t="str">
        <f t="shared" ref="BP81" si="1643">IF(AZ81="","",(AZ81-AZ$10)*1000)</f>
        <v/>
      </c>
      <c r="BQ81" s="90" t="str">
        <f t="shared" ref="BQ81" si="1644">IF(BA81="","",(BA81-BA$10)*1000)</f>
        <v/>
      </c>
      <c r="BR81" s="90" t="str">
        <f t="shared" ref="BR81" si="1645">IF(BB81="","",(BB81-BB$10)*1000)</f>
        <v/>
      </c>
      <c r="BS81" s="90" t="str">
        <f t="shared" ref="BS81" si="1646">IF(BC81="","",(BC81-BC$10)*1000)</f>
        <v/>
      </c>
      <c r="BT81" s="90" t="str">
        <f t="shared" ref="BT81" si="1647">IF(BD81="","",(BD81-BD$10)*1000)</f>
        <v/>
      </c>
      <c r="BU81" s="90" t="str">
        <f t="shared" ref="BU81" si="1648">IF(BE81="","",(BE81-BE$10)*1000)</f>
        <v/>
      </c>
      <c r="BV81" s="90" t="str">
        <f t="shared" ref="BV81" si="1649">IF(BF81="","",(BF81-BF$10)*1000)</f>
        <v/>
      </c>
      <c r="BW81" s="90" t="str">
        <f t="shared" ref="BW81" si="1650">IF(BG81="","",(BG81-BG$10)*1000)</f>
        <v/>
      </c>
      <c r="BX81" s="90" t="str">
        <f t="shared" ref="BX81" si="1651">IF(BH81="","",(BH81-BH$10)*1000)</f>
        <v/>
      </c>
      <c r="BY81" s="90" t="str">
        <f t="shared" ref="BY81" si="1652">IF(BI81="","",(BI81-BI$10)*1000)</f>
        <v/>
      </c>
      <c r="BZ81" s="90" t="str">
        <f t="shared" ref="BZ81" si="1653">IF(BJ81="","",(BJ81-BJ$10)*1000)</f>
        <v/>
      </c>
      <c r="CA81" s="90" t="str">
        <f t="shared" ref="CA81" si="1654">IF(BK81="","",(BK81-BK$10)*1000)</f>
        <v/>
      </c>
    </row>
    <row r="82" spans="1:79" ht="29.25" customHeight="1" x14ac:dyDescent="0.2">
      <c r="A82" s="37">
        <v>44140</v>
      </c>
      <c r="B82" s="30">
        <f t="shared" si="1583"/>
        <v>485</v>
      </c>
      <c r="C82" s="38">
        <v>223.9</v>
      </c>
      <c r="D82" s="38">
        <v>53.5</v>
      </c>
      <c r="E82" s="39">
        <v>823220.68960000004</v>
      </c>
      <c r="F82" s="39">
        <v>1091507.8474999999</v>
      </c>
      <c r="G82" s="39">
        <v>-122.34099999999999</v>
      </c>
      <c r="K82" s="39">
        <v>823222.26359999995</v>
      </c>
      <c r="L82" s="39">
        <v>1091505.2544</v>
      </c>
      <c r="M82" s="39">
        <v>-120.41079999999999</v>
      </c>
      <c r="N82" s="39">
        <v>823222.77390000003</v>
      </c>
      <c r="O82" s="39">
        <v>1091504.692</v>
      </c>
      <c r="P82" s="39">
        <v>-121.09990000000001</v>
      </c>
      <c r="Q82" s="39">
        <v>823223.179</v>
      </c>
      <c r="R82" s="39">
        <v>1091503.2008</v>
      </c>
      <c r="S82" s="39">
        <v>-122.232</v>
      </c>
      <c r="T82" s="57">
        <f t="shared" si="1511"/>
        <v>3.5954576411623642</v>
      </c>
      <c r="U82" s="39"/>
      <c r="V82" s="39">
        <f t="shared" si="1520"/>
        <v>1.025455342768594</v>
      </c>
      <c r="W82" s="57">
        <f t="shared" si="1514"/>
        <v>2.8934407821899986</v>
      </c>
      <c r="X82" s="39"/>
      <c r="Y82" s="57">
        <f t="shared" si="1516"/>
        <v>5.2726477455935177</v>
      </c>
      <c r="Z82" s="43">
        <f t="shared" si="1619"/>
        <v>-3.8801160752615083</v>
      </c>
      <c r="AA82" s="43" t="str">
        <f t="shared" si="1620"/>
        <v/>
      </c>
      <c r="AB82" s="43">
        <f t="shared" si="1621"/>
        <v>1.155954097775691E-2</v>
      </c>
      <c r="AC82" s="43">
        <f t="shared" si="1622"/>
        <v>-15.055927146112591</v>
      </c>
      <c r="AD82" s="43" t="str">
        <f t="shared" si="1623"/>
        <v/>
      </c>
      <c r="AE82" s="43">
        <f t="shared" si="1624"/>
        <v>-2.0442694439219977</v>
      </c>
      <c r="AF82" s="40"/>
      <c r="AG82" s="43">
        <f>IF(E82="","",(E82-E$80)*1000)+AG$80</f>
        <v>-7.1000000461935997</v>
      </c>
      <c r="AH82" s="43">
        <f t="shared" ref="AH82:AU82" si="1655">IF(F82="","",(F82-F$80)*1000)+AH$80</f>
        <v>-1.2000000569969416</v>
      </c>
      <c r="AI82" s="43">
        <f t="shared" si="1655"/>
        <v>-9.1500000000053205</v>
      </c>
      <c r="AJ82" s="43"/>
      <c r="AK82" s="43"/>
      <c r="AL82" s="43"/>
      <c r="AM82" s="43">
        <f t="shared" si="1655"/>
        <v>-6.4000000711530447</v>
      </c>
      <c r="AN82" s="43">
        <f t="shared" si="1655"/>
        <v>-3.0000000260770321</v>
      </c>
      <c r="AO82" s="43">
        <f t="shared" si="1655"/>
        <v>-19.599999999996953</v>
      </c>
      <c r="AP82" s="43">
        <f t="shared" si="1655"/>
        <v>-5.6000000331550837</v>
      </c>
      <c r="AQ82" s="43">
        <f t="shared" si="1655"/>
        <v>-6.1000001151114702</v>
      </c>
      <c r="AR82" s="43">
        <f t="shared" si="1655"/>
        <v>-16.450000000006071</v>
      </c>
      <c r="AS82" s="43">
        <f t="shared" si="1655"/>
        <v>-3.7499999161809683</v>
      </c>
      <c r="AT82" s="43">
        <f t="shared" si="1655"/>
        <v>3.4500001929700375</v>
      </c>
      <c r="AU82" s="43">
        <f t="shared" si="1655"/>
        <v>-1.6500000000121418</v>
      </c>
      <c r="AV82" s="40"/>
      <c r="AW82" s="39">
        <v>170.05675507377302</v>
      </c>
      <c r="AX82" s="39">
        <v>-2.6169165231246065</v>
      </c>
      <c r="AY82" s="39">
        <v>1.5013124492622723</v>
      </c>
      <c r="AZ82" s="41"/>
      <c r="BA82" s="42"/>
      <c r="BB82" s="42"/>
      <c r="BC82" s="41">
        <v>170.38727983171779</v>
      </c>
      <c r="BD82" s="42">
        <v>0.39844365333499182</v>
      </c>
      <c r="BE82" s="42">
        <v>3.4282072016828238</v>
      </c>
      <c r="BF82" s="41">
        <v>170.61206117402787</v>
      </c>
      <c r="BG82" s="42">
        <v>1.1238216225082682</v>
      </c>
      <c r="BH82" s="42">
        <v>2.7368593882597168</v>
      </c>
      <c r="BI82" s="41">
        <v>170.34894140564944</v>
      </c>
      <c r="BJ82" s="42">
        <v>2.6465006555319763</v>
      </c>
      <c r="BK82" s="42">
        <v>1.6073905859435058</v>
      </c>
      <c r="BL82" s="40"/>
      <c r="BM82" s="43">
        <f>IF(AW82="","",(AW82-AW$80)*1000)+BM80</f>
        <v>-6.8963749766055571</v>
      </c>
      <c r="BN82" s="43">
        <f t="shared" ref="BN82:BO82" si="1656">IF(AX82="","",(AX82-AX$80)*1000)+BN80</f>
        <v>-1.8917086713998721</v>
      </c>
      <c r="BO82" s="43">
        <f t="shared" si="1656"/>
        <v>-9.0480362502249889</v>
      </c>
      <c r="BP82" s="43" t="str">
        <f t="shared" si="1603"/>
        <v/>
      </c>
      <c r="BQ82" s="43" t="str">
        <f t="shared" si="1604"/>
        <v/>
      </c>
      <c r="BR82" s="43" t="str">
        <f t="shared" si="1605"/>
        <v/>
      </c>
      <c r="BS82" s="43">
        <f>IF(BC82="","",(BC82-BC$80)*1000)+BS80</f>
        <v>-7.0375990996751625</v>
      </c>
      <c r="BT82" s="43">
        <f t="shared" ref="BT82" si="1657">IF(BD82="","",(BD82-BD$80)*1000)+BT80</f>
        <v>-3.3932843762962683E-2</v>
      </c>
      <c r="BU82" s="43">
        <f t="shared" ref="BU82:BV82" si="1658">IF(BE82="","",(BE82-BE$80)*1000)+BU80</f>
        <v>-19.541624009012715</v>
      </c>
      <c r="BV82" s="43">
        <f t="shared" si="1658"/>
        <v>-7.6126748197111738</v>
      </c>
      <c r="BW82" s="43">
        <f t="shared" ref="BW82" si="1659">IF(BG82="","",(BG82-BG$80)*1000)+BW80</f>
        <v>3.1984992690405889</v>
      </c>
      <c r="BX82" s="43">
        <f t="shared" ref="BX82:BY82" si="1660">IF(BH82="","",(BH82-BH$80)*1000)+BX80</f>
        <v>-16.385873251815841</v>
      </c>
      <c r="BY82" s="43">
        <f t="shared" si="1660"/>
        <v>-1.9184834771976966</v>
      </c>
      <c r="BZ82" s="43">
        <f t="shared" ref="BZ82" si="1661">IF(BJ82="","",(BJ82-BJ$80)*1000)+BZ80</f>
        <v>-4.6854298251934878</v>
      </c>
      <c r="CA82" s="43">
        <f t="shared" ref="CA82" si="1662">IF(BK82="","",(BK82-BK$80)*1000)+CA80</f>
        <v>-1.6488151652360727</v>
      </c>
    </row>
    <row r="83" spans="1:79" ht="29.25" customHeight="1" x14ac:dyDescent="0.2">
      <c r="A83" s="37">
        <v>44172</v>
      </c>
      <c r="B83" s="30">
        <f t="shared" si="1583"/>
        <v>517</v>
      </c>
      <c r="C83" s="38">
        <v>223.9</v>
      </c>
      <c r="D83" s="38">
        <v>53.5</v>
      </c>
      <c r="E83" s="39">
        <v>823220.68740000005</v>
      </c>
      <c r="F83" s="39">
        <v>1091507.8463000001</v>
      </c>
      <c r="G83" s="39">
        <v>-122.3408</v>
      </c>
      <c r="H83" s="39"/>
      <c r="I83" s="39"/>
      <c r="J83" s="39"/>
      <c r="K83" s="39">
        <v>823222.26249999995</v>
      </c>
      <c r="L83" s="39">
        <v>1091505.2535999999</v>
      </c>
      <c r="M83" s="39">
        <v>-120.41079999999999</v>
      </c>
      <c r="N83" s="39">
        <v>823222.77260000003</v>
      </c>
      <c r="O83" s="39">
        <v>1091504.6913000001</v>
      </c>
      <c r="P83" s="39">
        <v>-121.0996</v>
      </c>
      <c r="Q83" s="39">
        <v>823223.17760000005</v>
      </c>
      <c r="R83" s="39">
        <v>1091503.2001</v>
      </c>
      <c r="S83" s="39">
        <v>-122.2315</v>
      </c>
      <c r="T83" s="57">
        <f t="shared" si="1511"/>
        <v>3.5955435333872301</v>
      </c>
      <c r="U83" s="39"/>
      <c r="V83" s="39">
        <f t="shared" si="1613"/>
        <v>1.0250993805149466</v>
      </c>
      <c r="W83" s="57">
        <f t="shared" si="1514"/>
        <v>2.8929602053713284</v>
      </c>
      <c r="X83" s="39"/>
      <c r="Y83" s="57">
        <f t="shared" si="1516"/>
        <v>5.2725911059652297</v>
      </c>
      <c r="Z83" s="43">
        <f t="shared" ref="Z83:AC83" si="1663">IF(T83="","",(T83-T$10)*1000)</f>
        <v>-3.7942238503956283</v>
      </c>
      <c r="AA83" s="43" t="str">
        <f t="shared" si="1663"/>
        <v/>
      </c>
      <c r="AB83" s="43">
        <f t="shared" si="1663"/>
        <v>-0.34440271266955591</v>
      </c>
      <c r="AC83" s="43">
        <f t="shared" si="1663"/>
        <v>-15.536503964782789</v>
      </c>
      <c r="AD83" s="43" t="str">
        <f t="shared" ref="AD83:AE83" si="1664">IF(X83="","",(X83-X$10)*1000)</f>
        <v/>
      </c>
      <c r="AE83" s="43">
        <f t="shared" si="1664"/>
        <v>-2.1009090722099444</v>
      </c>
      <c r="AF83" s="40"/>
      <c r="AG83" s="43">
        <f t="shared" ref="AG83:AG88" si="1665">IF(E83="","",AG$82+(E83-E$82)*1000)</f>
        <v>-9.3000000342726707</v>
      </c>
      <c r="AH83" s="43">
        <f t="shared" ref="AH83:AI83" si="1666">IF(F83="","",AH$82+(F83-F$82)*1000)</f>
        <v>-2.3999998811632395</v>
      </c>
      <c r="AI83" s="43">
        <f t="shared" si="1666"/>
        <v>-8.9500000000128921</v>
      </c>
      <c r="AJ83" s="43" t="str">
        <f t="shared" si="1468"/>
        <v/>
      </c>
      <c r="AK83" s="43" t="str">
        <f t="shared" si="1469"/>
        <v/>
      </c>
      <c r="AL83" s="43" t="str">
        <f t="shared" si="1470"/>
        <v/>
      </c>
      <c r="AM83" s="43">
        <f t="shared" ref="AM83:AM88" si="1667">IF(K83="","",AM$82+(K83-K$82)*1000)</f>
        <v>-7.5000000651925802</v>
      </c>
      <c r="AN83" s="43">
        <f t="shared" ref="AN83" si="1668">IF(L83="","",AN$82+(L83-L$82)*1000)</f>
        <v>-3.8000000640749931</v>
      </c>
      <c r="AO83" s="43">
        <f t="shared" ref="AO83" si="1669">IF(M83="","",AO$82+(M83-M$82)*1000)</f>
        <v>-19.599999999996953</v>
      </c>
      <c r="AP83" s="43">
        <f t="shared" ref="AP83:AP88" si="1670">IF(N83="","",AP$82+(N83-N$82)*1000)</f>
        <v>-6.9000000366941094</v>
      </c>
      <c r="AQ83" s="43">
        <f t="shared" ref="AQ83" si="1671">IF(O83="","",AQ$82+(O83-O$82)*1000)</f>
        <v>-6.8000000901520252</v>
      </c>
      <c r="AR83" s="43">
        <f t="shared" ref="AR83" si="1672">IF(P83="","",AR$82+(P83-P$82)*1000)</f>
        <v>-16.149999999996112</v>
      </c>
      <c r="AS83" s="43">
        <f t="shared" ref="AS83:AS88" si="1673">IF(Q83="","",AS$82+(Q83-Q$82)*1000)</f>
        <v>-5.1499998662620783</v>
      </c>
      <c r="AT83" s="43">
        <f t="shared" ref="AT83" si="1674">IF(R83="","",AT$82+(R83-R$82)*1000)</f>
        <v>2.7500002179294825</v>
      </c>
      <c r="AU83" s="43">
        <f t="shared" ref="AU83" si="1675">IF(S83="","",AU$82+(S83-S$82)*1000)</f>
        <v>-1.1500000000097543</v>
      </c>
      <c r="AV83" s="40"/>
      <c r="AW83" s="39">
        <v>170.05425404893791</v>
      </c>
      <c r="AX83" s="39">
        <v>-2.6167588072421482</v>
      </c>
      <c r="AY83" s="39">
        <v>1.5015374595106152</v>
      </c>
      <c r="AZ83" s="41"/>
      <c r="BA83" s="42"/>
      <c r="BB83" s="42"/>
      <c r="BC83" s="41">
        <v>170.38594478884499</v>
      </c>
      <c r="BD83" s="42">
        <v>0.3987037698001567</v>
      </c>
      <c r="BE83" s="42">
        <v>3.4282205521115543</v>
      </c>
      <c r="BF83" s="41">
        <v>170.61058713796425</v>
      </c>
      <c r="BG83" s="42">
        <v>1.1239065793054224</v>
      </c>
      <c r="BH83" s="42">
        <v>2.737174128620353</v>
      </c>
      <c r="BI83" s="41">
        <v>170.34737674042935</v>
      </c>
      <c r="BJ83" s="42">
        <v>2.646543347150708</v>
      </c>
      <c r="BK83" s="42">
        <v>1.6079062325957096</v>
      </c>
      <c r="BL83" s="40"/>
      <c r="BM83" s="43">
        <f t="shared" ref="BM83:BM88" si="1676">IF(AW83="","",BM$82+(AW83-AW$82)*1000)</f>
        <v>-9.3973998117178326</v>
      </c>
      <c r="BN83" s="43">
        <f t="shared" ref="BN83:BO83" si="1677">IF(AX83="","",BN$82+(AX83-AX$82)*1000)</f>
        <v>-1.7339927889414852</v>
      </c>
      <c r="BO83" s="43">
        <f t="shared" si="1677"/>
        <v>-8.8230260018820061</v>
      </c>
      <c r="BP83" s="43" t="str">
        <f t="shared" si="1603"/>
        <v/>
      </c>
      <c r="BQ83" s="43" t="str">
        <f t="shared" si="1604"/>
        <v/>
      </c>
      <c r="BR83" s="43" t="str">
        <f t="shared" si="1605"/>
        <v/>
      </c>
      <c r="BS83" s="43">
        <f t="shared" ref="BS83:BS88" si="1678">IF(BC83="","",BS$82+(BC83-BC$82)*1000)</f>
        <v>-8.3726419724712287</v>
      </c>
      <c r="BT83" s="43">
        <f t="shared" ref="BT83" si="1679">IF(BD83="","",BT$82+(BD83-BD$82)*1000)</f>
        <v>0.22618362140192083</v>
      </c>
      <c r="BU83" s="43">
        <f t="shared" ref="BU83" si="1680">IF(BE83="","",BU$82+(BE83-BE$82)*1000)</f>
        <v>-19.528273580282196</v>
      </c>
      <c r="BV83" s="43">
        <f t="shared" ref="BV83:BV88" si="1681">IF(BF83="","",BV$82+(BF83-BF$82)*1000)</f>
        <v>-9.0867108833379007</v>
      </c>
      <c r="BW83" s="43">
        <f t="shared" ref="BW83" si="1682">IF(BG83="","",BW$82+(BG83-BG$82)*1000)</f>
        <v>3.2834560661947343</v>
      </c>
      <c r="BX83" s="43">
        <f t="shared" ref="BX83" si="1683">IF(BH83="","",BX$82+(BH83-BH$82)*1000)</f>
        <v>-16.071132891179563</v>
      </c>
      <c r="BY83" s="43">
        <f t="shared" ref="BY83:BY88" si="1684">IF(BI83="","",BY$82+(BI83-BI$82)*1000)</f>
        <v>-3.4831486972848325</v>
      </c>
      <c r="BZ83" s="43">
        <f t="shared" ref="BZ83" si="1685">IF(BJ83="","",BZ$82+(BJ83-BJ$82)*1000)</f>
        <v>-4.6427382064617717</v>
      </c>
      <c r="CA83" s="43">
        <f t="shared" ref="CA83" si="1686">IF(BK83="","",CA$82+(BK83-BK$82)*1000)</f>
        <v>-1.1331685130322455</v>
      </c>
    </row>
    <row r="84" spans="1:79" ht="29.25" customHeight="1" x14ac:dyDescent="0.2">
      <c r="A84" s="37">
        <v>44186</v>
      </c>
      <c r="B84" s="30">
        <f t="shared" si="1583"/>
        <v>531</v>
      </c>
      <c r="C84" s="38">
        <v>223.9</v>
      </c>
      <c r="D84" s="38">
        <v>53.5</v>
      </c>
      <c r="E84" s="39">
        <v>823220.68940000003</v>
      </c>
      <c r="F84" s="39">
        <v>1091507.8477</v>
      </c>
      <c r="G84" s="39">
        <v>-122.3413</v>
      </c>
      <c r="H84" s="39"/>
      <c r="I84" s="39"/>
      <c r="J84" s="39"/>
      <c r="K84" s="39">
        <v>823222.26390000002</v>
      </c>
      <c r="L84" s="39">
        <v>1091505.2553999999</v>
      </c>
      <c r="M84" s="39">
        <v>-120.4118</v>
      </c>
      <c r="N84" s="39">
        <v>823222.77399999998</v>
      </c>
      <c r="O84" s="39">
        <v>1091504.693</v>
      </c>
      <c r="P84" s="39">
        <v>-121.1007</v>
      </c>
      <c r="Q84" s="39">
        <v>823223.17909999995</v>
      </c>
      <c r="R84" s="39">
        <v>1091503.2019</v>
      </c>
      <c r="S84" s="39">
        <v>-122.23220000000001</v>
      </c>
      <c r="T84" s="57">
        <f t="shared" si="1511"/>
        <v>3.5947238823950114</v>
      </c>
      <c r="U84" s="39"/>
      <c r="V84" s="39">
        <f t="shared" si="1613"/>
        <v>1.0252214296844142</v>
      </c>
      <c r="W84" s="57">
        <f t="shared" si="1514"/>
        <v>2.8928030436846575</v>
      </c>
      <c r="X84" s="39"/>
      <c r="Y84" s="57">
        <f t="shared" si="1516"/>
        <v>5.2719983440929648</v>
      </c>
      <c r="Z84" s="43">
        <f t="shared" ref="Z84" si="1687">IF(T84="","",(T84-T$10)*1000)</f>
        <v>-4.6138748426143295</v>
      </c>
      <c r="AA84" s="43" t="str">
        <f t="shared" ref="AA84" si="1688">IF(U84="","",(U84-U$10)*1000)</f>
        <v/>
      </c>
      <c r="AB84" s="43">
        <f t="shared" ref="AB84" si="1689">IF(V84="","",(V84-V$10)*1000)</f>
        <v>-0.22235354320199185</v>
      </c>
      <c r="AC84" s="43">
        <f t="shared" ref="AC84" si="1690">IF(W84="","",(W84-W$10)*1000)</f>
        <v>-15.693665651453692</v>
      </c>
      <c r="AD84" s="43" t="str">
        <f t="shared" ref="AD84" si="1691">IF(X84="","",(X84-X$10)*1000)</f>
        <v/>
      </c>
      <c r="AE84" s="43">
        <f t="shared" ref="AE84" si="1692">IF(Y84="","",(Y84-Y$10)*1000)</f>
        <v>-2.6936709444749241</v>
      </c>
      <c r="AF84" s="40"/>
      <c r="AG84" s="43">
        <f t="shared" si="1665"/>
        <v>-7.30000005569309</v>
      </c>
      <c r="AH84" s="43">
        <f t="shared" ref="AH84" si="1693">IF(F84="","",AH$82+(F84-F$82)*1000)</f>
        <v>-0.99999993108212948</v>
      </c>
      <c r="AI84" s="43">
        <f t="shared" ref="AI84" si="1694">IF(G84="","",AI$82+(G84-G$82)*1000)</f>
        <v>-9.4500000000152795</v>
      </c>
      <c r="AJ84" s="43" t="str">
        <f t="shared" si="1468"/>
        <v/>
      </c>
      <c r="AK84" s="43" t="str">
        <f t="shared" si="1469"/>
        <v/>
      </c>
      <c r="AL84" s="43" t="str">
        <f t="shared" si="1470"/>
        <v/>
      </c>
      <c r="AM84" s="43">
        <f t="shared" si="1667"/>
        <v>-6.0999999986961484</v>
      </c>
      <c r="AN84" s="43">
        <f t="shared" ref="AN84" si="1695">IF(L84="","",AN$82+(L84-L$82)*1000)</f>
        <v>-2.0000000949949026</v>
      </c>
      <c r="AO84" s="43">
        <f t="shared" ref="AO84" si="1696">IF(M84="","",AO$82+(M84-M$82)*1000)</f>
        <v>-20.600000000001728</v>
      </c>
      <c r="AP84" s="43">
        <f t="shared" si="1670"/>
        <v>-5.5000000866129994</v>
      </c>
      <c r="AQ84" s="43">
        <f t="shared" ref="AQ84" si="1697">IF(O84="","",AQ$82+(O84-O$82)*1000)</f>
        <v>-5.1000001840293407</v>
      </c>
      <c r="AR84" s="43">
        <f t="shared" ref="AR84" si="1698">IF(P84="","",AR$82+(P84-P$82)*1000)</f>
        <v>-17.250000000004206</v>
      </c>
      <c r="AS84" s="43">
        <f t="shared" si="1673"/>
        <v>-3.6499999696388841</v>
      </c>
      <c r="AT84" s="43">
        <f t="shared" ref="AT84" si="1699">IF(R84="","",AT$82+(R84-R$82)*1000)</f>
        <v>4.550000187009573</v>
      </c>
      <c r="AU84" s="43">
        <f t="shared" ref="AU84" si="1700">IF(S84="","",AU$82+(S84-S$82)*1000)</f>
        <v>-1.8500000000187811</v>
      </c>
      <c r="AV84" s="40"/>
      <c r="AW84" s="39">
        <v>170.05670000000001</v>
      </c>
      <c r="AX84" s="39">
        <v>-2.6172</v>
      </c>
      <c r="AY84" s="39">
        <v>1.5009999999999999</v>
      </c>
      <c r="AZ84" s="41"/>
      <c r="BA84" s="42"/>
      <c r="BB84" s="42"/>
      <c r="BC84" s="41">
        <v>170.38800000000001</v>
      </c>
      <c r="BD84" s="42">
        <v>0.3977</v>
      </c>
      <c r="BE84" s="42">
        <v>3.4272</v>
      </c>
      <c r="BF84" s="41">
        <v>170.61259999999999</v>
      </c>
      <c r="BG84" s="42">
        <v>1.123</v>
      </c>
      <c r="BH84" s="42">
        <v>2.7361</v>
      </c>
      <c r="BI84" s="41">
        <v>170.34950000000001</v>
      </c>
      <c r="BJ84" s="42">
        <v>2.6455000000000002</v>
      </c>
      <c r="BK84" s="42">
        <v>1.6072</v>
      </c>
      <c r="BL84" s="40"/>
      <c r="BM84" s="43">
        <f t="shared" si="1676"/>
        <v>-6.951448749617839</v>
      </c>
      <c r="BN84" s="43">
        <f t="shared" ref="BN84" si="1701">IF(AX84="","",BN$82+(AX84-AX$82)*1000)</f>
        <v>-2.1751855467933012</v>
      </c>
      <c r="BO84" s="43">
        <f t="shared" ref="BO84" si="1702">IF(AY84="","",BO$82+(AY84-AY$82)*1000)</f>
        <v>-9.3604855124973518</v>
      </c>
      <c r="BP84" s="43" t="str">
        <f t="shared" si="1603"/>
        <v/>
      </c>
      <c r="BQ84" s="43" t="str">
        <f t="shared" si="1604"/>
        <v/>
      </c>
      <c r="BR84" s="43" t="str">
        <f t="shared" si="1605"/>
        <v/>
      </c>
      <c r="BS84" s="43">
        <f t="shared" si="1678"/>
        <v>-6.317430817460945</v>
      </c>
      <c r="BT84" s="43">
        <f t="shared" ref="BT84" si="1703">IF(BD84="","",BT$82+(BD84-BD$82)*1000)</f>
        <v>-0.77758617875478553</v>
      </c>
      <c r="BU84" s="43">
        <f t="shared" ref="BU84" si="1704">IF(BE84="","",BU$82+(BE84-BE$82)*1000)</f>
        <v>-20.54882569183647</v>
      </c>
      <c r="BV84" s="43">
        <f t="shared" si="1681"/>
        <v>-7.0738488475967642</v>
      </c>
      <c r="BW84" s="43">
        <f t="shared" ref="BW84" si="1705">IF(BG84="","",BW$82+(BG84-BG$82)*1000)</f>
        <v>2.3768767607723618</v>
      </c>
      <c r="BX84" s="43">
        <f t="shared" ref="BX84" si="1706">IF(BH84="","",BX$82+(BH84-BH$82)*1000)</f>
        <v>-17.145261511532617</v>
      </c>
      <c r="BY84" s="43">
        <f t="shared" si="1684"/>
        <v>-1.3598891266326518</v>
      </c>
      <c r="BZ84" s="43">
        <f t="shared" ref="BZ84" si="1707">IF(BJ84="","",BZ$82+(BJ84-BJ$82)*1000)</f>
        <v>-5.6860853571696346</v>
      </c>
      <c r="CA84" s="43">
        <f t="shared" ref="CA84" si="1708">IF(BK84="","",CA$82+(BK84-BK$82)*1000)</f>
        <v>-1.8394011087419226</v>
      </c>
    </row>
    <row r="85" spans="1:79" ht="29.25" customHeight="1" x14ac:dyDescent="0.2">
      <c r="A85" s="37">
        <v>44203</v>
      </c>
      <c r="B85" s="30">
        <f t="shared" ref="B85" si="1709">IF(A85="","",A85-excav)</f>
        <v>548</v>
      </c>
      <c r="C85" s="38">
        <v>223.9</v>
      </c>
      <c r="D85" s="38">
        <v>53.5</v>
      </c>
      <c r="E85" s="39">
        <v>823220.68790000002</v>
      </c>
      <c r="F85" s="39">
        <v>1091507.8474000001</v>
      </c>
      <c r="G85" s="39">
        <v>-122.34099999999999</v>
      </c>
      <c r="H85" s="39"/>
      <c r="I85" s="39"/>
      <c r="J85" s="39"/>
      <c r="K85" s="39">
        <v>823222.26280000003</v>
      </c>
      <c r="L85" s="39">
        <v>1091505.2551</v>
      </c>
      <c r="M85" s="39">
        <v>-120.4121</v>
      </c>
      <c r="N85" s="39">
        <v>823222.77320000005</v>
      </c>
      <c r="O85" s="39">
        <v>1091504.6928999999</v>
      </c>
      <c r="P85" s="39">
        <v>-121.1007</v>
      </c>
      <c r="Q85" s="39">
        <v>823223.17879999999</v>
      </c>
      <c r="R85" s="39">
        <v>1091503.2019</v>
      </c>
      <c r="S85" s="39">
        <v>-122.232</v>
      </c>
      <c r="T85" s="57">
        <f t="shared" si="1511"/>
        <v>3.594577097618143</v>
      </c>
      <c r="U85" s="39"/>
      <c r="V85" s="39">
        <f t="shared" si="1613"/>
        <v>1.0250594909947124</v>
      </c>
      <c r="W85" s="57">
        <f t="shared" si="1514"/>
        <v>2.8925286947239206</v>
      </c>
      <c r="X85" s="39"/>
      <c r="Y85" s="57">
        <f t="shared" si="1516"/>
        <v>5.2722987454061343</v>
      </c>
      <c r="Z85" s="43">
        <f t="shared" ref="Z85" si="1710">IF(T85="","",(T85-T$10)*1000)</f>
        <v>-4.7606596194826878</v>
      </c>
      <c r="AA85" s="43" t="str">
        <f t="shared" ref="AA85" si="1711">IF(U85="","",(U85-U$10)*1000)</f>
        <v/>
      </c>
      <c r="AB85" s="43">
        <f t="shared" ref="AB85" si="1712">IF(V85="","",(V85-V$10)*1000)</f>
        <v>-0.38429223290381564</v>
      </c>
      <c r="AC85" s="43">
        <f t="shared" ref="AC85" si="1713">IF(W85="","",(W85-W$10)*1000)</f>
        <v>-15.968014612190551</v>
      </c>
      <c r="AD85" s="43" t="str">
        <f t="shared" ref="AD85" si="1714">IF(X85="","",(X85-X$10)*1000)</f>
        <v/>
      </c>
      <c r="AE85" s="43">
        <f t="shared" ref="AE85" si="1715">IF(Y85="","",(Y85-Y$10)*1000)</f>
        <v>-2.3932696313053725</v>
      </c>
      <c r="AF85" s="40"/>
      <c r="AG85" s="43">
        <f t="shared" si="1665"/>
        <v>-8.800000068731606</v>
      </c>
      <c r="AH85" s="43">
        <f t="shared" ref="AH85" si="1716">IF(F85="","",AH$82+(F85-F$82)*1000)</f>
        <v>-1.299999887123704</v>
      </c>
      <c r="AI85" s="43">
        <f t="shared" ref="AI85" si="1717">IF(G85="","",AI$82+(G85-G$82)*1000)</f>
        <v>-9.1500000000053205</v>
      </c>
      <c r="AJ85" s="43" t="str">
        <f t="shared" ref="AJ85" si="1718">IF(H85="","",(H85-H$10)*1000)</f>
        <v/>
      </c>
      <c r="AK85" s="43" t="str">
        <f t="shared" ref="AK85" si="1719">IF(I85="","",(I85-I$10)*1000)</f>
        <v/>
      </c>
      <c r="AL85" s="43" t="str">
        <f t="shared" ref="AL85" si="1720">IF(J85="","",(J85-J$10)*1000)</f>
        <v/>
      </c>
      <c r="AM85" s="43">
        <f t="shared" si="1667"/>
        <v>-7.1999999927356839</v>
      </c>
      <c r="AN85" s="43">
        <f t="shared" ref="AN85" si="1721">IF(L85="","",AN$82+(L85-L$82)*1000)</f>
        <v>-2.3000000510364771</v>
      </c>
      <c r="AO85" s="43">
        <f t="shared" ref="AO85" si="1722">IF(M85="","",AO$82+(M85-M$82)*1000)</f>
        <v>-20.899999999997476</v>
      </c>
      <c r="AP85" s="43">
        <f t="shared" si="1670"/>
        <v>-6.3000000081956387</v>
      </c>
      <c r="AQ85" s="43">
        <f t="shared" ref="AQ85" si="1723">IF(O85="","",AQ$82+(O85-O$82)*1000)</f>
        <v>-5.2000002469867468</v>
      </c>
      <c r="AR85" s="43">
        <f t="shared" ref="AR85" si="1724">IF(P85="","",AR$82+(P85-P$82)*1000)</f>
        <v>-17.250000000004206</v>
      </c>
      <c r="AS85" s="43">
        <f t="shared" si="1673"/>
        <v>-3.9499999256804585</v>
      </c>
      <c r="AT85" s="43">
        <f t="shared" ref="AT85" si="1725">IF(R85="","",AT$82+(R85-R$82)*1000)</f>
        <v>4.550000187009573</v>
      </c>
      <c r="AU85" s="43">
        <f t="shared" ref="AU85" si="1726">IF(S85="","",AU$82+(S85-S$82)*1000)</f>
        <v>-1.6500000000121418</v>
      </c>
      <c r="AV85" s="40"/>
      <c r="AW85" s="39">
        <v>170.05517211213979</v>
      </c>
      <c r="AX85" s="39">
        <v>-2.6175444025003127</v>
      </c>
      <c r="AY85" s="39">
        <v>1.5013282788786029</v>
      </c>
      <c r="AZ85" s="41"/>
      <c r="BA85" s="42"/>
      <c r="BB85" s="42"/>
      <c r="BC85" s="41">
        <v>170.38685065454604</v>
      </c>
      <c r="BD85" s="42">
        <v>0.39747112734826073</v>
      </c>
      <c r="BE85" s="42">
        <v>3.4269114934545399</v>
      </c>
      <c r="BF85" s="41">
        <v>170.61180715636942</v>
      </c>
      <c r="BG85" s="42">
        <v>1.1227101033870213</v>
      </c>
      <c r="BH85" s="42">
        <v>2.7360619284362997</v>
      </c>
      <c r="BI85" s="41">
        <v>170.34922506443959</v>
      </c>
      <c r="BJ85" s="42">
        <v>2.6454192038772351</v>
      </c>
      <c r="BK85" s="42">
        <v>1.6073877493555955</v>
      </c>
      <c r="BL85" s="40"/>
      <c r="BM85" s="43">
        <f t="shared" si="1676"/>
        <v>-8.4793366098381284</v>
      </c>
      <c r="BN85" s="43">
        <f t="shared" ref="BN85" si="1727">IF(AX85="","",BN$82+(AX85-AX$82)*1000)</f>
        <v>-2.5195880471060583</v>
      </c>
      <c r="BO85" s="43">
        <f t="shared" ref="BO85" si="1728">IF(AY85="","",BO$82+(AY85-AY$82)*1000)</f>
        <v>-9.0322066338943685</v>
      </c>
      <c r="BP85" s="43" t="str">
        <f t="shared" ref="BP85" si="1729">IF(AZ85="","",(AZ85-AZ$10)*1000)</f>
        <v/>
      </c>
      <c r="BQ85" s="43" t="str">
        <f t="shared" ref="BQ85" si="1730">IF(BA85="","",(BA85-BA$10)*1000)</f>
        <v/>
      </c>
      <c r="BR85" s="43" t="str">
        <f t="shared" ref="BR85" si="1731">IF(BB85="","",(BB85-BB$10)*1000)</f>
        <v/>
      </c>
      <c r="BS85" s="43">
        <f t="shared" si="1678"/>
        <v>-7.4667762714284436</v>
      </c>
      <c r="BT85" s="43">
        <f t="shared" ref="BT85" si="1732">IF(BD85="","",BT$82+(BD85-BD$82)*1000)</f>
        <v>-1.0064588304940503</v>
      </c>
      <c r="BU85" s="43">
        <f t="shared" ref="BU85" si="1733">IF(BE85="","",BU$82+(BE85-BE$82)*1000)</f>
        <v>-20.837332237296557</v>
      </c>
      <c r="BV85" s="43">
        <f t="shared" si="1681"/>
        <v>-7.8666924781600756</v>
      </c>
      <c r="BW85" s="43">
        <f t="shared" ref="BW85" si="1734">IF(BG85="","",BW$82+(BG85-BG$82)*1000)</f>
        <v>2.0869801477936267</v>
      </c>
      <c r="BX85" s="43">
        <f t="shared" ref="BX85" si="1735">IF(BH85="","",BX$82+(BH85-BH$82)*1000)</f>
        <v>-17.183333075232898</v>
      </c>
      <c r="BY85" s="43">
        <f t="shared" si="1684"/>
        <v>-1.6348246870450112</v>
      </c>
      <c r="BZ85" s="43">
        <f t="shared" ref="BZ85" si="1736">IF(BJ85="","",BZ$82+(BJ85-BJ$82)*1000)</f>
        <v>-5.7668814799347601</v>
      </c>
      <c r="CA85" s="43">
        <f t="shared" ref="CA85" si="1737">IF(BK85="","",CA$82+(BK85-BK$82)*1000)</f>
        <v>-1.6516517531464103</v>
      </c>
    </row>
    <row r="86" spans="1:79" ht="29.25" customHeight="1" x14ac:dyDescent="0.2">
      <c r="A86" s="37">
        <v>44229</v>
      </c>
      <c r="B86" s="30">
        <f t="shared" ref="B86" si="1738">IF(A86="","",A86-excav)</f>
        <v>574</v>
      </c>
      <c r="C86" s="38">
        <v>223.9</v>
      </c>
      <c r="D86" s="38">
        <v>53.5</v>
      </c>
      <c r="E86" s="39">
        <v>823220.68790000002</v>
      </c>
      <c r="F86" s="39">
        <v>1091507.8474000001</v>
      </c>
      <c r="G86" s="39">
        <v>-122.34099999999999</v>
      </c>
      <c r="H86" s="39"/>
      <c r="I86" s="39"/>
      <c r="J86" s="39"/>
      <c r="K86" s="39">
        <v>823222.26300000004</v>
      </c>
      <c r="L86" s="39">
        <v>1091505.2549999999</v>
      </c>
      <c r="M86" s="39">
        <v>-120.413</v>
      </c>
      <c r="N86" s="39">
        <v>823222.77300000004</v>
      </c>
      <c r="O86" s="39">
        <v>1091504.693</v>
      </c>
      <c r="P86" s="39">
        <v>-121.102</v>
      </c>
      <c r="Q86" s="39">
        <v>823223.17799999996</v>
      </c>
      <c r="R86" s="39">
        <v>1091503.202</v>
      </c>
      <c r="S86" s="39">
        <v>-122.233</v>
      </c>
      <c r="T86" s="57">
        <f t="shared" si="1511"/>
        <v>3.5942539936789726</v>
      </c>
      <c r="U86" s="39"/>
      <c r="V86" s="39">
        <f t="shared" si="1613"/>
        <v>1.025019511969109</v>
      </c>
      <c r="W86" s="57">
        <f t="shared" si="1514"/>
        <v>2.892133122661789</v>
      </c>
      <c r="X86" s="39"/>
      <c r="Y86" s="57">
        <f t="shared" si="1516"/>
        <v>5.2718121334164545</v>
      </c>
      <c r="Z86" s="43">
        <f t="shared" ref="Z86" si="1739">IF(T86="","",(T86-T$10)*1000)</f>
        <v>-5.0837635586531427</v>
      </c>
      <c r="AA86" s="43" t="str">
        <f t="shared" ref="AA86" si="1740">IF(U86="","",(U86-U$10)*1000)</f>
        <v/>
      </c>
      <c r="AB86" s="43">
        <f t="shared" ref="AB86" si="1741">IF(V86="","",(V86-V$10)*1000)</f>
        <v>-0.42427125850719172</v>
      </c>
      <c r="AC86" s="43">
        <f t="shared" ref="AC86" si="1742">IF(W86="","",(W86-W$10)*1000)</f>
        <v>-16.363586674322139</v>
      </c>
      <c r="AD86" s="43" t="str">
        <f t="shared" ref="AD86" si="1743">IF(X86="","",(X86-X$10)*1000)</f>
        <v/>
      </c>
      <c r="AE86" s="43">
        <f t="shared" ref="AE86" si="1744">IF(Y86="","",(Y86-Y$10)*1000)</f>
        <v>-2.8798816209851807</v>
      </c>
      <c r="AF86" s="40"/>
      <c r="AG86" s="43">
        <f t="shared" si="1665"/>
        <v>-8.800000068731606</v>
      </c>
      <c r="AH86" s="43">
        <f t="shared" ref="AH86" si="1745">IF(F86="","",AH$82+(F86-F$82)*1000)</f>
        <v>-1.299999887123704</v>
      </c>
      <c r="AI86" s="43">
        <f t="shared" ref="AI86" si="1746">IF(G86="","",AI$82+(G86-G$82)*1000)</f>
        <v>-9.1500000000053205</v>
      </c>
      <c r="AJ86" s="43" t="str">
        <f t="shared" ref="AJ86" si="1747">IF(H86="","",(H86-H$10)*1000)</f>
        <v/>
      </c>
      <c r="AK86" s="43" t="str">
        <f t="shared" ref="AK86" si="1748">IF(I86="","",(I86-I$10)*1000)</f>
        <v/>
      </c>
      <c r="AL86" s="43" t="str">
        <f t="shared" ref="AL86" si="1749">IF(J86="","",(J86-J$10)*1000)</f>
        <v/>
      </c>
      <c r="AM86" s="43">
        <f t="shared" si="1667"/>
        <v>-6.9999999832361937</v>
      </c>
      <c r="AN86" s="43">
        <f t="shared" ref="AN86" si="1750">IF(L86="","",AN$82+(L86-L$82)*1000)</f>
        <v>-2.4000001139938831</v>
      </c>
      <c r="AO86" s="43">
        <f t="shared" ref="AO86" si="1751">IF(M86="","",AO$82+(M86-M$82)*1000)</f>
        <v>-21.799999999998931</v>
      </c>
      <c r="AP86" s="43">
        <f t="shared" si="1670"/>
        <v>-6.5000000176951289</v>
      </c>
      <c r="AQ86" s="43">
        <f t="shared" ref="AQ86" si="1752">IF(O86="","",AQ$82+(O86-O$82)*1000)</f>
        <v>-5.1000001840293407</v>
      </c>
      <c r="AR86" s="43">
        <f t="shared" ref="AR86" si="1753">IF(P86="","",AR$82+(P86-P$82)*1000)</f>
        <v>-18.550000000004729</v>
      </c>
      <c r="AS86" s="43">
        <f t="shared" si="1673"/>
        <v>-4.7499999636784196</v>
      </c>
      <c r="AT86" s="43">
        <f t="shared" ref="AT86" si="1754">IF(R86="","",AT$82+(R86-R$82)*1000)</f>
        <v>4.650000249966979</v>
      </c>
      <c r="AU86" s="43">
        <f t="shared" ref="AU86" si="1755">IF(S86="","",AU$82+(S86-S$82)*1000)</f>
        <v>-2.6500000000169166</v>
      </c>
      <c r="AV86" s="40"/>
      <c r="AW86" s="39">
        <v>170.05500000000001</v>
      </c>
      <c r="AX86" s="39">
        <v>-2.617</v>
      </c>
      <c r="AY86" s="39">
        <v>1.5</v>
      </c>
      <c r="AZ86" s="41"/>
      <c r="BA86" s="42"/>
      <c r="BB86" s="42"/>
      <c r="BC86" s="41">
        <v>170.387</v>
      </c>
      <c r="BD86" s="42">
        <v>0.39800000000000002</v>
      </c>
      <c r="BE86" s="42">
        <v>3.427</v>
      </c>
      <c r="BF86" s="41">
        <v>170.61199999999999</v>
      </c>
      <c r="BG86" s="42">
        <v>1.123</v>
      </c>
      <c r="BH86" s="42">
        <v>2.7349999999999999</v>
      </c>
      <c r="BI86" s="41">
        <v>170.34899999999999</v>
      </c>
      <c r="BJ86" s="42">
        <v>2.645</v>
      </c>
      <c r="BK86" s="42">
        <v>1.607</v>
      </c>
      <c r="BL86" s="40"/>
      <c r="BM86" s="43">
        <f t="shared" si="1676"/>
        <v>-8.6514487496174297</v>
      </c>
      <c r="BN86" s="43">
        <f t="shared" ref="BN86" si="1756">IF(AX86="","",BN$82+(AX86-AX$82)*1000)</f>
        <v>-1.9751855467933233</v>
      </c>
      <c r="BO86" s="43">
        <f t="shared" ref="BO86" si="1757">IF(AY86="","",BO$82+(AY86-AY$82)*1000)</f>
        <v>-10.360485512497242</v>
      </c>
      <c r="BP86" s="43" t="str">
        <f t="shared" ref="BP86" si="1758">IF(AZ86="","",(AZ86-AZ$10)*1000)</f>
        <v/>
      </c>
      <c r="BQ86" s="43" t="str">
        <f t="shared" ref="BQ86" si="1759">IF(BA86="","",(BA86-BA$10)*1000)</f>
        <v/>
      </c>
      <c r="BR86" s="43" t="str">
        <f t="shared" ref="BR86" si="1760">IF(BB86="","",(BB86-BB$10)*1000)</f>
        <v/>
      </c>
      <c r="BS86" s="43">
        <f t="shared" si="1678"/>
        <v>-7.3174308174657199</v>
      </c>
      <c r="BT86" s="43">
        <f t="shared" ref="BT86" si="1761">IF(BD86="","",BT$82+(BD86-BD$82)*1000)</f>
        <v>-0.47758617875476306</v>
      </c>
      <c r="BU86" s="43">
        <f t="shared" ref="BU86" si="1762">IF(BE86="","",BU$82+(BE86-BE$82)*1000)</f>
        <v>-20.748825691836448</v>
      </c>
      <c r="BV86" s="43">
        <f t="shared" si="1681"/>
        <v>-7.6738488475882605</v>
      </c>
      <c r="BW86" s="43">
        <f t="shared" ref="BW86" si="1763">IF(BG86="","",BW$82+(BG86-BG$82)*1000)</f>
        <v>2.3768767607723618</v>
      </c>
      <c r="BX86" s="43">
        <f t="shared" ref="BX86" si="1764">IF(BH86="","",BX$82+(BH86-BH$82)*1000)</f>
        <v>-18.245261511532718</v>
      </c>
      <c r="BY86" s="43">
        <f t="shared" si="1684"/>
        <v>-1.8598891266492501</v>
      </c>
      <c r="BZ86" s="43">
        <f t="shared" ref="BZ86" si="1765">IF(BJ86="","",BZ$82+(BJ86-BJ$82)*1000)</f>
        <v>-6.1860853571698016</v>
      </c>
      <c r="CA86" s="43">
        <f t="shared" ref="CA86" si="1766">IF(BK86="","",CA$82+(BK86-BK$82)*1000)</f>
        <v>-2.0394011087419006</v>
      </c>
    </row>
    <row r="87" spans="1:79" ht="29.25" customHeight="1" x14ac:dyDescent="0.2">
      <c r="A87" s="37">
        <v>44245</v>
      </c>
      <c r="B87" s="30">
        <f t="shared" ref="B87" si="1767">IF(A87="","",A87-excav)</f>
        <v>590</v>
      </c>
      <c r="C87" s="38">
        <v>223.9</v>
      </c>
      <c r="D87" s="38">
        <v>53.5</v>
      </c>
      <c r="E87" s="39">
        <v>823220.68839999998</v>
      </c>
      <c r="F87" s="39">
        <v>1091507.8474999999</v>
      </c>
      <c r="G87" s="39">
        <v>-122.34099999999999</v>
      </c>
      <c r="H87" s="39"/>
      <c r="I87" s="39"/>
      <c r="J87" s="39"/>
      <c r="K87" s="39">
        <v>823222.26320000004</v>
      </c>
      <c r="L87" s="39">
        <v>1091505.2549000001</v>
      </c>
      <c r="M87" s="39">
        <v>-120.41200000000001</v>
      </c>
      <c r="N87" s="39">
        <v>823222.77359999996</v>
      </c>
      <c r="O87" s="39">
        <v>1091504.6928000001</v>
      </c>
      <c r="P87" s="39">
        <v>-121.1009</v>
      </c>
      <c r="Q87" s="39">
        <v>823223.17870000005</v>
      </c>
      <c r="R87" s="39">
        <v>1091503.202</v>
      </c>
      <c r="S87" s="39">
        <v>-122.2315</v>
      </c>
      <c r="T87" s="57">
        <f t="shared" si="1511"/>
        <v>3.5948033046961103</v>
      </c>
      <c r="U87" s="39"/>
      <c r="V87" s="39">
        <f t="shared" si="1613"/>
        <v>1.0252062133486568</v>
      </c>
      <c r="W87" s="57">
        <f t="shared" si="1514"/>
        <v>2.8919057574625162</v>
      </c>
      <c r="X87" s="39"/>
      <c r="Y87" s="57">
        <f t="shared" si="1516"/>
        <v>5.2720256627871018</v>
      </c>
      <c r="Z87" s="43">
        <f t="shared" ref="Z87" si="1768">IF(T87="","",(T87-T$10)*1000)</f>
        <v>-4.5344525415154102</v>
      </c>
      <c r="AA87" s="43" t="str">
        <f t="shared" ref="AA87" si="1769">IF(U87="","",(U87-U$10)*1000)</f>
        <v/>
      </c>
      <c r="AB87" s="43">
        <f t="shared" ref="AB87" si="1770">IF(V87="","",(V87-V$10)*1000)</f>
        <v>-0.2375698789593983</v>
      </c>
      <c r="AC87" s="43">
        <f t="shared" ref="AC87" si="1771">IF(W87="","",(W87-W$10)*1000)</f>
        <v>-16.590951873594939</v>
      </c>
      <c r="AD87" s="43" t="str">
        <f t="shared" ref="AD87" si="1772">IF(X87="","",(X87-X$10)*1000)</f>
        <v/>
      </c>
      <c r="AE87" s="43">
        <f t="shared" ref="AE87" si="1773">IF(Y87="","",(Y87-Y$10)*1000)</f>
        <v>-2.6663522503378445</v>
      </c>
      <c r="AF87" s="40"/>
      <c r="AG87" s="43">
        <f t="shared" si="1665"/>
        <v>-8.3000001031905413</v>
      </c>
      <c r="AH87" s="43">
        <f t="shared" ref="AH87" si="1774">IF(F87="","",AH$82+(F87-F$82)*1000)</f>
        <v>-1.2000000569969416</v>
      </c>
      <c r="AI87" s="43">
        <f t="shared" ref="AI87" si="1775">IF(G87="","",AI$82+(G87-G$82)*1000)</f>
        <v>-9.1500000000053205</v>
      </c>
      <c r="AJ87" s="43" t="str">
        <f t="shared" ref="AJ87" si="1776">IF(H87="","",(H87-H$10)*1000)</f>
        <v/>
      </c>
      <c r="AK87" s="43" t="str">
        <f t="shared" ref="AK87" si="1777">IF(I87="","",(I87-I$10)*1000)</f>
        <v/>
      </c>
      <c r="AL87" s="43" t="str">
        <f t="shared" ref="AL87" si="1778">IF(J87="","",(J87-J$10)*1000)</f>
        <v/>
      </c>
      <c r="AM87" s="43">
        <f t="shared" si="1667"/>
        <v>-6.7999999737367034</v>
      </c>
      <c r="AN87" s="43">
        <f t="shared" ref="AN87" si="1779">IF(L87="","",AN$82+(L87-L$82)*1000)</f>
        <v>-2.4999999441206455</v>
      </c>
      <c r="AO87" s="43">
        <f t="shared" ref="AO87" si="1780">IF(M87="","",AO$82+(M87-M$82)*1000)</f>
        <v>-20.800000000008367</v>
      </c>
      <c r="AP87" s="43">
        <f t="shared" si="1670"/>
        <v>-5.90000010561198</v>
      </c>
      <c r="AQ87" s="43">
        <f t="shared" ref="AQ87" si="1781">IF(O87="","",AQ$82+(O87-O$82)*1000)</f>
        <v>-5.3000000771135092</v>
      </c>
      <c r="AR87" s="43">
        <f t="shared" ref="AR87" si="1782">IF(P87="","",AR$82+(P87-P$82)*1000)</f>
        <v>-17.449999999996635</v>
      </c>
      <c r="AS87" s="43">
        <f t="shared" si="1673"/>
        <v>-4.0499998722225428</v>
      </c>
      <c r="AT87" s="43">
        <f t="shared" ref="AT87" si="1783">IF(R87="","",AT$82+(R87-R$82)*1000)</f>
        <v>4.650000249966979</v>
      </c>
      <c r="AU87" s="43">
        <f t="shared" ref="AU87" si="1784">IF(S87="","",AU$82+(S87-S$82)*1000)</f>
        <v>-1.1500000000097543</v>
      </c>
      <c r="AV87" s="40"/>
      <c r="AW87" s="39">
        <v>170.0556675232624</v>
      </c>
      <c r="AX87" s="39">
        <v>-2.6174237055608223</v>
      </c>
      <c r="AY87" s="39">
        <v>1.5013233247673838</v>
      </c>
      <c r="AZ87" s="41"/>
      <c r="BA87" s="42"/>
      <c r="BB87" s="42"/>
      <c r="BC87" s="41">
        <v>170.3871286410261</v>
      </c>
      <c r="BD87" s="42">
        <v>0.39782144647324991</v>
      </c>
      <c r="BE87" s="42">
        <v>3.4270087135897285</v>
      </c>
      <c r="BF87" s="41">
        <v>170.6121274079716</v>
      </c>
      <c r="BG87" s="42">
        <v>1.1229697932008418</v>
      </c>
      <c r="BH87" s="42">
        <v>2.7358587259202807</v>
      </c>
      <c r="BI87" s="41">
        <v>170.34917670051075</v>
      </c>
      <c r="BJ87" s="42">
        <v>2.6452863094368544</v>
      </c>
      <c r="BK87" s="42">
        <v>1.6078882329948954</v>
      </c>
      <c r="BL87" s="40"/>
      <c r="BM87" s="43">
        <f t="shared" si="1676"/>
        <v>-7.9839254872240417</v>
      </c>
      <c r="BN87" s="43">
        <f t="shared" ref="BN87" si="1785">IF(AX87="","",BN$82+(AX87-AX$82)*1000)</f>
        <v>-2.3988911076155972</v>
      </c>
      <c r="BO87" s="43">
        <f t="shared" ref="BO87" si="1786">IF(AY87="","",BO$82+(AY87-AY$82)*1000)</f>
        <v>-9.0371607451134039</v>
      </c>
      <c r="BP87" s="43" t="str">
        <f t="shared" ref="BP87" si="1787">IF(AZ87="","",(AZ87-AZ$10)*1000)</f>
        <v/>
      </c>
      <c r="BQ87" s="43" t="str">
        <f t="shared" ref="BQ87" si="1788">IF(BA87="","",(BA87-BA$10)*1000)</f>
        <v/>
      </c>
      <c r="BR87" s="43" t="str">
        <f t="shared" ref="BR87" si="1789">IF(BB87="","",(BB87-BB$10)*1000)</f>
        <v/>
      </c>
      <c r="BS87" s="43">
        <f t="shared" si="1678"/>
        <v>-7.188789791371164</v>
      </c>
      <c r="BT87" s="43">
        <f t="shared" ref="BT87" si="1790">IF(BD87="","",BT$82+(BD87-BD$82)*1000)</f>
        <v>-0.65613970550487677</v>
      </c>
      <c r="BU87" s="43">
        <f t="shared" ref="BU87" si="1791">IF(BE87="","",BU$82+(BE87-BE$82)*1000)</f>
        <v>-20.740112102108021</v>
      </c>
      <c r="BV87" s="43">
        <f t="shared" si="1681"/>
        <v>-7.5464408759842172</v>
      </c>
      <c r="BW87" s="43">
        <f t="shared" ref="BW87" si="1792">IF(BG87="","",BW$82+(BG87-BG$82)*1000)</f>
        <v>2.3466699616141451</v>
      </c>
      <c r="BX87" s="43">
        <f t="shared" ref="BX87" si="1793">IF(BH87="","",BX$82+(BH87-BH$82)*1000)</f>
        <v>-17.386535591251917</v>
      </c>
      <c r="BY87" s="43">
        <f t="shared" si="1684"/>
        <v>-1.6831886158854559</v>
      </c>
      <c r="BZ87" s="43">
        <f t="shared" ref="BZ87" si="1794">IF(BJ87="","",BZ$82+(BJ87-BJ$82)*1000)</f>
        <v>-5.899775920315431</v>
      </c>
      <c r="CA87" s="43">
        <f t="shared" ref="CA87" si="1795">IF(BK87="","",CA$82+(BK87-BK$82)*1000)</f>
        <v>-1.1511681138465235</v>
      </c>
    </row>
    <row r="88" spans="1:79" ht="29.25" customHeight="1" x14ac:dyDescent="0.2">
      <c r="A88" s="37">
        <v>44273</v>
      </c>
      <c r="B88" s="30">
        <f t="shared" ref="B88" si="1796">IF(A88="","",A88-excav)</f>
        <v>618</v>
      </c>
      <c r="C88" s="38">
        <v>223.9</v>
      </c>
      <c r="D88" s="38">
        <v>53.5</v>
      </c>
      <c r="E88" s="39">
        <v>823220.69010000001</v>
      </c>
      <c r="F88" s="39">
        <v>1091507.8462</v>
      </c>
      <c r="G88" s="39">
        <v>-122.3417</v>
      </c>
      <c r="H88" s="39"/>
      <c r="I88" s="39"/>
      <c r="J88" s="39"/>
      <c r="K88" s="39">
        <v>823222.26309999998</v>
      </c>
      <c r="L88" s="39">
        <v>1091505.2535999999</v>
      </c>
      <c r="M88" s="39">
        <v>-120.41289999999999</v>
      </c>
      <c r="N88" s="39">
        <v>823222.77309999999</v>
      </c>
      <c r="O88" s="39">
        <v>1091504.6910000001</v>
      </c>
      <c r="P88" s="39">
        <v>-121.1018</v>
      </c>
      <c r="Q88" s="39">
        <v>823223.17810000002</v>
      </c>
      <c r="R88" s="39">
        <v>1091503.2006999999</v>
      </c>
      <c r="S88" s="39">
        <v>-122.2324</v>
      </c>
      <c r="T88" s="57">
        <f t="shared" si="1511"/>
        <v>3.5939077896340423</v>
      </c>
      <c r="U88" s="39"/>
      <c r="V88" s="39">
        <f t="shared" si="1613"/>
        <v>1.0252814100618246</v>
      </c>
      <c r="W88" s="57">
        <f t="shared" si="1514"/>
        <v>2.891747509743539</v>
      </c>
      <c r="X88" s="39"/>
      <c r="Y88" s="57">
        <f t="shared" si="1516"/>
        <v>5.2709354711469159</v>
      </c>
      <c r="Z88" s="43">
        <f t="shared" ref="Z88:Z90" si="1797">IF(T88="","",(T88-T$10)*1000)</f>
        <v>-5.4299676035833855</v>
      </c>
      <c r="AA88" s="43" t="str">
        <f t="shared" ref="AA88" si="1798">IF(U88="","",(U88-U$10)*1000)</f>
        <v/>
      </c>
      <c r="AB88" s="43">
        <f t="shared" ref="AB88" si="1799">IF(V88="","",(V88-V$10)*1000)</f>
        <v>-0.16237316579159611</v>
      </c>
      <c r="AC88" s="43">
        <f t="shared" ref="AC88" si="1800">IF(W88="","",(W88-W$10)*1000)</f>
        <v>-16.74919959257215</v>
      </c>
      <c r="AD88" s="43" t="str">
        <f t="shared" ref="AD88" si="1801">IF(X88="","",(X88-X$10)*1000)</f>
        <v/>
      </c>
      <c r="AE88" s="43">
        <f t="shared" ref="AE88" si="1802">IF(Y88="","",(Y88-Y$10)*1000)</f>
        <v>-3.7565438905238224</v>
      </c>
      <c r="AF88" s="40"/>
      <c r="AG88" s="43">
        <f t="shared" si="1665"/>
        <v>-6.600000080652535</v>
      </c>
      <c r="AH88" s="43">
        <f t="shared" ref="AH88" si="1803">IF(F88="","",AH$82+(F88-F$82)*1000)</f>
        <v>-2.4999999441206455</v>
      </c>
      <c r="AI88" s="43">
        <f t="shared" ref="AI88" si="1804">IF(G88="","",AI$82+(G88-G$82)*1000)</f>
        <v>-9.8500000000143473</v>
      </c>
      <c r="AJ88" s="43" t="str">
        <f t="shared" ref="AJ88" si="1805">IF(H88="","",(H88-H$10)*1000)</f>
        <v/>
      </c>
      <c r="AK88" s="43" t="str">
        <f t="shared" ref="AK88" si="1806">IF(I88="","",(I88-I$10)*1000)</f>
        <v/>
      </c>
      <c r="AL88" s="43" t="str">
        <f t="shared" ref="AL88" si="1807">IF(J88="","",(J88-J$10)*1000)</f>
        <v/>
      </c>
      <c r="AM88" s="43">
        <f t="shared" si="1667"/>
        <v>-6.9000000366941094</v>
      </c>
      <c r="AN88" s="43">
        <f t="shared" ref="AN88" si="1808">IF(L88="","",AN$82+(L88-L$82)*1000)</f>
        <v>-3.8000000640749931</v>
      </c>
      <c r="AO88" s="43">
        <f t="shared" ref="AO88" si="1809">IF(M88="","",AO$82+(M88-M$82)*1000)</f>
        <v>-21.699999999995612</v>
      </c>
      <c r="AP88" s="43">
        <f t="shared" si="1670"/>
        <v>-6.4000000711530447</v>
      </c>
      <c r="AQ88" s="43">
        <f t="shared" ref="AQ88" si="1810">IF(O88="","",AQ$82+(O88-O$82)*1000)</f>
        <v>-7.1000000461935997</v>
      </c>
      <c r="AR88" s="43">
        <f t="shared" ref="AR88" si="1811">IF(P88="","",AR$82+(P88-P$82)*1000)</f>
        <v>-18.34999999999809</v>
      </c>
      <c r="AS88" s="43">
        <f t="shared" si="1673"/>
        <v>-4.6499999007210135</v>
      </c>
      <c r="AT88" s="43">
        <f t="shared" ref="AT88" si="1812">IF(R88="","",AT$82+(R88-R$82)*1000)</f>
        <v>3.3500001300126314</v>
      </c>
      <c r="AU88" s="43">
        <f t="shared" ref="AU88" si="1813">IF(S88="","",AU$82+(S88-S$82)*1000)</f>
        <v>-2.0500000000112095</v>
      </c>
      <c r="AV88" s="40"/>
      <c r="AW88" s="39">
        <v>170.05665877220096</v>
      </c>
      <c r="AX88" s="39">
        <v>-2.6155270175725187</v>
      </c>
      <c r="AY88" s="39">
        <v>1.5006134122779855</v>
      </c>
      <c r="AZ88" s="41"/>
      <c r="BA88" s="42"/>
      <c r="BB88" s="42"/>
      <c r="BC88" s="41">
        <v>170.38648856410032</v>
      </c>
      <c r="BD88" s="42">
        <v>0.39895736101824986</v>
      </c>
      <c r="BE88" s="42">
        <v>3.426115114359007</v>
      </c>
      <c r="BF88" s="41">
        <v>170.61091348837314</v>
      </c>
      <c r="BG88" s="42">
        <v>1.1243897928708333</v>
      </c>
      <c r="BH88" s="42">
        <v>2.7349708651162672</v>
      </c>
      <c r="BI88" s="41">
        <v>170.34808347759162</v>
      </c>
      <c r="BJ88" s="42">
        <v>2.646210897991391</v>
      </c>
      <c r="BK88" s="42">
        <v>1.6069991652240816</v>
      </c>
      <c r="BL88" s="40"/>
      <c r="BM88" s="43">
        <f t="shared" si="1676"/>
        <v>-6.9926765486627573</v>
      </c>
      <c r="BN88" s="43">
        <f t="shared" ref="BN88" si="1814">IF(AX88="","",BN$82+(AX88-AX$82)*1000)</f>
        <v>-0.50220311931203909</v>
      </c>
      <c r="BO88" s="43">
        <f t="shared" ref="BO88" si="1815">IF(AY88="","",BO$82+(AY88-AY$82)*1000)</f>
        <v>-9.7470732345117383</v>
      </c>
      <c r="BP88" s="43" t="str">
        <f t="shared" ref="BP88" si="1816">IF(AZ88="","",(AZ88-AZ$10)*1000)</f>
        <v/>
      </c>
      <c r="BQ88" s="43" t="str">
        <f t="shared" ref="BQ88" si="1817">IF(BA88="","",(BA88-BA$10)*1000)</f>
        <v/>
      </c>
      <c r="BR88" s="43" t="str">
        <f t="shared" ref="BR88" si="1818">IF(BB88="","",(BB88-BB$10)*1000)</f>
        <v/>
      </c>
      <c r="BS88" s="43">
        <f t="shared" si="1678"/>
        <v>-7.8288667171477755</v>
      </c>
      <c r="BT88" s="43">
        <f t="shared" ref="BT88" si="1819">IF(BD88="","",BT$82+(BD88-BD$82)*1000)</f>
        <v>0.47977483949507294</v>
      </c>
      <c r="BU88" s="43">
        <f t="shared" ref="BU88" si="1820">IF(BE88="","",BU$82+(BE88-BE$82)*1000)</f>
        <v>-21.633711332829542</v>
      </c>
      <c r="BV88" s="43">
        <f t="shared" si="1681"/>
        <v>-8.7603604744401764</v>
      </c>
      <c r="BW88" s="43">
        <f t="shared" ref="BW88" si="1821">IF(BG88="","",BW$82+(BG88-BG$82)*1000)</f>
        <v>3.7666696316056569</v>
      </c>
      <c r="BX88" s="43">
        <f t="shared" ref="BX88" si="1822">IF(BH88="","",BX$82+(BH88-BH$82)*1000)</f>
        <v>-18.274396395265402</v>
      </c>
      <c r="BY88" s="43">
        <f t="shared" si="1684"/>
        <v>-2.7764115350237262</v>
      </c>
      <c r="BZ88" s="43">
        <f t="shared" ref="BZ88" si="1823">IF(BJ88="","",BZ$82+(BJ88-BJ$82)*1000)</f>
        <v>-4.9751873657788437</v>
      </c>
      <c r="CA88" s="43">
        <f t="shared" ref="CA88" si="1824">IF(BK88="","",CA$82+(BK88-BK$82)*1000)</f>
        <v>-2.0402358846602908</v>
      </c>
    </row>
    <row r="89" spans="1:79" ht="29.25" customHeight="1" x14ac:dyDescent="0.2">
      <c r="A89" s="37">
        <v>44287</v>
      </c>
      <c r="B89" s="30">
        <f t="shared" ref="B89:B90" si="1825">IF(A89="","",A89-excav)</f>
        <v>632</v>
      </c>
      <c r="C89" s="38">
        <v>223.9</v>
      </c>
      <c r="D89" s="38">
        <v>53.5</v>
      </c>
      <c r="E89" s="39">
        <v>823220.68870000006</v>
      </c>
      <c r="F89" s="39">
        <v>1091507.8452000001</v>
      </c>
      <c r="G89" s="39">
        <v>-122.3408</v>
      </c>
      <c r="H89" s="39"/>
      <c r="I89" s="39"/>
      <c r="J89" s="39"/>
      <c r="K89" s="39">
        <v>823222.26210000005</v>
      </c>
      <c r="L89" s="39">
        <v>1091505.2546000001</v>
      </c>
      <c r="M89" s="39">
        <v>-120.4126</v>
      </c>
      <c r="N89" s="39">
        <v>823222.77300000004</v>
      </c>
      <c r="O89" s="39">
        <v>1091504.6926</v>
      </c>
      <c r="P89" s="39">
        <v>-121.10129999999999</v>
      </c>
      <c r="Q89" s="39">
        <v>823223.17859999998</v>
      </c>
      <c r="R89" s="39">
        <v>1091503.2021999999</v>
      </c>
      <c r="S89" s="39">
        <v>-122.2317</v>
      </c>
      <c r="T89" s="57">
        <f t="shared" si="1511"/>
        <v>3.5923183544835555</v>
      </c>
      <c r="U89" s="39"/>
      <c r="V89" s="39">
        <f t="shared" si="1613"/>
        <v>1.0252660631091317</v>
      </c>
      <c r="W89" s="57">
        <f t="shared" si="1514"/>
        <v>2.8916159531545476</v>
      </c>
      <c r="X89" s="39"/>
      <c r="Y89" s="57">
        <f t="shared" si="1516"/>
        <v>5.2696255864238601</v>
      </c>
      <c r="Z89" s="43">
        <f t="shared" ref="Z89" si="1826">IF(T89="","",(T89-T$10)*1000)</f>
        <v>-7.0194027540702031</v>
      </c>
      <c r="AA89" s="43" t="str">
        <f t="shared" ref="AA89" si="1827">IF(U89="","",(U89-U$10)*1000)</f>
        <v/>
      </c>
      <c r="AB89" s="43">
        <f t="shared" ref="AB89" si="1828">IF(V89="","",(V89-V$10)*1000)</f>
        <v>-0.17772011848449232</v>
      </c>
      <c r="AC89" s="43">
        <f t="shared" ref="AC89" si="1829">IF(W89="","",(W89-W$10)*1000)</f>
        <v>-16.880756181563594</v>
      </c>
      <c r="AD89" s="43" t="str">
        <f t="shared" ref="AD89" si="1830">IF(X89="","",(X89-X$10)*1000)</f>
        <v/>
      </c>
      <c r="AE89" s="43">
        <f t="shared" ref="AE89" si="1831">IF(Y89="","",(Y89-Y$10)*1000)</f>
        <v>-5.0664286135795322</v>
      </c>
      <c r="AF89" s="40"/>
      <c r="AG89" s="43">
        <f t="shared" ref="AG89:AG90" si="1832">IF(E89="","",AG$82+(E89-E$82)*1000)</f>
        <v>-8.000000030733645</v>
      </c>
      <c r="AH89" s="43">
        <f t="shared" ref="AH89:AH90" si="1833">IF(F89="","",AH$82+(F89-F$82)*1000)</f>
        <v>-3.499999875202775</v>
      </c>
      <c r="AI89" s="43">
        <f t="shared" ref="AI89:AI90" si="1834">IF(G89="","",AI$82+(G89-G$82)*1000)</f>
        <v>-8.9500000000128921</v>
      </c>
      <c r="AJ89" s="43" t="str">
        <f t="shared" ref="AJ89" si="1835">IF(H89="","",(H89-H$10)*1000)</f>
        <v/>
      </c>
      <c r="AK89" s="43" t="str">
        <f t="shared" ref="AK89" si="1836">IF(I89="","",(I89-I$10)*1000)</f>
        <v/>
      </c>
      <c r="AL89" s="43" t="str">
        <f t="shared" ref="AL89" si="1837">IF(J89="","",(J89-J$10)*1000)</f>
        <v/>
      </c>
      <c r="AM89" s="43">
        <f t="shared" ref="AM89:AM90" si="1838">IF(K89="","",AM$82+(K89-K$82)*1000)</f>
        <v>-7.8999999677762389</v>
      </c>
      <c r="AN89" s="43">
        <f t="shared" ref="AN89:AN90" si="1839">IF(L89="","",AN$82+(L89-L$82)*1000)</f>
        <v>-2.79999990016222</v>
      </c>
      <c r="AO89" s="43">
        <f t="shared" ref="AO89:AO90" si="1840">IF(M89="","",AO$82+(M89-M$82)*1000)</f>
        <v>-21.399999999999864</v>
      </c>
      <c r="AP89" s="43">
        <f t="shared" ref="AP89:AP90" si="1841">IF(N89="","",AP$82+(N89-N$82)*1000)</f>
        <v>-6.5000000176951289</v>
      </c>
      <c r="AQ89" s="43">
        <f t="shared" ref="AQ89:AQ90" si="1842">IF(O89="","",AQ$82+(O89-O$82)*1000)</f>
        <v>-5.5000002030283213</v>
      </c>
      <c r="AR89" s="43">
        <f t="shared" ref="AR89:AR90" si="1843">IF(P89="","",AR$82+(P89-P$82)*1000)</f>
        <v>-17.849999999995703</v>
      </c>
      <c r="AS89" s="43">
        <f t="shared" ref="AS89:AS90" si="1844">IF(Q89="","",AS$82+(Q89-Q$82)*1000)</f>
        <v>-4.1499999351799488</v>
      </c>
      <c r="AT89" s="43">
        <f t="shared" ref="AT89:AT90" si="1845">IF(R89="","",AT$82+(R89-R$82)*1000)</f>
        <v>4.8500001430511475</v>
      </c>
      <c r="AU89" s="43">
        <f t="shared" ref="AU89:AU90" si="1846">IF(S89="","",AU$82+(S89-S$82)*1000)</f>
        <v>-1.3500000000163936</v>
      </c>
      <c r="AV89" s="40"/>
      <c r="AW89" s="39">
        <v>170.05496731139641</v>
      </c>
      <c r="AX89" s="39">
        <v>-2.6152124383788404</v>
      </c>
      <c r="AY89" s="39">
        <v>1.5015303268860265</v>
      </c>
      <c r="AZ89" s="41"/>
      <c r="BA89" s="42"/>
      <c r="BB89" s="42"/>
      <c r="BC89" s="41">
        <v>170.386004924193</v>
      </c>
      <c r="BD89" s="42">
        <v>0.39762841683956923</v>
      </c>
      <c r="BE89" s="42">
        <v>3.4264199507580742</v>
      </c>
      <c r="BF89" s="41">
        <v>170.61149910236654</v>
      </c>
      <c r="BG89" s="42">
        <v>1.1228974605558812</v>
      </c>
      <c r="BH89" s="42">
        <v>2.7354650089763339</v>
      </c>
      <c r="BI89" s="41">
        <v>170.34917060160561</v>
      </c>
      <c r="BJ89" s="42">
        <v>2.6450627858963078</v>
      </c>
      <c r="BK89" s="42">
        <v>1.6076882939839408</v>
      </c>
      <c r="BL89" s="40" t="s">
        <v>61</v>
      </c>
      <c r="BM89" s="43">
        <f t="shared" ref="BM89" si="1847">IF(AW89="","",BM$82+(AW89-AW$82)*1000)</f>
        <v>-8.6841373532138277</v>
      </c>
      <c r="BN89" s="43">
        <f t="shared" ref="BN89" si="1848">IF(AX89="","",BN$82+(AX89-AX$82)*1000)</f>
        <v>-0.18762392563376196</v>
      </c>
      <c r="BO89" s="43">
        <f t="shared" ref="BO89" si="1849">IF(AY89="","",BO$82+(AY89-AY$82)*1000)</f>
        <v>-8.830158626470741</v>
      </c>
      <c r="BP89" s="43" t="s">
        <v>61</v>
      </c>
      <c r="BQ89" s="43" t="s">
        <v>61</v>
      </c>
      <c r="BR89" s="43" t="str">
        <f t="shared" ref="BR89:BR90" si="1850">IF(BB89="","",(BB89-BB$10)*1000)</f>
        <v/>
      </c>
      <c r="BS89" s="43">
        <f t="shared" ref="BS89:BS90" si="1851">IF(BC89="","",BS$82+(BC89-BC$82)*1000)</f>
        <v>-8.3125066244633672</v>
      </c>
      <c r="BT89" s="43">
        <f t="shared" ref="BT89:BT90" si="1852">IF(BD89="","",BT$82+(BD89-BD$82)*1000)</f>
        <v>-0.84916933918555149</v>
      </c>
      <c r="BU89" s="43">
        <f t="shared" ref="BU89:BU90" si="1853">IF(BE89="","",BU$82+(BE89-BE$82)*1000)</f>
        <v>-21.328874933762343</v>
      </c>
      <c r="BV89" s="43">
        <f t="shared" ref="BV89:BV90" si="1854">IF(BF89="","",BV$82+(BF89-BF$82)*1000)</f>
        <v>-8.1747464810462134</v>
      </c>
      <c r="BW89" s="43">
        <f t="shared" ref="BW89:BW90" si="1855">IF(BG89="","",BW$82+(BG89-BG$82)*1000)</f>
        <v>2.2743373166536074</v>
      </c>
      <c r="BX89" s="43">
        <f t="shared" ref="BX89:BX90" si="1856">IF(BH89="","",BX$82+(BH89-BH$82)*1000)</f>
        <v>-17.78025253519866</v>
      </c>
      <c r="BY89" s="43">
        <f t="shared" ref="BY89:BY90" si="1857">IF(BI89="","",BY$82+(BI89-BI$82)*1000)</f>
        <v>-1.6892875210317015</v>
      </c>
      <c r="BZ89" s="43">
        <f t="shared" ref="BZ89:BZ90" si="1858">IF(BJ89="","",BZ$82+(BJ89-BJ$82)*1000)</f>
        <v>-6.1232994608619862</v>
      </c>
      <c r="CA89" s="43">
        <f t="shared" ref="CA89:CA90" si="1859">IF(BK89="","",CA$82+(BK89-BK$82)*1000)</f>
        <v>-1.3511071248011319</v>
      </c>
    </row>
    <row r="90" spans="1:79" ht="29.25" customHeight="1" x14ac:dyDescent="0.2">
      <c r="A90" s="37">
        <v>44308</v>
      </c>
      <c r="B90" s="30">
        <f t="shared" si="1825"/>
        <v>653</v>
      </c>
      <c r="C90" s="38">
        <v>223.9</v>
      </c>
      <c r="D90" s="38">
        <v>53.5</v>
      </c>
      <c r="E90" s="39">
        <v>823220.68920000002</v>
      </c>
      <c r="F90" s="39">
        <v>1091507.8467000001</v>
      </c>
      <c r="G90" s="39">
        <v>-122.3411</v>
      </c>
      <c r="H90" s="39"/>
      <c r="I90" s="39"/>
      <c r="J90" s="39"/>
      <c r="K90" s="39">
        <v>823222.2635</v>
      </c>
      <c r="L90" s="39">
        <v>1091505.2542000001</v>
      </c>
      <c r="M90" s="39">
        <v>-120.4131</v>
      </c>
      <c r="N90" s="39">
        <v>823222.77410000004</v>
      </c>
      <c r="O90" s="39">
        <v>1091504.6917999999</v>
      </c>
      <c r="P90" s="39">
        <v>-121.10169999999999</v>
      </c>
      <c r="Q90" s="39">
        <v>823223.179</v>
      </c>
      <c r="R90" s="39">
        <v>1091503.2009999999</v>
      </c>
      <c r="S90" s="39">
        <v>-122.2319</v>
      </c>
      <c r="T90" s="57">
        <f t="shared" si="1511"/>
        <v>3.5939756176241411</v>
      </c>
      <c r="U90" s="39"/>
      <c r="V90" s="39">
        <f t="shared" si="1613"/>
        <v>1.0252687843827482</v>
      </c>
      <c r="W90" s="57">
        <f t="shared" si="1514"/>
        <v>2.8916783933937844</v>
      </c>
      <c r="X90" s="39"/>
      <c r="Y90" s="57">
        <f t="shared" si="1516"/>
        <v>5.2719595191931052</v>
      </c>
      <c r="Z90" s="43">
        <f t="shared" si="1797"/>
        <v>-5.36213961348464</v>
      </c>
      <c r="AA90" s="43" t="str">
        <f t="shared" ref="AA90" si="1860">IF(U90="","",(U90-U$10)*1000)</f>
        <v/>
      </c>
      <c r="AB90" s="43">
        <f t="shared" ref="AB90" si="1861">IF(V90="","",(V90-V$10)*1000)</f>
        <v>-0.17499884486804618</v>
      </c>
      <c r="AC90" s="43">
        <f t="shared" ref="AC90" si="1862">IF(W90="","",(W90-W$10)*1000)</f>
        <v>-16.818315942326745</v>
      </c>
      <c r="AD90" s="43" t="str">
        <f t="shared" ref="AD90" si="1863">IF(X90="","",(X90-X$10)*1000)</f>
        <v/>
      </c>
      <c r="AE90" s="43">
        <f t="shared" ref="AE90" si="1864">IF(Y90="","",(Y90-Y$10)*1000)</f>
        <v>-2.7324958443344372</v>
      </c>
      <c r="AF90" s="40"/>
      <c r="AG90" s="43">
        <f t="shared" si="1832"/>
        <v>-7.5000000651925802</v>
      </c>
      <c r="AH90" s="43">
        <f t="shared" si="1833"/>
        <v>-1.999999862164259</v>
      </c>
      <c r="AI90" s="43">
        <f t="shared" si="1834"/>
        <v>-9.2500000000086402</v>
      </c>
      <c r="AJ90" s="43"/>
      <c r="AK90" s="43"/>
      <c r="AL90" s="43"/>
      <c r="AM90" s="43">
        <f t="shared" si="1838"/>
        <v>-6.5000000176951289</v>
      </c>
      <c r="AN90" s="43">
        <f t="shared" si="1839"/>
        <v>-3.1999999191612005</v>
      </c>
      <c r="AO90" s="43">
        <f t="shared" si="1840"/>
        <v>-21.900000000002251</v>
      </c>
      <c r="AP90" s="43">
        <f t="shared" si="1841"/>
        <v>-5.4000000236555934</v>
      </c>
      <c r="AQ90" s="43">
        <f t="shared" si="1842"/>
        <v>-6.3000002410262823</v>
      </c>
      <c r="AR90" s="43">
        <f t="shared" si="1843"/>
        <v>-18.24999999999477</v>
      </c>
      <c r="AS90" s="43">
        <f t="shared" si="1844"/>
        <v>-3.7499999161809683</v>
      </c>
      <c r="AT90" s="43">
        <f t="shared" si="1845"/>
        <v>3.6500000860542059</v>
      </c>
      <c r="AU90" s="43">
        <f t="shared" si="1846"/>
        <v>-1.5500000000088221</v>
      </c>
      <c r="AV90" s="40"/>
      <c r="AW90" s="39">
        <v>170.0560544354104</v>
      </c>
      <c r="AX90" s="39">
        <v>-2.6163605504739236</v>
      </c>
      <c r="AY90" s="39">
        <v>1.5012194556458951</v>
      </c>
      <c r="AZ90" s="41"/>
      <c r="BA90" s="42"/>
      <c r="BB90" s="42"/>
      <c r="BC90" s="41">
        <v>170.38710467220452</v>
      </c>
      <c r="BD90" s="42">
        <v>0.39858264646950375</v>
      </c>
      <c r="BE90" s="42">
        <v>3.4259089532779541</v>
      </c>
      <c r="BF90" s="41">
        <v>170.61215790199105</v>
      </c>
      <c r="BG90" s="42">
        <v>1.1240874114382116</v>
      </c>
      <c r="BH90" s="42">
        <v>2.7350584209800957</v>
      </c>
      <c r="BI90" s="41">
        <v>170.34902593600629</v>
      </c>
      <c r="BJ90" s="42">
        <v>2.6463193972190364</v>
      </c>
      <c r="BK90" s="42">
        <v>1.6074897406399344</v>
      </c>
      <c r="BL90" s="40"/>
      <c r="BM90" s="43">
        <f t="shared" ref="BM90" si="1865">IF(AW90="","",BM$82+(AW90-AW$82)*1000)</f>
        <v>-7.5970133392218031</v>
      </c>
      <c r="BN90" s="43">
        <f t="shared" ref="BN90" si="1866">IF(AX90="","",BN$82+(AX90-AX$82)*1000)</f>
        <v>-1.3357360207169044</v>
      </c>
      <c r="BO90" s="43">
        <f t="shared" ref="BO90" si="1867">IF(AY90="","",BO$82+(AY90-AY$82)*1000)</f>
        <v>-9.1410298666021461</v>
      </c>
      <c r="BP90" s="43" t="str">
        <f t="shared" ref="BP90" si="1868">IF(AZ90="","",(AZ90-AZ$10)*1000)</f>
        <v/>
      </c>
      <c r="BQ90" s="43" t="str">
        <f t="shared" ref="BQ90" si="1869">IF(BA90="","",(BA90-BA$10)*1000)</f>
        <v/>
      </c>
      <c r="BR90" s="43" t="str">
        <f t="shared" si="1850"/>
        <v/>
      </c>
      <c r="BS90" s="43">
        <f t="shared" si="1851"/>
        <v>-7.2127586129511201</v>
      </c>
      <c r="BT90" s="43">
        <f t="shared" si="1852"/>
        <v>0.10506029074897061</v>
      </c>
      <c r="BU90" s="43">
        <f t="shared" si="1853"/>
        <v>-21.839872413882411</v>
      </c>
      <c r="BV90" s="43">
        <f t="shared" si="1854"/>
        <v>-7.5159468565288989</v>
      </c>
      <c r="BW90" s="43">
        <f t="shared" si="1855"/>
        <v>3.4642881989839225</v>
      </c>
      <c r="BX90" s="43">
        <f t="shared" si="1856"/>
        <v>-18.186840531436932</v>
      </c>
      <c r="BY90" s="43">
        <f t="shared" si="1857"/>
        <v>-1.8339531203537263</v>
      </c>
      <c r="BZ90" s="43">
        <f t="shared" si="1858"/>
        <v>-4.8666881381334015</v>
      </c>
      <c r="CA90" s="43">
        <f t="shared" si="1859"/>
        <v>-1.5496604688074456</v>
      </c>
    </row>
    <row r="91" spans="1:79" ht="29.25" customHeight="1" x14ac:dyDescent="0.2">
      <c r="A91" s="37">
        <v>44322</v>
      </c>
      <c r="B91" s="30">
        <f t="shared" ref="B91" si="1870">IF(A91="","",A91-excav)</f>
        <v>667</v>
      </c>
      <c r="C91" s="38">
        <v>223.9</v>
      </c>
      <c r="D91" s="38">
        <v>53.5</v>
      </c>
      <c r="E91" s="39">
        <v>823220.68920000002</v>
      </c>
      <c r="F91" s="39">
        <v>1091507.8473</v>
      </c>
      <c r="G91" s="39">
        <v>-122.3416</v>
      </c>
      <c r="H91" s="39"/>
      <c r="I91" s="39"/>
      <c r="J91" s="39"/>
      <c r="K91" s="39">
        <v>823222.2635</v>
      </c>
      <c r="L91" s="39">
        <v>1091505.2546000001</v>
      </c>
      <c r="M91" s="39">
        <v>-120.4135</v>
      </c>
      <c r="N91" s="39">
        <v>823222.77379999997</v>
      </c>
      <c r="O91" s="39">
        <v>1091504.692</v>
      </c>
      <c r="P91" s="39">
        <v>-121.1024</v>
      </c>
      <c r="Q91" s="39">
        <v>823223.17960000003</v>
      </c>
      <c r="R91" s="39">
        <v>1091503.2013999999</v>
      </c>
      <c r="S91" s="39">
        <v>-122.23220000000001</v>
      </c>
      <c r="T91" s="57">
        <f t="shared" si="1511"/>
        <v>3.594173533584939</v>
      </c>
      <c r="U91" s="39"/>
      <c r="V91" s="39">
        <f t="shared" si="1613"/>
        <v>1.025430670516289</v>
      </c>
      <c r="W91" s="57">
        <f t="shared" si="1514"/>
        <v>2.8918055157414577</v>
      </c>
      <c r="X91" s="39"/>
      <c r="Y91" s="57">
        <f t="shared" si="1516"/>
        <v>5.2724232883143376</v>
      </c>
      <c r="Z91" s="43">
        <f t="shared" ref="Z91" si="1871">IF(T91="","",(T91-T$10)*1000)</f>
        <v>-5.1642236526867613</v>
      </c>
      <c r="AA91" s="43" t="str">
        <f t="shared" ref="AA91" si="1872">IF(U91="","",(U91-U$10)*1000)</f>
        <v/>
      </c>
      <c r="AB91" s="43">
        <f t="shared" ref="AB91" si="1873">IF(V91="","",(V91-V$10)*1000)</f>
        <v>-1.3112711327201154E-2</v>
      </c>
      <c r="AC91" s="43">
        <f t="shared" ref="AC91" si="1874">IF(W91="","",(W91-W$10)*1000)</f>
        <v>-16.691193594653431</v>
      </c>
      <c r="AD91" s="43" t="str">
        <f t="shared" ref="AD91" si="1875">IF(X91="","",(X91-X$10)*1000)</f>
        <v/>
      </c>
      <c r="AE91" s="43">
        <f t="shared" ref="AE91" si="1876">IF(Y91="","",(Y91-Y$10)*1000)</f>
        <v>-2.2687267231020769</v>
      </c>
      <c r="AF91" s="40"/>
      <c r="AG91" s="43">
        <f t="shared" ref="AG91" si="1877">IF(E91="","",AG$82+(E91-E$82)*1000)</f>
        <v>-7.5000000651925802</v>
      </c>
      <c r="AH91" s="43">
        <f t="shared" ref="AH91" si="1878">IF(F91="","",AH$82+(F91-F$82)*1000)</f>
        <v>-1.39999995008111</v>
      </c>
      <c r="AI91" s="43">
        <f t="shared" ref="AI91" si="1879">IF(G91="","",AI$82+(G91-G$82)*1000)</f>
        <v>-9.7500000000110276</v>
      </c>
      <c r="AJ91" s="43" t="str">
        <f t="shared" ref="AJ91" si="1880">IF(H91="","",(H91-H$10)*1000)</f>
        <v/>
      </c>
      <c r="AK91" s="43" t="str">
        <f t="shared" ref="AK91" si="1881">IF(I91="","",(I91-I$10)*1000)</f>
        <v/>
      </c>
      <c r="AL91" s="43" t="str">
        <f t="shared" ref="AL91" si="1882">IF(J91="","",(J91-J$10)*1000)</f>
        <v/>
      </c>
      <c r="AM91" s="43">
        <f t="shared" ref="AM91" si="1883">IF(K91="","",AM$82+(K91-K$82)*1000)</f>
        <v>-6.5000000176951289</v>
      </c>
      <c r="AN91" s="43">
        <f t="shared" ref="AN91" si="1884">IF(L91="","",AN$82+(L91-L$82)*1000)</f>
        <v>-2.79999990016222</v>
      </c>
      <c r="AO91" s="43">
        <f t="shared" ref="AO91" si="1885">IF(M91="","",AO$82+(M91-M$82)*1000)</f>
        <v>-22.300000000001319</v>
      </c>
      <c r="AP91" s="43">
        <f t="shared" ref="AP91" si="1886">IF(N91="","",AP$82+(N91-N$82)*1000)</f>
        <v>-5.7000000961124897</v>
      </c>
      <c r="AQ91" s="43">
        <f t="shared" ref="AQ91" si="1887">IF(O91="","",AQ$82+(O91-O$82)*1000)</f>
        <v>-6.1000001151114702</v>
      </c>
      <c r="AR91" s="43">
        <f t="shared" ref="AR91" si="1888">IF(P91="","",AR$82+(P91-P$82)*1000)</f>
        <v>-18.950000000003797</v>
      </c>
      <c r="AS91" s="43">
        <f t="shared" ref="AS91" si="1889">IF(Q91="","",AS$82+(Q91-Q$82)*1000)</f>
        <v>-3.1499998876824975</v>
      </c>
      <c r="AT91" s="43">
        <f t="shared" ref="AT91" si="1890">IF(R91="","",AT$82+(R91-R$82)*1000)</f>
        <v>4.0500001050531864</v>
      </c>
      <c r="AU91" s="43">
        <f t="shared" ref="AU91" si="1891">IF(S91="","",AU$82+(S91-S$82)*1000)</f>
        <v>-1.8500000000187811</v>
      </c>
      <c r="AV91" s="40"/>
      <c r="AW91" s="39">
        <v>170.0563080265793</v>
      </c>
      <c r="AX91" s="39">
        <v>-2.6169043256237332</v>
      </c>
      <c r="AY91" s="39">
        <v>1.5007169197342023</v>
      </c>
      <c r="AZ91" s="41"/>
      <c r="BA91" s="42"/>
      <c r="BB91" s="42"/>
      <c r="BC91" s="41">
        <v>170.3872737330166</v>
      </c>
      <c r="BD91" s="42">
        <v>0.39822012963264131</v>
      </c>
      <c r="BE91" s="42">
        <v>3.4255072626698251</v>
      </c>
      <c r="BF91" s="41">
        <v>170.61197054476588</v>
      </c>
      <c r="BG91" s="42">
        <v>1.1237793572806107</v>
      </c>
      <c r="BH91" s="42">
        <v>2.7343602945523315</v>
      </c>
      <c r="BI91" s="41">
        <v>170.34973877207366</v>
      </c>
      <c r="BJ91" s="42">
        <v>2.646210471600261</v>
      </c>
      <c r="BK91" s="42">
        <v>1.6071826122792601</v>
      </c>
      <c r="BL91" s="40"/>
      <c r="BM91" s="43">
        <f t="shared" ref="BM91" si="1892">IF(AW91="","",BM$82+(AW91-AW$82)*1000)</f>
        <v>-7.3434221703223557</v>
      </c>
      <c r="BN91" s="43">
        <f t="shared" ref="BN91" si="1893">IF(AX91="","",BN$82+(AX91-AX$82)*1000)</f>
        <v>-1.8795111705265377</v>
      </c>
      <c r="BO91" s="43">
        <f t="shared" ref="BO91" si="1894">IF(AY91="","",BO$82+(AY91-AY$82)*1000)</f>
        <v>-9.6435657782949491</v>
      </c>
      <c r="BP91" s="43" t="str">
        <f t="shared" ref="BP91" si="1895">IF(AZ91="","",(AZ91-AZ$10)*1000)</f>
        <v/>
      </c>
      <c r="BQ91" s="43" t="str">
        <f t="shared" ref="BQ91" si="1896">IF(BA91="","",(BA91-BA$10)*1000)</f>
        <v/>
      </c>
      <c r="BR91" s="43" t="str">
        <f t="shared" ref="BR91" si="1897">IF(BB91="","",(BB91-BB$10)*1000)</f>
        <v/>
      </c>
      <c r="BS91" s="43">
        <f t="shared" ref="BS91" si="1898">IF(BC91="","",BS$82+(BC91-BC$82)*1000)</f>
        <v>-7.0436978008672213</v>
      </c>
      <c r="BT91" s="43">
        <f t="shared" ref="BT91" si="1899">IF(BD91="","",BT$82+(BD91-BD$82)*1000)</f>
        <v>-0.25745654611347701</v>
      </c>
      <c r="BU91" s="43">
        <f t="shared" ref="BU91" si="1900">IF(BE91="","",BU$82+(BE91-BE$82)*1000)</f>
        <v>-22.241563022011412</v>
      </c>
      <c r="BV91" s="43">
        <f t="shared" ref="BV91" si="1901">IF(BF91="","",BV$82+(BF91-BF$82)*1000)</f>
        <v>-7.7033040817013898</v>
      </c>
      <c r="BW91" s="43">
        <f t="shared" ref="BW91" si="1902">IF(BG91="","",BW$82+(BG91-BG$82)*1000)</f>
        <v>3.1562340413830992</v>
      </c>
      <c r="BX91" s="43">
        <f t="shared" ref="BX91" si="1903">IF(BH91="","",BX$82+(BH91-BH$82)*1000)</f>
        <v>-18.884966959201055</v>
      </c>
      <c r="BY91" s="43">
        <f t="shared" ref="BY91" si="1904">IF(BI91="","",BY$82+(BI91-BI$82)*1000)</f>
        <v>-1.121117052974796</v>
      </c>
      <c r="BZ91" s="43">
        <f t="shared" ref="BZ91" si="1905">IF(BJ91="","",BZ$82+(BJ91-BJ$82)*1000)</f>
        <v>-4.9756137569088033</v>
      </c>
      <c r="CA91" s="43">
        <f t="shared" ref="CA91" si="1906">IF(BK91="","",CA$82+(BK91-BK$82)*1000)</f>
        <v>-1.8567888294818147</v>
      </c>
    </row>
    <row r="92" spans="1:79" ht="29.25" customHeight="1" x14ac:dyDescent="0.2">
      <c r="A92" s="37">
        <v>44337</v>
      </c>
      <c r="B92" s="30">
        <f t="shared" ref="B92" si="1907">IF(A92="","",A92-excav)</f>
        <v>682</v>
      </c>
      <c r="C92" s="38">
        <v>223.9</v>
      </c>
      <c r="D92" s="38">
        <v>53.5</v>
      </c>
      <c r="E92" s="39">
        <v>823220.68909999996</v>
      </c>
      <c r="F92" s="39">
        <v>1091507.8459999999</v>
      </c>
      <c r="G92" s="39">
        <v>-122.34180000000001</v>
      </c>
      <c r="H92" s="39"/>
      <c r="I92" s="39"/>
      <c r="J92" s="39"/>
      <c r="K92" s="39">
        <v>823222.26309999998</v>
      </c>
      <c r="L92" s="39">
        <v>1091505.2534</v>
      </c>
      <c r="M92" s="39">
        <v>-120.41419999999999</v>
      </c>
      <c r="N92" s="39">
        <v>823222.77339999995</v>
      </c>
      <c r="O92" s="39">
        <v>1091504.6908</v>
      </c>
      <c r="P92" s="39">
        <v>-121.10290000000001</v>
      </c>
      <c r="Q92" s="39">
        <v>823223.17879999999</v>
      </c>
      <c r="R92" s="39">
        <v>1091503.2002000001</v>
      </c>
      <c r="S92" s="39">
        <v>-122.23260000000001</v>
      </c>
      <c r="T92" s="57">
        <f t="shared" si="1511"/>
        <v>3.5937017849752722</v>
      </c>
      <c r="U92" s="39"/>
      <c r="V92" s="39">
        <f t="shared" si="1613"/>
        <v>1.0252963181614847</v>
      </c>
      <c r="W92" s="57">
        <f t="shared" si="1514"/>
        <v>2.8914901504037354</v>
      </c>
      <c r="X92" s="39"/>
      <c r="Y92" s="57">
        <f t="shared" si="1516"/>
        <v>5.2720004143147863</v>
      </c>
      <c r="Z92" s="43">
        <f t="shared" ref="Z92" si="1908">IF(T92="","",(T92-T$10)*1000)</f>
        <v>-5.6359722623535724</v>
      </c>
      <c r="AA92" s="43" t="str">
        <f t="shared" ref="AA92" si="1909">IF(U92="","",(U92-U$10)*1000)</f>
        <v/>
      </c>
      <c r="AB92" s="43">
        <f t="shared" ref="AB92" si="1910">IF(V92="","",(V92-V$10)*1000)</f>
        <v>-0.14746506613150245</v>
      </c>
      <c r="AC92" s="43">
        <f t="shared" ref="AC92" si="1911">IF(W92="","",(W92-W$10)*1000)</f>
        <v>-17.006558932375793</v>
      </c>
      <c r="AD92" s="43" t="str">
        <f t="shared" ref="AD92" si="1912">IF(X92="","",(X92-X$10)*1000)</f>
        <v/>
      </c>
      <c r="AE92" s="43">
        <f t="shared" ref="AE92" si="1913">IF(Y92="","",(Y92-Y$10)*1000)</f>
        <v>-2.6916007226533978</v>
      </c>
      <c r="AF92" s="40"/>
      <c r="AG92" s="43">
        <f t="shared" ref="AG92" si="1914">IF(E92="","",AG$82+(E92-E$82)*1000)</f>
        <v>-7.6000001281499863</v>
      </c>
      <c r="AH92" s="43">
        <f t="shared" ref="AH92" si="1915">IF(F92="","",AH$82+(F92-F$82)*1000)</f>
        <v>-2.7000000700354576</v>
      </c>
      <c r="AI92" s="43">
        <f t="shared" ref="AI92" si="1916">IF(G92="","",AI$82+(G92-G$82)*1000)</f>
        <v>-9.9500000000176669</v>
      </c>
      <c r="AJ92" s="43" t="str">
        <f t="shared" ref="AJ92" si="1917">IF(H92="","",(H92-H$10)*1000)</f>
        <v/>
      </c>
      <c r="AK92" s="43" t="str">
        <f t="shared" ref="AK92" si="1918">IF(I92="","",(I92-I$10)*1000)</f>
        <v/>
      </c>
      <c r="AL92" s="43" t="str">
        <f t="shared" ref="AL92" si="1919">IF(J92="","",(J92-J$10)*1000)</f>
        <v/>
      </c>
      <c r="AM92" s="43">
        <f t="shared" ref="AM92" si="1920">IF(K92="","",AM$82+(K92-K$82)*1000)</f>
        <v>-6.9000000366941094</v>
      </c>
      <c r="AN92" s="43">
        <f t="shared" ref="AN92" si="1921">IF(L92="","",AN$82+(L92-L$82)*1000)</f>
        <v>-3.9999999571591616</v>
      </c>
      <c r="AO92" s="43">
        <f t="shared" ref="AO92" si="1922">IF(M92="","",AO$82+(M92-M$82)*1000)</f>
        <v>-22.999999999996135</v>
      </c>
      <c r="AP92" s="43">
        <f t="shared" ref="AP92" si="1923">IF(N92="","",AP$82+(N92-N$82)*1000)</f>
        <v>-6.1000001151114702</v>
      </c>
      <c r="AQ92" s="43">
        <f t="shared" ref="AQ92" si="1924">IF(O92="","",AQ$82+(O92-O$82)*1000)</f>
        <v>-7.3000001721084118</v>
      </c>
      <c r="AR92" s="43">
        <f t="shared" ref="AR92" si="1925">IF(P92="","",AR$82+(P92-P$82)*1000)</f>
        <v>-19.450000000006185</v>
      </c>
      <c r="AS92" s="43">
        <f t="shared" ref="AS92" si="1926">IF(Q92="","",AS$82+(Q92-Q$82)*1000)</f>
        <v>-3.9499999256804585</v>
      </c>
      <c r="AT92" s="43">
        <f t="shared" ref="AT92" si="1927">IF(R92="","",AT$82+(R92-R$82)*1000)</f>
        <v>2.8500002808868885</v>
      </c>
      <c r="AU92" s="43">
        <f t="shared" ref="AU92" si="1928">IF(S92="","",AU$82+(S92-S$82)*1000)</f>
        <v>-2.2500000000178488</v>
      </c>
      <c r="AV92" s="40"/>
      <c r="AW92" s="39">
        <v>170.05566794965353</v>
      </c>
      <c r="AX92" s="39">
        <v>-2.6157684110787525</v>
      </c>
      <c r="AY92" s="39">
        <v>1.5005233205034614</v>
      </c>
      <c r="AZ92" s="41"/>
      <c r="BA92" s="42"/>
      <c r="BB92" s="42"/>
      <c r="BC92" s="41">
        <v>170.38640403374347</v>
      </c>
      <c r="BD92" s="42">
        <v>0.39913861933118655</v>
      </c>
      <c r="BE92" s="42">
        <v>3.4248159596625669</v>
      </c>
      <c r="BF92" s="41">
        <v>170.61110084549279</v>
      </c>
      <c r="BG92" s="42">
        <v>1.1246978469792226</v>
      </c>
      <c r="BH92" s="42">
        <v>2.7338689915450658</v>
      </c>
      <c r="BI92" s="41">
        <v>170.34850655606212</v>
      </c>
      <c r="BJ92" s="42">
        <v>2.6469599002757476</v>
      </c>
      <c r="BK92" s="42">
        <v>1.6067949344393639</v>
      </c>
      <c r="BL92" s="40"/>
      <c r="BM92" s="43">
        <f t="shared" ref="BM92" si="1929">IF(AW92="","",BM$82+(AW92-AW$82)*1000)</f>
        <v>-7.9834990960989671</v>
      </c>
      <c r="BN92" s="43">
        <f t="shared" ref="BN92" si="1930">IF(AX92="","",BN$82+(AX92-AX$82)*1000)</f>
        <v>-0.74359662554579486</v>
      </c>
      <c r="BO92" s="43">
        <f t="shared" ref="BO92" si="1931">IF(AY92="","",BO$82+(AY92-AY$82)*1000)</f>
        <v>-9.8371650090358642</v>
      </c>
      <c r="BP92" s="43" t="str">
        <f t="shared" ref="BP92" si="1932">IF(AZ92="","",(AZ92-AZ$10)*1000)</f>
        <v/>
      </c>
      <c r="BQ92" s="43" t="str">
        <f t="shared" ref="BQ92" si="1933">IF(BA92="","",(BA92-BA$10)*1000)</f>
        <v/>
      </c>
      <c r="BR92" s="43" t="str">
        <f t="shared" ref="BR92" si="1934">IF(BB92="","",(BB92-BB$10)*1000)</f>
        <v/>
      </c>
      <c r="BS92" s="43">
        <f t="shared" ref="BS92" si="1935">IF(BC92="","",BS$82+(BC92-BC$82)*1000)</f>
        <v>-7.9133970739917459</v>
      </c>
      <c r="BT92" s="43">
        <f t="shared" ref="BT92" si="1936">IF(BD92="","",BT$82+(BD92-BD$82)*1000)</f>
        <v>0.66103315243176697</v>
      </c>
      <c r="BU92" s="43">
        <f t="shared" ref="BU92" si="1937">IF(BE92="","",BU$82+(BE92-BE$82)*1000)</f>
        <v>-22.932866029269583</v>
      </c>
      <c r="BV92" s="43">
        <f t="shared" ref="BV92" si="1938">IF(BF92="","",BV$82+(BF92-BF$82)*1000)</f>
        <v>-8.5730033547974926</v>
      </c>
      <c r="BW92" s="43">
        <f t="shared" ref="BW92" si="1939">IF(BG92="","",BW$82+(BG92-BG$82)*1000)</f>
        <v>4.0747237399949565</v>
      </c>
      <c r="BX92" s="43">
        <f t="shared" ref="BX92" si="1940">IF(BH92="","",BX$82+(BH92-BH$82)*1000)</f>
        <v>-19.376269966466797</v>
      </c>
      <c r="BY92" s="43">
        <f t="shared" ref="BY92" si="1941">IF(BI92="","",BY$82+(BI92-BI$82)*1000)</f>
        <v>-2.3533330645193473</v>
      </c>
      <c r="BZ92" s="43">
        <f t="shared" ref="BZ92" si="1942">IF(BJ92="","",BZ$82+(BJ92-BJ$82)*1000)</f>
        <v>-4.2261850814222512</v>
      </c>
      <c r="CA92" s="43">
        <f t="shared" ref="CA92" si="1943">IF(BK92="","",CA$82+(BK92-BK$82)*1000)</f>
        <v>-2.2444666693779425</v>
      </c>
    </row>
    <row r="93" spans="1:79" ht="29.25" customHeight="1" x14ac:dyDescent="0.2">
      <c r="A93" s="37">
        <v>44351</v>
      </c>
      <c r="B93" s="30">
        <f t="shared" ref="B93" si="1944">IF(A93="","",A93-excav)</f>
        <v>696</v>
      </c>
      <c r="C93" s="38">
        <v>223.9</v>
      </c>
      <c r="D93" s="38">
        <v>53.5</v>
      </c>
      <c r="E93" s="39">
        <v>823220.68900000001</v>
      </c>
      <c r="F93" s="39">
        <v>1091507.8461</v>
      </c>
      <c r="G93" s="39">
        <v>-122.3408</v>
      </c>
      <c r="H93" s="39"/>
      <c r="I93" s="39"/>
      <c r="J93" s="39"/>
      <c r="K93" s="39">
        <v>823222.26340000005</v>
      </c>
      <c r="L93" s="39">
        <v>1091505.2538999999</v>
      </c>
      <c r="M93" s="39">
        <v>-120.413</v>
      </c>
      <c r="N93" s="39">
        <v>823222.7733</v>
      </c>
      <c r="O93" s="39">
        <v>1091504.6910000001</v>
      </c>
      <c r="P93" s="39">
        <v>-121.1018</v>
      </c>
      <c r="Q93" s="39">
        <v>823223.17839999998</v>
      </c>
      <c r="R93" s="39">
        <v>1091503.2002999999</v>
      </c>
      <c r="S93" s="39">
        <v>-122.2316</v>
      </c>
      <c r="T93" s="57">
        <f t="shared" si="1511"/>
        <v>3.5936957356602925</v>
      </c>
      <c r="U93" s="39"/>
      <c r="V93" s="39">
        <f t="shared" si="1613"/>
        <v>1.0253291470081998</v>
      </c>
      <c r="W93" s="57">
        <f t="shared" si="1514"/>
        <v>2.8916783914869257</v>
      </c>
      <c r="X93" s="39"/>
      <c r="Y93" s="57">
        <f t="shared" si="1516"/>
        <v>5.271858746242911</v>
      </c>
      <c r="Z93" s="43">
        <f t="shared" ref="Z93" si="1945">IF(T93="","",(T93-T$10)*1000)</f>
        <v>-5.6420215773331783</v>
      </c>
      <c r="AA93" s="43" t="str">
        <f t="shared" ref="AA93" si="1946">IF(U93="","",(U93-U$10)*1000)</f>
        <v/>
      </c>
      <c r="AB93" s="43">
        <f t="shared" ref="AB93" si="1947">IF(V93="","",(V93-V$10)*1000)</f>
        <v>-0.11463621941643076</v>
      </c>
      <c r="AC93" s="43">
        <f t="shared" ref="AC93" si="1948">IF(W93="","",(W93-W$10)*1000)</f>
        <v>-16.818317849185416</v>
      </c>
      <c r="AD93" s="43" t="str">
        <f t="shared" ref="AD93" si="1949">IF(X93="","",(X93-X$10)*1000)</f>
        <v/>
      </c>
      <c r="AE93" s="43">
        <f t="shared" ref="AE93" si="1950">IF(Y93="","",(Y93-Y$10)*1000)</f>
        <v>-2.8332687945287205</v>
      </c>
      <c r="AF93" s="40"/>
      <c r="AG93" s="43">
        <f t="shared" ref="AG93" si="1951">IF(E93="","",AG$82+(E93-E$82)*1000)</f>
        <v>-7.7000000746920705</v>
      </c>
      <c r="AH93" s="43">
        <f t="shared" ref="AH93" si="1952">IF(F93="","",AH$82+(F93-F$82)*1000)</f>
        <v>-2.6000000070780516</v>
      </c>
      <c r="AI93" s="43">
        <f t="shared" ref="AI93" si="1953">IF(G93="","",AI$82+(G93-G$82)*1000)</f>
        <v>-8.9500000000128921</v>
      </c>
      <c r="AJ93" s="43"/>
      <c r="AK93" s="43"/>
      <c r="AL93" s="43"/>
      <c r="AM93" s="43">
        <f t="shared" ref="AM93" si="1954">IF(K93="","",AM$82+(K93-K$82)*1000)</f>
        <v>-6.5999999642372131</v>
      </c>
      <c r="AN93" s="43">
        <f t="shared" ref="AN93" si="1955">IF(L93="","",AN$82+(L93-L$82)*1000)</f>
        <v>-3.5000001080334187</v>
      </c>
      <c r="AO93" s="43">
        <f t="shared" ref="AO93" si="1956">IF(M93="","",AO$82+(M93-M$82)*1000)</f>
        <v>-21.799999999998931</v>
      </c>
      <c r="AP93" s="43">
        <f t="shared" ref="AP93" si="1957">IF(N93="","",AP$82+(N93-N$82)*1000)</f>
        <v>-6.2000000616535544</v>
      </c>
      <c r="AQ93" s="43">
        <f t="shared" ref="AQ93" si="1958">IF(O93="","",AQ$82+(O93-O$82)*1000)</f>
        <v>-7.1000000461935997</v>
      </c>
      <c r="AR93" s="43">
        <f t="shared" ref="AR93" si="1959">IF(P93="","",AR$82+(P93-P$82)*1000)</f>
        <v>-18.34999999999809</v>
      </c>
      <c r="AS93" s="43">
        <f t="shared" ref="AS93" si="1960">IF(Q93="","",AS$82+(Q93-Q$82)*1000)</f>
        <v>-4.3499999446794391</v>
      </c>
      <c r="AT93" s="43">
        <f t="shared" ref="AT93" si="1961">IF(R93="","",AT$82+(R93-R$82)*1000)</f>
        <v>2.9500001110136509</v>
      </c>
      <c r="AU93" s="43">
        <f t="shared" ref="AU93" si="1962">IF(S93="","",AU$82+(S93-S$82)*1000)</f>
        <v>-1.250000000013074</v>
      </c>
      <c r="AV93" s="40"/>
      <c r="AW93" s="39">
        <v>170.05561958572468</v>
      </c>
      <c r="AX93" s="39">
        <v>-2.6159013055191163</v>
      </c>
      <c r="AY93" s="39">
        <v>1.5015238041427494</v>
      </c>
      <c r="AZ93" s="41"/>
      <c r="BA93" s="42"/>
      <c r="BB93" s="42"/>
      <c r="BC93" s="41">
        <v>170.38688724736519</v>
      </c>
      <c r="BD93" s="42">
        <v>0.39881226907701633</v>
      </c>
      <c r="BE93" s="42">
        <v>3.4260111275263512</v>
      </c>
      <c r="BF93" s="41">
        <v>170.61109474679157</v>
      </c>
      <c r="BG93" s="42">
        <v>1.1244743232768406</v>
      </c>
      <c r="BH93" s="42">
        <v>2.7349690525320796</v>
      </c>
      <c r="BI93" s="41">
        <v>170.34818630435444</v>
      </c>
      <c r="BJ93" s="42">
        <v>2.6467002104127282</v>
      </c>
      <c r="BK93" s="42">
        <v>1.6077981369564469</v>
      </c>
      <c r="BL93" s="40"/>
      <c r="BM93" s="43">
        <f t="shared" ref="BM93" si="1963">IF(AW93="","",BM$82+(AW93-AW$82)*1000)</f>
        <v>-8.0318630249394118</v>
      </c>
      <c r="BN93" s="43">
        <f t="shared" ref="BN93" si="1964">IF(AX93="","",BN$82+(AX93-AX$82)*1000)</f>
        <v>-0.87649106590959036</v>
      </c>
      <c r="BO93" s="43">
        <f t="shared" ref="BO93" si="1965">IF(AY93="","",BO$82+(AY93-AY$82)*1000)</f>
        <v>-8.8366813697478008</v>
      </c>
      <c r="BP93" s="43" t="str">
        <f t="shared" ref="BP93" si="1966">IF(AZ93="","",(AZ93-AZ$10)*1000)</f>
        <v/>
      </c>
      <c r="BQ93" s="43" t="str">
        <f t="shared" ref="BQ93" si="1967">IF(BA93="","",(BA93-BA$10)*1000)</f>
        <v/>
      </c>
      <c r="BR93" s="43" t="str">
        <f t="shared" ref="BR93" si="1968">IF(BB93="","",(BB93-BB$10)*1000)</f>
        <v/>
      </c>
      <c r="BS93" s="43">
        <f t="shared" ref="BS93" si="1969">IF(BC93="","",BS$82+(BC93-BC$82)*1000)</f>
        <v>-7.4301834522714216</v>
      </c>
      <c r="BT93" s="43">
        <f t="shared" ref="BT93" si="1970">IF(BD93="","",BT$82+(BD93-BD$82)*1000)</f>
        <v>0.33468289826155129</v>
      </c>
      <c r="BU93" s="43">
        <f t="shared" ref="BU93" si="1971">IF(BE93="","",BU$82+(BE93-BE$82)*1000)</f>
        <v>-21.73769816548532</v>
      </c>
      <c r="BV93" s="43">
        <f t="shared" ref="BV93" si="1972">IF(BF93="","",BV$82+(BF93-BF$82)*1000)</f>
        <v>-8.5791020560179732</v>
      </c>
      <c r="BW93" s="43">
        <f t="shared" ref="BW93" si="1973">IF(BG93="","",BW$82+(BG93-BG$82)*1000)</f>
        <v>3.8512000376129674</v>
      </c>
      <c r="BX93" s="43">
        <f t="shared" ref="BX93" si="1974">IF(BH93="","",BX$82+(BH93-BH$82)*1000)</f>
        <v>-18.276208979453035</v>
      </c>
      <c r="BY93" s="43">
        <f t="shared" ref="BY93" si="1975">IF(BI93="","",BY$82+(BI93-BI$82)*1000)</f>
        <v>-2.6735847721965911</v>
      </c>
      <c r="BZ93" s="43">
        <f t="shared" ref="BZ93" si="1976">IF(BJ93="","",BZ$82+(BJ93-BJ$82)*1000)</f>
        <v>-4.4858749444416368</v>
      </c>
      <c r="CA93" s="43">
        <f t="shared" ref="CA93" si="1977">IF(BK93="","",CA$82+(BK93-BK$82)*1000)</f>
        <v>-1.2412641522949741</v>
      </c>
    </row>
    <row r="94" spans="1:79" ht="29.25" customHeight="1" x14ac:dyDescent="0.2">
      <c r="A94" s="37">
        <v>44357</v>
      </c>
      <c r="B94" s="30">
        <f t="shared" ref="B94" si="1978">IF(A94="","",A94-excav)</f>
        <v>702</v>
      </c>
      <c r="C94" s="38">
        <v>223.9</v>
      </c>
      <c r="D94" s="38">
        <v>53.5</v>
      </c>
      <c r="E94" s="39">
        <v>823220.68929999997</v>
      </c>
      <c r="F94" s="39">
        <v>1091507.8455999999</v>
      </c>
      <c r="G94" s="39">
        <v>-122.34099999999999</v>
      </c>
      <c r="H94" s="39"/>
      <c r="I94" s="39"/>
      <c r="J94" s="39"/>
      <c r="K94" s="39">
        <v>823222.26329999999</v>
      </c>
      <c r="L94" s="39">
        <v>1091505.2527000001</v>
      </c>
      <c r="M94" s="39">
        <v>-120.4134</v>
      </c>
      <c r="N94" s="39">
        <v>823222.77370000002</v>
      </c>
      <c r="O94" s="39">
        <v>1091504.69</v>
      </c>
      <c r="P94" s="39">
        <v>-121.1022</v>
      </c>
      <c r="Q94" s="39">
        <v>823223.17909999995</v>
      </c>
      <c r="R94" s="39">
        <v>1091503.1995999999</v>
      </c>
      <c r="S94" s="39">
        <v>-122.2317</v>
      </c>
      <c r="T94" s="57">
        <f t="shared" si="1511"/>
        <v>3.5939182195907513</v>
      </c>
      <c r="U94" s="39"/>
      <c r="V94" s="39">
        <f t="shared" si="1613"/>
        <v>1.0254681322062653</v>
      </c>
      <c r="W94" s="57">
        <f t="shared" si="1514"/>
        <v>2.8913879263221385</v>
      </c>
      <c r="X94" s="39"/>
      <c r="Y94" s="57">
        <f t="shared" si="1516"/>
        <v>5.27222595584057</v>
      </c>
      <c r="Z94" s="43">
        <f t="shared" ref="Z94" si="1979">IF(T94="","",(T94-T$10)*1000)</f>
        <v>-5.4195376468744172</v>
      </c>
      <c r="AA94" s="43" t="str">
        <f t="shared" ref="AA94" si="1980">IF(U94="","",(U94-U$10)*1000)</f>
        <v/>
      </c>
      <c r="AB94" s="43">
        <f t="shared" ref="AB94" si="1981">IF(V94="","",(V94-V$10)*1000)</f>
        <v>2.4348978649113562E-2</v>
      </c>
      <c r="AC94" s="43">
        <f t="shared" ref="AC94" si="1982">IF(W94="","",(W94-W$10)*1000)</f>
        <v>-17.108783013972673</v>
      </c>
      <c r="AD94" s="43" t="str">
        <f t="shared" ref="AD94" si="1983">IF(X94="","",(X94-X$10)*1000)</f>
        <v/>
      </c>
      <c r="AE94" s="43">
        <f t="shared" ref="AE94" si="1984">IF(Y94="","",(Y94-Y$10)*1000)</f>
        <v>-2.4660591968697076</v>
      </c>
      <c r="AF94" s="40"/>
      <c r="AG94" s="43">
        <f t="shared" ref="AG94" si="1985">IF(E94="","",AG$82+(E94-E$82)*1000)</f>
        <v>-7.400000118650496</v>
      </c>
      <c r="AH94" s="43">
        <f t="shared" ref="AH94" si="1986">IF(F94="","",AH$82+(F94-F$82)*1000)</f>
        <v>-3.1000000890344381</v>
      </c>
      <c r="AI94" s="43">
        <f t="shared" ref="AI94" si="1987">IF(G94="","",AI$82+(G94-G$82)*1000)</f>
        <v>-9.1500000000053205</v>
      </c>
      <c r="AJ94" s="43"/>
      <c r="AK94" s="43"/>
      <c r="AL94" s="43"/>
      <c r="AM94" s="43">
        <f t="shared" ref="AM94" si="1988">IF(K94="","",AM$82+(K94-K$82)*1000)</f>
        <v>-6.7000000271946192</v>
      </c>
      <c r="AN94" s="43">
        <f t="shared" ref="AN94" si="1989">IF(L94="","",AN$82+(L94-L$82)*1000)</f>
        <v>-4.6999999321997166</v>
      </c>
      <c r="AO94" s="43">
        <f t="shared" ref="AO94" si="1990">IF(M94="","",AO$82+(M94-M$82)*1000)</f>
        <v>-22.199999999997999</v>
      </c>
      <c r="AP94" s="43">
        <f t="shared" ref="AP94" si="1991">IF(N94="","",AP$82+(N94-N$82)*1000)</f>
        <v>-5.8000000426545739</v>
      </c>
      <c r="AQ94" s="43">
        <f t="shared" ref="AQ94" si="1992">IF(O94="","",AQ$82+(O94-O$82)*1000)</f>
        <v>-8.1000002101063728</v>
      </c>
      <c r="AR94" s="43">
        <f t="shared" ref="AR94" si="1993">IF(P94="","",AR$82+(P94-P$82)*1000)</f>
        <v>-18.749999999997158</v>
      </c>
      <c r="AS94" s="43">
        <f t="shared" ref="AS94" si="1994">IF(Q94="","",AS$82+(Q94-Q$82)*1000)</f>
        <v>-3.6499999696388841</v>
      </c>
      <c r="AT94" s="43">
        <f t="shared" ref="AT94" si="1995">IF(R94="","",AT$82+(R94-R$82)*1000)</f>
        <v>2.2500001359730959</v>
      </c>
      <c r="AU94" s="43">
        <f t="shared" ref="AU94" si="1996">IF(S94="","",AU$82+(S94-S$82)*1000)</f>
        <v>-1.3500000000163936</v>
      </c>
      <c r="AV94" s="40"/>
      <c r="AW94" s="39">
        <v>170.05568014725989</v>
      </c>
      <c r="AX94" s="39">
        <v>-2.6153213638358368</v>
      </c>
      <c r="AY94" s="39">
        <v>1.5013231985274018</v>
      </c>
      <c r="AZ94" s="41" t="s">
        <v>61</v>
      </c>
      <c r="BA94" s="42" t="s">
        <v>61</v>
      </c>
      <c r="BB94" s="42" t="s">
        <v>61</v>
      </c>
      <c r="BC94" s="41">
        <v>170.38628943576541</v>
      </c>
      <c r="BD94" s="42">
        <v>0.39985755414903812</v>
      </c>
      <c r="BE94" s="42">
        <v>3.4256171056423455</v>
      </c>
      <c r="BF94" s="41">
        <v>170.61103461154909</v>
      </c>
      <c r="BG94" s="42">
        <v>1.1255496762866271</v>
      </c>
      <c r="BH94" s="42">
        <v>2.7345696538845061</v>
      </c>
      <c r="BI94" s="41">
        <v>170.34852485236974</v>
      </c>
      <c r="BJ94" s="42">
        <v>2.6476304712210279</v>
      </c>
      <c r="BK94" s="42">
        <v>1.607694751476302</v>
      </c>
      <c r="BL94" s="40" t="s">
        <v>61</v>
      </c>
      <c r="BM94" s="43">
        <f t="shared" ref="BM94" si="1997">IF(AW94="","",BM$82+(AW94-AW$82)*1000)</f>
        <v>-7.971301489732241</v>
      </c>
      <c r="BN94" s="43">
        <f t="shared" ref="BN94" si="1998">IF(AX94="","",BN$82+(AX94-AX$82)*1000)</f>
        <v>-0.29654938263012909</v>
      </c>
      <c r="BO94" s="43">
        <f t="shared" ref="BO94" si="1999">IF(AY94="","",BO$82+(AY94-AY$82)*1000)</f>
        <v>-9.0372869850954274</v>
      </c>
      <c r="BP94" s="43"/>
      <c r="BQ94" s="43"/>
      <c r="BR94" s="43"/>
      <c r="BS94" s="43">
        <f t="shared" ref="BS94" si="2000">IF(BC94="","",BS$82+(BC94-BC$82)*1000)</f>
        <v>-8.0279950520605325</v>
      </c>
      <c r="BT94" s="43">
        <f t="shared" ref="BT94" si="2001">IF(BD94="","",BT$82+(BD94-BD$82)*1000)</f>
        <v>1.3799679702833356</v>
      </c>
      <c r="BU94" s="43">
        <f t="shared" ref="BU94" si="2002">IF(BE94="","",BU$82+(BE94-BE$82)*1000)</f>
        <v>-22.131720049491044</v>
      </c>
      <c r="BV94" s="43">
        <f t="shared" ref="BV94" si="2003">IF(BF94="","",BV$82+(BF94-BF$82)*1000)</f>
        <v>-8.6392372984960275</v>
      </c>
      <c r="BW94" s="43">
        <f t="shared" ref="BW94" si="2004">IF(BG94="","",BW$82+(BG94-BG$82)*1000)</f>
        <v>4.9265530473994179</v>
      </c>
      <c r="BX94" s="43">
        <f t="shared" ref="BX94" si="2005">IF(BH94="","",BX$82+(BH94-BH$82)*1000)</f>
        <v>-18.675607627026469</v>
      </c>
      <c r="BY94" s="43">
        <f t="shared" ref="BY94" si="2006">IF(BI94="","",BY$82+(BI94-BI$82)*1000)</f>
        <v>-2.3350367569037189</v>
      </c>
      <c r="BZ94" s="43">
        <f t="shared" ref="BZ94" si="2007">IF(BJ94="","",BZ$82+(BJ94-BJ$82)*1000)</f>
        <v>-3.5556141361419158</v>
      </c>
      <c r="CA94" s="43">
        <f t="shared" ref="CA94" si="2008">IF(BK94="","",CA$82+(BK94-BK$82)*1000)</f>
        <v>-1.3446496324398538</v>
      </c>
    </row>
    <row r="95" spans="1:79" ht="29.25" customHeight="1" x14ac:dyDescent="0.2">
      <c r="A95" s="37">
        <v>44362</v>
      </c>
      <c r="B95" s="30">
        <f t="shared" ref="B95" si="2009">IF(A95="","",A95-excav)</f>
        <v>707</v>
      </c>
      <c r="C95" s="38">
        <v>223.9</v>
      </c>
      <c r="D95" s="38">
        <v>53.5</v>
      </c>
      <c r="E95" s="39">
        <v>823220.68949999998</v>
      </c>
      <c r="F95" s="39">
        <v>1091507.8455999999</v>
      </c>
      <c r="G95" s="39">
        <v>-122.34139999999999</v>
      </c>
      <c r="H95" s="39"/>
      <c r="I95" s="39"/>
      <c r="J95" s="39"/>
      <c r="K95" s="39">
        <v>823222.2635</v>
      </c>
      <c r="L95" s="39">
        <v>1091505.2527999999</v>
      </c>
      <c r="M95" s="39">
        <v>-120.414</v>
      </c>
      <c r="N95" s="39">
        <v>823222.77399999998</v>
      </c>
      <c r="O95" s="39">
        <v>1091504.6901</v>
      </c>
      <c r="P95" s="39">
        <v>-121.1027</v>
      </c>
      <c r="Q95" s="39">
        <v>823223.17909999995</v>
      </c>
      <c r="R95" s="39">
        <v>1091503.1995999999</v>
      </c>
      <c r="S95" s="39">
        <v>-122.2323</v>
      </c>
      <c r="T95" s="57">
        <f t="shared" si="1511"/>
        <v>3.5937388051981833</v>
      </c>
      <c r="U95" s="39"/>
      <c r="V95" s="39">
        <f t="shared" si="1613"/>
        <v>1.0254507447235091</v>
      </c>
      <c r="W95" s="57">
        <f t="shared" si="1514"/>
        <v>2.8913955955155055</v>
      </c>
      <c r="X95" s="39"/>
      <c r="Y95" s="57">
        <f t="shared" si="1516"/>
        <v>5.2721273665752539</v>
      </c>
      <c r="Z95" s="43">
        <f t="shared" ref="Z95" si="2010">IF(T95="","",(T95-T$10)*1000)</f>
        <v>-5.5989520394423842</v>
      </c>
      <c r="AA95" s="43" t="str">
        <f t="shared" ref="AA95" si="2011">IF(U95="","",(U95-U$10)*1000)</f>
        <v/>
      </c>
      <c r="AB95" s="43">
        <f t="shared" ref="AB95" si="2012">IF(V95="","",(V95-V$10)*1000)</f>
        <v>6.9614958928543302E-3</v>
      </c>
      <c r="AC95" s="43">
        <f t="shared" ref="AC95" si="2013">IF(W95="","",(W95-W$10)*1000)</f>
        <v>-17.10111382060564</v>
      </c>
      <c r="AD95" s="43" t="str">
        <f t="shared" ref="AD95" si="2014">IF(X95="","",(X95-X$10)*1000)</f>
        <v/>
      </c>
      <c r="AE95" s="43">
        <f t="shared" ref="AE95" si="2015">IF(Y95="","",(Y95-Y$10)*1000)</f>
        <v>-2.5646484621857368</v>
      </c>
      <c r="AF95" s="40"/>
      <c r="AG95" s="43">
        <f t="shared" ref="AG95" si="2016">IF(E95="","",AG$82+(E95-E$82)*1000)</f>
        <v>-7.2000001091510057</v>
      </c>
      <c r="AH95" s="43">
        <f t="shared" ref="AH95" si="2017">IF(F95="","",AH$82+(F95-F$82)*1000)</f>
        <v>-3.1000000890344381</v>
      </c>
      <c r="AI95" s="43">
        <f t="shared" ref="AI95" si="2018">IF(G95="","",AI$82+(G95-G$82)*1000)</f>
        <v>-9.5500000000043883</v>
      </c>
      <c r="AJ95" s="43"/>
      <c r="AK95" s="43"/>
      <c r="AL95" s="43"/>
      <c r="AM95" s="43">
        <f t="shared" ref="AM95" si="2019">IF(K95="","",AM$82+(K95-K$82)*1000)</f>
        <v>-6.5000000176951289</v>
      </c>
      <c r="AN95" s="43">
        <f t="shared" ref="AN95" si="2020">IF(L95="","",AN$82+(L95-L$82)*1000)</f>
        <v>-4.6000001020729542</v>
      </c>
      <c r="AO95" s="43">
        <f t="shared" ref="AO95" si="2021">IF(M95="","",AO$82+(M95-M$82)*1000)</f>
        <v>-22.800000000003706</v>
      </c>
      <c r="AP95" s="43">
        <f t="shared" ref="AP95" si="2022">IF(N95="","",AP$82+(N95-N$82)*1000)</f>
        <v>-5.5000000866129994</v>
      </c>
      <c r="AQ95" s="43">
        <f t="shared" ref="AQ95" si="2023">IF(O95="","",AQ$82+(O95-O$82)*1000)</f>
        <v>-8.0000001471489668</v>
      </c>
      <c r="AR95" s="43">
        <f t="shared" ref="AR95" si="2024">IF(P95="","",AR$82+(P95-P$82)*1000)</f>
        <v>-19.249999999999545</v>
      </c>
      <c r="AS95" s="43">
        <f t="shared" ref="AS95" si="2025">IF(Q95="","",AS$82+(Q95-Q$82)*1000)</f>
        <v>-3.6499999696388841</v>
      </c>
      <c r="AT95" s="43">
        <f t="shared" ref="AT95" si="2026">IF(R95="","",AT$82+(R95-R$82)*1000)</f>
        <v>2.2500001359730959</v>
      </c>
      <c r="AU95" s="43">
        <f t="shared" ref="AU95" si="2027">IF(S95="","",AU$82+(S95-S$82)*1000)</f>
        <v>-1.9500000000078899</v>
      </c>
      <c r="AV95" s="40"/>
      <c r="AW95" s="39">
        <v>170.05586140567834</v>
      </c>
      <c r="AX95" s="39">
        <v>-2.6152368334297802</v>
      </c>
      <c r="AY95" s="39">
        <v>1.5009213859432151</v>
      </c>
      <c r="AZ95" s="41" t="s">
        <v>61</v>
      </c>
      <c r="BA95" s="42" t="s">
        <v>61</v>
      </c>
      <c r="BB95" s="42" t="s">
        <v>61</v>
      </c>
      <c r="BC95" s="41">
        <v>170.38651295931305</v>
      </c>
      <c r="BD95" s="42">
        <v>0.39985145550410811</v>
      </c>
      <c r="BE95" s="42">
        <v>3.4250148704068692</v>
      </c>
      <c r="BF95" s="41">
        <v>170.61134876435165</v>
      </c>
      <c r="BG95" s="42">
        <v>1.1255858426090899</v>
      </c>
      <c r="BH95" s="42">
        <v>2.7340665123564776</v>
      </c>
      <c r="BI95" s="41">
        <v>170.34852485236974</v>
      </c>
      <c r="BJ95" s="42">
        <v>2.6476304712210279</v>
      </c>
      <c r="BK95" s="42">
        <v>1.6070947514763105</v>
      </c>
      <c r="BL95" s="40" t="s">
        <v>61</v>
      </c>
      <c r="BM95" s="43">
        <f t="shared" ref="BM95" si="2028">IF(AW95="","",BM$82+(AW95-AW$82)*1000)</f>
        <v>-7.790043071281616</v>
      </c>
      <c r="BN95" s="43">
        <f t="shared" ref="BN95" si="2029">IF(AX95="","",BN$82+(AX95-AX$82)*1000)</f>
        <v>-0.21201897657352475</v>
      </c>
      <c r="BO95" s="43">
        <f t="shared" ref="BO95" si="2030">IF(AY95="","",BO$82+(AY95-AY$82)*1000)</f>
        <v>-9.4390995692821278</v>
      </c>
      <c r="BP95" s="43"/>
      <c r="BQ95" s="43"/>
      <c r="BR95" s="43"/>
      <c r="BS95" s="43">
        <f t="shared" ref="BS95" si="2031">IF(BC95="","",BS$82+(BC95-BC$82)*1000)</f>
        <v>-7.8044715044143231</v>
      </c>
      <c r="BT95" s="43">
        <f t="shared" ref="BT95" si="2032">IF(BD95="","",BT$82+(BD95-BD$82)*1000)</f>
        <v>1.3738693253533274</v>
      </c>
      <c r="BU95" s="43">
        <f t="shared" ref="BU95" si="2033">IF(BE95="","",BU$82+(BE95-BE$82)*1000)</f>
        <v>-22.733955284967244</v>
      </c>
      <c r="BV95" s="43">
        <f t="shared" ref="BV95" si="2034">IF(BF95="","",BV$82+(BF95-BF$82)*1000)</f>
        <v>-8.3250844959366077</v>
      </c>
      <c r="BW95" s="43">
        <f t="shared" ref="BW95" si="2035">IF(BG95="","",BW$82+(BG95-BG$82)*1000)</f>
        <v>4.9627193698622563</v>
      </c>
      <c r="BX95" s="43">
        <f t="shared" ref="BX95" si="2036">IF(BH95="","",BX$82+(BH95-BH$82)*1000)</f>
        <v>-19.178749155055019</v>
      </c>
      <c r="BY95" s="43">
        <f t="shared" ref="BY95" si="2037">IF(BI95="","",BY$82+(BI95-BI$82)*1000)</f>
        <v>-2.3350367569037189</v>
      </c>
      <c r="BZ95" s="43">
        <f t="shared" ref="BZ95" si="2038">IF(BJ95="","",BZ$82+(BJ95-BJ$82)*1000)</f>
        <v>-3.5556141361419158</v>
      </c>
      <c r="CA95" s="43">
        <f t="shared" ref="CA95" si="2039">IF(BK95="","",CA$82+(BK95-BK$82)*1000)</f>
        <v>-1.94464963243135</v>
      </c>
    </row>
    <row r="96" spans="1:79" ht="29.25" customHeight="1" x14ac:dyDescent="0.2">
      <c r="A96" s="37">
        <v>44364</v>
      </c>
      <c r="B96" s="30">
        <f t="shared" ref="B96" si="2040">IF(A96="","",A96-excav)</f>
        <v>709</v>
      </c>
      <c r="C96" s="38">
        <v>223.9</v>
      </c>
      <c r="D96" s="38">
        <v>53.5</v>
      </c>
      <c r="E96" s="39">
        <v>823220.68870000006</v>
      </c>
      <c r="F96" s="39">
        <v>1091507.8452000001</v>
      </c>
      <c r="G96" s="39">
        <v>-122.3425</v>
      </c>
      <c r="H96" s="39"/>
      <c r="I96" s="39"/>
      <c r="J96" s="39"/>
      <c r="K96" s="39">
        <v>823222.26280000003</v>
      </c>
      <c r="L96" s="39">
        <v>1091505.2526</v>
      </c>
      <c r="M96" s="39">
        <v>-120.4149</v>
      </c>
      <c r="N96" s="39">
        <v>823222.77350000001</v>
      </c>
      <c r="O96" s="39">
        <v>1091504.6901</v>
      </c>
      <c r="P96" s="39">
        <v>-121.10339999999999</v>
      </c>
      <c r="Q96" s="39">
        <v>823223.17819999997</v>
      </c>
      <c r="R96" s="39">
        <v>1091503.1998999999</v>
      </c>
      <c r="S96" s="39">
        <v>-122.233</v>
      </c>
      <c r="T96" s="57">
        <f t="shared" si="1511"/>
        <v>3.5937455850927158</v>
      </c>
      <c r="U96" s="39"/>
      <c r="V96" s="39">
        <f t="shared" si="1613"/>
        <v>1.0253062908146062</v>
      </c>
      <c r="W96" s="57">
        <f t="shared" si="1514"/>
        <v>2.8908514421133011</v>
      </c>
      <c r="X96" s="39"/>
      <c r="Y96" s="57">
        <f t="shared" si="1516"/>
        <v>5.2714715774130241</v>
      </c>
      <c r="Z96" s="43">
        <f t="shared" ref="Z96" si="2041">IF(T96="","",(T96-T$10)*1000)</f>
        <v>-5.5921721449099238</v>
      </c>
      <c r="AA96" s="43" t="str">
        <f t="shared" ref="AA96" si="2042">IF(U96="","",(U96-U$10)*1000)</f>
        <v/>
      </c>
      <c r="AB96" s="43">
        <f t="shared" ref="AB96" si="2043">IF(V96="","",(V96-V$10)*1000)</f>
        <v>-0.13749241300997639</v>
      </c>
      <c r="AC96" s="43">
        <f t="shared" ref="AC96" si="2044">IF(W96="","",(W96-W$10)*1000)</f>
        <v>-17.645267222810013</v>
      </c>
      <c r="AD96" s="43" t="str">
        <f t="shared" ref="AD96" si="2045">IF(X96="","",(X96-X$10)*1000)</f>
        <v/>
      </c>
      <c r="AE96" s="43">
        <f t="shared" ref="AE96" si="2046">IF(Y96="","",(Y96-Y$10)*1000)</f>
        <v>-3.2204376244155952</v>
      </c>
      <c r="AF96" s="40"/>
      <c r="AG96" s="43">
        <f t="shared" ref="AG96" si="2047">IF(E96="","",AG$82+(E96-E$82)*1000)</f>
        <v>-8.000000030733645</v>
      </c>
      <c r="AH96" s="43">
        <f t="shared" ref="AH96" si="2048">IF(F96="","",AH$82+(F96-F$82)*1000)</f>
        <v>-3.499999875202775</v>
      </c>
      <c r="AI96" s="43">
        <f t="shared" ref="AI96" si="2049">IF(G96="","",AI$82+(G96-G$82)*1000)</f>
        <v>-10.650000000012483</v>
      </c>
      <c r="AJ96" s="43"/>
      <c r="AK96" s="43"/>
      <c r="AL96" s="43"/>
      <c r="AM96" s="43">
        <f t="shared" ref="AM96" si="2050">IF(K96="","",AM$82+(K96-K$82)*1000)</f>
        <v>-7.1999999927356839</v>
      </c>
      <c r="AN96" s="43">
        <f t="shared" ref="AN96" si="2051">IF(L96="","",AN$82+(L96-L$82)*1000)</f>
        <v>-4.7999999951571226</v>
      </c>
      <c r="AO96" s="43">
        <f t="shared" ref="AO96" si="2052">IF(M96="","",AO$82+(M96-M$82)*1000)</f>
        <v>-23.700000000005161</v>
      </c>
      <c r="AP96" s="43">
        <f t="shared" ref="AP96" si="2053">IF(N96="","",AP$82+(N96-N$82)*1000)</f>
        <v>-6.0000000521540642</v>
      </c>
      <c r="AQ96" s="43">
        <f t="shared" ref="AQ96" si="2054">IF(O96="","",AQ$82+(O96-O$82)*1000)</f>
        <v>-8.0000001471489668</v>
      </c>
      <c r="AR96" s="43">
        <f t="shared" ref="AR96" si="2055">IF(P96="","",AR$82+(P96-P$82)*1000)</f>
        <v>-19.949999999994361</v>
      </c>
      <c r="AS96" s="43">
        <f t="shared" ref="AS96" si="2056">IF(Q96="","",AS$82+(Q96-Q$82)*1000)</f>
        <v>-4.5499999541789293</v>
      </c>
      <c r="AT96" s="43">
        <f t="shared" ref="AT96" si="2057">IF(R96="","",AT$82+(R96-R$82)*1000)</f>
        <v>2.5500000920146704</v>
      </c>
      <c r="AU96" s="43">
        <f t="shared" ref="AU96" si="2058">IF(S96="","",AU$82+(S96-S$82)*1000)</f>
        <v>-2.6500000000169166</v>
      </c>
      <c r="AV96" s="40"/>
      <c r="AW96" s="39">
        <v>170.05496731139641</v>
      </c>
      <c r="AX96" s="39">
        <v>-2.6152124383788404</v>
      </c>
      <c r="AY96" s="39">
        <v>1.4998303268860269</v>
      </c>
      <c r="AZ96" s="41"/>
      <c r="BA96" s="42"/>
      <c r="BB96" s="42"/>
      <c r="BC96" s="41">
        <v>170.38579402454445</v>
      </c>
      <c r="BD96" s="42">
        <v>0.39973685742051879</v>
      </c>
      <c r="BE96" s="42">
        <v>3.4241220597545521</v>
      </c>
      <c r="BF96" s="41">
        <v>170.61089561835828</v>
      </c>
      <c r="BG96" s="42">
        <v>1.1253745166186231</v>
      </c>
      <c r="BH96" s="42">
        <v>2.7333710438164189</v>
      </c>
      <c r="BI96" s="41">
        <v>170.34783598512396</v>
      </c>
      <c r="BJ96" s="42">
        <v>2.6469781968435666</v>
      </c>
      <c r="BK96" s="42">
        <v>1.6064016401487464</v>
      </c>
      <c r="BL96" s="40" t="s">
        <v>61</v>
      </c>
      <c r="BM96" s="43">
        <f t="shared" ref="BM96" si="2059">IF(AW96="","",BM$82+(AW96-AW$82)*1000)</f>
        <v>-8.6841373532138277</v>
      </c>
      <c r="BN96" s="43">
        <f t="shared" ref="BN96" si="2060">IF(AX96="","",BN$82+(AX96-AX$82)*1000)</f>
        <v>-0.18762392563376196</v>
      </c>
      <c r="BO96" s="43">
        <f t="shared" ref="BO96" si="2061">IF(AY96="","",BO$82+(AY96-AY$82)*1000)</f>
        <v>-10.530158626470332</v>
      </c>
      <c r="BP96" s="43"/>
      <c r="BQ96" s="43"/>
      <c r="BR96" s="43"/>
      <c r="BS96" s="43">
        <f t="shared" ref="BS96" si="2062">IF(BC96="","",BS$82+(BC96-BC$82)*1000)</f>
        <v>-8.5234062730137339</v>
      </c>
      <c r="BT96" s="43">
        <f t="shared" ref="BT96" si="2063">IF(BD96="","",BT$82+(BD96-BD$82)*1000)</f>
        <v>1.259271241764004</v>
      </c>
      <c r="BU96" s="43">
        <f t="shared" ref="BU96" si="2064">IF(BE96="","",BU$82+(BE96-BE$82)*1000)</f>
        <v>-23.626765937284411</v>
      </c>
      <c r="BV96" s="43">
        <f t="shared" ref="BV96" si="2065">IF(BF96="","",BV$82+(BF96-BF$82)*1000)</f>
        <v>-8.7782304892982665</v>
      </c>
      <c r="BW96" s="43">
        <f t="shared" ref="BW96" si="2066">IF(BG96="","",BW$82+(BG96-BG$82)*1000)</f>
        <v>4.7513933793954521</v>
      </c>
      <c r="BX96" s="43">
        <f t="shared" ref="BX96" si="2067">IF(BH96="","",BX$82+(BH96-BH$82)*1000)</f>
        <v>-19.874217695113661</v>
      </c>
      <c r="BY96" s="43">
        <f t="shared" ref="BY96" si="2068">IF(BI96="","",BY$82+(BI96-BI$82)*1000)</f>
        <v>-3.0239040026742714</v>
      </c>
      <c r="BZ96" s="43">
        <f t="shared" ref="BZ96" si="2069">IF(BJ96="","",BZ$82+(BJ96-BJ$82)*1000)</f>
        <v>-4.2078885136032085</v>
      </c>
      <c r="CA96" s="43">
        <f t="shared" ref="CA96" si="2070">IF(BK96="","",CA$82+(BK96-BK$82)*1000)</f>
        <v>-2.637760959995461</v>
      </c>
    </row>
    <row r="97" spans="1:79" ht="29.25" customHeight="1" x14ac:dyDescent="0.2">
      <c r="A97" s="37">
        <v>44369</v>
      </c>
      <c r="B97" s="30">
        <f t="shared" ref="B97" si="2071">IF(A97="","",A97-excav)</f>
        <v>714</v>
      </c>
      <c r="C97" s="38">
        <v>223.9</v>
      </c>
      <c r="D97" s="38">
        <v>53.5</v>
      </c>
      <c r="E97" s="39">
        <v>823220.68900000001</v>
      </c>
      <c r="F97" s="39">
        <v>1091507.8452999999</v>
      </c>
      <c r="G97" s="39">
        <v>-122.3412</v>
      </c>
      <c r="H97" s="39"/>
      <c r="I97" s="39"/>
      <c r="J97" s="39"/>
      <c r="K97" s="39">
        <v>823222.26320000004</v>
      </c>
      <c r="L97" s="39">
        <v>1091505.2531999999</v>
      </c>
      <c r="M97" s="39">
        <v>-120.41379999999999</v>
      </c>
      <c r="N97" s="39">
        <v>823222.77339999995</v>
      </c>
      <c r="O97" s="39">
        <v>1091504.6904</v>
      </c>
      <c r="P97" s="39">
        <v>-121.1024</v>
      </c>
      <c r="Q97" s="39">
        <v>823223.17859999998</v>
      </c>
      <c r="R97" s="39">
        <v>1091503.2002999999</v>
      </c>
      <c r="S97" s="39">
        <v>-122.2319</v>
      </c>
      <c r="T97" s="57">
        <f t="shared" si="1511"/>
        <v>3.5933214175949604</v>
      </c>
      <c r="U97" s="39"/>
      <c r="V97" s="39">
        <f t="shared" si="1613"/>
        <v>1.0252891493871072</v>
      </c>
      <c r="W97" s="57">
        <f t="shared" si="1514"/>
        <v>2.8909934589911517</v>
      </c>
      <c r="X97" s="39"/>
      <c r="Y97" s="57">
        <f t="shared" si="1516"/>
        <v>5.2712502928652576</v>
      </c>
      <c r="Z97" s="43">
        <f t="shared" ref="Z97" si="2072">IF(T97="","",(T97-T$10)*1000)</f>
        <v>-6.016339642665347</v>
      </c>
      <c r="AA97" s="43" t="str">
        <f t="shared" ref="AA97" si="2073">IF(U97="","",(U97-U$10)*1000)</f>
        <v/>
      </c>
      <c r="AB97" s="43">
        <f t="shared" ref="AB97" si="2074">IF(V97="","",(V97-V$10)*1000)</f>
        <v>-0.15463384050895534</v>
      </c>
      <c r="AC97" s="43">
        <f t="shared" ref="AC97" si="2075">IF(W97="","",(W97-W$10)*1000)</f>
        <v>-17.503250344959476</v>
      </c>
      <c r="AD97" s="43" t="str">
        <f t="shared" ref="AD97" si="2076">IF(X97="","",(X97-X$10)*1000)</f>
        <v/>
      </c>
      <c r="AE97" s="43">
        <f t="shared" ref="AE97:AE98" si="2077">IF(Y97="","",(Y97-Y$10)*1000)</f>
        <v>-3.4417221721820823</v>
      </c>
      <c r="AF97" s="40"/>
      <c r="AG97" s="43">
        <f t="shared" ref="AG97" si="2078">IF(E97="","",AG$82+(E97-E$82)*1000)</f>
        <v>-7.7000000746920705</v>
      </c>
      <c r="AH97" s="43">
        <f t="shared" ref="AH97" si="2079">IF(F97="","",AH$82+(F97-F$82)*1000)</f>
        <v>-3.4000000450760126</v>
      </c>
      <c r="AI97" s="43">
        <f t="shared" ref="AI97" si="2080">IF(G97="","",AI$82+(G97-G$82)*1000)</f>
        <v>-9.3500000000119599</v>
      </c>
      <c r="AJ97" s="43"/>
      <c r="AK97" s="43"/>
      <c r="AL97" s="43"/>
      <c r="AM97" s="43">
        <f t="shared" ref="AM97" si="2081">IF(K97="","",AM$82+(K97-K$82)*1000)</f>
        <v>-6.7999999737367034</v>
      </c>
      <c r="AN97" s="43">
        <f t="shared" ref="AN97" si="2082">IF(L97="","",AN$82+(L97-L$82)*1000)</f>
        <v>-4.2000000830739737</v>
      </c>
      <c r="AO97" s="43">
        <f t="shared" ref="AO97" si="2083">IF(M97="","",AO$82+(M97-M$82)*1000)</f>
        <v>-22.599999999997067</v>
      </c>
      <c r="AP97" s="43">
        <f t="shared" ref="AP97" si="2084">IF(N97="","",AP$82+(N97-N$82)*1000)</f>
        <v>-6.1000001151114702</v>
      </c>
      <c r="AQ97" s="43">
        <f t="shared" ref="AQ97" si="2085">IF(O97="","",AQ$82+(O97-O$82)*1000)</f>
        <v>-7.7000001911073923</v>
      </c>
      <c r="AR97" s="43">
        <f t="shared" ref="AR97" si="2086">IF(P97="","",AR$82+(P97-P$82)*1000)</f>
        <v>-18.950000000003797</v>
      </c>
      <c r="AS97" s="43">
        <f t="shared" ref="AS97" si="2087">IF(Q97="","",AS$82+(Q97-Q$82)*1000)</f>
        <v>-4.1499999351799488</v>
      </c>
      <c r="AT97" s="43">
        <f t="shared" ref="AT97" si="2088">IF(R97="","",AT$82+(R97-R$82)*1000)</f>
        <v>2.9500001110136509</v>
      </c>
      <c r="AU97" s="43">
        <f t="shared" ref="AU97" si="2089">IF(S97="","",AU$82+(S97-S$82)*1000)</f>
        <v>-1.5500000000088221</v>
      </c>
      <c r="AV97" s="40"/>
      <c r="AW97" s="39">
        <v>170.05528146410055</v>
      </c>
      <c r="AX97" s="39">
        <v>-2.6151762718453742</v>
      </c>
      <c r="AY97" s="39">
        <v>1.501127185358996</v>
      </c>
      <c r="AZ97" s="41"/>
      <c r="BA97" s="42"/>
      <c r="BB97" s="42"/>
      <c r="BC97" s="41">
        <v>170.38641013255022</v>
      </c>
      <c r="BD97" s="42">
        <v>0.39936214308277568</v>
      </c>
      <c r="BE97" s="42">
        <v>3.4252158986744945</v>
      </c>
      <c r="BF97" s="41">
        <v>170.61093178468073</v>
      </c>
      <c r="BG97" s="42">
        <v>1.1250603638160974</v>
      </c>
      <c r="BH97" s="42">
        <v>2.7343706821531839</v>
      </c>
      <c r="BI97" s="41">
        <v>170.34836756277289</v>
      </c>
      <c r="BJ97" s="42">
        <v>2.6467847408187333</v>
      </c>
      <c r="BK97" s="42">
        <v>1.6074963243722777</v>
      </c>
      <c r="BL97" s="40"/>
      <c r="BM97" s="43">
        <f t="shared" ref="BM97" si="2090">IF(AW97="","",BM$82+(AW97-AW$82)*1000)</f>
        <v>-8.3699846490787877</v>
      </c>
      <c r="BN97" s="43">
        <f t="shared" ref="BN97" si="2091">IF(AX97="","",BN$82+(AX97-AX$82)*1000)</f>
        <v>-0.15145739216748666</v>
      </c>
      <c r="BO97" s="43">
        <f t="shared" ref="BO97" si="2092">IF(AY97="","",BO$82+(AY97-AY$82)*1000)</f>
        <v>-9.2333001535012116</v>
      </c>
      <c r="BP97" s="43"/>
      <c r="BQ97" s="43"/>
      <c r="BR97" s="43"/>
      <c r="BS97" s="43">
        <f t="shared" ref="BS97" si="2093">IF(BC97="","",BS$82+(BC97-BC$82)*1000)</f>
        <v>-7.9072982672414582</v>
      </c>
      <c r="BT97" s="43">
        <f t="shared" ref="BT97" si="2094">IF(BD97="","",BT$82+(BD97-BD$82)*1000)</f>
        <v>0.88455690402089449</v>
      </c>
      <c r="BU97" s="43">
        <f t="shared" ref="BU97" si="2095">IF(BE97="","",BU$82+(BE97-BE$82)*1000)</f>
        <v>-22.532927017341997</v>
      </c>
      <c r="BV97" s="43">
        <f t="shared" ref="BV97" si="2096">IF(BF97="","",BV$82+(BF97-BF$82)*1000)</f>
        <v>-8.7420641668529697</v>
      </c>
      <c r="BW97" s="43">
        <f t="shared" ref="BW97" si="2097">IF(BG97="","",BW$82+(BG97-BG$82)*1000)</f>
        <v>4.4372405768697831</v>
      </c>
      <c r="BX97" s="43">
        <f t="shared" ref="BX97" si="2098">IF(BH97="","",BX$82+(BH97-BH$82)*1000)</f>
        <v>-18.874579358348686</v>
      </c>
      <c r="BY97" s="43">
        <f t="shared" ref="BY97" si="2099">IF(BI97="","",BY$82+(BI97-BI$82)*1000)</f>
        <v>-2.4923263537459661</v>
      </c>
      <c r="BZ97" s="43">
        <f t="shared" ref="BZ97" si="2100">IF(BJ97="","",BZ$82+(BJ97-BJ$82)*1000)</f>
        <v>-4.4013445384365468</v>
      </c>
      <c r="CA97" s="43">
        <f t="shared" ref="CA97" si="2101">IF(BK97="","",CA$82+(BK97-BK$82)*1000)</f>
        <v>-1.543076736464144</v>
      </c>
    </row>
    <row r="98" spans="1:79" ht="29.25" customHeight="1" x14ac:dyDescent="0.2">
      <c r="A98" s="37">
        <v>44376</v>
      </c>
      <c r="B98" s="30">
        <f t="shared" ref="B98" si="2102">IF(A98="","",A98-excav)</f>
        <v>721</v>
      </c>
      <c r="C98" s="38">
        <v>223.9</v>
      </c>
      <c r="D98" s="38">
        <v>53.5</v>
      </c>
      <c r="E98" s="39">
        <v>823220.6888</v>
      </c>
      <c r="F98" s="39">
        <v>1091507.8451</v>
      </c>
      <c r="G98" s="39">
        <v>-122.3415</v>
      </c>
      <c r="H98" s="39"/>
      <c r="I98" s="39"/>
      <c r="J98" s="39"/>
      <c r="K98" s="39">
        <v>823222.26320000004</v>
      </c>
      <c r="L98" s="39">
        <v>1091505.2531000001</v>
      </c>
      <c r="M98" s="39">
        <v>-120.41419999999999</v>
      </c>
      <c r="N98" s="39">
        <v>823222.77359999996</v>
      </c>
      <c r="O98" s="39">
        <v>1091504.6906000001</v>
      </c>
      <c r="P98" s="39">
        <v>-121.1028</v>
      </c>
      <c r="Q98" s="39">
        <v>823223.17890000006</v>
      </c>
      <c r="R98" s="39">
        <v>1091503.2002999999</v>
      </c>
      <c r="S98" s="39">
        <v>-122.23220000000001</v>
      </c>
      <c r="T98" s="57">
        <f t="shared" si="1511"/>
        <v>3.5932832688016947</v>
      </c>
      <c r="U98" s="39"/>
      <c r="V98" s="39">
        <f t="shared" si="1613"/>
        <v>1.025224058394103</v>
      </c>
      <c r="W98" s="57">
        <f t="shared" si="1514"/>
        <v>2.8909545708571343</v>
      </c>
      <c r="X98" s="39"/>
      <c r="Y98" s="57">
        <f t="shared" si="1516"/>
        <v>5.271310230050342</v>
      </c>
      <c r="Z98" s="43">
        <f t="shared" ref="Z98" si="2103">IF(T98="","",(T98-T$10)*1000)</f>
        <v>-6.054488435931038</v>
      </c>
      <c r="AA98" s="43" t="str">
        <f t="shared" ref="AA98" si="2104">IF(U98="","",(U98-U$10)*1000)</f>
        <v/>
      </c>
      <c r="AB98" s="43">
        <f t="shared" ref="AB98" si="2105">IF(V98="","",(V98-V$10)*1000)</f>
        <v>-0.21972483351317962</v>
      </c>
      <c r="AC98" s="43">
        <f t="shared" ref="AC98" si="2106">IF(W98="","",(W98-W$10)*1000)</f>
        <v>-17.542138478976899</v>
      </c>
      <c r="AD98" s="43"/>
      <c r="AE98" s="43">
        <f t="shared" si="2077"/>
        <v>-3.3817849870976247</v>
      </c>
      <c r="AF98" s="40"/>
      <c r="AG98" s="43">
        <f t="shared" ref="AG98" si="2107">IF(E98="","",AG$82+(E98-E$82)*1000)</f>
        <v>-7.9000000841915607</v>
      </c>
      <c r="AH98" s="43">
        <f t="shared" ref="AH98" si="2108">IF(F98="","",AH$82+(F98-F$82)*1000)</f>
        <v>-3.599999938160181</v>
      </c>
      <c r="AI98" s="43">
        <f t="shared" ref="AI98" si="2109">IF(G98="","",AI$82+(G98-G$82)*1000)</f>
        <v>-9.650000000007708</v>
      </c>
      <c r="AJ98" s="43"/>
      <c r="AK98" s="43"/>
      <c r="AL98" s="43"/>
      <c r="AM98" s="43">
        <f t="shared" ref="AM98" si="2110">IF(K98="","",AM$82+(K98-K$82)*1000)</f>
        <v>-6.7999999737367034</v>
      </c>
      <c r="AN98" s="43">
        <f t="shared" ref="AN98" si="2111">IF(L98="","",AN$82+(L98-L$82)*1000)</f>
        <v>-4.299999913200736</v>
      </c>
      <c r="AO98" s="43">
        <f t="shared" ref="AO98" si="2112">IF(M98="","",AO$82+(M98-M$82)*1000)</f>
        <v>-22.999999999996135</v>
      </c>
      <c r="AP98" s="43">
        <f t="shared" ref="AP98" si="2113">IF(N98="","",AP$82+(N98-N$82)*1000)</f>
        <v>-5.90000010561198</v>
      </c>
      <c r="AQ98" s="43">
        <f t="shared" ref="AQ98" si="2114">IF(O98="","",AQ$82+(O98-O$82)*1000)</f>
        <v>-7.5000000651925802</v>
      </c>
      <c r="AR98" s="43">
        <f t="shared" ref="AR98" si="2115">IF(P98="","",AR$82+(P98-P$82)*1000)</f>
        <v>-19.350000000002865</v>
      </c>
      <c r="AS98" s="43">
        <f t="shared" ref="AS98" si="2116">IF(Q98="","",AS$82+(Q98-Q$82)*1000)</f>
        <v>-3.8499998627230525</v>
      </c>
      <c r="AT98" s="43">
        <f t="shared" ref="AT98" si="2117">IF(R98="","",AT$82+(R98-R$82)*1000)</f>
        <v>2.9500001110136509</v>
      </c>
      <c r="AU98" s="43">
        <f t="shared" ref="AU98" si="2118">IF(S98="","",AU$82+(S98-S$82)*1000)</f>
        <v>-1.8500000000187811</v>
      </c>
      <c r="AV98" s="40"/>
      <c r="AW98" s="39">
        <v>170.05501567532528</v>
      </c>
      <c r="AX98" s="39">
        <v>-2.6150795439384589</v>
      </c>
      <c r="AY98" s="39">
        <v>1.5008298432467484</v>
      </c>
      <c r="AZ98" s="41"/>
      <c r="BA98" s="42"/>
      <c r="BB98" s="42"/>
      <c r="BC98" s="41">
        <v>170.386367867421</v>
      </c>
      <c r="BD98" s="42">
        <v>0.39945277213372993</v>
      </c>
      <c r="BE98" s="42">
        <v>3.4248163213257925</v>
      </c>
      <c r="BF98" s="41">
        <v>170.61119757355442</v>
      </c>
      <c r="BG98" s="42">
        <v>1.1249636356981854</v>
      </c>
      <c r="BH98" s="42">
        <v>2.7339680242644562</v>
      </c>
      <c r="BI98" s="41">
        <v>170.34863945045331</v>
      </c>
      <c r="BJ98" s="42">
        <v>2.646911536452389</v>
      </c>
      <c r="BK98" s="42">
        <v>1.6071936054954534</v>
      </c>
      <c r="BL98" s="40"/>
      <c r="BM98" s="43">
        <f t="shared" ref="BM98" si="2119">IF(AW98="","",BM$82+(AW98-AW$82)*1000)</f>
        <v>-8.6357734243449613</v>
      </c>
      <c r="BN98" s="43">
        <f t="shared" ref="BN98" si="2120">IF(AX98="","",BN$82+(AX98-AX$82)*1000)</f>
        <v>-5.4729485252202892E-2</v>
      </c>
      <c r="BO98" s="43">
        <f t="shared" ref="BO98" si="2121">IF(AY98="","",BO$82+(AY98-AY$82)*1000)</f>
        <v>-9.5306422657488454</v>
      </c>
      <c r="BP98" s="43"/>
      <c r="BQ98" s="43"/>
      <c r="BR98" s="43"/>
      <c r="BS98" s="43">
        <f t="shared" ref="BS98" si="2122">IF(BC98="","",BS$82+(BC98-BC$82)*1000)</f>
        <v>-7.9495633964654644</v>
      </c>
      <c r="BT98" s="43">
        <f t="shared" ref="BT98" si="2123">IF(BD98="","",BT$82+(BD98-BD$82)*1000)</f>
        <v>0.97518595497514404</v>
      </c>
      <c r="BU98" s="43">
        <f t="shared" ref="BU98" si="2124">IF(BE98="","",BU$82+(BE98-BE$82)*1000)</f>
        <v>-22.932504366043993</v>
      </c>
      <c r="BV98" s="43">
        <f t="shared" ref="BV98" si="2125">IF(BF98="","",BV$82+(BF98-BF$82)*1000)</f>
        <v>-8.4762752931624163</v>
      </c>
      <c r="BW98" s="43">
        <f t="shared" ref="BW98" si="2126">IF(BG98="","",BW$82+(BG98-BG$82)*1000)</f>
        <v>4.3405124589577238</v>
      </c>
      <c r="BX98" s="43">
        <f t="shared" ref="BX98" si="2127">IF(BH98="","",BX$82+(BH98-BH$82)*1000)</f>
        <v>-19.277237247076418</v>
      </c>
      <c r="BY98" s="43">
        <f t="shared" ref="BY98" si="2128">IF(BI98="","",BY$82+(BI98-BI$82)*1000)</f>
        <v>-2.2204386733335468</v>
      </c>
      <c r="BZ98" s="43">
        <f t="shared" ref="BZ98" si="2129">IF(BJ98="","",BZ$82+(BJ98-BJ$82)*1000)</f>
        <v>-4.2745489047808505</v>
      </c>
      <c r="CA98" s="43">
        <f t="shared" ref="CA98" si="2130">IF(BK98="","",CA$82+(BK98-BK$82)*1000)</f>
        <v>-1.845795613288459</v>
      </c>
    </row>
    <row r="99" spans="1:79" ht="29.25" customHeight="1" x14ac:dyDescent="0.2">
      <c r="A99" s="37">
        <v>44378</v>
      </c>
      <c r="B99" s="30">
        <f t="shared" ref="B99" si="2131">IF(A99="","",A99-excav)</f>
        <v>723</v>
      </c>
      <c r="C99" s="38">
        <v>223.9</v>
      </c>
      <c r="D99" s="38">
        <v>53.5</v>
      </c>
      <c r="E99" s="39">
        <v>823220.68909999996</v>
      </c>
      <c r="F99" s="39">
        <v>1091507.8452000001</v>
      </c>
      <c r="G99" s="39">
        <v>-122.3415</v>
      </c>
      <c r="H99" s="39"/>
      <c r="I99" s="39"/>
      <c r="J99" s="39"/>
      <c r="K99" s="39">
        <v>823222.26329999999</v>
      </c>
      <c r="L99" s="39">
        <v>1091505.2526</v>
      </c>
      <c r="M99" s="39">
        <v>-120.414</v>
      </c>
      <c r="N99" s="39">
        <v>823222.77410000004</v>
      </c>
      <c r="O99" s="39">
        <v>1091504.6901</v>
      </c>
      <c r="P99" s="39">
        <v>-121.1027</v>
      </c>
      <c r="Q99" s="39">
        <v>823223.17859999998</v>
      </c>
      <c r="R99" s="39">
        <v>1091503.1998999999</v>
      </c>
      <c r="S99" s="39">
        <v>-122.2323</v>
      </c>
      <c r="T99" s="57">
        <f t="shared" si="1511"/>
        <v>3.593735751355625</v>
      </c>
      <c r="U99" s="39"/>
      <c r="V99" s="39">
        <f t="shared" si="1613"/>
        <v>1.0254904095350328</v>
      </c>
      <c r="W99" s="57">
        <f t="shared" si="1514"/>
        <v>2.8909455668459754</v>
      </c>
      <c r="X99" s="39"/>
      <c r="Y99" s="57">
        <f t="shared" si="1516"/>
        <v>5.2714653543443672</v>
      </c>
      <c r="Z99" s="43">
        <f t="shared" ref="Z99" si="2132">IF(T99="","",(T99-T$10)*1000)</f>
        <v>-5.6020058820007712</v>
      </c>
      <c r="AA99" s="43" t="str">
        <f t="shared" ref="AA99" si="2133">IF(U99="","",(U99-U$10)*1000)</f>
        <v/>
      </c>
      <c r="AB99" s="43">
        <f t="shared" ref="AB99" si="2134">IF(V99="","",(V99-V$10)*1000)</f>
        <v>4.6626307416586243E-2</v>
      </c>
      <c r="AC99" s="43">
        <f t="shared" ref="AC99" si="2135">IF(W99="","",(W99-W$10)*1000)</f>
        <v>-17.551142490135785</v>
      </c>
      <c r="AD99" s="43"/>
      <c r="AE99" s="43">
        <f t="shared" ref="AE99" si="2136">IF(Y99="","",(Y99-Y$10)*1000)</f>
        <v>-3.2266606930724251</v>
      </c>
      <c r="AF99" s="40"/>
      <c r="AG99" s="43">
        <f t="shared" ref="AG99" si="2137">IF(E99="","",AG$82+(E99-E$82)*1000)</f>
        <v>-7.6000001281499863</v>
      </c>
      <c r="AH99" s="43">
        <f t="shared" ref="AH99" si="2138">IF(F99="","",AH$82+(F99-F$82)*1000)</f>
        <v>-3.499999875202775</v>
      </c>
      <c r="AI99" s="43">
        <f t="shared" ref="AI99" si="2139">IF(G99="","",AI$82+(G99-G$82)*1000)</f>
        <v>-9.650000000007708</v>
      </c>
      <c r="AJ99" s="43"/>
      <c r="AK99" s="43"/>
      <c r="AL99" s="43"/>
      <c r="AM99" s="43">
        <f t="shared" ref="AM99" si="2140">IF(K99="","",AM$82+(K99-K$82)*1000)</f>
        <v>-6.7000000271946192</v>
      </c>
      <c r="AN99" s="43">
        <f t="shared" ref="AN99" si="2141">IF(L99="","",AN$82+(L99-L$82)*1000)</f>
        <v>-4.7999999951571226</v>
      </c>
      <c r="AO99" s="43">
        <f t="shared" ref="AO99" si="2142">IF(M99="","",AO$82+(M99-M$82)*1000)</f>
        <v>-22.800000000003706</v>
      </c>
      <c r="AP99" s="43">
        <f t="shared" ref="AP99" si="2143">IF(N99="","",AP$82+(N99-N$82)*1000)</f>
        <v>-5.4000000236555934</v>
      </c>
      <c r="AQ99" s="43">
        <f t="shared" ref="AQ99" si="2144">IF(O99="","",AQ$82+(O99-O$82)*1000)</f>
        <v>-8.0000001471489668</v>
      </c>
      <c r="AR99" s="43">
        <f t="shared" ref="AR99" si="2145">IF(P99="","",AR$82+(P99-P$82)*1000)</f>
        <v>-19.249999999999545</v>
      </c>
      <c r="AS99" s="43">
        <f t="shared" ref="AS99" si="2146">IF(Q99="","",AS$82+(Q99-Q$82)*1000)</f>
        <v>-4.1499999351799488</v>
      </c>
      <c r="AT99" s="43">
        <f t="shared" ref="AT99" si="2147">IF(R99="","",AT$82+(R99-R$82)*1000)</f>
        <v>2.5500000920146704</v>
      </c>
      <c r="AU99" s="43">
        <f t="shared" ref="AU99" si="2148">IF(S99="","",AU$82+(S99-S$82)*1000)</f>
        <v>-1.9500000000078899</v>
      </c>
      <c r="AV99" s="40"/>
      <c r="AW99" s="39">
        <v>170.05532982812778</v>
      </c>
      <c r="AX99" s="39">
        <v>-2.6150433776159696</v>
      </c>
      <c r="AY99" s="39">
        <v>1.5008267017187222</v>
      </c>
      <c r="AZ99" s="41"/>
      <c r="BA99" s="42"/>
      <c r="BB99" s="42"/>
      <c r="BC99" s="41">
        <v>170.38624717053781</v>
      </c>
      <c r="BD99" s="42">
        <v>0.39994818341098576</v>
      </c>
      <c r="BE99" s="42">
        <v>3.4250175282946174</v>
      </c>
      <c r="BF99" s="41">
        <v>170.61143939361361</v>
      </c>
      <c r="BG99" s="42">
        <v>1.125628107836691</v>
      </c>
      <c r="BH99" s="42">
        <v>2.7340656060638651</v>
      </c>
      <c r="BI99" s="41">
        <v>170.34819850196081</v>
      </c>
      <c r="BJ99" s="42">
        <v>2.6471472576556487</v>
      </c>
      <c r="BK99" s="42">
        <v>1.6070980149803944</v>
      </c>
      <c r="BL99" s="40"/>
      <c r="BM99" s="43">
        <f t="shared" ref="BM99" si="2149">IF(AW99="","",BM$82+(AW99-AW$82)*1000)</f>
        <v>-8.3216206218423849</v>
      </c>
      <c r="BN99" s="43">
        <f t="shared" ref="BN99" si="2150">IF(AX99="","",BN$82+(AX99-AX$82)*1000)</f>
        <v>-1.8563162762941232E-2</v>
      </c>
      <c r="BO99" s="43">
        <f t="shared" ref="BO99" si="2151">IF(AY99="","",BO$82+(AY99-AY$82)*1000)</f>
        <v>-9.5337837937750081</v>
      </c>
      <c r="BP99" s="43"/>
      <c r="BQ99" s="43"/>
      <c r="BR99" s="43"/>
      <c r="BS99" s="43">
        <f t="shared" ref="BS99" si="2152">IF(BC99="","",BS$82+(BC99-BC$82)*1000)</f>
        <v>-8.070260279652075</v>
      </c>
      <c r="BT99" s="43">
        <f t="shared" ref="BT99" si="2153">IF(BD99="","",BT$82+(BD99-BD$82)*1000)</f>
        <v>1.4705972322309746</v>
      </c>
      <c r="BU99" s="43">
        <f t="shared" ref="BU99" si="2154">IF(BE99="","",BU$82+(BE99-BE$82)*1000)</f>
        <v>-22.73129739721913</v>
      </c>
      <c r="BV99" s="43">
        <f t="shared" ref="BV99" si="2155">IF(BF99="","",BV$82+(BF99-BF$82)*1000)</f>
        <v>-8.2344552339748134</v>
      </c>
      <c r="BW99" s="43">
        <f t="shared" ref="BW99" si="2156">IF(BG99="","",BW$82+(BG99-BG$82)*1000)</f>
        <v>5.0049845974633467</v>
      </c>
      <c r="BX99" s="43">
        <f t="shared" ref="BX99" si="2157">IF(BH99="","",BX$82+(BH99-BH$82)*1000)</f>
        <v>-19.179655447667532</v>
      </c>
      <c r="BY99" s="43">
        <f t="shared" ref="BY99" si="2158">IF(BI99="","",BY$82+(BI99-BI$82)*1000)</f>
        <v>-2.6613871658298649</v>
      </c>
      <c r="BZ99" s="43">
        <f t="shared" ref="BZ99" si="2159">IF(BJ99="","",BZ$82+(BJ99-BJ$82)*1000)</f>
        <v>-4.0388277015210861</v>
      </c>
      <c r="CA99" s="43">
        <f t="shared" ref="CA99" si="2160">IF(BK99="","",CA$82+(BK99-BK$82)*1000)</f>
        <v>-1.9413861283474887</v>
      </c>
    </row>
    <row r="100" spans="1:79" ht="29.25" customHeight="1" x14ac:dyDescent="0.2">
      <c r="A100" s="37">
        <v>44392</v>
      </c>
      <c r="B100" s="30">
        <f t="shared" ref="B100" si="2161">IF(A100="","",A100-excav)</f>
        <v>737</v>
      </c>
      <c r="C100" s="38">
        <v>223.9</v>
      </c>
      <c r="D100" s="38">
        <v>53.5</v>
      </c>
      <c r="E100" s="39">
        <v>823220.68889999995</v>
      </c>
      <c r="F100" s="39">
        <v>1091507.8451</v>
      </c>
      <c r="G100" s="39">
        <v>-122.3416</v>
      </c>
      <c r="H100" s="39"/>
      <c r="I100" s="39"/>
      <c r="J100" s="39"/>
      <c r="K100" s="39">
        <v>823222.26309999998</v>
      </c>
      <c r="L100" s="39">
        <v>1091505.2531999999</v>
      </c>
      <c r="M100" s="39">
        <v>-120.4147</v>
      </c>
      <c r="N100" s="39">
        <v>823222.77410000004</v>
      </c>
      <c r="O100" s="39">
        <v>1091504.6909</v>
      </c>
      <c r="P100" s="39">
        <v>-121.10299999999999</v>
      </c>
      <c r="Q100" s="39">
        <v>823223.17920000001</v>
      </c>
      <c r="R100" s="39">
        <v>1091503.2006999999</v>
      </c>
      <c r="S100" s="39">
        <v>-122.23220000000001</v>
      </c>
      <c r="T100" s="57">
        <f t="shared" si="1511"/>
        <v>3.5929089691642444</v>
      </c>
      <c r="U100" s="39"/>
      <c r="V100" s="39">
        <f t="shared" si="1613"/>
        <v>1.0252117732041777</v>
      </c>
      <c r="W100" s="57">
        <f t="shared" si="1514"/>
        <v>2.8905538759931697</v>
      </c>
      <c r="X100" s="39"/>
      <c r="Y100" s="57">
        <f t="shared" si="1516"/>
        <v>5.2710543358330266</v>
      </c>
      <c r="Z100" s="43">
        <f t="shared" ref="Z100" si="2162">IF(T100="","",(T100-T$10)*1000)</f>
        <v>-6.4287880733813196</v>
      </c>
      <c r="AA100" s="43" t="str">
        <f t="shared" ref="AA100" si="2163">IF(U100="","",(U100-U$10)*1000)</f>
        <v/>
      </c>
      <c r="AB100" s="43">
        <f t="shared" ref="AB100" si="2164">IF(V100="","",(V100-V$10)*1000)</f>
        <v>-0.23201002343853361</v>
      </c>
      <c r="AC100" s="43">
        <f t="shared" ref="AC100" si="2165">IF(W100="","",(W100-W$10)*1000)</f>
        <v>-17.942833342941444</v>
      </c>
      <c r="AD100" s="43"/>
      <c r="AE100" s="43">
        <f t="shared" ref="AE100" si="2166">IF(Y100="","",(Y100-Y$10)*1000)</f>
        <v>-3.6376792044130468</v>
      </c>
      <c r="AF100" s="40"/>
      <c r="AG100" s="43">
        <f t="shared" ref="AG100" si="2167">IF(E100="","",AG$82+(E100-E$82)*1000)</f>
        <v>-7.8000001376494765</v>
      </c>
      <c r="AH100" s="43">
        <f t="shared" ref="AH100" si="2168">IF(F100="","",AH$82+(F100-F$82)*1000)</f>
        <v>-3.599999938160181</v>
      </c>
      <c r="AI100" s="43">
        <f t="shared" ref="AI100" si="2169">IF(G100="","",AI$82+(G100-G$82)*1000)</f>
        <v>-9.7500000000110276</v>
      </c>
      <c r="AJ100" s="43"/>
      <c r="AK100" s="43"/>
      <c r="AL100" s="43"/>
      <c r="AM100" s="43">
        <f t="shared" ref="AM100" si="2170">IF(K100="","",AM$82+(K100-K$82)*1000)</f>
        <v>-6.9000000366941094</v>
      </c>
      <c r="AN100" s="43">
        <f t="shared" ref="AN100" si="2171">IF(L100="","",AN$82+(L100-L$82)*1000)</f>
        <v>-4.2000000830739737</v>
      </c>
      <c r="AO100" s="43">
        <f t="shared" ref="AO100" si="2172">IF(M100="","",AO$82+(M100-M$82)*1000)</f>
        <v>-23.499999999998522</v>
      </c>
      <c r="AP100" s="43">
        <f t="shared" ref="AP100" si="2173">IF(N100="","",AP$82+(N100-N$82)*1000)</f>
        <v>-5.4000000236555934</v>
      </c>
      <c r="AQ100" s="43">
        <f t="shared" ref="AQ100" si="2174">IF(O100="","",AQ$82+(O100-O$82)*1000)</f>
        <v>-7.2000001091510057</v>
      </c>
      <c r="AR100" s="43">
        <f t="shared" ref="AR100" si="2175">IF(P100="","",AR$82+(P100-P$82)*1000)</f>
        <v>-19.549999999995293</v>
      </c>
      <c r="AS100" s="43">
        <f t="shared" ref="AS100" si="2176">IF(Q100="","",AS$82+(Q100-Q$82)*1000)</f>
        <v>-3.549999906681478</v>
      </c>
      <c r="AT100" s="43">
        <f t="shared" ref="AT100" si="2177">IF(R100="","",AT$82+(R100-R$82)*1000)</f>
        <v>3.3500001300126314</v>
      </c>
      <c r="AU100" s="43">
        <f t="shared" ref="AU100" si="2178">IF(S100="","",AU$82+(S100-S$82)*1000)</f>
        <v>-1.8500000000187811</v>
      </c>
      <c r="AV100" s="40"/>
      <c r="AW100" s="39">
        <v>170.05510630448171</v>
      </c>
      <c r="AX100" s="39">
        <v>-2.6150372787600418</v>
      </c>
      <c r="AY100" s="39">
        <v>1.5007289369551842</v>
      </c>
      <c r="AZ100" s="41"/>
      <c r="BA100" s="42"/>
      <c r="BB100" s="42"/>
      <c r="BC100" s="41">
        <v>170.38631950328826</v>
      </c>
      <c r="BD100" s="42">
        <v>0.39931987785515821</v>
      </c>
      <c r="BE100" s="42">
        <v>3.4243168049671198</v>
      </c>
      <c r="BF100" s="41">
        <v>170.61177751523775</v>
      </c>
      <c r="BG100" s="42">
        <v>1.1249030741629471</v>
      </c>
      <c r="BH100" s="42">
        <v>2.7337622248476237</v>
      </c>
      <c r="BI100" s="41">
        <v>170.3490803988403</v>
      </c>
      <c r="BJ100" s="42">
        <v>2.6466758151999836</v>
      </c>
      <c r="BK100" s="42">
        <v>1.6071891960115892</v>
      </c>
      <c r="BL100" s="40"/>
      <c r="BM100" s="43">
        <f t="shared" ref="BM100" si="2179">IF(AW100="","",BM$82+(AW100-AW$82)*1000)</f>
        <v>-8.5451442679129741</v>
      </c>
      <c r="BN100" s="43">
        <f t="shared" ref="BN100" si="2180">IF(AX100="","",BN$82+(AX100-AX$82)*1000)</f>
        <v>-1.246430683510269E-2</v>
      </c>
      <c r="BO100" s="43">
        <f t="shared" ref="BO100" si="2181">IF(AY100="","",BO$82+(AY100-AY$82)*1000)</f>
        <v>-9.6315485573130744</v>
      </c>
      <c r="BP100" s="43"/>
      <c r="BQ100" s="43"/>
      <c r="BR100" s="43"/>
      <c r="BS100" s="43">
        <f t="shared" ref="BS100" si="2182">IF(BC100="","",BS$82+(BC100-BC$82)*1000)</f>
        <v>-7.9979275292032526</v>
      </c>
      <c r="BT100" s="43">
        <f t="shared" ref="BT100" si="2183">IF(BD100="","",BT$82+(BD100-BD$82)*1000)</f>
        <v>0.84229167640342828</v>
      </c>
      <c r="BU100" s="43">
        <f t="shared" ref="BU100" si="2184">IF(BE100="","",BU$82+(BE100-BE$82)*1000)</f>
        <v>-23.432020724716729</v>
      </c>
      <c r="BV100" s="43">
        <f t="shared" ref="BV100" si="2185">IF(BF100="","",BV$82+(BF100-BF$82)*1000)</f>
        <v>-7.8963336098354375</v>
      </c>
      <c r="BW100" s="43">
        <f t="shared" ref="BW100" si="2186">IF(BG100="","",BW$82+(BG100-BG$82)*1000)</f>
        <v>4.2799509237194666</v>
      </c>
      <c r="BX100" s="43">
        <f t="shared" ref="BX100" si="2187">IF(BH100="","",BX$82+(BH100-BH$82)*1000)</f>
        <v>-19.483036663908937</v>
      </c>
      <c r="BY100" s="43">
        <f t="shared" ref="BY100" si="2188">IF(BI100="","",BY$82+(BI100-BI$82)*1000)</f>
        <v>-1.7794902863386142</v>
      </c>
      <c r="BZ100" s="43">
        <f t="shared" ref="BZ100" si="2189">IF(BJ100="","",BZ$82+(BJ100-BJ$82)*1000)</f>
        <v>-4.5102701571861914</v>
      </c>
      <c r="CA100" s="43">
        <f t="shared" ref="CA100" si="2190">IF(BK100="","",CA$82+(BK100-BK$82)*1000)</f>
        <v>-1.850205097152724</v>
      </c>
    </row>
    <row r="101" spans="1:79" ht="29.25" customHeight="1" x14ac:dyDescent="0.2">
      <c r="A101" s="37">
        <v>44400</v>
      </c>
      <c r="B101" s="30">
        <f t="shared" ref="B101" si="2191">IF(A101="","",A101-excav)</f>
        <v>745</v>
      </c>
      <c r="C101" s="38">
        <v>223.9</v>
      </c>
      <c r="D101" s="38">
        <v>53.5</v>
      </c>
      <c r="E101" s="39">
        <v>823220.68850000005</v>
      </c>
      <c r="F101" s="39">
        <v>1091507.8444000001</v>
      </c>
      <c r="G101" s="39">
        <v>-122.3416</v>
      </c>
      <c r="H101" s="39"/>
      <c r="I101" s="39"/>
      <c r="J101" s="39"/>
      <c r="K101" s="39">
        <v>823222.26289999997</v>
      </c>
      <c r="L101" s="39">
        <v>1091505.2524000001</v>
      </c>
      <c r="M101" s="39">
        <v>-120.41459999999999</v>
      </c>
      <c r="N101" s="39">
        <v>823222.77300000004</v>
      </c>
      <c r="O101" s="39">
        <v>1091504.6898000001</v>
      </c>
      <c r="P101" s="39">
        <v>-121.1032</v>
      </c>
      <c r="Q101" s="39">
        <v>823223.17850000004</v>
      </c>
      <c r="R101" s="39">
        <v>1091503.1998999999</v>
      </c>
      <c r="S101" s="39">
        <v>-122.23220000000001</v>
      </c>
      <c r="T101" s="57">
        <f t="shared" si="1511"/>
        <v>3.5931223691218253</v>
      </c>
      <c r="U101" s="39"/>
      <c r="V101" s="39">
        <f t="shared" si="1613"/>
        <v>1.0251296162654659</v>
      </c>
      <c r="W101" s="57">
        <f t="shared" si="1514"/>
        <v>2.8904583323476554</v>
      </c>
      <c r="X101" s="39"/>
      <c r="Y101" s="57">
        <f t="shared" si="1516"/>
        <v>5.2710007220193118</v>
      </c>
      <c r="Z101" s="43">
        <f t="shared" ref="Z101" si="2192">IF(T101="","",(T101-T$10)*1000)</f>
        <v>-6.2153881158004687</v>
      </c>
      <c r="AA101" s="43" t="str">
        <f t="shared" ref="AA101" si="2193">IF(U101="","",(U101-U$10)*1000)</f>
        <v/>
      </c>
      <c r="AB101" s="43">
        <f t="shared" ref="AB101" si="2194">IF(V101="","",(V101-V$10)*1000)</f>
        <v>-0.31416696215025297</v>
      </c>
      <c r="AC101" s="43">
        <f t="shared" ref="AC101" si="2195">IF(W101="","",(W101-W$10)*1000)</f>
        <v>-18.038376988455784</v>
      </c>
      <c r="AD101" s="43"/>
      <c r="AE101" s="43">
        <f t="shared" ref="AE101:AE104" si="2196">IF(Y101="","",(Y101-Y$10)*1000)</f>
        <v>-3.6912930181278725</v>
      </c>
      <c r="AF101" s="40"/>
      <c r="AG101" s="43">
        <f t="shared" ref="AG101" si="2197">IF(E101="","",AG$82+(E101-E$82)*1000)</f>
        <v>-8.2000000402331352</v>
      </c>
      <c r="AH101" s="43">
        <f t="shared" ref="AH101" si="2198">IF(F101="","",AH$82+(F101-F$82)*1000)</f>
        <v>-4.299999913200736</v>
      </c>
      <c r="AI101" s="43">
        <f t="shared" ref="AI101" si="2199">IF(G101="","",AI$82+(G101-G$82)*1000)</f>
        <v>-9.7500000000110276</v>
      </c>
      <c r="AJ101" s="43"/>
      <c r="AK101" s="43"/>
      <c r="AL101" s="43"/>
      <c r="AM101" s="43">
        <f t="shared" ref="AM101" si="2200">IF(K101="","",AM$82+(K101-K$82)*1000)</f>
        <v>-7.1000000461935997</v>
      </c>
      <c r="AN101" s="43">
        <f t="shared" ref="AN101" si="2201">IF(L101="","",AN$82+(L101-L$82)*1000)</f>
        <v>-4.999999888241291</v>
      </c>
      <c r="AO101" s="43">
        <f t="shared" ref="AO101" si="2202">IF(M101="","",AO$82+(M101-M$82)*1000)</f>
        <v>-23.399999999995202</v>
      </c>
      <c r="AP101" s="43">
        <f t="shared" ref="AP101" si="2203">IF(N101="","",AP$82+(N101-N$82)*1000)</f>
        <v>-6.5000000176951289</v>
      </c>
      <c r="AQ101" s="43">
        <f t="shared" ref="AQ101" si="2204">IF(O101="","",AQ$82+(O101-O$82)*1000)</f>
        <v>-8.3000001031905413</v>
      </c>
      <c r="AR101" s="43">
        <f t="shared" ref="AR101" si="2205">IF(P101="","",AR$82+(P101-P$82)*1000)</f>
        <v>-19.750000000001933</v>
      </c>
      <c r="AS101" s="43">
        <f t="shared" ref="AS101" si="2206">IF(Q101="","",AS$82+(Q101-Q$82)*1000)</f>
        <v>-4.249999881722033</v>
      </c>
      <c r="AT101" s="43">
        <f t="shared" ref="AT101" si="2207">IF(R101="","",AT$82+(R101-R$82)*1000)</f>
        <v>2.5500000920146704</v>
      </c>
      <c r="AU101" s="43">
        <f t="shared" ref="AU101" si="2208">IF(S101="","",AU$82+(S101-S$82)*1000)</f>
        <v>-1.8500000000187811</v>
      </c>
      <c r="AV101" s="40"/>
      <c r="AW101" s="39">
        <v>170.05444793135385</v>
      </c>
      <c r="AX101" s="39">
        <v>-2.6145719351111114</v>
      </c>
      <c r="AY101" s="39">
        <v>1.5007355206864617</v>
      </c>
      <c r="AZ101" s="41" t="s">
        <v>61</v>
      </c>
      <c r="BA101" s="42" t="s">
        <v>61</v>
      </c>
      <c r="BB101" s="42" t="s">
        <v>61</v>
      </c>
      <c r="BC101" s="41">
        <v>170.3858001233441</v>
      </c>
      <c r="BD101" s="42">
        <v>0.39996038091188485</v>
      </c>
      <c r="BE101" s="42">
        <v>3.4244219987665616</v>
      </c>
      <c r="BF101" s="41">
        <v>170.61031567678046</v>
      </c>
      <c r="BG101" s="42">
        <v>1.1254350782030507</v>
      </c>
      <c r="BH101" s="42">
        <v>2.7335768432321856</v>
      </c>
      <c r="BI101" s="41">
        <v>170.34810787280438</v>
      </c>
      <c r="BJ101" s="42">
        <v>2.6471049924772299</v>
      </c>
      <c r="BK101" s="42">
        <v>1.6071989212719444</v>
      </c>
      <c r="BL101" s="40"/>
      <c r="BM101" s="43">
        <f t="shared" ref="BM101" si="2209">IF(AW101="","",BM$82+(AW101-AW$82)*1000)</f>
        <v>-9.2035173957754068</v>
      </c>
      <c r="BN101" s="43">
        <f t="shared" ref="BN101" si="2210">IF(AX101="","",BN$82+(AX101-AX$82)*1000)</f>
        <v>0.45287934209525815</v>
      </c>
      <c r="BO101" s="43">
        <f t="shared" ref="BO101" si="2211">IF(AY101="","",BO$82+(AY101-AY$82)*1000)</f>
        <v>-9.6249648260355869</v>
      </c>
      <c r="BP101" s="43"/>
      <c r="BQ101" s="43"/>
      <c r="BR101" s="43"/>
      <c r="BS101" s="43">
        <f t="shared" ref="BS101" si="2212">IF(BC101="","",BS$82+(BC101-BC$82)*1000)</f>
        <v>-8.5173074733688736</v>
      </c>
      <c r="BT101" s="43">
        <f t="shared" ref="BT101" si="2213">IF(BD101="","",BT$82+(BD101-BD$82)*1000)</f>
        <v>1.4827947331300662</v>
      </c>
      <c r="BU101" s="43">
        <f t="shared" ref="BU101" si="2214">IF(BE101="","",BU$82+(BE101-BE$82)*1000)</f>
        <v>-23.326826925274879</v>
      </c>
      <c r="BV101" s="43">
        <f t="shared" ref="BV101" si="2215">IF(BF101="","",BV$82+(BF101-BF$82)*1000)</f>
        <v>-9.35817206712386</v>
      </c>
      <c r="BW101" s="43">
        <f t="shared" ref="BW101" si="2216">IF(BG101="","",BW$82+(BG101-BG$82)*1000)</f>
        <v>4.8119549638230286</v>
      </c>
      <c r="BX101" s="43">
        <f t="shared" ref="BX101" si="2217">IF(BH101="","",BX$82+(BH101-BH$82)*1000)</f>
        <v>-19.668418279346955</v>
      </c>
      <c r="BY101" s="43">
        <f t="shared" ref="BY101" si="2218">IF(BI101="","",BY$82+(BI101-BI$82)*1000)</f>
        <v>-2.7520163222618521</v>
      </c>
      <c r="BZ101" s="43">
        <f t="shared" ref="BZ101" si="2219">IF(BJ101="","",BZ$82+(BJ101-BJ$82)*1000)</f>
        <v>-4.0810928799399626</v>
      </c>
      <c r="CA101" s="43">
        <f t="shared" ref="CA101" si="2220">IF(BK101="","",CA$82+(BK101-BK$82)*1000)</f>
        <v>-1.8404798367974706</v>
      </c>
    </row>
    <row r="102" spans="1:79" ht="29.25" customHeight="1" x14ac:dyDescent="0.2">
      <c r="A102" s="37">
        <v>44410</v>
      </c>
      <c r="B102" s="30">
        <f t="shared" ref="B102" si="2221">IF(A102="","",A102-excav)</f>
        <v>755</v>
      </c>
      <c r="C102" s="38">
        <v>223.9</v>
      </c>
      <c r="D102" s="38">
        <v>53.5</v>
      </c>
      <c r="E102" s="39"/>
      <c r="F102" s="39"/>
      <c r="G102" s="39"/>
      <c r="H102" s="39"/>
      <c r="I102" s="39"/>
      <c r="J102" s="39"/>
      <c r="K102" s="39">
        <v>823222.26340000005</v>
      </c>
      <c r="L102" s="39">
        <v>1091505.2531000001</v>
      </c>
      <c r="M102" s="39">
        <v>-120.4147</v>
      </c>
      <c r="N102" s="39">
        <v>823222.77419999999</v>
      </c>
      <c r="O102" s="39">
        <v>1091504.6902999999</v>
      </c>
      <c r="P102" s="39">
        <v>-121.1032</v>
      </c>
      <c r="Q102" s="39">
        <v>823223.17909999995</v>
      </c>
      <c r="R102" s="39">
        <v>1091503.1998999999</v>
      </c>
      <c r="S102" s="39">
        <v>-122.23220000000001</v>
      </c>
      <c r="T102" s="57">
        <f t="shared" si="1511"/>
        <v>1367142.5042774489</v>
      </c>
      <c r="U102" s="39"/>
      <c r="V102" s="39">
        <f t="shared" si="1613"/>
        <v>1.0255207117079617</v>
      </c>
      <c r="W102" s="57">
        <f t="shared" si="1514"/>
        <v>2.8909242433216238</v>
      </c>
      <c r="X102" s="39"/>
      <c r="Y102" s="57"/>
      <c r="Z102" s="43"/>
      <c r="AA102" s="43" t="str">
        <f t="shared" ref="AA102" si="2222">IF(U102="","",(U102-U$10)*1000)</f>
        <v/>
      </c>
      <c r="AB102" s="43">
        <f t="shared" ref="AB102" si="2223">IF(V102="","",(V102-V$10)*1000)</f>
        <v>7.6928480345461736E-2</v>
      </c>
      <c r="AC102" s="43">
        <f t="shared" ref="AC102" si="2224">IF(W102="","",(W102-W$10)*1000)</f>
        <v>-17.572466014487365</v>
      </c>
      <c r="AD102" s="43"/>
      <c r="AE102" s="43" t="str">
        <f t="shared" si="2196"/>
        <v/>
      </c>
      <c r="AF102" s="40"/>
      <c r="AG102" s="43"/>
      <c r="AH102" s="43"/>
      <c r="AI102" s="43"/>
      <c r="AJ102" s="43"/>
      <c r="AK102" s="43"/>
      <c r="AL102" s="43"/>
      <c r="AM102" s="43">
        <f t="shared" ref="AM102" si="2225">IF(K102="","",AM$82+(K102-K$82)*1000)</f>
        <v>-6.5999999642372131</v>
      </c>
      <c r="AN102" s="43">
        <f t="shared" ref="AN102" si="2226">IF(L102="","",AN$82+(L102-L$82)*1000)</f>
        <v>-4.299999913200736</v>
      </c>
      <c r="AO102" s="43">
        <f t="shared" ref="AO102" si="2227">IF(M102="","",AO$82+(M102-M$82)*1000)</f>
        <v>-23.499999999998522</v>
      </c>
      <c r="AP102" s="43">
        <f t="shared" ref="AP102" si="2228">IF(N102="","",AP$82+(N102-N$82)*1000)</f>
        <v>-5.3000000771135092</v>
      </c>
      <c r="AQ102" s="43">
        <f t="shared" ref="AQ102" si="2229">IF(O102="","",AQ$82+(O102-O$82)*1000)</f>
        <v>-7.8000002540647984</v>
      </c>
      <c r="AR102" s="43">
        <f t="shared" ref="AR102" si="2230">IF(P102="","",AR$82+(P102-P$82)*1000)</f>
        <v>-19.750000000001933</v>
      </c>
      <c r="AS102" s="43">
        <f t="shared" ref="AS102" si="2231">IF(Q102="","",AS$82+(Q102-Q$82)*1000)</f>
        <v>-3.6499999696388841</v>
      </c>
      <c r="AT102" s="43">
        <f t="shared" ref="AT102" si="2232">IF(R102="","",AT$82+(R102-R$82)*1000)</f>
        <v>2.5500000920146704</v>
      </c>
      <c r="AU102" s="43">
        <f t="shared" ref="AU102" si="2233">IF(S102="","",AU$82+(S102-S$82)*1000)</f>
        <v>-1.8500000000187811</v>
      </c>
      <c r="AV102" s="40"/>
      <c r="AW102" s="39"/>
      <c r="AX102" s="39"/>
      <c r="AY102" s="39"/>
      <c r="AZ102" s="41"/>
      <c r="BA102" s="42"/>
      <c r="BB102" s="42"/>
      <c r="BC102" s="41">
        <v>170.38654912583945</v>
      </c>
      <c r="BD102" s="42">
        <v>0.39953730253977621</v>
      </c>
      <c r="BE102" s="42">
        <v>3.4243145087416025</v>
      </c>
      <c r="BF102" s="41">
        <v>170.61161455312688</v>
      </c>
      <c r="BG102" s="42">
        <v>1.1254891147021837</v>
      </c>
      <c r="BH102" s="42">
        <v>2.7335638544687271</v>
      </c>
      <c r="BI102" s="41">
        <v>170.34865164795417</v>
      </c>
      <c r="BJ102" s="42">
        <v>2.6473585836461222</v>
      </c>
      <c r="BK102" s="42">
        <v>1.6071934835204473</v>
      </c>
      <c r="BL102" s="40"/>
      <c r="BM102" s="43"/>
      <c r="BN102" s="43"/>
      <c r="BO102" s="43"/>
      <c r="BP102" s="43"/>
      <c r="BQ102" s="43"/>
      <c r="BR102" s="43"/>
      <c r="BS102" s="43">
        <f t="shared" ref="BS102" si="2234">IF(BC102="","",BS$82+(BC102-BC$82)*1000)</f>
        <v>-7.7683049780148394</v>
      </c>
      <c r="BT102" s="43">
        <f t="shared" ref="BT102" si="2235">IF(BD102="","",BT$82+(BD102-BD$82)*1000)</f>
        <v>1.0597163610214233</v>
      </c>
      <c r="BU102" s="43">
        <f t="shared" ref="BU102" si="2236">IF(BE102="","",BU$82+(BE102-BE$82)*1000)</f>
        <v>-23.434316950234013</v>
      </c>
      <c r="BV102" s="43">
        <f t="shared" ref="BV102" si="2237">IF(BF102="","",BV$82+(BF102-BF$82)*1000)</f>
        <v>-8.0592957206988558</v>
      </c>
      <c r="BW102" s="43">
        <f t="shared" ref="BW102" si="2238">IF(BG102="","",BW$82+(BG102-BG$82)*1000)</f>
        <v>4.8659914629560763</v>
      </c>
      <c r="BX102" s="43">
        <f t="shared" ref="BX102" si="2239">IF(BH102="","",BX$82+(BH102-BH$82)*1000)</f>
        <v>-19.681407042805521</v>
      </c>
      <c r="BY102" s="43">
        <f t="shared" ref="BY102" si="2240">IF(BI102="","",BY$82+(BI102-BI$82)*1000)</f>
        <v>-2.2082411724682061</v>
      </c>
      <c r="BZ102" s="43">
        <f t="shared" ref="BZ102" si="2241">IF(BJ102="","",BZ$82+(BJ102-BJ$82)*1000)</f>
        <v>-3.8275017110476206</v>
      </c>
      <c r="CA102" s="43">
        <f t="shared" ref="CA102" si="2242">IF(BK102="","",CA$82+(BK102-BK$82)*1000)</f>
        <v>-1.8459175882945544</v>
      </c>
    </row>
    <row r="103" spans="1:79" ht="29.25" customHeight="1" x14ac:dyDescent="0.2">
      <c r="A103" s="37">
        <v>44453</v>
      </c>
      <c r="B103" s="30">
        <f t="shared" ref="B103" si="2243">IF(A103="","",A103-excav)</f>
        <v>798</v>
      </c>
      <c r="C103" s="38">
        <v>223.9</v>
      </c>
      <c r="D103" s="38">
        <v>53.5</v>
      </c>
      <c r="E103" s="39">
        <v>823220.68850000005</v>
      </c>
      <c r="F103" s="39">
        <v>1091507.844</v>
      </c>
      <c r="G103" s="39">
        <v>-122.34180000000001</v>
      </c>
      <c r="H103" s="39"/>
      <c r="I103" s="39"/>
      <c r="J103" s="39"/>
      <c r="K103" s="39">
        <v>823222.26240000001</v>
      </c>
      <c r="L103" s="39">
        <v>1091505.2522</v>
      </c>
      <c r="M103" s="39">
        <v>-120.4156</v>
      </c>
      <c r="N103" s="39">
        <v>823222.77370000002</v>
      </c>
      <c r="O103" s="39">
        <v>1091504.6894</v>
      </c>
      <c r="P103" s="39">
        <v>-121.1039</v>
      </c>
      <c r="Q103" s="39">
        <v>823223.17810000002</v>
      </c>
      <c r="R103" s="39">
        <v>1091503.1995000001</v>
      </c>
      <c r="S103" s="39">
        <v>-122.2324</v>
      </c>
      <c r="T103" s="57">
        <f t="shared" si="1511"/>
        <v>3.5923300085246095</v>
      </c>
      <c r="U103" s="39"/>
      <c r="V103" s="39">
        <f t="shared" si="1613"/>
        <v>1.025635617538539</v>
      </c>
      <c r="W103" s="57">
        <f t="shared" si="1514"/>
        <v>2.8901290662434698</v>
      </c>
      <c r="X103" s="39"/>
      <c r="Y103" s="57">
        <f t="shared" si="1516"/>
        <v>5.270811775170003</v>
      </c>
      <c r="Z103" s="43">
        <f t="shared" ref="Z103:Z104" si="2244">IF(T103="","",(T103-T$10)*1000)</f>
        <v>-7.0077487130162375</v>
      </c>
      <c r="AA103" s="43" t="str">
        <f t="shared" ref="AA103" si="2245">IF(U103="","",(U103-U$10)*1000)</f>
        <v/>
      </c>
      <c r="AB103" s="43">
        <f t="shared" ref="AB103" si="2246">IF(V103="","",(V103-V$10)*1000)</f>
        <v>0.19183431092284486</v>
      </c>
      <c r="AC103" s="43">
        <f t="shared" ref="AC103" si="2247">IF(W103="","",(W103-W$10)*1000)</f>
        <v>-18.367643092641384</v>
      </c>
      <c r="AD103" s="43"/>
      <c r="AE103" s="43">
        <f t="shared" si="2196"/>
        <v>-3.8802398674366856</v>
      </c>
      <c r="AF103" s="40"/>
      <c r="AG103" s="43">
        <f t="shared" ref="AG103" si="2248">IF(E103="","",AG$82+(E103-E$82)*1000)</f>
        <v>-8.2000000402331352</v>
      </c>
      <c r="AH103" s="43">
        <f t="shared" ref="AH103" si="2249">IF(F103="","",AH$82+(F103-F$82)*1000)</f>
        <v>-4.6999999321997166</v>
      </c>
      <c r="AI103" s="43">
        <f t="shared" ref="AI103" si="2250">IF(G103="","",AI$82+(G103-G$82)*1000)</f>
        <v>-9.9500000000176669</v>
      </c>
      <c r="AJ103" s="43"/>
      <c r="AK103" s="43"/>
      <c r="AL103" s="43"/>
      <c r="AM103" s="43">
        <f t="shared" ref="AM103" si="2251">IF(K103="","",AM$82+(K103-K$82)*1000)</f>
        <v>-7.6000000117346644</v>
      </c>
      <c r="AN103" s="43">
        <f t="shared" ref="AN103" si="2252">IF(L103="","",AN$82+(L103-L$82)*1000)</f>
        <v>-5.2000000141561031</v>
      </c>
      <c r="AO103" s="43">
        <f t="shared" ref="AO103" si="2253">IF(M103="","",AO$82+(M103-M$82)*1000)</f>
        <v>-24.399999999999977</v>
      </c>
      <c r="AP103" s="43">
        <f t="shared" ref="AP103" si="2254">IF(N103="","",AP$82+(N103-N$82)*1000)</f>
        <v>-5.8000000426545739</v>
      </c>
      <c r="AQ103" s="43">
        <f t="shared" ref="AQ103" si="2255">IF(O103="","",AQ$82+(O103-O$82)*1000)</f>
        <v>-8.7000001221895218</v>
      </c>
      <c r="AR103" s="43">
        <f t="shared" ref="AR103" si="2256">IF(P103="","",AR$82+(P103-P$82)*1000)</f>
        <v>-20.449999999996749</v>
      </c>
      <c r="AS103" s="43">
        <f t="shared" ref="AS103" si="2257">IF(Q103="","",AS$82+(Q103-Q$82)*1000)</f>
        <v>-4.6499999007210135</v>
      </c>
      <c r="AT103" s="43">
        <f t="shared" ref="AT103" si="2258">IF(R103="","",AT$82+(R103-R$82)*1000)</f>
        <v>2.1500003058463335</v>
      </c>
      <c r="AU103" s="43">
        <f t="shared" ref="AU103" si="2259">IF(S103="","",AU$82+(S103-S$82)*1000)</f>
        <v>-2.0500000000112095</v>
      </c>
      <c r="AV103" s="40"/>
      <c r="AW103" s="39">
        <v>170.05427887054179</v>
      </c>
      <c r="AX103" s="39">
        <v>-2.6142094182742306</v>
      </c>
      <c r="AY103" s="39">
        <v>1.5005372112945707</v>
      </c>
      <c r="AZ103" s="41" t="s">
        <v>61</v>
      </c>
      <c r="BA103" s="42" t="s">
        <v>61</v>
      </c>
      <c r="BB103" s="42" t="s">
        <v>61</v>
      </c>
      <c r="BC103" s="41">
        <v>170.38526244689552</v>
      </c>
      <c r="BD103" s="42">
        <v>0.39993031344531532</v>
      </c>
      <c r="BE103" s="42">
        <v>3.4234273755310483</v>
      </c>
      <c r="BF103" s="41">
        <v>170.61078102038019</v>
      </c>
      <c r="BG103" s="42">
        <v>1.1260934514364151</v>
      </c>
      <c r="BH103" s="42">
        <v>2.7328721897961969</v>
      </c>
      <c r="BI103" s="41">
        <v>170.34757629525382</v>
      </c>
      <c r="BJ103" s="42">
        <v>2.6472984482910169</v>
      </c>
      <c r="BK103" s="42">
        <v>1.6070042370474624</v>
      </c>
      <c r="BL103" s="40"/>
      <c r="BM103" s="43">
        <f t="shared" ref="BM103" si="2260">IF(AW103="","",BM$82+(AW103-AW$82)*1000)</f>
        <v>-9.3725782078308839</v>
      </c>
      <c r="BN103" s="43">
        <f t="shared" ref="BN103" si="2261">IF(AX103="","",BN$82+(AX103-AX$82)*1000)</f>
        <v>0.81539617897607997</v>
      </c>
      <c r="BO103" s="43">
        <f t="shared" ref="BO103" si="2262">IF(AY103="","",BO$82+(AY103-AY$82)*1000)</f>
        <v>-9.8232742179265031</v>
      </c>
      <c r="BP103" s="43"/>
      <c r="BQ103" s="43"/>
      <c r="BR103" s="43"/>
      <c r="BS103" s="43">
        <f t="shared" ref="BS103" si="2263">IF(BC103="","",BS$82+(BC103-BC$82)*1000)</f>
        <v>-9.0549839219420392</v>
      </c>
      <c r="BT103" s="43">
        <f t="shared" ref="BT103" si="2264">IF(BD103="","",BT$82+(BD103-BD$82)*1000)</f>
        <v>1.4527272665605384</v>
      </c>
      <c r="BU103" s="43">
        <f t="shared" ref="BU103" si="2265">IF(BE103="","",BU$82+(BE103-BE$82)*1000)</f>
        <v>-24.321450160788238</v>
      </c>
      <c r="BV103" s="43">
        <f t="shared" ref="BV103" si="2266">IF(BF103="","",BV$82+(BF103-BF$82)*1000)</f>
        <v>-8.8928284673954749</v>
      </c>
      <c r="BW103" s="43">
        <f t="shared" ref="BW103" si="2267">IF(BG103="","",BW$82+(BG103-BG$82)*1000)</f>
        <v>5.4703281971875128</v>
      </c>
      <c r="BX103" s="43">
        <f t="shared" ref="BX103" si="2268">IF(BH103="","",BX$82+(BH103-BH$82)*1000)</f>
        <v>-20.373071715335644</v>
      </c>
      <c r="BY103" s="43">
        <f t="shared" ref="BY103" si="2269">IF(BI103="","",BY$82+(BI103-BI$82)*1000)</f>
        <v>-3.2835938728226211</v>
      </c>
      <c r="BZ103" s="43">
        <f t="shared" ref="BZ103" si="2270">IF(BJ103="","",BZ$82+(BJ103-BJ$82)*1000)</f>
        <v>-3.8876370661529158</v>
      </c>
      <c r="CA103" s="43">
        <f t="shared" ref="CA103" si="2271">IF(BK103="","",CA$82+(BK103-BK$82)*1000)</f>
        <v>-2.0351640612794597</v>
      </c>
    </row>
    <row r="104" spans="1:79" ht="29.25" customHeight="1" x14ac:dyDescent="0.2">
      <c r="A104" s="37">
        <v>44470</v>
      </c>
      <c r="B104" s="30">
        <f t="shared" ref="B104" si="2272">IF(A104="","",A104-excav)</f>
        <v>815</v>
      </c>
      <c r="C104" s="38">
        <v>223.9</v>
      </c>
      <c r="D104" s="38">
        <v>53.5</v>
      </c>
      <c r="E104" s="39">
        <v>823220.68819999998</v>
      </c>
      <c r="F104" s="39">
        <v>1091507.8437000001</v>
      </c>
      <c r="G104" s="39">
        <v>-122.3421</v>
      </c>
      <c r="H104" s="39"/>
      <c r="I104" s="39"/>
      <c r="J104" s="39"/>
      <c r="K104" s="39">
        <v>823222.26309999998</v>
      </c>
      <c r="L104" s="39">
        <v>1091505.2520999999</v>
      </c>
      <c r="M104" s="39">
        <v>-120.4156</v>
      </c>
      <c r="N104" s="39">
        <v>823222.77399999998</v>
      </c>
      <c r="O104" s="39">
        <v>1091504.6893</v>
      </c>
      <c r="P104" s="39">
        <v>-121.1039</v>
      </c>
      <c r="Q104" s="39">
        <v>823223.17819999997</v>
      </c>
      <c r="R104" s="39">
        <v>1091503.1995000001</v>
      </c>
      <c r="S104" s="39">
        <v>-122.2323</v>
      </c>
      <c r="T104" s="57">
        <f t="shared" si="1511"/>
        <v>3.5927848280755805</v>
      </c>
      <c r="U104" s="39"/>
      <c r="V104" s="39">
        <f t="shared" si="1613"/>
        <v>1.0254362681045748</v>
      </c>
      <c r="W104" s="57">
        <f t="shared" si="1514"/>
        <v>2.8898051247851879</v>
      </c>
      <c r="X104" s="39"/>
      <c r="Y104" s="57">
        <f t="shared" si="1516"/>
        <v>5.2707446987853324</v>
      </c>
      <c r="Z104" s="43">
        <f t="shared" si="2244"/>
        <v>-6.5529291620451957</v>
      </c>
      <c r="AA104" s="43" t="str">
        <f t="shared" ref="AA104" si="2273">IF(U104="","",(U104-U$10)*1000)</f>
        <v/>
      </c>
      <c r="AB104" s="43">
        <f t="shared" ref="AB104" si="2274">IF(V104="","",(V104-V$10)*1000)</f>
        <v>-7.5151230414238768E-3</v>
      </c>
      <c r="AC104" s="43">
        <f t="shared" ref="AC104" si="2275">IF(W104="","",(W104-W$10)*1000)</f>
        <v>-18.691584550923235</v>
      </c>
      <c r="AD104" s="43"/>
      <c r="AE104" s="43">
        <f t="shared" si="2196"/>
        <v>-3.9473162521073135</v>
      </c>
      <c r="AF104" s="40"/>
      <c r="AG104" s="43">
        <f t="shared" ref="AG104" si="2276">IF(E104="","",AG$82+(E104-E$82)*1000)</f>
        <v>-8.5000001126900315</v>
      </c>
      <c r="AH104" s="43">
        <f t="shared" ref="AH104" si="2277">IF(F104="","",AH$82+(F104-F$82)*1000)</f>
        <v>-4.999999888241291</v>
      </c>
      <c r="AI104" s="43">
        <f t="shared" ref="AI104" si="2278">IF(G104="","",AI$82+(G104-G$82)*1000)</f>
        <v>-10.250000000013415</v>
      </c>
      <c r="AJ104" s="43"/>
      <c r="AK104" s="43"/>
      <c r="AL104" s="43"/>
      <c r="AM104" s="43">
        <f t="shared" ref="AM104" si="2279">IF(K104="","",AM$82+(K104-K$82)*1000)</f>
        <v>-6.9000000366941094</v>
      </c>
      <c r="AN104" s="43">
        <f t="shared" ref="AN104" si="2280">IF(L104="","",AN$82+(L104-L$82)*1000)</f>
        <v>-5.3000000771135092</v>
      </c>
      <c r="AO104" s="43">
        <f t="shared" ref="AO104" si="2281">IF(M104="","",AO$82+(M104-M$82)*1000)</f>
        <v>-24.399999999999977</v>
      </c>
      <c r="AP104" s="43">
        <f t="shared" ref="AP104" si="2282">IF(N104="","",AP$82+(N104-N$82)*1000)</f>
        <v>-5.5000000866129994</v>
      </c>
      <c r="AQ104" s="43">
        <f t="shared" ref="AQ104" si="2283">IF(O104="","",AQ$82+(O104-O$82)*1000)</f>
        <v>-8.8000001851469278</v>
      </c>
      <c r="AR104" s="43">
        <f t="shared" ref="AR104" si="2284">IF(P104="","",AR$82+(P104-P$82)*1000)</f>
        <v>-20.449999999996749</v>
      </c>
      <c r="AS104" s="43">
        <f t="shared" ref="AS104" si="2285">IF(Q104="","",AS$82+(Q104-Q$82)*1000)</f>
        <v>-4.5499999541789293</v>
      </c>
      <c r="AT104" s="43">
        <f t="shared" ref="AT104" si="2286">IF(R104="","",AT$82+(R104-R$82)*1000)</f>
        <v>2.1500003058463335</v>
      </c>
      <c r="AU104" s="43">
        <f t="shared" ref="AU104" si="2287">IF(S104="","",AU$82+(S104-S$82)*1000)</f>
        <v>-1.9500000000078899</v>
      </c>
      <c r="AV104" s="40"/>
      <c r="AW104" s="39">
        <v>170.05388018727692</v>
      </c>
      <c r="AX104" s="39">
        <v>-2.6140643263329584</v>
      </c>
      <c r="AY104" s="39">
        <v>1.5002411981272274</v>
      </c>
      <c r="AZ104" s="41" t="s">
        <v>61</v>
      </c>
      <c r="BA104" s="42" t="s">
        <v>61</v>
      </c>
      <c r="BB104" s="42" t="s">
        <v>61</v>
      </c>
      <c r="BC104" s="41">
        <v>170.38585458607966</v>
      </c>
      <c r="BD104" s="42">
        <v>0.40031679910380458</v>
      </c>
      <c r="BE104" s="42">
        <v>3.4234214541392021</v>
      </c>
      <c r="BF104" s="41">
        <v>170.61101064272751</v>
      </c>
      <c r="BG104" s="42">
        <v>1.1263108762828531</v>
      </c>
      <c r="BH104" s="42">
        <v>2.732869893572726</v>
      </c>
      <c r="BI104" s="41">
        <v>170.34766692441028</v>
      </c>
      <c r="BJ104" s="42">
        <v>2.6473407134694518</v>
      </c>
      <c r="BK104" s="42">
        <v>1.6071033307559048</v>
      </c>
      <c r="BL104" s="40"/>
      <c r="BM104" s="43">
        <f t="shared" ref="BM104" si="2288">IF(AW104="","",BM$82+(AW104-AW$82)*1000)</f>
        <v>-9.7712614727072378</v>
      </c>
      <c r="BN104" s="43">
        <f t="shared" ref="BN104" si="2289">IF(AX104="","",BN$82+(AX104-AX$82)*1000)</f>
        <v>0.96048812024829289</v>
      </c>
      <c r="BO104" s="43">
        <f t="shared" ref="BO104" si="2290">IF(AY104="","",BO$82+(AY104-AY$82)*1000)</f>
        <v>-10.119287385269793</v>
      </c>
      <c r="BP104" s="43"/>
      <c r="BQ104" s="43"/>
      <c r="BR104" s="43"/>
      <c r="BS104" s="43">
        <f t="shared" ref="BS104" si="2291">IF(BC104="","",BS$82+(BC104-BC$82)*1000)</f>
        <v>-8.462844737806563</v>
      </c>
      <c r="BT104" s="43">
        <f t="shared" ref="BT104" si="2292">IF(BD104="","",BT$82+(BD104-BD$82)*1000)</f>
        <v>1.8392129250497935</v>
      </c>
      <c r="BU104" s="43">
        <f t="shared" ref="BU104" si="2293">IF(BE104="","",BU$82+(BE104-BE$82)*1000)</f>
        <v>-24.327371552634425</v>
      </c>
      <c r="BV104" s="43">
        <f t="shared" ref="BV104" si="2294">IF(BF104="","",BV$82+(BF104-BF$82)*1000)</f>
        <v>-8.6632061200759836</v>
      </c>
      <c r="BW104" s="43">
        <f t="shared" ref="BW104" si="2295">IF(BG104="","",BW$82+(BG104-BG$82)*1000)</f>
        <v>5.6877530436254542</v>
      </c>
      <c r="BX104" s="43">
        <f t="shared" ref="BX104" si="2296">IF(BH104="","",BX$82+(BH104-BH$82)*1000)</f>
        <v>-20.375367938806566</v>
      </c>
      <c r="BY104" s="43">
        <f t="shared" ref="BY104" si="2297">IF(BI104="","",BY$82+(BI104-BI$82)*1000)</f>
        <v>-3.1929647163622121</v>
      </c>
      <c r="BZ104" s="43">
        <f t="shared" ref="BZ104" si="2298">IF(BJ104="","",BZ$82+(BJ104-BJ$82)*1000)</f>
        <v>-3.8453718877180521</v>
      </c>
      <c r="CA104" s="43">
        <f t="shared" ref="CA104" si="2299">IF(BK104="","",CA$82+(BK104-BK$82)*1000)</f>
        <v>-1.9360703528370493</v>
      </c>
    </row>
    <row r="105" spans="1:79" ht="29.25" customHeight="1" x14ac:dyDescent="0.2">
      <c r="A105" s="37">
        <v>44489</v>
      </c>
      <c r="B105" s="30">
        <f t="shared" ref="B105" si="2300">IF(A105="","",A105-excav)</f>
        <v>834</v>
      </c>
      <c r="C105" s="38">
        <v>223.9</v>
      </c>
      <c r="D105" s="38">
        <v>53.5</v>
      </c>
      <c r="E105" s="39">
        <v>823220.68819999998</v>
      </c>
      <c r="F105" s="39">
        <v>1091507.8441999999</v>
      </c>
      <c r="G105" s="39">
        <v>-122.3425</v>
      </c>
      <c r="H105" s="39"/>
      <c r="I105" s="39"/>
      <c r="J105" s="39"/>
      <c r="K105" s="39">
        <v>823222.26269999996</v>
      </c>
      <c r="L105" s="39">
        <v>1091505.2522</v>
      </c>
      <c r="M105" s="39">
        <v>-120.4165</v>
      </c>
      <c r="N105" s="39">
        <v>823222.77359999996</v>
      </c>
      <c r="O105" s="39">
        <v>1091504.6891000001</v>
      </c>
      <c r="P105" s="39">
        <v>-121.10469999999999</v>
      </c>
      <c r="Q105" s="39">
        <v>823223.17799999996</v>
      </c>
      <c r="R105" s="39">
        <v>1091503.2</v>
      </c>
      <c r="S105" s="39">
        <v>-122.2328</v>
      </c>
      <c r="T105" s="57">
        <f t="shared" si="1511"/>
        <v>3.5926299906449954</v>
      </c>
      <c r="U105" s="39"/>
      <c r="V105" s="39">
        <f t="shared" si="1613"/>
        <v>1.025533841418556</v>
      </c>
      <c r="W105" s="57">
        <f t="shared" si="1514"/>
        <v>2.8893329022682579</v>
      </c>
      <c r="X105" s="39"/>
      <c r="Y105" s="57">
        <f t="shared" si="1516"/>
        <v>5.2706481356400934</v>
      </c>
      <c r="Z105" s="43">
        <f t="shared" ref="Z105" si="2301">IF(T105="","",(T105-T$10)*1000)</f>
        <v>-6.7077665926302821</v>
      </c>
      <c r="AA105" s="43" t="str">
        <f t="shared" ref="AA105" si="2302">IF(U105="","",(U105-U$10)*1000)</f>
        <v/>
      </c>
      <c r="AB105" s="43">
        <f t="shared" ref="AB105" si="2303">IF(V105="","",(V105-V$10)*1000)</f>
        <v>9.0058190939767968E-2</v>
      </c>
      <c r="AC105" s="43">
        <f t="shared" ref="AC105" si="2304">IF(W105="","",(W105-W$10)*1000)</f>
        <v>-19.163807067853256</v>
      </c>
      <c r="AD105" s="43"/>
      <c r="AE105" s="43">
        <f t="shared" ref="AE105" si="2305">IF(Y105="","",(Y105-Y$10)*1000)</f>
        <v>-4.043879397346295</v>
      </c>
      <c r="AF105" s="40"/>
      <c r="AG105" s="43">
        <f t="shared" ref="AG105" si="2306">IF(E105="","",AG$82+(E105-E$82)*1000)</f>
        <v>-8.5000001126900315</v>
      </c>
      <c r="AH105" s="43">
        <f t="shared" ref="AH105" si="2307">IF(F105="","",AH$82+(F105-F$82)*1000)</f>
        <v>-4.5000000391155481</v>
      </c>
      <c r="AI105" s="43">
        <f t="shared" ref="AI105" si="2308">IF(G105="","",AI$82+(G105-G$82)*1000)</f>
        <v>-10.650000000012483</v>
      </c>
      <c r="AJ105" s="43"/>
      <c r="AK105" s="43"/>
      <c r="AL105" s="43"/>
      <c r="AM105" s="43">
        <f t="shared" ref="AM105" si="2309">IF(K105="","",AM$82+(K105-K$82)*1000)</f>
        <v>-7.30000005569309</v>
      </c>
      <c r="AN105" s="43">
        <f t="shared" ref="AN105" si="2310">IF(L105="","",AN$82+(L105-L$82)*1000)</f>
        <v>-5.2000000141561031</v>
      </c>
      <c r="AO105" s="43">
        <f t="shared" ref="AO105" si="2311">IF(M105="","",AO$82+(M105-M$82)*1000)</f>
        <v>-25.300000000001432</v>
      </c>
      <c r="AP105" s="43">
        <f t="shared" ref="AP105" si="2312">IF(N105="","",AP$82+(N105-N$82)*1000)</f>
        <v>-5.90000010561198</v>
      </c>
      <c r="AQ105" s="43">
        <f t="shared" ref="AQ105" si="2313">IF(O105="","",AQ$82+(O105-O$82)*1000)</f>
        <v>-9.0000000782310963</v>
      </c>
      <c r="AR105" s="43">
        <f t="shared" ref="AR105" si="2314">IF(P105="","",AR$82+(P105-P$82)*1000)</f>
        <v>-21.249999999994884</v>
      </c>
      <c r="AS105" s="43">
        <f t="shared" ref="AS105" si="2315">IF(Q105="","",AS$82+(Q105-Q$82)*1000)</f>
        <v>-4.7499999636784196</v>
      </c>
      <c r="AT105" s="43">
        <f t="shared" ref="AT105" si="2316">IF(R105="","",AT$82+(R105-R$82)*1000)</f>
        <v>2.6500001549720764</v>
      </c>
      <c r="AU105" s="43">
        <f t="shared" ref="AU105" si="2317">IF(S105="","",AU$82+(S105-S$82)*1000)</f>
        <v>-2.4500000000102773</v>
      </c>
      <c r="AV105" s="40"/>
      <c r="AW105" s="39">
        <v>170.0540915132182</v>
      </c>
      <c r="AX105" s="39">
        <v>-2.6145174722208444</v>
      </c>
      <c r="AY105" s="39">
        <v>1.4998390848678156</v>
      </c>
      <c r="AZ105" s="41" t="s">
        <v>61</v>
      </c>
      <c r="BA105" s="42" t="s">
        <v>61</v>
      </c>
      <c r="BB105" s="42" t="s">
        <v>61</v>
      </c>
      <c r="BC105" s="41">
        <v>170.38553433447044</v>
      </c>
      <c r="BD105" s="42">
        <v>0.40005710902977415</v>
      </c>
      <c r="BE105" s="42">
        <v>3.4225246566552983</v>
      </c>
      <c r="BF105" s="41">
        <v>170.61056359553376</v>
      </c>
      <c r="BG105" s="42">
        <v>1.126323073783722</v>
      </c>
      <c r="BH105" s="42">
        <v>2.7320743640446636</v>
      </c>
      <c r="BI105" s="41">
        <v>170.34769699193311</v>
      </c>
      <c r="BJ105" s="42">
        <v>2.6468030371755549</v>
      </c>
      <c r="BK105" s="42">
        <v>1.6066030300806631</v>
      </c>
      <c r="BL105" s="40"/>
      <c r="BM105" s="43">
        <f t="shared" ref="BM105" si="2318">IF(AW105="","",BM$82+(AW105-AW$82)*1000)</f>
        <v>-9.5599355314277545</v>
      </c>
      <c r="BN105" s="43">
        <f t="shared" ref="BN105" si="2319">IF(AX105="","",BN$82+(AX105-AX$82)*1000)</f>
        <v>0.50734223236226228</v>
      </c>
      <c r="BO105" s="43">
        <f t="shared" ref="BO105" si="2320">IF(AY105="","",BO$82+(AY105-AY$82)*1000)</f>
        <v>-10.521400644681655</v>
      </c>
      <c r="BP105" s="43"/>
      <c r="BQ105" s="43"/>
      <c r="BR105" s="43"/>
      <c r="BS105" s="43">
        <f t="shared" ref="BS105" si="2321">IF(BC105="","",BS$82+(BC105-BC$82)*1000)</f>
        <v>-8.7830963470310053</v>
      </c>
      <c r="BT105" s="43">
        <f t="shared" ref="BT105" si="2322">IF(BD105="","",BT$82+(BD105-BD$82)*1000)</f>
        <v>1.579522851019366</v>
      </c>
      <c r="BU105" s="43">
        <f t="shared" ref="BU105" si="2323">IF(BE105="","",BU$82+(BE105-BE$82)*1000)</f>
        <v>-25.224169036538235</v>
      </c>
      <c r="BV105" s="43">
        <f t="shared" ref="BV105" si="2324">IF(BF105="","",BV$82+(BF105-BF$82)*1000)</f>
        <v>-9.1102533138212038</v>
      </c>
      <c r="BW105" s="43">
        <f t="shared" ref="BW105" si="2325">IF(BG105="","",BW$82+(BG105-BG$82)*1000)</f>
        <v>5.6999505444943477</v>
      </c>
      <c r="BX105" s="43">
        <f t="shared" ref="BX105" si="2326">IF(BH105="","",BX$82+(BH105-BH$82)*1000)</f>
        <v>-21.170897466868954</v>
      </c>
      <c r="BY105" s="43">
        <f t="shared" ref="BY105" si="2327">IF(BI105="","",BY$82+(BI105-BI$82)*1000)</f>
        <v>-3.1628971935333539</v>
      </c>
      <c r="BZ105" s="43">
        <f t="shared" ref="BZ105" si="2328">IF(BJ105="","",BZ$82+(BJ105-BJ$82)*1000)</f>
        <v>-4.3830481816149458</v>
      </c>
      <c r="CA105" s="43">
        <f t="shared" ref="CA105" si="2329">IF(BK105="","",CA$82+(BK105-BK$82)*1000)</f>
        <v>-2.4363710280788098</v>
      </c>
    </row>
    <row r="106" spans="1:79" ht="29.25" customHeight="1" x14ac:dyDescent="0.2">
      <c r="A106" s="37">
        <v>44502</v>
      </c>
      <c r="B106" s="30">
        <f t="shared" ref="B106" si="2330">IF(A106="","",A106-excav)</f>
        <v>847</v>
      </c>
      <c r="C106" s="38">
        <v>223.9</v>
      </c>
      <c r="D106" s="38">
        <v>53.5</v>
      </c>
      <c r="E106" s="39">
        <v>823220.6888</v>
      </c>
      <c r="F106" s="39">
        <v>1091507.8443</v>
      </c>
      <c r="G106" s="39">
        <v>-122.3416</v>
      </c>
      <c r="H106" s="39"/>
      <c r="I106" s="39"/>
      <c r="J106" s="39"/>
      <c r="K106" s="39">
        <v>823222.26260000002</v>
      </c>
      <c r="L106" s="39">
        <v>1091505.2520999999</v>
      </c>
      <c r="M106" s="39">
        <v>-120.416</v>
      </c>
      <c r="N106" s="39">
        <v>823222.77379999997</v>
      </c>
      <c r="O106" s="39">
        <v>1091504.6894</v>
      </c>
      <c r="P106" s="39">
        <v>-121.104</v>
      </c>
      <c r="Q106" s="39">
        <v>823223.17819999997</v>
      </c>
      <c r="R106" s="39">
        <v>1091503.1998000001</v>
      </c>
      <c r="S106" s="39">
        <v>-122.2319</v>
      </c>
      <c r="T106" s="57">
        <f t="shared" si="1511"/>
        <v>3.5922531425851956</v>
      </c>
      <c r="U106" s="39"/>
      <c r="V106" s="39">
        <f t="shared" si="1613"/>
        <v>1.0253295713225345</v>
      </c>
      <c r="W106" s="57">
        <f t="shared" si="1514"/>
        <v>2.8892475593746139</v>
      </c>
      <c r="X106" s="39"/>
      <c r="Y106" s="57">
        <f t="shared" si="1516"/>
        <v>5.2707235460820243</v>
      </c>
      <c r="Z106" s="43">
        <f t="shared" ref="Z106" si="2331">IF(T106="","",(T106-T$10)*1000)</f>
        <v>-7.0846146524301545</v>
      </c>
      <c r="AA106" s="43" t="str">
        <f t="shared" ref="AA106" si="2332">IF(U106="","",(U106-U$10)*1000)</f>
        <v/>
      </c>
      <c r="AB106" s="43">
        <f t="shared" ref="AB106" si="2333">IF(V106="","",(V106-V$10)*1000)</f>
        <v>-0.11421190508165147</v>
      </c>
      <c r="AC106" s="43">
        <f t="shared" ref="AC106" si="2334">IF(W106="","",(W106-W$10)*1000)</f>
        <v>-19.249149961497292</v>
      </c>
      <c r="AD106" s="43"/>
      <c r="AE106" s="43">
        <f t="shared" ref="AE106" si="2335">IF(Y106="","",(Y106-Y$10)*1000)</f>
        <v>-3.9684689554153607</v>
      </c>
      <c r="AF106" s="40"/>
      <c r="AG106" s="43">
        <f t="shared" ref="AG106" si="2336">IF(E106="","",AG$82+(E106-E$82)*1000)</f>
        <v>-7.9000000841915607</v>
      </c>
      <c r="AH106" s="43">
        <f t="shared" ref="AH106" si="2337">IF(F106="","",AH$82+(F106-F$82)*1000)</f>
        <v>-4.3999999761581421</v>
      </c>
      <c r="AI106" s="43">
        <f t="shared" ref="AI106" si="2338">IF(G106="","",AI$82+(G106-G$82)*1000)</f>
        <v>-9.7500000000110276</v>
      </c>
      <c r="AJ106" s="43"/>
      <c r="AK106" s="43"/>
      <c r="AL106" s="43"/>
      <c r="AM106" s="43">
        <f t="shared" ref="AM106" si="2339">IF(K106="","",AM$82+(K106-K$82)*1000)</f>
        <v>-7.4000000022351742</v>
      </c>
      <c r="AN106" s="43">
        <f t="shared" ref="AN106" si="2340">IF(L106="","",AN$82+(L106-L$82)*1000)</f>
        <v>-5.3000000771135092</v>
      </c>
      <c r="AO106" s="43">
        <f t="shared" ref="AO106" si="2341">IF(M106="","",AO$82+(M106-M$82)*1000)</f>
        <v>-24.799999999999045</v>
      </c>
      <c r="AP106" s="43">
        <f t="shared" ref="AP106" si="2342">IF(N106="","",AP$82+(N106-N$82)*1000)</f>
        <v>-5.7000000961124897</v>
      </c>
      <c r="AQ106" s="43">
        <f t="shared" ref="AQ106" si="2343">IF(O106="","",AQ$82+(O106-O$82)*1000)</f>
        <v>-8.7000001221895218</v>
      </c>
      <c r="AR106" s="43">
        <f t="shared" ref="AR106" si="2344">IF(P106="","",AR$82+(P106-P$82)*1000)</f>
        <v>-20.550000000000068</v>
      </c>
      <c r="AS106" s="43">
        <f t="shared" ref="AS106" si="2345">IF(Q106="","",AS$82+(Q106-Q$82)*1000)</f>
        <v>-4.5499999541789293</v>
      </c>
      <c r="AT106" s="43">
        <f t="shared" ref="AT106" si="2346">IF(R106="","",AT$82+(R106-R$82)*1000)</f>
        <v>2.450000261887908</v>
      </c>
      <c r="AU106" s="43">
        <f t="shared" ref="AU106" si="2347">IF(S106="","",AU$82+(S106-S$82)*1000)</f>
        <v>-1.5500000000088221</v>
      </c>
      <c r="AV106" s="40"/>
      <c r="AW106" s="39">
        <v>170.05467755370114</v>
      </c>
      <c r="AX106" s="39">
        <v>-2.6143545102646955</v>
      </c>
      <c r="AY106" s="39">
        <v>1.5007332244629907</v>
      </c>
      <c r="AZ106" s="41" t="s">
        <v>61</v>
      </c>
      <c r="BA106" s="42" t="s">
        <v>61</v>
      </c>
      <c r="BB106" s="42" t="s">
        <v>61</v>
      </c>
      <c r="BC106" s="41">
        <v>170.38540144008633</v>
      </c>
      <c r="BD106" s="42">
        <v>0.40010547311332512</v>
      </c>
      <c r="BE106" s="42">
        <v>3.4230259855991392</v>
      </c>
      <c r="BF106" s="41">
        <v>170.61087164953668</v>
      </c>
      <c r="BG106" s="42">
        <v>1.1261357166148482</v>
      </c>
      <c r="BH106" s="42">
        <v>2.7327712835046327</v>
      </c>
      <c r="BI106" s="41">
        <v>170.34779371999471</v>
      </c>
      <c r="BJ106" s="42">
        <v>2.6470688258945327</v>
      </c>
      <c r="BK106" s="42">
        <v>1.6075020628000516</v>
      </c>
      <c r="BL106" s="40"/>
      <c r="BM106" s="43">
        <f t="shared" ref="BM106" si="2348">IF(AW106="","",BM$82+(AW106-AW$82)*1000)</f>
        <v>-8.9738950484843372</v>
      </c>
      <c r="BN106" s="43">
        <f t="shared" ref="BN106" si="2349">IF(AX106="","",BN$82+(AX106-AX$82)*1000)</f>
        <v>0.67030418851121709</v>
      </c>
      <c r="BO106" s="43">
        <f t="shared" ref="BO106" si="2350">IF(AY106="","",BO$82+(AY106-AY$82)*1000)</f>
        <v>-9.6272610495065081</v>
      </c>
      <c r="BP106" s="43"/>
      <c r="BQ106" s="43"/>
      <c r="BR106" s="43"/>
      <c r="BS106" s="43">
        <f t="shared" ref="BS106" si="2351">IF(BC106="","",BS$82+(BC106-BC$82)*1000)</f>
        <v>-8.9159907311398001</v>
      </c>
      <c r="BT106" s="43">
        <f t="shared" ref="BT106" si="2352">IF(BD106="","",BT$82+(BD106-BD$82)*1000)</f>
        <v>1.6278869345703328</v>
      </c>
      <c r="BU106" s="43">
        <f t="shared" ref="BU106" si="2353">IF(BE106="","",BU$82+(BE106-BE$82)*1000)</f>
        <v>-24.722840092697318</v>
      </c>
      <c r="BV106" s="43">
        <f t="shared" ref="BV106" si="2354">IF(BF106="","",BV$82+(BF106-BF$82)*1000)</f>
        <v>-8.8021993109066443</v>
      </c>
      <c r="BW106" s="43">
        <f t="shared" ref="BW106" si="2355">IF(BG106="","",BW$82+(BG106-BG$82)*1000)</f>
        <v>5.5125933756206003</v>
      </c>
      <c r="BX106" s="43">
        <f t="shared" ref="BX106" si="2356">IF(BH106="","",BX$82+(BH106-BH$82)*1000)</f>
        <v>-20.473978006899873</v>
      </c>
      <c r="BY106" s="43">
        <f t="shared" ref="BY106" si="2357">IF(BI106="","",BY$82+(BI106-BI$82)*1000)</f>
        <v>-3.0661691319266993</v>
      </c>
      <c r="BZ106" s="43">
        <f t="shared" ref="BZ106" si="2358">IF(BJ106="","",BZ$82+(BJ106-BJ$82)*1000)</f>
        <v>-4.1172594626370795</v>
      </c>
      <c r="CA106" s="43">
        <f t="shared" ref="CA106" si="2359">IF(BK106="","",CA$82+(BK106-BK$82)*1000)</f>
        <v>-1.5373383086902948</v>
      </c>
    </row>
    <row r="107" spans="1:79" ht="29.25" customHeight="1" x14ac:dyDescent="0.2">
      <c r="A107" s="37">
        <v>44915</v>
      </c>
      <c r="B107" s="30">
        <f t="shared" ref="B107" si="2360">IF(A107="","",A107-excav)</f>
        <v>1260</v>
      </c>
      <c r="C107" s="38">
        <v>223.9</v>
      </c>
      <c r="D107" s="38">
        <v>53.5</v>
      </c>
      <c r="E107" s="39">
        <v>823220.68660000002</v>
      </c>
      <c r="F107" s="39">
        <v>1091507.8444000001</v>
      </c>
      <c r="G107" s="39">
        <v>-122.34269999999999</v>
      </c>
      <c r="H107" s="39"/>
      <c r="I107" s="39"/>
      <c r="J107" s="39"/>
      <c r="K107" s="39">
        <v>823222.26080000005</v>
      </c>
      <c r="L107" s="39">
        <v>1091505.2527999999</v>
      </c>
      <c r="M107" s="39">
        <v>-120.4212</v>
      </c>
      <c r="N107" s="39">
        <v>823222.77260000003</v>
      </c>
      <c r="O107" s="39">
        <v>1091504.6897</v>
      </c>
      <c r="P107" s="39">
        <v>-121.1087</v>
      </c>
      <c r="Q107" s="39">
        <v>823223.17709999997</v>
      </c>
      <c r="R107" s="39">
        <v>1091503.2012</v>
      </c>
      <c r="S107" s="39">
        <v>-122.2323</v>
      </c>
      <c r="T107" s="57">
        <f t="shared" si="1511"/>
        <v>3.5897992215343484</v>
      </c>
      <c r="U107" s="39"/>
      <c r="V107" s="39">
        <f t="shared" si="1613"/>
        <v>1.0255130910324213</v>
      </c>
      <c r="W107" s="57">
        <f t="shared" si="1514"/>
        <v>2.8859576329892551</v>
      </c>
      <c r="X107" s="39"/>
      <c r="Y107" s="57">
        <f t="shared" si="1516"/>
        <v>5.27011239446011</v>
      </c>
      <c r="Z107" s="43">
        <f t="shared" ref="Z107" si="2361">IF(T107="","",(T107-T$10)*1000)</f>
        <v>-9.5385357032773399</v>
      </c>
      <c r="AA107" s="43" t="str">
        <f t="shared" ref="AA107" si="2362">IF(U107="","",(U107-U$10)*1000)</f>
        <v/>
      </c>
      <c r="AB107" s="43">
        <f t="shared" ref="AB107" si="2363">IF(V107="","",(V107-V$10)*1000)</f>
        <v>6.9307804805074369E-2</v>
      </c>
      <c r="AC107" s="43">
        <f t="shared" ref="AC107" si="2364">IF(W107="","",(W107-W$10)*1000)</f>
        <v>-22.539076346856035</v>
      </c>
      <c r="AD107" s="43"/>
      <c r="AE107" s="43">
        <f t="shared" ref="AE107" si="2365">IF(Y107="","",(Y107-Y$10)*1000)</f>
        <v>-4.579620577329635</v>
      </c>
      <c r="AF107" s="40"/>
      <c r="AG107" s="43">
        <f t="shared" ref="AG107" si="2366">IF(E107="","",AG$82+(E107-E$82)*1000)</f>
        <v>-10.100000072270632</v>
      </c>
      <c r="AH107" s="43">
        <f t="shared" ref="AH107" si="2367">IF(F107="","",AH$82+(F107-F$82)*1000)</f>
        <v>-4.299999913200736</v>
      </c>
      <c r="AI107" s="43">
        <f t="shared" ref="AI107" si="2368">IF(G107="","",AI$82+(G107-G$82)*1000)</f>
        <v>-10.850000000004911</v>
      </c>
      <c r="AJ107" s="43"/>
      <c r="AK107" s="43"/>
      <c r="AL107" s="43"/>
      <c r="AM107" s="43">
        <f t="shared" ref="AM107" si="2369">IF(K107="","",AM$82+(K107-K$82)*1000)</f>
        <v>-9.1999999713152647</v>
      </c>
      <c r="AN107" s="43">
        <f t="shared" ref="AN107" si="2370">IF(L107="","",AN$82+(L107-L$82)*1000)</f>
        <v>-4.6000001020729542</v>
      </c>
      <c r="AO107" s="43">
        <f t="shared" ref="AO107" si="2371">IF(M107="","",AO$82+(M107-M$82)*1000)</f>
        <v>-30.000000000001137</v>
      </c>
      <c r="AP107" s="43">
        <f t="shared" ref="AP107" si="2372">IF(N107="","",AP$82+(N107-N$82)*1000)</f>
        <v>-6.9000000366941094</v>
      </c>
      <c r="AQ107" s="43">
        <f t="shared" ref="AQ107" si="2373">IF(O107="","",AQ$82+(O107-O$82)*1000)</f>
        <v>-8.4000001661479473</v>
      </c>
      <c r="AR107" s="43">
        <f t="shared" ref="AR107" si="2374">IF(P107="","",AR$82+(P107-P$82)*1000)</f>
        <v>-25.249999999999773</v>
      </c>
      <c r="AS107" s="43">
        <f t="shared" ref="AS107" si="2375">IF(Q107="","",AS$82+(Q107-Q$82)*1000)</f>
        <v>-5.6499999482184649</v>
      </c>
      <c r="AT107" s="43">
        <f t="shared" ref="AT107" si="2376">IF(R107="","",AT$82+(R107-R$82)*1000)</f>
        <v>3.850000211969018</v>
      </c>
      <c r="AU107" s="43">
        <f t="shared" ref="AU107" si="2377">IF(S107="","",AU$82+(S107-S$82)*1000)</f>
        <v>-1.9500000000078899</v>
      </c>
      <c r="AV107" s="40"/>
      <c r="AW107" s="39">
        <v>170.05272597643142</v>
      </c>
      <c r="AX107" s="39">
        <v>-2.615374973943831</v>
      </c>
      <c r="AY107" s="39">
        <v>1.499652740235689</v>
      </c>
      <c r="AZ107" s="41" t="s">
        <v>61</v>
      </c>
      <c r="BA107" s="42" t="s">
        <v>61</v>
      </c>
      <c r="BB107" s="42" t="s">
        <v>61</v>
      </c>
      <c r="BC107" s="41">
        <v>170.38406597082238</v>
      </c>
      <c r="BD107" s="42">
        <v>0.39871029509643008</v>
      </c>
      <c r="BE107" s="42">
        <v>3.4178393402917777</v>
      </c>
      <c r="BF107" s="41">
        <v>170.60991089471597</v>
      </c>
      <c r="BG107" s="42">
        <v>1.1253566466529268</v>
      </c>
      <c r="BH107" s="42">
        <v>2.7280808910528407</v>
      </c>
      <c r="BI107" s="41">
        <v>170.34738851153909</v>
      </c>
      <c r="BJ107" s="42">
        <v>2.6453350998623777</v>
      </c>
      <c r="BK107" s="42">
        <v>1.6071061148846155</v>
      </c>
      <c r="BL107" s="40"/>
      <c r="BM107" s="43">
        <f t="shared" ref="BM107" si="2378">IF(AW107="","",BM$82+(AW107-AW$82)*1000)</f>
        <v>-10.925472318206175</v>
      </c>
      <c r="BN107" s="43">
        <f t="shared" ref="BN107" si="2379">IF(AX107="","",BN$82+(AX107-AX$82)*1000)</f>
        <v>-0.35015949062433549</v>
      </c>
      <c r="BO107" s="43">
        <f t="shared" ref="BO107" si="2380">IF(AY107="","",BO$82+(AY107-AY$82)*1000)</f>
        <v>-10.707745276808289</v>
      </c>
      <c r="BP107" s="43"/>
      <c r="BQ107" s="43"/>
      <c r="BR107" s="43"/>
      <c r="BS107" s="43">
        <f t="shared" ref="BS107" si="2381">IF(BC107="","",BS$82+(BC107-BC$82)*1000)</f>
        <v>-10.251459995089363</v>
      </c>
      <c r="BT107" s="43">
        <f t="shared" ref="BT107" si="2382">IF(BD107="","",BT$82+(BD107-BD$82)*1000)</f>
        <v>0.232708917675295</v>
      </c>
      <c r="BU107" s="43">
        <f t="shared" ref="BU107" si="2383">IF(BE107="","",BU$82+(BE107-BE$82)*1000)</f>
        <v>-29.909485400058777</v>
      </c>
      <c r="BV107" s="43">
        <f t="shared" ref="BV107" si="2384">IF(BF107="","",BV$82+(BF107-BF$82)*1000)</f>
        <v>-9.7629541316166524</v>
      </c>
      <c r="BW107" s="43">
        <f t="shared" ref="BW107" si="2385">IF(BG107="","",BW$82+(BG107-BG$82)*1000)</f>
        <v>4.7335234136991478</v>
      </c>
      <c r="BX107" s="43">
        <f t="shared" ref="BX107" si="2386">IF(BH107="","",BX$82+(BH107-BH$82)*1000)</f>
        <v>-25.164370458691909</v>
      </c>
      <c r="BY107" s="43">
        <f t="shared" ref="BY107" si="2387">IF(BI107="","",BY$82+(BI107-BI$82)*1000)</f>
        <v>-3.4713775875445663</v>
      </c>
      <c r="BZ107" s="43">
        <f t="shared" ref="BZ107" si="2388">IF(BJ107="","",BZ$82+(BJ107-BJ$82)*1000)</f>
        <v>-5.8509854947921269</v>
      </c>
      <c r="CA107" s="43">
        <f t="shared" ref="CA107" si="2389">IF(BK107="","",CA$82+(BK107-BK$82)*1000)</f>
        <v>-1.9332862241263626</v>
      </c>
    </row>
    <row r="108" spans="1:79" ht="29.25" customHeight="1" x14ac:dyDescent="0.2">
      <c r="A108" s="37"/>
      <c r="B108" s="30"/>
      <c r="C108" s="38"/>
      <c r="D108" s="38"/>
      <c r="E108" s="39"/>
      <c r="F108" s="39"/>
      <c r="G108" s="39"/>
      <c r="H108" s="39"/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57"/>
      <c r="U108" s="39"/>
      <c r="V108" s="39"/>
      <c r="W108" s="57"/>
      <c r="X108" s="39"/>
      <c r="Y108" s="57"/>
      <c r="Z108" s="43"/>
      <c r="AA108" s="43"/>
      <c r="AB108" s="43"/>
      <c r="AC108" s="43"/>
      <c r="AD108" s="43"/>
      <c r="AE108" s="43"/>
      <c r="AF108" s="40"/>
      <c r="AG108" s="43"/>
      <c r="AH108" s="43"/>
      <c r="AI108" s="43"/>
      <c r="AJ108" s="43"/>
      <c r="AK108" s="43"/>
      <c r="AL108" s="43"/>
      <c r="AM108" s="43"/>
      <c r="AN108" s="43"/>
      <c r="AO108" s="43"/>
      <c r="AP108" s="43"/>
      <c r="AQ108" s="43"/>
      <c r="AR108" s="43"/>
      <c r="AS108" s="43"/>
      <c r="AT108" s="43"/>
      <c r="AU108" s="43"/>
      <c r="AV108" s="40"/>
      <c r="AW108" s="39"/>
      <c r="AX108" s="39"/>
      <c r="AY108" s="39"/>
      <c r="AZ108" s="41"/>
      <c r="BA108" s="42"/>
      <c r="BB108" s="42"/>
      <c r="BC108" s="41"/>
      <c r="BD108" s="42"/>
      <c r="BE108" s="42"/>
      <c r="BF108" s="41"/>
      <c r="BG108" s="42"/>
      <c r="BH108" s="42"/>
      <c r="BI108" s="41"/>
      <c r="BJ108" s="42"/>
      <c r="BK108" s="42"/>
      <c r="BL108" s="40"/>
      <c r="BM108" s="43"/>
      <c r="BN108" s="43"/>
      <c r="BO108" s="43"/>
      <c r="BP108" s="43"/>
      <c r="BQ108" s="43"/>
      <c r="BR108" s="43"/>
      <c r="BS108" s="43"/>
      <c r="BT108" s="43"/>
      <c r="BU108" s="43"/>
      <c r="BV108" s="43"/>
      <c r="BW108" s="43"/>
      <c r="BX108" s="43"/>
      <c r="BY108" s="43"/>
      <c r="BZ108" s="43"/>
      <c r="CA108" s="43"/>
    </row>
    <row r="109" spans="1:79" ht="29.25" customHeight="1" x14ac:dyDescent="0.2">
      <c r="A109" s="37"/>
      <c r="B109" s="30"/>
      <c r="C109" s="38"/>
      <c r="D109" s="38"/>
      <c r="E109" s="39"/>
      <c r="F109" s="39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57"/>
      <c r="U109" s="39"/>
      <c r="V109" s="39"/>
      <c r="W109" s="57"/>
      <c r="X109" s="39"/>
      <c r="Y109" s="57"/>
      <c r="Z109" s="43"/>
      <c r="AA109" s="43"/>
      <c r="AB109" s="43"/>
      <c r="AC109" s="43"/>
      <c r="AD109" s="43"/>
      <c r="AE109" s="43"/>
      <c r="AF109" s="40"/>
      <c r="AG109" s="43"/>
      <c r="AH109" s="43"/>
      <c r="AI109" s="43"/>
      <c r="AJ109" s="43"/>
      <c r="AK109" s="43"/>
      <c r="AL109" s="43"/>
      <c r="AM109" s="43"/>
      <c r="AN109" s="43"/>
      <c r="AO109" s="43"/>
      <c r="AP109" s="43"/>
      <c r="AQ109" s="43"/>
      <c r="AR109" s="43"/>
      <c r="AS109" s="43"/>
      <c r="AT109" s="43"/>
      <c r="AU109" s="43"/>
      <c r="AV109" s="40"/>
      <c r="AW109" s="39"/>
      <c r="AX109" s="39"/>
      <c r="AY109" s="39"/>
      <c r="AZ109" s="41"/>
      <c r="BA109" s="42"/>
      <c r="BB109" s="42"/>
      <c r="BC109" s="41"/>
      <c r="BD109" s="42"/>
      <c r="BE109" s="42"/>
      <c r="BF109" s="41"/>
      <c r="BG109" s="42"/>
      <c r="BH109" s="42"/>
      <c r="BI109" s="41"/>
      <c r="BJ109" s="42"/>
      <c r="BK109" s="42"/>
      <c r="BL109" s="40"/>
      <c r="BM109" s="43"/>
      <c r="BN109" s="43"/>
      <c r="BO109" s="43"/>
      <c r="BP109" s="43"/>
      <c r="BQ109" s="43"/>
      <c r="BR109" s="43"/>
      <c r="BS109" s="43"/>
      <c r="BT109" s="43"/>
      <c r="BU109" s="43"/>
      <c r="BV109" s="43"/>
      <c r="BW109" s="43"/>
      <c r="BX109" s="43"/>
      <c r="BY109" s="43"/>
      <c r="BZ109" s="43"/>
      <c r="CA109" s="43"/>
    </row>
    <row r="110" spans="1:79" ht="29.25" customHeight="1" x14ac:dyDescent="0.2">
      <c r="A110" s="37"/>
      <c r="B110" s="30"/>
      <c r="C110" s="38"/>
      <c r="D110" s="38"/>
      <c r="E110" s="39"/>
      <c r="F110" s="39"/>
      <c r="G110" s="39"/>
      <c r="H110" s="39"/>
      <c r="I110" s="39"/>
      <c r="J110" s="39"/>
      <c r="K110" s="39"/>
      <c r="L110" s="39"/>
      <c r="M110" s="39"/>
      <c r="N110" s="39"/>
      <c r="O110" s="39"/>
      <c r="P110" s="39"/>
      <c r="Q110" s="39"/>
      <c r="R110" s="39"/>
      <c r="S110" s="39"/>
      <c r="T110" s="57"/>
      <c r="U110" s="39"/>
      <c r="V110" s="39"/>
      <c r="W110" s="57"/>
      <c r="X110" s="39"/>
      <c r="Y110" s="57"/>
      <c r="Z110" s="43"/>
      <c r="AA110" s="43"/>
      <c r="AB110" s="43"/>
      <c r="AC110" s="43"/>
      <c r="AD110" s="43"/>
      <c r="AE110" s="43"/>
      <c r="AF110" s="40"/>
      <c r="AG110" s="43"/>
      <c r="AH110" s="43"/>
      <c r="AI110" s="43"/>
      <c r="AJ110" s="43"/>
      <c r="AK110" s="43"/>
      <c r="AL110" s="43"/>
      <c r="AM110" s="43"/>
      <c r="AN110" s="43"/>
      <c r="AO110" s="43"/>
      <c r="AP110" s="43"/>
      <c r="AQ110" s="43"/>
      <c r="AR110" s="43"/>
      <c r="AS110" s="43"/>
      <c r="AT110" s="43"/>
      <c r="AU110" s="43"/>
      <c r="AV110" s="40"/>
      <c r="AW110" s="39"/>
      <c r="AX110" s="39"/>
      <c r="AY110" s="39"/>
      <c r="AZ110" s="41"/>
      <c r="BA110" s="42"/>
      <c r="BB110" s="42"/>
      <c r="BC110" s="41"/>
      <c r="BD110" s="42"/>
      <c r="BE110" s="42"/>
      <c r="BF110" s="41"/>
      <c r="BG110" s="42"/>
      <c r="BH110" s="42"/>
      <c r="BI110" s="41"/>
      <c r="BJ110" s="42"/>
      <c r="BK110" s="42"/>
      <c r="BL110" s="40"/>
      <c r="BM110" s="43"/>
      <c r="BN110" s="43"/>
      <c r="BO110" s="43"/>
      <c r="BP110" s="43"/>
      <c r="BQ110" s="43"/>
      <c r="BR110" s="43"/>
      <c r="BS110" s="43"/>
      <c r="BT110" s="43"/>
      <c r="BU110" s="43"/>
      <c r="BV110" s="43"/>
      <c r="BW110" s="43"/>
      <c r="BX110" s="43"/>
      <c r="BY110" s="43"/>
      <c r="BZ110" s="43"/>
      <c r="CA110" s="43"/>
    </row>
    <row r="111" spans="1:79" ht="29.25" customHeight="1" x14ac:dyDescent="0.2">
      <c r="A111" s="37"/>
      <c r="B111" s="30"/>
      <c r="C111" s="38"/>
      <c r="D111" s="38"/>
      <c r="E111" s="39"/>
      <c r="F111" s="39"/>
      <c r="G111" s="39"/>
      <c r="H111" s="39"/>
      <c r="I111" s="39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57"/>
      <c r="U111" s="39"/>
      <c r="V111" s="39"/>
      <c r="W111" s="57"/>
      <c r="X111" s="39"/>
      <c r="Y111" s="57"/>
      <c r="Z111" s="43"/>
      <c r="AA111" s="43"/>
      <c r="AB111" s="43"/>
      <c r="AC111" s="43"/>
      <c r="AD111" s="43"/>
      <c r="AE111" s="43"/>
      <c r="AF111" s="40"/>
      <c r="AG111" s="43"/>
      <c r="AH111" s="43"/>
      <c r="AI111" s="43"/>
      <c r="AJ111" s="43"/>
      <c r="AK111" s="43"/>
      <c r="AL111" s="43"/>
      <c r="AM111" s="43"/>
      <c r="AN111" s="43"/>
      <c r="AO111" s="43"/>
      <c r="AP111" s="43"/>
      <c r="AQ111" s="43"/>
      <c r="AR111" s="43"/>
      <c r="AS111" s="43"/>
      <c r="AT111" s="43"/>
      <c r="AU111" s="43"/>
      <c r="AV111" s="40"/>
      <c r="AW111" s="39"/>
      <c r="AX111" s="39"/>
      <c r="AY111" s="39"/>
      <c r="AZ111" s="41"/>
      <c r="BA111" s="42"/>
      <c r="BB111" s="42"/>
      <c r="BC111" s="41"/>
      <c r="BD111" s="42"/>
      <c r="BE111" s="42"/>
      <c r="BF111" s="41"/>
      <c r="BG111" s="42"/>
      <c r="BH111" s="42"/>
      <c r="BI111" s="41"/>
      <c r="BJ111" s="42"/>
      <c r="BK111" s="42"/>
      <c r="BL111" s="40"/>
      <c r="BM111" s="43"/>
      <c r="BN111" s="43"/>
      <c r="BO111" s="43"/>
      <c r="BP111" s="43"/>
      <c r="BQ111" s="43"/>
      <c r="BR111" s="43"/>
      <c r="BS111" s="43"/>
      <c r="BT111" s="43"/>
      <c r="BU111" s="43"/>
      <c r="BV111" s="43"/>
      <c r="BW111" s="43"/>
      <c r="BX111" s="43"/>
      <c r="BY111" s="43"/>
      <c r="BZ111" s="43"/>
      <c r="CA111" s="43"/>
    </row>
  </sheetData>
  <sortState xmlns:xlrd2="http://schemas.microsoft.com/office/spreadsheetml/2017/richdata2" ref="E16:H20">
    <sortCondition ref="E16"/>
  </sortState>
  <mergeCells count="28">
    <mergeCell ref="AZ14:BB14"/>
    <mergeCell ref="E1:S1"/>
    <mergeCell ref="BP8:BR8"/>
    <mergeCell ref="AM8:AO8"/>
    <mergeCell ref="BC8:BE8"/>
    <mergeCell ref="Z8:AE8"/>
    <mergeCell ref="K8:M8"/>
    <mergeCell ref="H8:J8"/>
    <mergeCell ref="N8:P8"/>
    <mergeCell ref="E8:G8"/>
    <mergeCell ref="Q8:S8"/>
    <mergeCell ref="AG8:AI8"/>
    <mergeCell ref="H14:J14"/>
    <mergeCell ref="BY8:CA8"/>
    <mergeCell ref="A8:A9"/>
    <mergeCell ref="AJ8:AL8"/>
    <mergeCell ref="AP8:AR8"/>
    <mergeCell ref="AZ8:BB8"/>
    <mergeCell ref="B8:B9"/>
    <mergeCell ref="C8:C9"/>
    <mergeCell ref="D8:D9"/>
    <mergeCell ref="AS8:AU8"/>
    <mergeCell ref="AW8:AY8"/>
    <mergeCell ref="BV8:BX8"/>
    <mergeCell ref="BF8:BH8"/>
    <mergeCell ref="BS8:BU8"/>
    <mergeCell ref="BI8:BK8"/>
    <mergeCell ref="BM8:BO8"/>
  </mergeCells>
  <phoneticPr fontId="0" type="noConversion"/>
  <pageMargins left="0.55118110236220474" right="0.19685039370078741" top="0.47244094488188981" bottom="0.27559055118110237" header="0" footer="0"/>
  <pageSetup paperSize="9" scale="24" fitToHeight="0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euil2"/>
  <dimension ref="A1:W107"/>
  <sheetViews>
    <sheetView zoomScaleNormal="100" workbookViewId="0">
      <pane ySplit="9" topLeftCell="A98" activePane="bottomLeft" state="frozenSplit"/>
      <selection activeCell="C7" sqref="C7"/>
      <selection pane="bottomLeft" activeCell="H120" sqref="H120"/>
    </sheetView>
  </sheetViews>
  <sheetFormatPr baseColWidth="10" defaultColWidth="11.42578125" defaultRowHeight="12.75" x14ac:dyDescent="0.2"/>
  <cols>
    <col min="1" max="1" width="7.140625" style="2" customWidth="1"/>
    <col min="2" max="2" width="10.42578125" style="19" bestFit="1" customWidth="1"/>
    <col min="3" max="10" width="8.42578125" style="2" customWidth="1"/>
    <col min="11" max="11" width="9.85546875" style="2" bestFit="1" customWidth="1"/>
    <col min="12" max="13" width="8.42578125" style="2" customWidth="1"/>
    <col min="14" max="14" width="7.140625" style="2" customWidth="1"/>
    <col min="15" max="20" width="8.42578125" style="14" customWidth="1"/>
    <col min="21" max="16384" width="11.42578125" style="2"/>
  </cols>
  <sheetData>
    <row r="1" spans="1:20" ht="15.75" x14ac:dyDescent="0.2">
      <c r="Q1" s="132" t="s">
        <v>6</v>
      </c>
      <c r="R1" s="132"/>
      <c r="S1" s="132"/>
      <c r="T1" s="132"/>
    </row>
    <row r="2" spans="1:20" ht="15.75" x14ac:dyDescent="0.2">
      <c r="Q2" s="132" t="s">
        <v>39</v>
      </c>
      <c r="R2" s="132"/>
      <c r="S2" s="132"/>
      <c r="T2" s="132"/>
    </row>
    <row r="3" spans="1:20" ht="15" customHeight="1" x14ac:dyDescent="0.2">
      <c r="Q3" s="11"/>
      <c r="R3" s="11"/>
      <c r="S3" s="11"/>
      <c r="T3" s="11"/>
    </row>
    <row r="4" spans="1:20" ht="15" customHeight="1" x14ac:dyDescent="0.2">
      <c r="H4" s="28"/>
      <c r="I4" s="28"/>
      <c r="J4" s="28"/>
      <c r="K4" s="28"/>
      <c r="L4" s="28"/>
      <c r="Q4" s="29"/>
      <c r="R4" s="29"/>
      <c r="S4" s="29"/>
      <c r="T4" s="29"/>
    </row>
    <row r="5" spans="1:20" ht="20.25" x14ac:dyDescent="0.2">
      <c r="A5" s="133" t="s">
        <v>44</v>
      </c>
      <c r="B5" s="133"/>
      <c r="C5" s="133"/>
      <c r="D5" s="133"/>
      <c r="E5" s="133"/>
      <c r="F5" s="133"/>
      <c r="G5" s="133"/>
      <c r="H5" s="133"/>
      <c r="I5" s="133"/>
      <c r="J5" s="133"/>
      <c r="K5" s="133"/>
      <c r="L5" s="133"/>
      <c r="M5" s="133"/>
      <c r="N5" s="133"/>
      <c r="O5" s="133"/>
      <c r="P5" s="133"/>
      <c r="Q5" s="133"/>
      <c r="R5" s="133"/>
      <c r="S5" s="133"/>
      <c r="T5" s="133"/>
    </row>
    <row r="6" spans="1:20" ht="15" customHeight="1" x14ac:dyDescent="0.2">
      <c r="H6" s="28"/>
      <c r="I6" s="28"/>
      <c r="J6" s="28"/>
      <c r="K6" s="28"/>
      <c r="L6" s="28"/>
      <c r="Q6" s="29"/>
      <c r="R6" s="29"/>
      <c r="S6" s="29"/>
      <c r="T6" s="29"/>
    </row>
    <row r="7" spans="1:20" ht="15" customHeight="1" thickBot="1" x14ac:dyDescent="0.25">
      <c r="H7" s="28"/>
      <c r="I7" s="28"/>
      <c r="J7" s="28"/>
      <c r="K7" s="28"/>
      <c r="L7" s="28"/>
      <c r="Q7" s="29"/>
      <c r="R7" s="29"/>
      <c r="S7" s="29"/>
      <c r="T7" s="29"/>
    </row>
    <row r="8" spans="1:20" ht="16.5" thickBot="1" x14ac:dyDescent="0.25">
      <c r="A8" s="9"/>
      <c r="B8" s="20"/>
      <c r="C8" s="21"/>
      <c r="D8" s="129" t="s">
        <v>48</v>
      </c>
      <c r="E8" s="130"/>
      <c r="F8" s="130"/>
      <c r="G8" s="130"/>
      <c r="H8" s="130"/>
      <c r="I8" s="131"/>
      <c r="J8" s="6"/>
      <c r="O8" s="129" t="s">
        <v>49</v>
      </c>
      <c r="P8" s="130"/>
      <c r="Q8" s="130"/>
      <c r="R8" s="130"/>
      <c r="S8" s="130"/>
      <c r="T8" s="131"/>
    </row>
    <row r="9" spans="1:20" ht="42.75" customHeight="1" x14ac:dyDescent="0.2">
      <c r="A9" s="51" t="s">
        <v>7</v>
      </c>
      <c r="B9" s="56" t="s">
        <v>8</v>
      </c>
      <c r="C9" s="51" t="s">
        <v>30</v>
      </c>
      <c r="D9" s="59" t="s">
        <v>36</v>
      </c>
      <c r="E9" s="55" t="s">
        <v>12</v>
      </c>
      <c r="F9" s="55" t="s">
        <v>13</v>
      </c>
      <c r="G9" s="59" t="s">
        <v>37</v>
      </c>
      <c r="H9" s="55" t="s">
        <v>14</v>
      </c>
      <c r="I9" s="59" t="s">
        <v>38</v>
      </c>
      <c r="O9" s="59" t="s">
        <v>36</v>
      </c>
      <c r="P9" s="55" t="s">
        <v>12</v>
      </c>
      <c r="Q9" s="55" t="s">
        <v>13</v>
      </c>
      <c r="R9" s="59" t="s">
        <v>37</v>
      </c>
      <c r="S9" s="55" t="s">
        <v>14</v>
      </c>
      <c r="T9" s="59" t="s">
        <v>38</v>
      </c>
    </row>
    <row r="10" spans="1:20" ht="20.100000000000001" customHeight="1" x14ac:dyDescent="0.2">
      <c r="A10" s="52">
        <f t="shared" ref="A10:A73" si="0">jours</f>
        <v>0</v>
      </c>
      <c r="B10" s="53">
        <f t="shared" ref="B10:B76" si="1">date</f>
        <v>43655</v>
      </c>
      <c r="C10" s="54">
        <f>'Résultats observations'!D10</f>
        <v>13.900000000000006</v>
      </c>
      <c r="D10" s="49">
        <f t="shared" ref="D10:D74" si="2">Ecart_IG</f>
        <v>0</v>
      </c>
      <c r="E10" s="49">
        <f t="shared" ref="E10:E74" si="3">Ecart_HG</f>
        <v>0</v>
      </c>
      <c r="F10" s="49">
        <f t="shared" ref="F10:F74" si="4">Ecart_HD</f>
        <v>0</v>
      </c>
      <c r="G10" s="49">
        <f t="shared" ref="G10:G74" si="5">Ecart_ID</f>
        <v>0</v>
      </c>
      <c r="H10" s="49">
        <f t="shared" ref="H10:H76" si="6">Ecart_LH</f>
        <v>0</v>
      </c>
      <c r="I10" s="49">
        <f t="shared" ref="I10:I76" si="7">Ecart_LI</f>
        <v>0</v>
      </c>
      <c r="O10" s="50"/>
      <c r="P10" s="50"/>
      <c r="Q10" s="50"/>
      <c r="R10" s="50"/>
      <c r="S10" s="50"/>
      <c r="T10" s="50"/>
    </row>
    <row r="11" spans="1:20" ht="20.100000000000001" customHeight="1" x14ac:dyDescent="0.2">
      <c r="A11" s="52">
        <f t="shared" si="0"/>
        <v>2</v>
      </c>
      <c r="B11" s="53">
        <f t="shared" si="1"/>
        <v>43657</v>
      </c>
      <c r="C11" s="54">
        <f>'Résultats observations'!D11</f>
        <v>14.629999999999995</v>
      </c>
      <c r="D11" s="49">
        <f t="shared" si="2"/>
        <v>8.1236089134684164E-2</v>
      </c>
      <c r="E11" s="49">
        <f t="shared" si="3"/>
        <v>8.6295387484280894E-2</v>
      </c>
      <c r="F11" s="49">
        <f t="shared" si="4"/>
        <v>-0.27464096933682569</v>
      </c>
      <c r="G11" s="49">
        <f t="shared" si="5"/>
        <v>-0.23352312251123664</v>
      </c>
      <c r="H11" s="49">
        <f t="shared" si="6"/>
        <v>-0.23236682556682098</v>
      </c>
      <c r="I11" s="49">
        <f t="shared" si="7"/>
        <v>0.21494242195174706</v>
      </c>
      <c r="O11" s="49">
        <f>IF(AND(D11&lt;&gt;"",D10&lt;&gt;""),(D11-D10)/($B11-$B10),"")</f>
        <v>4.0618044567342082E-2</v>
      </c>
      <c r="P11" s="49">
        <f t="shared" ref="P11:T11" si="8">IF(AND(E11&lt;&gt;"",E10&lt;&gt;""),(E11-E10)/($B11-$B10),"")</f>
        <v>4.3147693742140447E-2</v>
      </c>
      <c r="Q11" s="49">
        <f t="shared" si="8"/>
        <v>-0.13732048466841285</v>
      </c>
      <c r="R11" s="49">
        <f t="shared" si="8"/>
        <v>-0.11676156125561832</v>
      </c>
      <c r="S11" s="49">
        <f t="shared" si="8"/>
        <v>-0.11618341278341049</v>
      </c>
      <c r="T11" s="49">
        <f t="shared" si="8"/>
        <v>0.10747121097587353</v>
      </c>
    </row>
    <row r="12" spans="1:20" ht="20.100000000000001" customHeight="1" x14ac:dyDescent="0.2">
      <c r="A12" s="52">
        <f t="shared" si="0"/>
        <v>6</v>
      </c>
      <c r="B12" s="53">
        <f t="shared" si="1"/>
        <v>43661</v>
      </c>
      <c r="C12" s="54">
        <f>'Résultats observations'!D12</f>
        <v>16.799999999999983</v>
      </c>
      <c r="D12" s="49">
        <f t="shared" si="2"/>
        <v>-0.2119104389315396</v>
      </c>
      <c r="E12" s="49">
        <f t="shared" si="3"/>
        <v>-0.12063457572830671</v>
      </c>
      <c r="F12" s="49">
        <f t="shared" si="4"/>
        <v>6.7421010198520648E-2</v>
      </c>
      <c r="G12" s="49">
        <f t="shared" si="5"/>
        <v>-0.51402381300791333</v>
      </c>
      <c r="H12" s="49">
        <f t="shared" si="6"/>
        <v>0.26664725997660454</v>
      </c>
      <c r="I12" s="49">
        <f t="shared" si="7"/>
        <v>-0.9011184985832088</v>
      </c>
      <c r="O12" s="49">
        <f t="shared" ref="O12" si="9">IF(AND(D12&lt;&gt;"",D11&lt;&gt;""),(D12-D11)/($B12-$B11),"")</f>
        <v>-7.3286632016555942E-2</v>
      </c>
      <c r="P12" s="49">
        <f t="shared" ref="P12" si="10">IF(AND(E12&lt;&gt;"",E11&lt;&gt;""),(E12-E11)/($B12-$B11),"")</f>
        <v>-5.1732490803146902E-2</v>
      </c>
      <c r="Q12" s="49">
        <f t="shared" ref="Q12" si="11">IF(AND(F12&lt;&gt;"",F11&lt;&gt;""),(F12-F11)/($B12-$B11),"")</f>
        <v>8.5515494883836585E-2</v>
      </c>
      <c r="R12" s="49">
        <f t="shared" ref="R12" si="12">IF(AND(G12&lt;&gt;"",G11&lt;&gt;""),(G12-G11)/($B12-$B11),"")</f>
        <v>-7.0125172624169174E-2</v>
      </c>
      <c r="S12" s="49">
        <f t="shared" ref="S12" si="13">IF(AND(H12&lt;&gt;"",H11&lt;&gt;""),(H12-H11)/($B12-$B11),"")</f>
        <v>0.12475352138585638</v>
      </c>
      <c r="T12" s="49">
        <f t="shared" ref="T12" si="14">IF(AND(I12&lt;&gt;"",I11&lt;&gt;""),(I12-I11)/($B12-$B11),"")</f>
        <v>-0.27901523013373897</v>
      </c>
    </row>
    <row r="13" spans="1:20" ht="20.100000000000001" customHeight="1" x14ac:dyDescent="0.2">
      <c r="A13" s="52">
        <f t="shared" si="0"/>
        <v>8</v>
      </c>
      <c r="B13" s="53">
        <f t="shared" si="1"/>
        <v>43663</v>
      </c>
      <c r="C13" s="54">
        <f>'Résultats observations'!D13</f>
        <v>17.769999999999982</v>
      </c>
      <c r="D13" s="49">
        <f t="shared" si="2"/>
        <v>-0.97017877645155792</v>
      </c>
      <c r="E13" s="49">
        <f t="shared" si="3"/>
        <v>-0.2991109595542607</v>
      </c>
      <c r="F13" s="49">
        <f t="shared" si="4"/>
        <v>-0.17554520302298648</v>
      </c>
      <c r="G13" s="49">
        <f t="shared" si="5"/>
        <v>-0.38672180263388256</v>
      </c>
      <c r="H13" s="49">
        <f t="shared" si="6"/>
        <v>7.1064045388258279E-2</v>
      </c>
      <c r="I13" s="49">
        <f t="shared" si="7"/>
        <v>-8.9940130549415187E-2</v>
      </c>
      <c r="O13" s="49">
        <f t="shared" ref="O13:O15" si="15">IF(AND(D13&lt;&gt;"",D12&lt;&gt;""),(D13-D12)/($B13-$B12),"")</f>
        <v>-0.37913416876000916</v>
      </c>
      <c r="P13" s="49">
        <f t="shared" ref="P13" si="16">IF(AND(E13&lt;&gt;"",E12&lt;&gt;""),(E13-E12)/($B13-$B12),"")</f>
        <v>-8.9238191912976994E-2</v>
      </c>
      <c r="Q13" s="49">
        <f t="shared" ref="Q13:Q15" si="17">IF(AND(F13&lt;&gt;"",F12&lt;&gt;""),(F13-F12)/($B13-$B12),"")</f>
        <v>-0.12148310661075357</v>
      </c>
      <c r="R13" s="49">
        <f t="shared" ref="R13:R15" si="18">IF(AND(G13&lt;&gt;"",G12&lt;&gt;""),(G13-G12)/($B13-$B12),"")</f>
        <v>6.3651005187015386E-2</v>
      </c>
      <c r="S13" s="49">
        <f t="shared" ref="S13" si="19">IF(AND(H13&lt;&gt;"",H12&lt;&gt;""),(H13-H12)/($B13-$B12),"")</f>
        <v>-9.7791607294173133E-2</v>
      </c>
      <c r="T13" s="49">
        <f t="shared" ref="T13:T15" si="20">IF(AND(I13&lt;&gt;"",I12&lt;&gt;""),(I13-I12)/($B13-$B12),"")</f>
        <v>0.40558918401689681</v>
      </c>
    </row>
    <row r="14" spans="1:20" ht="20.100000000000001" customHeight="1" x14ac:dyDescent="0.2">
      <c r="A14" s="52">
        <f t="shared" si="0"/>
        <v>14</v>
      </c>
      <c r="B14" s="53">
        <f t="shared" si="1"/>
        <v>43669</v>
      </c>
      <c r="C14" s="54">
        <f>'Résultats observations'!D14</f>
        <v>18.799999999999983</v>
      </c>
      <c r="D14" s="49">
        <f t="shared" si="2"/>
        <v>-1.2629817696749868</v>
      </c>
      <c r="E14" s="77" t="s">
        <v>50</v>
      </c>
      <c r="F14" s="49">
        <f t="shared" si="4"/>
        <v>-0.1390187813381516</v>
      </c>
      <c r="G14" s="49">
        <f t="shared" si="5"/>
        <v>-1.6449810745458038</v>
      </c>
      <c r="H14" s="77" t="s">
        <v>50</v>
      </c>
      <c r="I14" s="49">
        <f t="shared" si="7"/>
        <v>-1.9078434758927898</v>
      </c>
      <c r="O14" s="49">
        <f t="shared" si="15"/>
        <v>-4.8800498870571474E-2</v>
      </c>
      <c r="P14" s="49"/>
      <c r="Q14" s="49">
        <f t="shared" si="17"/>
        <v>6.0877369474724814E-3</v>
      </c>
      <c r="R14" s="49">
        <f t="shared" si="18"/>
        <v>-0.20970987865198687</v>
      </c>
      <c r="S14" s="49"/>
      <c r="T14" s="49">
        <f t="shared" si="20"/>
        <v>-0.30298389089056244</v>
      </c>
    </row>
    <row r="15" spans="1:20" ht="20.100000000000001" customHeight="1" x14ac:dyDescent="0.2">
      <c r="A15" s="52">
        <f t="shared" si="0"/>
        <v>20</v>
      </c>
      <c r="B15" s="53">
        <f t="shared" si="1"/>
        <v>43675</v>
      </c>
      <c r="C15" s="54">
        <f>'Résultats observations'!D15</f>
        <v>21.099999999999994</v>
      </c>
      <c r="D15" s="49">
        <f t="shared" si="2"/>
        <v>-1.5547551784007574</v>
      </c>
      <c r="E15" s="49">
        <f t="shared" si="3"/>
        <v>-0.57966458532909826</v>
      </c>
      <c r="F15" s="49">
        <f t="shared" si="4"/>
        <v>-0.31463522814489941</v>
      </c>
      <c r="G15" s="49">
        <f t="shared" si="5"/>
        <v>-2.1113031149595507</v>
      </c>
      <c r="H15" s="49">
        <f t="shared" si="6"/>
        <v>-0.11334755072578417</v>
      </c>
      <c r="I15" s="49">
        <f t="shared" si="7"/>
        <v>-1.6322449728995991</v>
      </c>
      <c r="O15" s="49">
        <f t="shared" si="15"/>
        <v>-4.8628901454295104E-2</v>
      </c>
      <c r="P15" s="49"/>
      <c r="Q15" s="49">
        <f t="shared" si="17"/>
        <v>-2.9269407801124636E-2</v>
      </c>
      <c r="R15" s="49">
        <f t="shared" si="18"/>
        <v>-7.7720340068957824E-2</v>
      </c>
      <c r="S15" s="49"/>
      <c r="T15" s="49">
        <f t="shared" si="20"/>
        <v>4.5933083832198442E-2</v>
      </c>
    </row>
    <row r="16" spans="1:20" ht="20.100000000000001" customHeight="1" x14ac:dyDescent="0.2">
      <c r="A16" s="52">
        <f t="shared" si="0"/>
        <v>24</v>
      </c>
      <c r="B16" s="53">
        <f t="shared" si="1"/>
        <v>43679</v>
      </c>
      <c r="C16" s="54">
        <f>'Résultats observations'!D16</f>
        <v>22.099999999999994</v>
      </c>
      <c r="D16" s="49">
        <f t="shared" si="2"/>
        <v>-1.0125454292251312</v>
      </c>
      <c r="E16" s="49">
        <f t="shared" si="3"/>
        <v>3.0650547309107878E-3</v>
      </c>
      <c r="F16" s="49">
        <f t="shared" si="4"/>
        <v>-0.24716795831114524</v>
      </c>
      <c r="G16" s="49">
        <f t="shared" si="5"/>
        <v>-2.9775062220886994</v>
      </c>
      <c r="H16" s="49">
        <f t="shared" si="6"/>
        <v>0.47049643801955199</v>
      </c>
      <c r="I16" s="49">
        <f t="shared" si="7"/>
        <v>-2.0534830499006063</v>
      </c>
      <c r="J16" s="7"/>
      <c r="K16" s="7"/>
      <c r="L16" s="7"/>
      <c r="O16" s="49">
        <f t="shared" ref="O16" si="21">IF(AND(D16&lt;&gt;"",D15&lt;&gt;""),(D16-D15)/($B16-$B15),"")</f>
        <v>0.13555243729390654</v>
      </c>
      <c r="P16" s="49">
        <f t="shared" ref="P16" si="22">IF(AND(E16&lt;&gt;"",E15&lt;&gt;""),(E16-E15)/($B16-$B15),"")</f>
        <v>0.14568241001500226</v>
      </c>
      <c r="Q16" s="49">
        <f t="shared" ref="Q16" si="23">IF(AND(F16&lt;&gt;"",F15&lt;&gt;""),(F16-F15)/($B16-$B15),"")</f>
        <v>1.6866817458438543E-2</v>
      </c>
      <c r="R16" s="49">
        <f t="shared" ref="R16" si="24">IF(AND(G16&lt;&gt;"",G15&lt;&gt;""),(G16-G15)/($B16-$B15),"")</f>
        <v>-0.21655077678228718</v>
      </c>
      <c r="S16" s="49">
        <f t="shared" ref="S16" si="25">IF(AND(H16&lt;&gt;"",H15&lt;&gt;""),(H16-H15)/($B16-$B15),"")</f>
        <v>0.14596099718633404</v>
      </c>
      <c r="T16" s="49">
        <f t="shared" ref="T16" si="26">IF(AND(I16&lt;&gt;"",I15&lt;&gt;""),(I16-I15)/($B16-$B15),"")</f>
        <v>-0.10530951925025178</v>
      </c>
    </row>
    <row r="17" spans="1:23" ht="20.100000000000001" customHeight="1" x14ac:dyDescent="0.2">
      <c r="A17" s="52">
        <f t="shared" si="0"/>
        <v>27</v>
      </c>
      <c r="B17" s="53">
        <f t="shared" si="1"/>
        <v>43682</v>
      </c>
      <c r="C17" s="54">
        <f>'Résultats observations'!D17</f>
        <v>22.639999999999986</v>
      </c>
      <c r="D17" s="49">
        <f t="shared" si="2"/>
        <v>-1.5445934574653819</v>
      </c>
      <c r="E17" s="49">
        <f t="shared" si="3"/>
        <v>-0.46609369908945375</v>
      </c>
      <c r="F17" s="49">
        <f t="shared" si="4"/>
        <v>-0.44955393745449435</v>
      </c>
      <c r="G17" s="49">
        <f t="shared" si="5"/>
        <v>0</v>
      </c>
      <c r="H17" s="49">
        <f t="shared" si="6"/>
        <v>5.6527782801740756E-2</v>
      </c>
      <c r="I17" s="49" t="str">
        <f t="shared" si="7"/>
        <v/>
      </c>
      <c r="O17" s="49">
        <f t="shared" ref="O17:O19" si="27">IF(AND(D17&lt;&gt;"",D16&lt;&gt;""),(D17-D16)/($B17-$B16),"")</f>
        <v>-0.17734934274675021</v>
      </c>
      <c r="P17" s="49">
        <f t="shared" ref="P17:P19" si="28">IF(AND(E17&lt;&gt;"",E16&lt;&gt;""),(E17-E16)/($B17-$B16),"")</f>
        <v>-0.15638625127345485</v>
      </c>
      <c r="Q17" s="49">
        <f t="shared" ref="Q17:Q19" si="29">IF(AND(F17&lt;&gt;"",F16&lt;&gt;""),(F17-F16)/($B17-$B16),"")</f>
        <v>-6.7461993047783039E-2</v>
      </c>
      <c r="R17" s="49">
        <f t="shared" ref="R17:R19" si="30">IF(AND(G17&lt;&gt;"",G16&lt;&gt;""),(G17-G16)/($B17-$B16),"")</f>
        <v>0.99250207402956647</v>
      </c>
      <c r="S17" s="49">
        <f t="shared" ref="S17:S19" si="31">IF(AND(H17&lt;&gt;"",H16&lt;&gt;""),(H17-H16)/($B17-$B16),"")</f>
        <v>-0.13798955173927041</v>
      </c>
      <c r="T17" s="49" t="str">
        <f t="shared" ref="T17:T19" si="32">IF(AND(I17&lt;&gt;"",I16&lt;&gt;""),(I17-I16)/($B17-$B16),"")</f>
        <v/>
      </c>
    </row>
    <row r="18" spans="1:23" ht="20.100000000000001" customHeight="1" x14ac:dyDescent="0.2">
      <c r="A18" s="52">
        <f t="shared" si="0"/>
        <v>29</v>
      </c>
      <c r="B18" s="53">
        <f t="shared" si="1"/>
        <v>43684</v>
      </c>
      <c r="C18" s="54">
        <f>'Résultats observations'!D18</f>
        <v>23.199999999999989</v>
      </c>
      <c r="D18" s="49">
        <f t="shared" si="2"/>
        <v>-1.2717656613006056</v>
      </c>
      <c r="E18" s="49">
        <f t="shared" si="3"/>
        <v>-0.62604786164599524</v>
      </c>
      <c r="F18" s="49">
        <f t="shared" si="4"/>
        <v>-0.31463522814489941</v>
      </c>
      <c r="G18" s="49">
        <f t="shared" si="5"/>
        <v>-2.4277477102687683</v>
      </c>
      <c r="H18" s="49">
        <f t="shared" si="6"/>
        <v>-0.18274877820800839</v>
      </c>
      <c r="I18" s="49">
        <f t="shared" si="7"/>
        <v>-1.0773600798064109</v>
      </c>
      <c r="O18" s="49">
        <f t="shared" si="27"/>
        <v>0.13641389808238813</v>
      </c>
      <c r="P18" s="49">
        <f t="shared" si="28"/>
        <v>-7.9977081278270745E-2</v>
      </c>
      <c r="Q18" s="49">
        <f t="shared" si="29"/>
        <v>6.7459354654797465E-2</v>
      </c>
      <c r="R18" s="49">
        <f t="shared" si="30"/>
        <v>-1.2138738551343842</v>
      </c>
      <c r="S18" s="49">
        <f t="shared" si="31"/>
        <v>-0.11963828050487457</v>
      </c>
      <c r="T18" s="49" t="str">
        <f t="shared" si="32"/>
        <v/>
      </c>
      <c r="W18" s="2" t="s">
        <v>62</v>
      </c>
    </row>
    <row r="19" spans="1:23" ht="20.100000000000001" customHeight="1" x14ac:dyDescent="0.2">
      <c r="A19" s="52">
        <f t="shared" si="0"/>
        <v>30</v>
      </c>
      <c r="B19" s="53">
        <f t="shared" si="1"/>
        <v>43685</v>
      </c>
      <c r="C19" s="54">
        <f>'Résultats observations'!D19</f>
        <v>23.199999999999989</v>
      </c>
      <c r="D19" s="49">
        <f t="shared" si="2"/>
        <v>-1.3154324680448859</v>
      </c>
      <c r="E19" s="49">
        <f t="shared" si="3"/>
        <v>-0.54755878551859816</v>
      </c>
      <c r="F19" s="49">
        <f t="shared" si="4"/>
        <v>-0.51700531705356489</v>
      </c>
      <c r="G19" s="49">
        <f t="shared" si="5"/>
        <v>-2.6169371407624986</v>
      </c>
      <c r="H19" s="49">
        <f t="shared" si="6"/>
        <v>-8.2532695043102677E-2</v>
      </c>
      <c r="I19" s="49">
        <f t="shared" si="7"/>
        <v>-1.2147637153523405</v>
      </c>
      <c r="O19" s="49">
        <f t="shared" si="27"/>
        <v>-4.3666806744280251E-2</v>
      </c>
      <c r="P19" s="49">
        <f t="shared" si="28"/>
        <v>7.8489076127397084E-2</v>
      </c>
      <c r="Q19" s="49">
        <f t="shared" si="29"/>
        <v>-0.20237008890866548</v>
      </c>
      <c r="R19" s="49">
        <f t="shared" si="30"/>
        <v>-0.18918943049373027</v>
      </c>
      <c r="S19" s="49">
        <f t="shared" si="31"/>
        <v>0.10021608316490571</v>
      </c>
      <c r="T19" s="49">
        <f t="shared" si="32"/>
        <v>-0.1374036355459296</v>
      </c>
    </row>
    <row r="20" spans="1:23" ht="20.100000000000001" customHeight="1" x14ac:dyDescent="0.2">
      <c r="A20" s="52">
        <f t="shared" si="0"/>
        <v>34</v>
      </c>
      <c r="B20" s="53">
        <f t="shared" si="1"/>
        <v>43689</v>
      </c>
      <c r="C20" s="54">
        <f>'Résultats observations'!D20</f>
        <v>24.400000000000006</v>
      </c>
      <c r="D20" s="49">
        <f t="shared" si="2"/>
        <v>-1.4334102964670414</v>
      </c>
      <c r="E20" s="49">
        <f t="shared" si="3"/>
        <v>-0.46789233765442972</v>
      </c>
      <c r="F20" s="49">
        <f t="shared" si="4"/>
        <v>-0.49919935292486173</v>
      </c>
      <c r="G20" s="49">
        <f t="shared" si="5"/>
        <v>-3.6414461983471647</v>
      </c>
      <c r="H20" s="49">
        <f t="shared" si="6"/>
        <v>-8.2532754996922364E-2</v>
      </c>
      <c r="I20" s="49">
        <f t="shared" si="7"/>
        <v>-2.0457146490180378</v>
      </c>
      <c r="K20" s="128"/>
      <c r="L20" s="128"/>
      <c r="M20" s="128"/>
      <c r="O20" s="49">
        <f t="shared" ref="O20" si="33">IF(AND(D20&lt;&gt;"",D19&lt;&gt;""),(D20-D19)/($B20-$B19),"")</f>
        <v>-2.9494457105538885E-2</v>
      </c>
      <c r="P20" s="49">
        <f t="shared" ref="P20" si="34">IF(AND(E20&lt;&gt;"",E19&lt;&gt;""),(E20-E19)/($B20-$B19),"")</f>
        <v>1.9916611966042108E-2</v>
      </c>
      <c r="Q20" s="49">
        <f t="shared" ref="Q20" si="35">IF(AND(F20&lt;&gt;"",F19&lt;&gt;""),(F20-F19)/($B20-$B19),"")</f>
        <v>4.4514910321757917E-3</v>
      </c>
      <c r="R20" s="49">
        <f t="shared" ref="R20" si="36">IF(AND(G20&lt;&gt;"",G19&lt;&gt;""),(G20-G19)/($B20-$B19),"")</f>
        <v>-0.25612726439616651</v>
      </c>
      <c r="S20" s="49">
        <f t="shared" ref="S20" si="37">IF(AND(H20&lt;&gt;"",H19&lt;&gt;""),(H20-H19)/($B20-$B19),"")</f>
        <v>-1.4988454921649463E-8</v>
      </c>
      <c r="T20" s="49">
        <f t="shared" ref="T20" si="38">IF(AND(I20&lt;&gt;"",I19&lt;&gt;""),(I20-I19)/($B20-$B19),"")</f>
        <v>-0.20773773341642432</v>
      </c>
    </row>
    <row r="21" spans="1:23" ht="20.100000000000001" customHeight="1" x14ac:dyDescent="0.2">
      <c r="A21" s="52">
        <f t="shared" si="0"/>
        <v>35</v>
      </c>
      <c r="B21" s="53">
        <f t="shared" si="1"/>
        <v>43690</v>
      </c>
      <c r="C21" s="54">
        <f>'Résultats observations'!D21</f>
        <v>24.400000000000006</v>
      </c>
      <c r="D21" s="49">
        <f t="shared" si="2"/>
        <v>-1.8712528549826857</v>
      </c>
      <c r="E21" s="49">
        <f t="shared" si="3"/>
        <v>-0.89875165575725724</v>
      </c>
      <c r="F21" s="49">
        <f t="shared" si="4"/>
        <v>-0.20047065643513662</v>
      </c>
      <c r="G21" s="49">
        <f t="shared" si="5"/>
        <v>-2.837911345670463</v>
      </c>
      <c r="H21" s="49">
        <f t="shared" si="6"/>
        <v>7.0151922331174177E-2</v>
      </c>
      <c r="I21" s="49">
        <f t="shared" si="7"/>
        <v>-1.9044030672157319</v>
      </c>
      <c r="O21" s="49">
        <f t="shared" ref="O21" si="39">IF(AND(D21&lt;&gt;"",D20&lt;&gt;""),(D21-D20)/($B21-$B20),"")</f>
        <v>-0.43784255851564424</v>
      </c>
      <c r="P21" s="49">
        <f t="shared" ref="P21" si="40">IF(AND(E21&lt;&gt;"",E20&lt;&gt;""),(E21-E20)/($B21-$B20),"")</f>
        <v>-0.43085931810282752</v>
      </c>
      <c r="Q21" s="49">
        <f t="shared" ref="Q21" si="41">IF(AND(F21&lt;&gt;"",F20&lt;&gt;""),(F21-F20)/($B21-$B20),"")</f>
        <v>0.29872869648972511</v>
      </c>
      <c r="R21" s="49">
        <f t="shared" ref="R21" si="42">IF(AND(G21&lt;&gt;"",G20&lt;&gt;""),(G21-G20)/($B21-$B20),"")</f>
        <v>0.80353485267670166</v>
      </c>
      <c r="S21" s="49">
        <f t="shared" ref="S21" si="43">IF(AND(H21&lt;&gt;"",H20&lt;&gt;""),(H21-H20)/($B21-$B20),"")</f>
        <v>0.15268467732809654</v>
      </c>
      <c r="T21" s="49">
        <f t="shared" ref="T21" si="44">IF(AND(I21&lt;&gt;"",I20&lt;&gt;""),(I21-I20)/($B21-$B20),"")</f>
        <v>0.14131158180230585</v>
      </c>
    </row>
    <row r="22" spans="1:23" ht="20.100000000000001" customHeight="1" x14ac:dyDescent="0.2">
      <c r="A22" s="52">
        <f t="shared" si="0"/>
        <v>41</v>
      </c>
      <c r="B22" s="53">
        <f t="shared" si="1"/>
        <v>43696</v>
      </c>
      <c r="C22" s="54">
        <f>'Résultats observations'!D22</f>
        <v>25</v>
      </c>
      <c r="D22" s="49">
        <f t="shared" si="2"/>
        <v>-1.3743096585163705</v>
      </c>
      <c r="E22" s="49">
        <f t="shared" si="3"/>
        <v>-0.64125919030599832</v>
      </c>
      <c r="F22" s="49">
        <f t="shared" si="4"/>
        <v>-0.32389756564477068</v>
      </c>
      <c r="G22" s="49">
        <f t="shared" si="5"/>
        <v>-3.8558556302685787</v>
      </c>
      <c r="H22" s="49">
        <f t="shared" si="6"/>
        <v>0.34368141300955557</v>
      </c>
      <c r="I22" s="49">
        <f t="shared" si="7"/>
        <v>-1.5075845539467281</v>
      </c>
      <c r="O22" s="49">
        <f t="shared" ref="O22" si="45">IF(AND(D22&lt;&gt;"",D21&lt;&gt;""),(D22-D21)/($B22-$B21),"")</f>
        <v>8.2823866077719188E-2</v>
      </c>
      <c r="P22" s="49">
        <f t="shared" ref="P22" si="46">IF(AND(E22&lt;&gt;"",E21&lt;&gt;""),(E22-E21)/($B22-$B21),"")</f>
        <v>4.2915410908543151E-2</v>
      </c>
      <c r="Q22" s="49">
        <f t="shared" ref="Q22" si="47">IF(AND(F22&lt;&gt;"",F21&lt;&gt;""),(F22-F21)/($B22-$B21),"")</f>
        <v>-2.0571151534939009E-2</v>
      </c>
      <c r="R22" s="49">
        <f t="shared" ref="R22" si="48">IF(AND(G22&lt;&gt;"",G21&lt;&gt;""),(G22-G21)/($B22-$B21),"")</f>
        <v>-0.16965738076635262</v>
      </c>
      <c r="S22" s="49">
        <f t="shared" ref="S22" si="49">IF(AND(H22&lt;&gt;"",H21&lt;&gt;""),(H22-H21)/($B22-$B21),"")</f>
        <v>4.5588248446396896E-2</v>
      </c>
      <c r="T22" s="49">
        <f t="shared" ref="T22" si="50">IF(AND(I22&lt;&gt;"",I21&lt;&gt;""),(I22-I21)/($B22-$B21),"")</f>
        <v>6.6136418878167305E-2</v>
      </c>
    </row>
    <row r="23" spans="1:23" ht="20.100000000000001" customHeight="1" x14ac:dyDescent="0.2">
      <c r="A23" s="52">
        <f t="shared" si="0"/>
        <v>44</v>
      </c>
      <c r="B23" s="53">
        <f t="shared" si="1"/>
        <v>43699</v>
      </c>
      <c r="C23" s="54">
        <f>'Résultats observations'!D23</f>
        <v>25.949999999999989</v>
      </c>
      <c r="D23" s="49">
        <f t="shared" si="2"/>
        <v>-1.3306116155860082</v>
      </c>
      <c r="E23" s="49">
        <f t="shared" si="3"/>
        <v>-0.5239959916849557</v>
      </c>
      <c r="F23" s="49">
        <f t="shared" si="4"/>
        <v>-0.34299298287820967</v>
      </c>
      <c r="G23" s="49">
        <f t="shared" si="5"/>
        <v>-4.0293174498917672</v>
      </c>
      <c r="H23" s="49">
        <f t="shared" si="6"/>
        <v>0.17136668248385334</v>
      </c>
      <c r="I23" s="49">
        <f t="shared" si="7"/>
        <v>-1.5877290309331826</v>
      </c>
      <c r="O23" s="49">
        <f t="shared" ref="O23:O33" si="51">IF(AND(D23&lt;&gt;"",D22&lt;&gt;""),(D23-D22)/($B23-$B22),"")</f>
        <v>1.4566014310120797E-2</v>
      </c>
      <c r="P23" s="49">
        <f t="shared" ref="P23:Q24" si="52">IF(AND(E23&lt;&gt;"",E22&lt;&gt;""),(E23-E22)/($B23-$B22),"")</f>
        <v>3.9087732873680871E-2</v>
      </c>
      <c r="Q23" s="49">
        <f t="shared" si="52"/>
        <v>-6.3651390778129979E-3</v>
      </c>
      <c r="R23" s="49">
        <f t="shared" ref="R23:R33" si="53">IF(AND(G23&lt;&gt;"",G22&lt;&gt;""),(G23-G22)/($B23-$B22),"")</f>
        <v>-5.7820606541062837E-2</v>
      </c>
      <c r="S23" s="49">
        <f t="shared" ref="S23:S24" si="54">IF(AND(H23&lt;&gt;"",H22&lt;&gt;""),(H23-H22)/($B23-$B22),"")</f>
        <v>-5.743824350856741E-2</v>
      </c>
      <c r="T23" s="49">
        <f t="shared" ref="T23:T33" si="55">IF(AND(I23&lt;&gt;"",I22&lt;&gt;""),(I23-I22)/($B23-$B22),"")</f>
        <v>-2.6714825662151515E-2</v>
      </c>
    </row>
    <row r="24" spans="1:23" ht="20.100000000000001" customHeight="1" x14ac:dyDescent="0.2">
      <c r="A24" s="52">
        <f t="shared" si="0"/>
        <v>48</v>
      </c>
      <c r="B24" s="53">
        <f t="shared" si="1"/>
        <v>43703</v>
      </c>
      <c r="C24" s="54">
        <f>'Résultats observations'!D24</f>
        <v>25.949999999999989</v>
      </c>
      <c r="D24" s="49">
        <f t="shared" si="2"/>
        <v>-1.4201733742016387</v>
      </c>
      <c r="E24" s="49">
        <f t="shared" si="3"/>
        <v>-0.64702062668753335</v>
      </c>
      <c r="F24" s="49">
        <f t="shared" si="4"/>
        <v>-0.34046650031727133</v>
      </c>
      <c r="G24" s="49">
        <f t="shared" si="5"/>
        <v>-4.4080640715238317</v>
      </c>
      <c r="H24" s="49">
        <f t="shared" si="6"/>
        <v>0.27397025745834469</v>
      </c>
      <c r="I24" s="49">
        <f t="shared" si="7"/>
        <v>-1.5898939446490346</v>
      </c>
      <c r="O24" s="49">
        <f t="shared" si="51"/>
        <v>-2.2390439653907634E-2</v>
      </c>
      <c r="P24" s="49">
        <f t="shared" si="52"/>
        <v>-3.0756158750644413E-2</v>
      </c>
      <c r="Q24" s="49">
        <f t="shared" si="52"/>
        <v>6.3162064023458697E-4</v>
      </c>
      <c r="R24" s="49">
        <f t="shared" si="53"/>
        <v>-9.4686655408016129E-2</v>
      </c>
      <c r="S24" s="49">
        <f t="shared" si="54"/>
        <v>2.5650893743622838E-2</v>
      </c>
      <c r="T24" s="49">
        <f t="shared" si="55"/>
        <v>-5.4122842896298096E-4</v>
      </c>
    </row>
    <row r="25" spans="1:23" ht="20.100000000000001" customHeight="1" x14ac:dyDescent="0.2">
      <c r="A25" s="52">
        <f t="shared" si="0"/>
        <v>51</v>
      </c>
      <c r="B25" s="53">
        <f t="shared" si="1"/>
        <v>43706</v>
      </c>
      <c r="C25" s="54">
        <f>'Résultats observations'!D25</f>
        <v>27.900000000000006</v>
      </c>
      <c r="D25" s="49">
        <f t="shared" si="2"/>
        <v>-1.289062439935762</v>
      </c>
      <c r="E25" s="49">
        <f t="shared" si="3"/>
        <v>-0.6903111498326453</v>
      </c>
      <c r="F25" s="49">
        <f t="shared" si="4"/>
        <v>-0.31377190652737141</v>
      </c>
      <c r="G25" s="49">
        <f t="shared" si="5"/>
        <v>-4.707870575672235</v>
      </c>
      <c r="H25" s="49">
        <f t="shared" si="6"/>
        <v>0.30768892481258803</v>
      </c>
      <c r="I25" s="49">
        <f t="shared" si="7"/>
        <v>-1.5718409316054505</v>
      </c>
      <c r="O25" s="49">
        <f t="shared" ref="O25" si="56">IF(AND(D25&lt;&gt;"",D24&lt;&gt;""),(D25-D24)/($B25-$B24),"")</f>
        <v>4.3703644755292238E-2</v>
      </c>
      <c r="P25" s="49">
        <f t="shared" ref="P25" si="57">IF(AND(E25&lt;&gt;"",E24&lt;&gt;""),(E25-E24)/($B25-$B24),"")</f>
        <v>-1.4430174381703983E-2</v>
      </c>
      <c r="Q25" s="49">
        <f t="shared" ref="Q25" si="58">IF(AND(F25&lt;&gt;"",F24&lt;&gt;""),(F25-F24)/($B25-$B24),"")</f>
        <v>8.8981979299666367E-3</v>
      </c>
      <c r="R25" s="49">
        <f t="shared" ref="R25" si="59">IF(AND(G25&lt;&gt;"",G24&lt;&gt;""),(G25-G24)/($B25-$B24),"")</f>
        <v>-9.9935501382801092E-2</v>
      </c>
      <c r="S25" s="49">
        <f t="shared" ref="S25" si="60">IF(AND(H25&lt;&gt;"",H24&lt;&gt;""),(H25-H24)/($B25-$B24),"")</f>
        <v>1.1239555784747779E-2</v>
      </c>
      <c r="T25" s="49">
        <f t="shared" ref="T25" si="61">IF(AND(I25&lt;&gt;"",I24&lt;&gt;""),(I25-I24)/($B25-$B24),"")</f>
        <v>6.0176710145280294E-3</v>
      </c>
    </row>
    <row r="26" spans="1:23" ht="20.100000000000001" customHeight="1" x14ac:dyDescent="0.2">
      <c r="A26" s="52">
        <f t="shared" si="0"/>
        <v>55</v>
      </c>
      <c r="B26" s="53">
        <f t="shared" si="1"/>
        <v>43710</v>
      </c>
      <c r="C26" s="54">
        <f>'Résultats observations'!D26</f>
        <v>29</v>
      </c>
      <c r="D26" s="49">
        <f t="shared" si="2"/>
        <v>-1.419477169863459</v>
      </c>
      <c r="E26" s="49">
        <f t="shared" si="3"/>
        <v>-0.68516112721761502</v>
      </c>
      <c r="F26" s="49">
        <f t="shared" si="4"/>
        <v>-0.47142260016319604</v>
      </c>
      <c r="G26" s="49">
        <f t="shared" si="5"/>
        <v>-5.1102436120094019</v>
      </c>
      <c r="H26" s="49">
        <f t="shared" si="6"/>
        <v>0.25262270256298791</v>
      </c>
      <c r="I26" s="49">
        <f t="shared" si="7"/>
        <v>-1.6189737585152741</v>
      </c>
      <c r="O26" s="49">
        <f t="shared" si="51"/>
        <v>-3.2603682481924245E-2</v>
      </c>
      <c r="P26" s="49">
        <f t="shared" ref="P26:P33" si="62">IF(AND(E26&lt;&gt;"",E25&lt;&gt;""),(E26-E25)/($B26-$B25),"")</f>
        <v>1.2875056537575702E-3</v>
      </c>
      <c r="Q26" s="49">
        <f t="shared" ref="Q26:Q33" si="63">IF(AND(F26&lt;&gt;"",F25&lt;&gt;""),(F26-F25)/($B26-$B25),"")</f>
        <v>-3.9412673408956156E-2</v>
      </c>
      <c r="R26" s="49">
        <f t="shared" si="53"/>
        <v>-0.10059325908429173</v>
      </c>
      <c r="S26" s="49">
        <f t="shared" ref="S26:S33" si="64">IF(AND(H26&lt;&gt;"",H25&lt;&gt;""),(H26-H25)/($B26-$B25),"")</f>
        <v>-1.3766555562400029E-2</v>
      </c>
      <c r="T26" s="49">
        <f t="shared" si="55"/>
        <v>-1.1783206727455919E-2</v>
      </c>
    </row>
    <row r="27" spans="1:23" ht="20.100000000000001" customHeight="1" x14ac:dyDescent="0.2">
      <c r="A27" s="52">
        <f t="shared" si="0"/>
        <v>58</v>
      </c>
      <c r="B27" s="53">
        <f t="shared" si="1"/>
        <v>43713</v>
      </c>
      <c r="C27" s="54">
        <f>'Résultats observations'!D27</f>
        <v>30.199999999999989</v>
      </c>
      <c r="D27" s="49">
        <f t="shared" si="2"/>
        <v>-1.3422138449379339</v>
      </c>
      <c r="E27" s="49">
        <f t="shared" si="3"/>
        <v>-0.57013062812760751</v>
      </c>
      <c r="F27" s="49">
        <f t="shared" si="4"/>
        <v>-0.42176883192701631</v>
      </c>
      <c r="G27" s="49">
        <f t="shared" si="5"/>
        <v>-5.2759822898100772</v>
      </c>
      <c r="H27" s="49">
        <f t="shared" si="6"/>
        <v>0.42366201179833141</v>
      </c>
      <c r="I27" s="49">
        <f t="shared" si="7"/>
        <v>-1.5166395794299348</v>
      </c>
      <c r="O27" s="49">
        <f t="shared" si="51"/>
        <v>2.575444164184167E-2</v>
      </c>
      <c r="P27" s="49">
        <f>IF(AND(E27&lt;&gt;"",E26&lt;&gt;""),(E27-E26)/($B27-$B26),"")</f>
        <v>3.834349969666917E-2</v>
      </c>
      <c r="Q27" s="49">
        <f>IF(AND(F27&lt;&gt;"",F26&lt;&gt;""),(F27-F26)/($B27-$B26),"")</f>
        <v>1.6551256078726578E-2</v>
      </c>
      <c r="R27" s="49">
        <f t="shared" si="53"/>
        <v>-5.5246225933558435E-2</v>
      </c>
      <c r="S27" s="49">
        <f>IF(AND(H27&lt;&gt;"",H26&lt;&gt;""),(H27-H26)/($B27-$B26),"")</f>
        <v>5.7013103078447834E-2</v>
      </c>
      <c r="T27" s="49">
        <f t="shared" si="55"/>
        <v>3.4111393028446457E-2</v>
      </c>
    </row>
    <row r="28" spans="1:23" ht="20.100000000000001" customHeight="1" x14ac:dyDescent="0.2">
      <c r="A28" s="52">
        <f t="shared" si="0"/>
        <v>63</v>
      </c>
      <c r="B28" s="53">
        <f t="shared" si="1"/>
        <v>43718</v>
      </c>
      <c r="C28" s="54">
        <f>'Résultats observations'!D28</f>
        <v>32.180000000000007</v>
      </c>
      <c r="D28" s="49">
        <f t="shared" si="2"/>
        <v>-0.95930843763980533</v>
      </c>
      <c r="E28" s="49">
        <f t="shared" si="3"/>
        <v>-0.48754938498674072</v>
      </c>
      <c r="F28" s="49">
        <f t="shared" si="4"/>
        <v>-0.2539618154093759</v>
      </c>
      <c r="G28" s="49">
        <f t="shared" si="5"/>
        <v>-5.3551679371488525</v>
      </c>
      <c r="H28" s="49">
        <f t="shared" si="6"/>
        <v>0.56302203245905957</v>
      </c>
      <c r="I28" s="49">
        <f t="shared" si="7"/>
        <v>-1.0598236553125417</v>
      </c>
      <c r="O28" s="49">
        <f t="shared" si="51"/>
        <v>7.6581081459625722E-2</v>
      </c>
      <c r="P28" s="49">
        <f>IF(AND(E28&lt;&gt;"",E27&lt;&gt;""),(E28-E27)/($B28-$B27),"")</f>
        <v>1.6516248628173358E-2</v>
      </c>
      <c r="Q28" s="49">
        <f>IF(AND(F28&lt;&gt;"",F27&lt;&gt;""),(F28-F27)/($B28-$B27),"")</f>
        <v>3.3561403303528081E-2</v>
      </c>
      <c r="R28" s="49">
        <f t="shared" si="53"/>
        <v>-1.5837129467755062E-2</v>
      </c>
      <c r="S28" s="49">
        <f>IF(AND(H28&lt;&gt;"",H27&lt;&gt;""),(H28-H27)/($B28-$B27),"")</f>
        <v>2.7872004132145634E-2</v>
      </c>
      <c r="T28" s="49">
        <f t="shared" si="55"/>
        <v>9.1363184823478605E-2</v>
      </c>
    </row>
    <row r="29" spans="1:23" ht="20.100000000000001" customHeight="1" x14ac:dyDescent="0.2">
      <c r="A29" s="52">
        <f t="shared" si="0"/>
        <v>65</v>
      </c>
      <c r="B29" s="53">
        <f t="shared" si="1"/>
        <v>43720</v>
      </c>
      <c r="C29" s="54">
        <f>'Résultats observations'!D29</f>
        <v>33.199999999999989</v>
      </c>
      <c r="D29" s="49">
        <f t="shared" si="2"/>
        <v>-0.96944076607430318</v>
      </c>
      <c r="E29" s="49">
        <f t="shared" si="3"/>
        <v>-0.53250202459032003</v>
      </c>
      <c r="F29" s="49">
        <f t="shared" si="4"/>
        <v>-0.19024875602102753</v>
      </c>
      <c r="G29" s="49">
        <f t="shared" si="5"/>
        <v>-5.4579755237273986</v>
      </c>
      <c r="H29" s="49">
        <f t="shared" si="6"/>
        <v>0.64571262992618728</v>
      </c>
      <c r="I29" s="49">
        <f t="shared" si="7"/>
        <v>-0.95744912913708902</v>
      </c>
      <c r="O29" s="49">
        <f t="shared" si="51"/>
        <v>-5.0661642172489252E-3</v>
      </c>
      <c r="P29" s="49">
        <f t="shared" si="62"/>
        <v>-2.2476319801789657E-2</v>
      </c>
      <c r="Q29" s="49">
        <f t="shared" si="63"/>
        <v>3.1856529694174185E-2</v>
      </c>
      <c r="R29" s="49">
        <f t="shared" si="53"/>
        <v>-5.1403793289273025E-2</v>
      </c>
      <c r="S29" s="49">
        <f t="shared" si="64"/>
        <v>4.1345298733563851E-2</v>
      </c>
      <c r="T29" s="49">
        <f t="shared" si="55"/>
        <v>5.1187263087726365E-2</v>
      </c>
    </row>
    <row r="30" spans="1:23" ht="20.100000000000001" customHeight="1" x14ac:dyDescent="0.2">
      <c r="A30" s="52">
        <f t="shared" si="0"/>
        <v>69</v>
      </c>
      <c r="B30" s="53">
        <f t="shared" si="1"/>
        <v>43724</v>
      </c>
      <c r="C30" s="54">
        <f>'Résultats observations'!D30</f>
        <v>33.199999999999989</v>
      </c>
      <c r="D30" s="49">
        <f t="shared" si="2"/>
        <v>-0.72701284338849703</v>
      </c>
      <c r="E30" s="49">
        <f t="shared" si="3"/>
        <v>-0.49037873062940385</v>
      </c>
      <c r="F30" s="49">
        <f t="shared" si="4"/>
        <v>-0.37466360644367036</v>
      </c>
      <c r="G30" s="49">
        <f t="shared" si="5"/>
        <v>-5.883762385164637</v>
      </c>
      <c r="H30" s="49">
        <f t="shared" si="6"/>
        <v>0.67901304113693328</v>
      </c>
      <c r="I30" s="49">
        <f t="shared" si="7"/>
        <v>-0.69096753261366217</v>
      </c>
      <c r="O30" s="49">
        <f t="shared" si="51"/>
        <v>6.0606980671451538E-2</v>
      </c>
      <c r="P30" s="49">
        <f t="shared" si="62"/>
        <v>1.0530823490229047E-2</v>
      </c>
      <c r="Q30" s="49">
        <f t="shared" si="63"/>
        <v>-4.6103712605660707E-2</v>
      </c>
      <c r="R30" s="49">
        <f t="shared" si="53"/>
        <v>-0.10644671535930961</v>
      </c>
      <c r="S30" s="49">
        <f t="shared" si="64"/>
        <v>8.3251028026865015E-3</v>
      </c>
      <c r="T30" s="49">
        <f t="shared" si="55"/>
        <v>6.6620399130856711E-2</v>
      </c>
    </row>
    <row r="31" spans="1:23" ht="20.100000000000001" customHeight="1" x14ac:dyDescent="0.2">
      <c r="A31" s="52">
        <f t="shared" si="0"/>
        <v>72</v>
      </c>
      <c r="B31" s="53">
        <f t="shared" si="1"/>
        <v>43727</v>
      </c>
      <c r="C31" s="54">
        <f>'Résultats observations'!D31</f>
        <v>35.919999999999987</v>
      </c>
      <c r="D31" s="49">
        <f t="shared" si="2"/>
        <v>-0.94315682706946902</v>
      </c>
      <c r="E31" s="49">
        <f t="shared" si="3"/>
        <v>-0.45387274863561977</v>
      </c>
      <c r="F31" s="49">
        <f t="shared" si="4"/>
        <v>-0.40502297649891439</v>
      </c>
      <c r="G31" s="49">
        <f t="shared" si="5"/>
        <v>-5.8766015876487998</v>
      </c>
      <c r="H31" s="49">
        <f t="shared" si="6"/>
        <v>0.8310317931399247</v>
      </c>
      <c r="I31" s="49">
        <f t="shared" si="7"/>
        <v>-0.57647873961919061</v>
      </c>
      <c r="O31" s="49">
        <f t="shared" si="51"/>
        <v>-7.2047994560324E-2</v>
      </c>
      <c r="P31" s="49">
        <f t="shared" si="62"/>
        <v>1.2168660664594691E-2</v>
      </c>
      <c r="Q31" s="49">
        <f t="shared" si="63"/>
        <v>-1.0119790018414676E-2</v>
      </c>
      <c r="R31" s="49">
        <f t="shared" si="53"/>
        <v>2.3869325052790677E-3</v>
      </c>
      <c r="S31" s="49">
        <f t="shared" si="64"/>
        <v>5.0672917334330471E-2</v>
      </c>
      <c r="T31" s="49">
        <f t="shared" si="55"/>
        <v>3.8162930998157187E-2</v>
      </c>
    </row>
    <row r="32" spans="1:23" ht="20.100000000000001" customHeight="1" x14ac:dyDescent="0.2">
      <c r="A32" s="52">
        <f t="shared" si="0"/>
        <v>76</v>
      </c>
      <c r="B32" s="53">
        <f t="shared" si="1"/>
        <v>43731</v>
      </c>
      <c r="C32" s="54">
        <f>'Résultats observations'!D32</f>
        <v>35.919999999999987</v>
      </c>
      <c r="D32" s="49">
        <f t="shared" si="2"/>
        <v>-0.75449721526021918</v>
      </c>
      <c r="E32" s="49">
        <f t="shared" si="3"/>
        <v>-0.69649184884479354</v>
      </c>
      <c r="F32" s="49">
        <f t="shared" si="4"/>
        <v>-0.34272966724646636</v>
      </c>
      <c r="G32" s="49">
        <f t="shared" si="5"/>
        <v>-6.404538114720193</v>
      </c>
      <c r="H32" s="49">
        <f t="shared" si="6"/>
        <v>0.4708801760129333</v>
      </c>
      <c r="I32" s="49">
        <f t="shared" si="7"/>
        <v>-0.54358619678573916</v>
      </c>
      <c r="O32" s="49">
        <f t="shared" si="51"/>
        <v>4.716490295231246E-2</v>
      </c>
      <c r="P32" s="49">
        <f>IF(AND(E32&lt;&gt;"",E31&lt;&gt;""),(E32-E31)/($B32-$B31),"")</f>
        <v>-6.0654775052293441E-2</v>
      </c>
      <c r="Q32" s="49">
        <f>IF(AND(F32&lt;&gt;"",F31&lt;&gt;""),(F32-F31)/($B32-$B31),"")</f>
        <v>1.5573327313112006E-2</v>
      </c>
      <c r="R32" s="49">
        <f t="shared" si="53"/>
        <v>-0.13198413176784829</v>
      </c>
      <c r="S32" s="49">
        <f>IF(AND(H32&lt;&gt;"",H31&lt;&gt;""),(H32-H31)/($B32-$B31),"")</f>
        <v>-9.0037904281747849E-2</v>
      </c>
      <c r="T32" s="49">
        <f t="shared" si="55"/>
        <v>8.2231357083628609E-3</v>
      </c>
    </row>
    <row r="33" spans="1:20" ht="20.100000000000001" customHeight="1" x14ac:dyDescent="0.2">
      <c r="A33" s="52">
        <f t="shared" si="0"/>
        <v>79</v>
      </c>
      <c r="B33" s="53">
        <f t="shared" si="1"/>
        <v>43734</v>
      </c>
      <c r="C33" s="54">
        <f>'Résultats observations'!D33</f>
        <v>35.919999999999987</v>
      </c>
      <c r="D33" s="49">
        <f t="shared" si="2"/>
        <v>-0.81928700847511138</v>
      </c>
      <c r="E33" s="49">
        <f t="shared" si="3"/>
        <v>-0.57740154310748082</v>
      </c>
      <c r="F33" s="49">
        <f t="shared" si="4"/>
        <v>-0.23479972002093952</v>
      </c>
      <c r="G33" s="49">
        <f t="shared" si="5"/>
        <v>-6.3965974260700165</v>
      </c>
      <c r="H33" s="49">
        <f t="shared" si="6"/>
        <v>0.50675481710715786</v>
      </c>
      <c r="I33" s="49">
        <f t="shared" si="7"/>
        <v>-0.76309058997914292</v>
      </c>
      <c r="O33" s="49">
        <f t="shared" si="51"/>
        <v>-2.1596597738297401E-2</v>
      </c>
      <c r="P33" s="49">
        <f t="shared" si="62"/>
        <v>3.9696768579104237E-2</v>
      </c>
      <c r="Q33" s="49">
        <f t="shared" si="63"/>
        <v>3.5976649075175615E-2</v>
      </c>
      <c r="R33" s="49">
        <f t="shared" si="53"/>
        <v>2.6468962167254992E-3</v>
      </c>
      <c r="S33" s="49">
        <f t="shared" si="64"/>
        <v>1.1958213698074852E-2</v>
      </c>
      <c r="T33" s="49">
        <f t="shared" si="55"/>
        <v>-7.3168131064467914E-2</v>
      </c>
    </row>
    <row r="34" spans="1:20" ht="20.100000000000001" customHeight="1" x14ac:dyDescent="0.2">
      <c r="A34" s="52">
        <f t="shared" si="0"/>
        <v>83</v>
      </c>
      <c r="B34" s="53">
        <f t="shared" si="1"/>
        <v>43738</v>
      </c>
      <c r="C34" s="54">
        <f>'Résultats observations'!D34</f>
        <v>35.919999999999987</v>
      </c>
      <c r="D34" s="49">
        <f t="shared" si="2"/>
        <v>-0.85488662870458754</v>
      </c>
      <c r="E34" s="49">
        <f t="shared" si="3"/>
        <v>-0.45387274863561977</v>
      </c>
      <c r="F34" s="49">
        <f t="shared" si="4"/>
        <v>-0.41514940965070579</v>
      </c>
      <c r="G34" s="49">
        <f t="shared" si="5"/>
        <v>-6.8383662239765997</v>
      </c>
      <c r="H34" s="49">
        <f t="shared" si="6"/>
        <v>0.7627356668096219</v>
      </c>
      <c r="I34" s="49">
        <f t="shared" si="7"/>
        <v>-0.78584499981637634</v>
      </c>
      <c r="O34" s="49">
        <f t="shared" ref="O34:O35" si="65">IF(AND(D34&lt;&gt;"",D33&lt;&gt;""),(D34-D33)/($B34-$B33),"")</f>
        <v>-8.8999050573690397E-3</v>
      </c>
      <c r="P34" s="49">
        <f t="shared" ref="P34:P35" si="66">IF(AND(E34&lt;&gt;"",E33&lt;&gt;""),(E34-E33)/($B34-$B33),"")</f>
        <v>3.0882198617965262E-2</v>
      </c>
      <c r="Q34" s="49">
        <f t="shared" ref="Q34:Q35" si="67">IF(AND(F34&lt;&gt;"",F33&lt;&gt;""),(F34-F33)/($B34-$B33),"")</f>
        <v>-4.5087422407441569E-2</v>
      </c>
      <c r="R34" s="49">
        <f t="shared" ref="R34:R35" si="68">IF(AND(G34&lt;&gt;"",G33&lt;&gt;""),(G34-G33)/($B34-$B33),"")</f>
        <v>-0.1104421994766458</v>
      </c>
      <c r="S34" s="49">
        <f t="shared" ref="S34:S35" si="69">IF(AND(H34&lt;&gt;"",H33&lt;&gt;""),(H34-H33)/($B34-$B33),"")</f>
        <v>6.399521242561601E-2</v>
      </c>
      <c r="T34" s="49">
        <f t="shared" ref="T34:T35" si="70">IF(AND(I34&lt;&gt;"",I33&lt;&gt;""),(I34-I33)/($B34-$B33),"")</f>
        <v>-5.6886024593083562E-3</v>
      </c>
    </row>
    <row r="35" spans="1:20" ht="20.100000000000001" customHeight="1" x14ac:dyDescent="0.2">
      <c r="A35" s="52">
        <f t="shared" si="0"/>
        <v>86</v>
      </c>
      <c r="B35" s="53">
        <f t="shared" si="1"/>
        <v>43741</v>
      </c>
      <c r="C35" s="54">
        <f>'Résultats observations'!D35</f>
        <v>36.799999999999983</v>
      </c>
      <c r="D35" s="49">
        <f t="shared" si="2"/>
        <v>-0.66705813905487688</v>
      </c>
      <c r="E35" s="49">
        <f t="shared" si="3"/>
        <v>-0.42170618734860277</v>
      </c>
      <c r="F35" s="49">
        <f t="shared" si="4"/>
        <v>-0.31483032550516654</v>
      </c>
      <c r="G35" s="49">
        <f t="shared" si="5"/>
        <v>-6.5861558712305701</v>
      </c>
      <c r="H35" s="49">
        <f t="shared" si="6"/>
        <v>0.70949535851827505</v>
      </c>
      <c r="I35" s="49">
        <f t="shared" si="7"/>
        <v>-0.35316910978355764</v>
      </c>
      <c r="O35" s="49">
        <f t="shared" si="65"/>
        <v>6.2609496549903554E-2</v>
      </c>
      <c r="P35" s="49">
        <f t="shared" si="66"/>
        <v>1.0722187095672334E-2</v>
      </c>
      <c r="Q35" s="49">
        <f t="shared" si="67"/>
        <v>3.3439694715179748E-2</v>
      </c>
      <c r="R35" s="49">
        <f t="shared" si="68"/>
        <v>8.4070117582009843E-2</v>
      </c>
      <c r="S35" s="49">
        <f t="shared" si="69"/>
        <v>-1.774676943044895E-2</v>
      </c>
      <c r="T35" s="49">
        <f t="shared" si="70"/>
        <v>0.14422529667760622</v>
      </c>
    </row>
    <row r="36" spans="1:20" ht="20.100000000000001" customHeight="1" x14ac:dyDescent="0.2">
      <c r="A36" s="52">
        <f t="shared" si="0"/>
        <v>91</v>
      </c>
      <c r="B36" s="53">
        <f t="shared" si="1"/>
        <v>43746</v>
      </c>
      <c r="C36" s="54">
        <f>'Résultats observations'!D36</f>
        <v>37.900000000000006</v>
      </c>
      <c r="D36" s="49">
        <f t="shared" si="2"/>
        <v>-0.84867860938908635</v>
      </c>
      <c r="E36" s="49">
        <f t="shared" si="3"/>
        <v>-0.47605935690087087</v>
      </c>
      <c r="F36" s="49">
        <f t="shared" si="4"/>
        <v>-0.5212067784547969</v>
      </c>
      <c r="G36" s="49">
        <f t="shared" si="5"/>
        <v>-7.2523325551432372</v>
      </c>
      <c r="H36" s="49">
        <f t="shared" si="6"/>
        <v>0.90664512229921002</v>
      </c>
      <c r="I36" s="49">
        <f t="shared" si="7"/>
        <v>-0.64263897402927483</v>
      </c>
      <c r="O36" s="49">
        <f t="shared" ref="O36" si="71">IF(AND(D36&lt;&gt;"",D35&lt;&gt;""),(D36-D35)/($B36-$B35),"")</f>
        <v>-3.6324094066841894E-2</v>
      </c>
      <c r="P36" s="49">
        <f t="shared" ref="P36" si="72">IF(AND(E36&lt;&gt;"",E35&lt;&gt;""),(E36-E35)/($B36-$B35),"")</f>
        <v>-1.087063391045362E-2</v>
      </c>
      <c r="Q36" s="49">
        <f t="shared" ref="Q36" si="73">IF(AND(F36&lt;&gt;"",F35&lt;&gt;""),(F36-F35)/($B36-$B35),"")</f>
        <v>-4.1275290589926072E-2</v>
      </c>
      <c r="R36" s="49">
        <f t="shared" ref="R36" si="74">IF(AND(G36&lt;&gt;"",G35&lt;&gt;""),(G36-G35)/($B36-$B35),"")</f>
        <v>-0.13323533678253341</v>
      </c>
      <c r="S36" s="49">
        <f t="shared" ref="S36" si="75">IF(AND(H36&lt;&gt;"",H35&lt;&gt;""),(H36-H35)/($B36-$B35),"")</f>
        <v>3.9429952756186992E-2</v>
      </c>
      <c r="T36" s="49">
        <f t="shared" ref="T36" si="76">IF(AND(I36&lt;&gt;"",I35&lt;&gt;""),(I36-I35)/($B36-$B35),"")</f>
        <v>-5.7893972849143438E-2</v>
      </c>
    </row>
    <row r="37" spans="1:20" ht="20.100000000000001" customHeight="1" x14ac:dyDescent="0.2">
      <c r="A37" s="52">
        <f t="shared" si="0"/>
        <v>98</v>
      </c>
      <c r="B37" s="53">
        <f t="shared" si="1"/>
        <v>43753</v>
      </c>
      <c r="C37" s="54">
        <f>'Résultats observations'!D37</f>
        <v>42.25</v>
      </c>
      <c r="D37" s="49">
        <f t="shared" si="2"/>
        <v>-0.55657531543884531</v>
      </c>
      <c r="E37" s="49">
        <f t="shared" si="3"/>
        <v>-0.47161739119960799</v>
      </c>
      <c r="F37" s="49">
        <f t="shared" si="4"/>
        <v>-0.23145347190545174</v>
      </c>
      <c r="G37" s="49">
        <f t="shared" si="5"/>
        <v>-7.0975807362048116</v>
      </c>
      <c r="H37" s="49">
        <f t="shared" si="6"/>
        <v>0.95303302014704272</v>
      </c>
      <c r="I37" s="49">
        <f t="shared" si="7"/>
        <v>-8.9873604114387717E-2</v>
      </c>
      <c r="O37" s="49">
        <f t="shared" ref="O37" si="77">IF(AND(D37&lt;&gt;"",D36&lt;&gt;""),(D37-D36)/($B37-$B36),"")</f>
        <v>4.1729041992891576E-2</v>
      </c>
      <c r="P37" s="49">
        <f t="shared" ref="P37" si="78">IF(AND(E37&lt;&gt;"",E36&lt;&gt;""),(E37-E36)/($B37-$B36),"")</f>
        <v>6.3456652875183901E-4</v>
      </c>
      <c r="Q37" s="49">
        <f t="shared" ref="Q37" si="79">IF(AND(F37&lt;&gt;"",F36&lt;&gt;""),(F37-F36)/($B37-$B36),"")</f>
        <v>4.1393329507049312E-2</v>
      </c>
      <c r="R37" s="49">
        <f t="shared" ref="R37" si="80">IF(AND(G37&lt;&gt;"",G36&lt;&gt;""),(G37-G36)/($B37-$B36),"")</f>
        <v>2.210740270548937E-2</v>
      </c>
      <c r="S37" s="49">
        <f t="shared" ref="S37" si="81">IF(AND(H37&lt;&gt;"",H36&lt;&gt;""),(H37-H36)/($B37-$B36),"")</f>
        <v>6.6268425496903861E-3</v>
      </c>
      <c r="T37" s="49">
        <f t="shared" ref="T37" si="82">IF(AND(I37&lt;&gt;"",I36&lt;&gt;""),(I37-I36)/($B37-$B36),"")</f>
        <v>7.8966481416412451E-2</v>
      </c>
    </row>
    <row r="38" spans="1:20" x14ac:dyDescent="0.2">
      <c r="A38" s="52">
        <f t="shared" si="0"/>
        <v>101</v>
      </c>
      <c r="B38" s="53">
        <f t="shared" si="1"/>
        <v>43756</v>
      </c>
      <c r="C38" s="54">
        <f>'Résultats observations'!D38</f>
        <v>43.099999999999994</v>
      </c>
      <c r="D38" s="49">
        <f t="shared" si="2"/>
        <v>-0.56329361033702341</v>
      </c>
      <c r="E38" s="49">
        <f t="shared" si="3"/>
        <v>-0.25660499571000805</v>
      </c>
      <c r="F38" s="49">
        <f t="shared" si="4"/>
        <v>-0.28291770146071649</v>
      </c>
      <c r="G38" s="49">
        <f t="shared" si="5"/>
        <v>-7.2958442003505652</v>
      </c>
      <c r="H38" s="49">
        <f t="shared" si="6"/>
        <v>0.98312009358503261</v>
      </c>
      <c r="I38" s="49">
        <f t="shared" si="7"/>
        <v>-0.2754084522473832</v>
      </c>
      <c r="O38" s="49">
        <f t="shared" ref="O38" si="83">IF(AND(D38&lt;&gt;"",D37&lt;&gt;""),(D38-D37)/($B38-$B37),"")</f>
        <v>-2.2394316327260335E-3</v>
      </c>
      <c r="P38" s="49">
        <f t="shared" ref="P38" si="84">IF(AND(E38&lt;&gt;"",E37&lt;&gt;""),(E38-E37)/($B38-$B37),"")</f>
        <v>7.1670798496533308E-2</v>
      </c>
      <c r="Q38" s="49">
        <f t="shared" ref="Q38" si="85">IF(AND(F38&lt;&gt;"",F37&lt;&gt;""),(F38-F37)/($B38-$B37),"")</f>
        <v>-1.715474318508825E-2</v>
      </c>
      <c r="R38" s="49">
        <f t="shared" ref="R38" si="86">IF(AND(G38&lt;&gt;"",G37&lt;&gt;""),(G38-G37)/($B38-$B37),"")</f>
        <v>-6.6087821381917891E-2</v>
      </c>
      <c r="S38" s="49">
        <f t="shared" ref="S38" si="87">IF(AND(H38&lt;&gt;"",H37&lt;&gt;""),(H38-H37)/($B38-$B37),"")</f>
        <v>1.0029024479329962E-2</v>
      </c>
      <c r="T38" s="49">
        <f t="shared" ref="T38" si="88">IF(AND(I38&lt;&gt;"",I37&lt;&gt;""),(I38-I37)/($B38-$B37),"")</f>
        <v>-6.1844949377665159E-2</v>
      </c>
    </row>
    <row r="39" spans="1:20" x14ac:dyDescent="0.2">
      <c r="A39" s="52">
        <f t="shared" si="0"/>
        <v>105</v>
      </c>
      <c r="B39" s="53">
        <f t="shared" si="1"/>
        <v>43760</v>
      </c>
      <c r="C39" s="54">
        <f>'Résultats observations'!D39</f>
        <v>44.599999999999994</v>
      </c>
      <c r="D39" s="49">
        <f t="shared" si="2"/>
        <v>-0.81403626780973681</v>
      </c>
      <c r="E39" s="49">
        <f t="shared" si="3"/>
        <v>-0.21951045397972102</v>
      </c>
      <c r="F39" s="49">
        <f t="shared" si="4"/>
        <v>-0.64989665273462727</v>
      </c>
      <c r="G39" s="49">
        <f t="shared" si="5"/>
        <v>-7.3355952847675709</v>
      </c>
      <c r="H39" s="49">
        <f t="shared" si="6"/>
        <v>1.2708743512694909</v>
      </c>
      <c r="I39" s="49">
        <f t="shared" si="7"/>
        <v>7.3225236132401506E-2</v>
      </c>
      <c r="O39" s="49">
        <f t="shared" ref="O39:O40" si="89">IF(AND(D39&lt;&gt;"",D38&lt;&gt;""),(D39-D38)/($B39-$B38),"")</f>
        <v>-6.2685664368178351E-2</v>
      </c>
      <c r="P39" s="49">
        <f t="shared" ref="P39:P40" si="90">IF(AND(E39&lt;&gt;"",E38&lt;&gt;""),(E39-E38)/($B39-$B38),"")</f>
        <v>9.2736354325717585E-3</v>
      </c>
      <c r="Q39" s="49">
        <f t="shared" ref="Q39:Q40" si="91">IF(AND(F39&lt;&gt;"",F38&lt;&gt;""),(F39-F38)/($B39-$B38),"")</f>
        <v>-9.1744737818477695E-2</v>
      </c>
      <c r="R39" s="49">
        <f t="shared" ref="R39:R40" si="92">IF(AND(G39&lt;&gt;"",G38&lt;&gt;""),(G39-G38)/($B39-$B38),"")</f>
        <v>-9.937771104251425E-3</v>
      </c>
      <c r="S39" s="49">
        <f t="shared" ref="S39:S40" si="93">IF(AND(H39&lt;&gt;"",H38&lt;&gt;""),(H39-H38)/($B39-$B38),"")</f>
        <v>7.193856442111457E-2</v>
      </c>
      <c r="T39" s="49">
        <f t="shared" ref="T39:T40" si="94">IF(AND(I39&lt;&gt;"",I38&lt;&gt;""),(I39-I38)/($B39-$B38),"")</f>
        <v>8.7158422094946175E-2</v>
      </c>
    </row>
    <row r="40" spans="1:20" x14ac:dyDescent="0.2">
      <c r="A40" s="52">
        <f t="shared" si="0"/>
        <v>107</v>
      </c>
      <c r="B40" s="53">
        <f t="shared" si="1"/>
        <v>43762</v>
      </c>
      <c r="C40" s="54">
        <f>'Résultats observations'!D40</f>
        <v>44.599999999999994</v>
      </c>
      <c r="D40" s="49">
        <f t="shared" si="2"/>
        <v>-0.69732774503661332</v>
      </c>
      <c r="E40" s="49">
        <f t="shared" si="3"/>
        <v>-0.32407739066120378</v>
      </c>
      <c r="F40" s="49">
        <f t="shared" si="4"/>
        <v>-3.9370299105279116E-2</v>
      </c>
      <c r="G40" s="49">
        <f t="shared" si="5"/>
        <v>-7.3120789677991738</v>
      </c>
      <c r="H40" s="49">
        <f t="shared" si="6"/>
        <v>1.5841431876406631</v>
      </c>
      <c r="I40" s="49">
        <f t="shared" si="7"/>
        <v>-5.0228127453699756E-2</v>
      </c>
      <c r="O40" s="49">
        <f t="shared" si="89"/>
        <v>5.8354261386561745E-2</v>
      </c>
      <c r="P40" s="49">
        <f t="shared" si="90"/>
        <v>-5.2283468340741379E-2</v>
      </c>
      <c r="Q40" s="49">
        <f t="shared" si="91"/>
        <v>0.30526317681467408</v>
      </c>
      <c r="R40" s="49">
        <f t="shared" si="92"/>
        <v>1.1758158484198589E-2</v>
      </c>
      <c r="S40" s="49">
        <f t="shared" si="93"/>
        <v>0.1566344181855861</v>
      </c>
      <c r="T40" s="49">
        <f t="shared" si="94"/>
        <v>-6.1726681793050631E-2</v>
      </c>
    </row>
    <row r="41" spans="1:20" x14ac:dyDescent="0.2">
      <c r="A41" s="52">
        <f t="shared" si="0"/>
        <v>111</v>
      </c>
      <c r="B41" s="53">
        <f t="shared" si="1"/>
        <v>43766</v>
      </c>
      <c r="C41" s="54">
        <f>'Résultats observations'!D41</f>
        <v>45.150000000000006</v>
      </c>
      <c r="D41" s="49">
        <f t="shared" si="2"/>
        <v>-0.80929140030017166</v>
      </c>
      <c r="E41" s="49" t="str">
        <f t="shared" si="3"/>
        <v/>
      </c>
      <c r="F41" s="49">
        <f t="shared" si="4"/>
        <v>-0.29379905866133704</v>
      </c>
      <c r="G41" s="49">
        <f t="shared" si="5"/>
        <v>-7.4773832847596644</v>
      </c>
      <c r="H41" s="49" t="str">
        <f t="shared" si="6"/>
        <v/>
      </c>
      <c r="I41" s="49">
        <f t="shared" si="7"/>
        <v>-0.19957980556650767</v>
      </c>
      <c r="O41" s="49">
        <f t="shared" ref="O41:O42" si="95">IF(AND(D41&lt;&gt;"",D40&lt;&gt;""),(D41-D40)/($B41-$B40),"")</f>
        <v>-2.7990913815889584E-2</v>
      </c>
      <c r="P41" s="49" t="str">
        <f t="shared" ref="P41:P42" si="96">IF(AND(E41&lt;&gt;"",E40&lt;&gt;""),(E41-E40)/($B41-$B40),"")</f>
        <v/>
      </c>
      <c r="Q41" s="49">
        <f t="shared" ref="Q41:Q42" si="97">IF(AND(F41&lt;&gt;"",F40&lt;&gt;""),(F41-F40)/($B41-$B40),"")</f>
        <v>-6.3607189889014482E-2</v>
      </c>
      <c r="R41" s="49">
        <f t="shared" ref="R41:R42" si="98">IF(AND(G41&lt;&gt;"",G40&lt;&gt;""),(G41-G40)/($B41-$B40),"")</f>
        <v>-4.132607924012266E-2</v>
      </c>
      <c r="S41" s="49" t="str">
        <f t="shared" ref="S41:S42" si="99">IF(AND(H41&lt;&gt;"",H40&lt;&gt;""),(H41-H40)/($B41-$B40),"")</f>
        <v/>
      </c>
      <c r="T41" s="49">
        <f t="shared" ref="T41:T42" si="100">IF(AND(I41&lt;&gt;"",I40&lt;&gt;""),(I41-I40)/($B41-$B40),"")</f>
        <v>-3.7337919528201979E-2</v>
      </c>
    </row>
    <row r="42" spans="1:20" x14ac:dyDescent="0.2">
      <c r="A42" s="52">
        <f t="shared" si="0"/>
        <v>114</v>
      </c>
      <c r="B42" s="53">
        <f t="shared" si="1"/>
        <v>43769</v>
      </c>
      <c r="C42" s="54">
        <f>'Résultats observations'!D42</f>
        <v>46.47</v>
      </c>
      <c r="D42" s="49">
        <f t="shared" si="2"/>
        <v>-0.62181126617266713</v>
      </c>
      <c r="E42" s="49">
        <f t="shared" si="3"/>
        <v>-0.51081046531575858</v>
      </c>
      <c r="F42" s="49">
        <f t="shared" si="4"/>
        <v>-0.223060640405226</v>
      </c>
      <c r="G42" s="49">
        <f t="shared" si="5"/>
        <v>-7.9107667769582335</v>
      </c>
      <c r="H42" s="49">
        <f t="shared" si="6"/>
        <v>0.82833851756802801</v>
      </c>
      <c r="I42" s="49">
        <f t="shared" si="7"/>
        <v>-0.48670144142093363</v>
      </c>
      <c r="O42" s="49">
        <f t="shared" si="95"/>
        <v>6.2493378042501511E-2</v>
      </c>
      <c r="P42" s="49" t="str">
        <f t="shared" si="96"/>
        <v/>
      </c>
      <c r="Q42" s="49">
        <f t="shared" si="97"/>
        <v>2.3579472752037017E-2</v>
      </c>
      <c r="R42" s="49">
        <f t="shared" si="98"/>
        <v>-0.1444611640661897</v>
      </c>
      <c r="S42" s="49" t="str">
        <f t="shared" si="99"/>
        <v/>
      </c>
      <c r="T42" s="49">
        <f t="shared" si="100"/>
        <v>-9.5707211951475316E-2</v>
      </c>
    </row>
    <row r="43" spans="1:20" x14ac:dyDescent="0.2">
      <c r="A43" s="52">
        <f t="shared" si="0"/>
        <v>119</v>
      </c>
      <c r="B43" s="53">
        <f t="shared" si="1"/>
        <v>43774</v>
      </c>
      <c r="C43" s="54">
        <f>'Résultats observations'!D43</f>
        <v>47.299999999999983</v>
      </c>
      <c r="D43" s="49">
        <f t="shared" si="2"/>
        <v>-0.54691036540210902</v>
      </c>
      <c r="E43" s="49">
        <f t="shared" si="3"/>
        <v>-0.13357893623910932</v>
      </c>
      <c r="F43" s="49">
        <f t="shared" si="4"/>
        <v>-0.41253494706938731</v>
      </c>
      <c r="G43" s="49">
        <f t="shared" si="5"/>
        <v>-7.9739684859125859</v>
      </c>
      <c r="H43" s="49">
        <f t="shared" si="6"/>
        <v>1.1004603515063494</v>
      </c>
      <c r="I43" s="49">
        <f t="shared" si="7"/>
        <v>-0.22023394355574766</v>
      </c>
      <c r="O43" s="49">
        <f t="shared" ref="O43" si="101">IF(AND(D43&lt;&gt;"",D42&lt;&gt;""),(D43-D42)/($B43-$B42),"")</f>
        <v>1.4980180154111622E-2</v>
      </c>
      <c r="P43" s="49">
        <f t="shared" ref="P43" si="102">IF(AND(E43&lt;&gt;"",E42&lt;&gt;""),(E43-E42)/($B43-$B42),"")</f>
        <v>7.544630581532985E-2</v>
      </c>
      <c r="Q43" s="49">
        <f t="shared" ref="Q43" si="103">IF(AND(F43&lt;&gt;"",F42&lt;&gt;""),(F43-F42)/($B43-$B42),"")</f>
        <v>-3.7894861332832264E-2</v>
      </c>
      <c r="R43" s="49">
        <f t="shared" ref="R43" si="104">IF(AND(G43&lt;&gt;"",G42&lt;&gt;""),(G43-G42)/($B43-$B42),"")</f>
        <v>-1.264034179087048E-2</v>
      </c>
      <c r="S43" s="49">
        <f t="shared" ref="S43" si="105">IF(AND(H43&lt;&gt;"",H42&lt;&gt;""),(H43-H42)/($B43-$B42),"")</f>
        <v>5.4424366787664269E-2</v>
      </c>
      <c r="T43" s="49">
        <f t="shared" ref="T43" si="106">IF(AND(I43&lt;&gt;"",I42&lt;&gt;""),(I43-I42)/($B43-$B42),"")</f>
        <v>5.3293499573037195E-2</v>
      </c>
    </row>
    <row r="44" spans="1:20" x14ac:dyDescent="0.2">
      <c r="A44" s="52">
        <f t="shared" si="0"/>
        <v>121</v>
      </c>
      <c r="B44" s="53">
        <f t="shared" si="1"/>
        <v>43776</v>
      </c>
      <c r="C44" s="54">
        <f>'Résultats observations'!D44</f>
        <v>48.299999999999983</v>
      </c>
      <c r="D44" s="49">
        <f t="shared" si="2"/>
        <v>-0.45943192537878375</v>
      </c>
      <c r="E44" s="49">
        <f t="shared" si="3"/>
        <v>-0.22384267570996208</v>
      </c>
      <c r="F44" s="49">
        <f t="shared" si="4"/>
        <v>-0.36288397348904766</v>
      </c>
      <c r="G44" s="49">
        <f t="shared" si="5"/>
        <v>-8.1001622775676019</v>
      </c>
      <c r="H44" s="49">
        <f t="shared" si="6"/>
        <v>1.1011569060617177</v>
      </c>
      <c r="I44" s="49">
        <f t="shared" si="7"/>
        <v>-0.12188172905247541</v>
      </c>
      <c r="O44" s="49">
        <f t="shared" ref="O44" si="107">IF(AND(D44&lt;&gt;"",D43&lt;&gt;""),(D44-D43)/($B44-$B43),"")</f>
        <v>4.3739220011662638E-2</v>
      </c>
      <c r="P44" s="49">
        <f t="shared" ref="P44" si="108">IF(AND(E44&lt;&gt;"",E43&lt;&gt;""),(E44-E43)/($B44-$B43),"")</f>
        <v>-4.5131869735426378E-2</v>
      </c>
      <c r="Q44" s="49">
        <f t="shared" ref="Q44" si="109">IF(AND(F44&lt;&gt;"",F43&lt;&gt;""),(F44-F43)/($B44-$B43),"")</f>
        <v>2.4825486790169826E-2</v>
      </c>
      <c r="R44" s="49">
        <f t="shared" ref="R44" si="110">IF(AND(G44&lt;&gt;"",G43&lt;&gt;""),(G44-G43)/($B44-$B43),"")</f>
        <v>-6.3096895827507993E-2</v>
      </c>
      <c r="S44" s="49">
        <f t="shared" ref="S44" si="111">IF(AND(H44&lt;&gt;"",H43&lt;&gt;""),(H44-H43)/($B44-$B43),"")</f>
        <v>3.4827727768416139E-4</v>
      </c>
      <c r="T44" s="49">
        <f t="shared" ref="T44" si="112">IF(AND(I44&lt;&gt;"",I43&lt;&gt;""),(I44-I43)/($B44-$B43),"")</f>
        <v>4.9176107251636125E-2</v>
      </c>
    </row>
    <row r="45" spans="1:20" x14ac:dyDescent="0.2">
      <c r="A45" s="52">
        <f t="shared" si="0"/>
        <v>126</v>
      </c>
      <c r="B45" s="53">
        <f t="shared" si="1"/>
        <v>43781</v>
      </c>
      <c r="C45" s="54">
        <f>'Résultats observations'!D45</f>
        <v>48.299999999999983</v>
      </c>
      <c r="D45" s="49">
        <f t="shared" si="2"/>
        <v>-0.38736998751076612</v>
      </c>
      <c r="E45" s="49">
        <f t="shared" si="3"/>
        <v>-0.18223029012198744</v>
      </c>
      <c r="F45" s="49">
        <f t="shared" si="4"/>
        <v>-0.25846825674147311</v>
      </c>
      <c r="G45" s="49">
        <f t="shared" si="5"/>
        <v>-8.2656599147141741</v>
      </c>
      <c r="H45" s="49">
        <f t="shared" si="6"/>
        <v>1.1851942812910465</v>
      </c>
      <c r="I45" s="49">
        <f t="shared" si="7"/>
        <v>-0.16704022985436495</v>
      </c>
      <c r="O45" s="49">
        <f t="shared" ref="O45:O46" si="113">IF(AND(D45&lt;&gt;"",D44&lt;&gt;""),(D45-D44)/($B45-$B44),"")</f>
        <v>1.4412387573603525E-2</v>
      </c>
      <c r="P45" s="49">
        <f t="shared" ref="P45:P47" si="114">IF(AND(E45&lt;&gt;"",E44&lt;&gt;""),(E45-E44)/($B45-$B44),"")</f>
        <v>8.3224771175949286E-3</v>
      </c>
      <c r="Q45" s="49">
        <f t="shared" ref="Q45:Q46" si="115">IF(AND(F45&lt;&gt;"",F44&lt;&gt;""),(F45-F44)/($B45-$B44),"")</f>
        <v>2.088314334951491E-2</v>
      </c>
      <c r="R45" s="49">
        <f t="shared" ref="R45:R46" si="116">IF(AND(G45&lt;&gt;"",G44&lt;&gt;""),(G45-G44)/($B45-$B44),"")</f>
        <v>-3.3099527429314435E-2</v>
      </c>
      <c r="S45" s="49">
        <f t="shared" ref="S45:S46" si="117">IF(AND(H45&lt;&gt;"",H44&lt;&gt;""),(H45-H44)/($B45-$B44),"")</f>
        <v>1.6807475045865772E-2</v>
      </c>
      <c r="T45" s="49">
        <f t="shared" ref="T45:T46" si="118">IF(AND(I45&lt;&gt;"",I44&lt;&gt;""),(I45-I44)/($B45-$B44),"")</f>
        <v>-9.031700160377909E-3</v>
      </c>
    </row>
    <row r="46" spans="1:20" x14ac:dyDescent="0.2">
      <c r="A46" s="52">
        <f t="shared" si="0"/>
        <v>128</v>
      </c>
      <c r="B46" s="53">
        <f t="shared" si="1"/>
        <v>43783</v>
      </c>
      <c r="C46" s="54">
        <f>'Résultats observations'!D46</f>
        <v>50.099999999999994</v>
      </c>
      <c r="D46" s="49">
        <f t="shared" si="2"/>
        <v>-0.41283720718743311</v>
      </c>
      <c r="E46" s="49" t="str">
        <f t="shared" si="3"/>
        <v/>
      </c>
      <c r="F46" s="49">
        <f t="shared" si="4"/>
        <v>-0.42271998977305714</v>
      </c>
      <c r="G46" s="49">
        <f t="shared" si="5"/>
        <v>-8.2657374917474158</v>
      </c>
      <c r="H46" s="49" t="str">
        <f t="shared" si="6"/>
        <v/>
      </c>
      <c r="I46" s="49">
        <f t="shared" si="7"/>
        <v>-3.1717900909278285E-2</v>
      </c>
      <c r="O46" s="49">
        <f t="shared" si="113"/>
        <v>-1.2733609838333493E-2</v>
      </c>
      <c r="P46" s="49" t="str">
        <f t="shared" si="114"/>
        <v/>
      </c>
      <c r="Q46" s="49">
        <f t="shared" si="115"/>
        <v>-8.2125866515792012E-2</v>
      </c>
      <c r="R46" s="49">
        <f t="shared" si="116"/>
        <v>-3.8788516620869018E-5</v>
      </c>
      <c r="S46" s="49" t="str">
        <f t="shared" si="117"/>
        <v/>
      </c>
      <c r="T46" s="49">
        <f t="shared" si="118"/>
        <v>6.7661164472543334E-2</v>
      </c>
    </row>
    <row r="47" spans="1:20" x14ac:dyDescent="0.2">
      <c r="A47" s="52">
        <f t="shared" si="0"/>
        <v>132</v>
      </c>
      <c r="B47" s="53">
        <f t="shared" si="1"/>
        <v>43787</v>
      </c>
      <c r="C47" s="54">
        <f>'Résultats observations'!D47</f>
        <v>51.299999999999983</v>
      </c>
      <c r="D47" s="49">
        <f t="shared" si="2"/>
        <v>-0.55302072473395469</v>
      </c>
      <c r="E47" s="49">
        <f t="shared" si="3"/>
        <v>-0.50810782740362548</v>
      </c>
      <c r="F47" s="49">
        <f t="shared" si="4"/>
        <v>-0.37124912512753738</v>
      </c>
      <c r="G47" s="49">
        <f t="shared" si="5"/>
        <v>-8.4944318014765763</v>
      </c>
      <c r="H47" s="49">
        <f t="shared" si="6"/>
        <v>0.99720235046918404</v>
      </c>
      <c r="I47" s="49">
        <f t="shared" si="7"/>
        <v>0.18974751687395042</v>
      </c>
      <c r="O47" s="49">
        <f t="shared" ref="O47" si="119">IF(AND(D47&lt;&gt;"",D46&lt;&gt;""),(D47-D46)/($B47-$B46),"")</f>
        <v>-3.5045879386630396E-2</v>
      </c>
      <c r="P47" s="49" t="str">
        <f t="shared" si="114"/>
        <v/>
      </c>
      <c r="Q47" s="49">
        <f t="shared" ref="Q47" si="120">IF(AND(F47&lt;&gt;"",F46&lt;&gt;""),(F47-F46)/($B47-$B46),"")</f>
        <v>1.2867716161379938E-2</v>
      </c>
      <c r="R47" s="49">
        <f t="shared" ref="R47" si="121">IF(AND(G47&lt;&gt;"",G46&lt;&gt;""),(G47-G46)/($B47-$B46),"")</f>
        <v>-5.7173577432290124E-2</v>
      </c>
      <c r="S47" s="49" t="str">
        <f t="shared" ref="S47" si="122">IF(AND(H47&lt;&gt;"",H46&lt;&gt;""),(H47-H46)/($B47-$B46),"")</f>
        <v/>
      </c>
      <c r="T47" s="49">
        <f t="shared" ref="T47" si="123">IF(AND(I47&lt;&gt;"",I46&lt;&gt;""),(I47-I46)/($B47-$B46),"")</f>
        <v>5.5366354445807175E-2</v>
      </c>
    </row>
    <row r="48" spans="1:20" x14ac:dyDescent="0.2">
      <c r="A48" s="52">
        <f t="shared" si="0"/>
        <v>135</v>
      </c>
      <c r="B48" s="53">
        <f t="shared" si="1"/>
        <v>43790</v>
      </c>
      <c r="C48" s="54">
        <f>'Résultats observations'!D48</f>
        <v>52.5</v>
      </c>
      <c r="D48" s="49">
        <f t="shared" si="2"/>
        <v>-0.75095279550030369</v>
      </c>
      <c r="E48" s="49">
        <f t="shared" si="3"/>
        <v>-0.4255658719822808</v>
      </c>
      <c r="F48" s="49">
        <f t="shared" si="4"/>
        <v>-0.43351484175957467</v>
      </c>
      <c r="G48" s="49">
        <f t="shared" si="5"/>
        <v>-8.6521168171911356</v>
      </c>
      <c r="H48" s="49">
        <f t="shared" si="6"/>
        <v>1.1161568999469296</v>
      </c>
      <c r="I48" s="49">
        <f t="shared" si="7"/>
        <v>-3.1717900909278285E-2</v>
      </c>
      <c r="O48" s="49">
        <f t="shared" ref="O48:O66" si="124">IF(AND(D48&lt;&gt;"",D47&lt;&gt;""),(D48-D47)/($B48-$B47),"")</f>
        <v>-6.5977356922116329E-2</v>
      </c>
      <c r="P48" s="49">
        <f t="shared" ref="P48:P66" si="125">IF(AND(E48&lt;&gt;"",E47&lt;&gt;""),(E48-E47)/($B48-$B47),"")</f>
        <v>2.7513985140448227E-2</v>
      </c>
      <c r="Q48" s="49">
        <f t="shared" ref="Q48:Q66" si="126">IF(AND(F48&lt;&gt;"",F47&lt;&gt;""),(F48-F47)/($B48-$B47),"")</f>
        <v>-2.0755238877345761E-2</v>
      </c>
      <c r="R48" s="49">
        <f t="shared" ref="R48:R66" si="127">IF(AND(G48&lt;&gt;"",G47&lt;&gt;""),(G48-G47)/($B48-$B47),"")</f>
        <v>-5.2561671904853093E-2</v>
      </c>
      <c r="S48" s="49">
        <f t="shared" ref="S48:S66" si="128">IF(AND(H48&lt;&gt;"",H47&lt;&gt;""),(H48-H47)/($B48-$B47),"")</f>
        <v>3.9651516492581841E-2</v>
      </c>
      <c r="T48" s="49">
        <f t="shared" ref="T48:T66" si="129">IF(AND(I48&lt;&gt;"",I47&lt;&gt;""),(I48-I47)/($B48-$B47),"")</f>
        <v>-7.3821805927742901E-2</v>
      </c>
    </row>
    <row r="49" spans="1:20" x14ac:dyDescent="0.2">
      <c r="A49" s="52">
        <f t="shared" si="0"/>
        <v>140</v>
      </c>
      <c r="B49" s="53">
        <f t="shared" si="1"/>
        <v>43795</v>
      </c>
      <c r="C49" s="54">
        <f>'Résultats observations'!D49</f>
        <v>52.5</v>
      </c>
      <c r="D49" s="49">
        <f t="shared" si="2"/>
        <v>-0.52221037049404728</v>
      </c>
      <c r="E49" s="49">
        <f t="shared" si="3"/>
        <v>-0.18177536978547515</v>
      </c>
      <c r="F49" s="49">
        <f t="shared" si="4"/>
        <v>-0.38381425964617577</v>
      </c>
      <c r="G49" s="49">
        <f t="shared" si="5"/>
        <v>-8.7782713142829927</v>
      </c>
      <c r="H49" s="49">
        <f t="shared" si="6"/>
        <v>1.4422178886728254</v>
      </c>
      <c r="I49" s="49">
        <f t="shared" si="7"/>
        <v>0.16301238113314298</v>
      </c>
      <c r="O49" s="49">
        <f t="shared" si="124"/>
        <v>4.5748485001251282E-2</v>
      </c>
      <c r="P49" s="49">
        <f t="shared" si="125"/>
        <v>4.8758100439361129E-2</v>
      </c>
      <c r="Q49" s="49">
        <f t="shared" si="126"/>
        <v>9.9401164226797789E-3</v>
      </c>
      <c r="R49" s="49">
        <f t="shared" si="127"/>
        <v>-2.5230899418371422E-2</v>
      </c>
      <c r="S49" s="49">
        <f t="shared" si="128"/>
        <v>6.5212197745179168E-2</v>
      </c>
      <c r="T49" s="49">
        <f t="shared" si="129"/>
        <v>3.8946056408484253E-2</v>
      </c>
    </row>
    <row r="50" spans="1:20" x14ac:dyDescent="0.2">
      <c r="A50" s="52">
        <f t="shared" si="0"/>
        <v>142</v>
      </c>
      <c r="B50" s="53">
        <f t="shared" si="1"/>
        <v>43797</v>
      </c>
      <c r="C50" s="54">
        <f>'Résultats observations'!D50</f>
        <v>52.5</v>
      </c>
      <c r="D50" s="49">
        <f t="shared" si="2"/>
        <v>-0.46843057784995423</v>
      </c>
      <c r="E50" s="49">
        <f t="shared" si="3"/>
        <v>-0.26589875925986384</v>
      </c>
      <c r="F50" s="49">
        <f t="shared" si="4"/>
        <v>-0.2213781921409641</v>
      </c>
      <c r="G50" s="49">
        <f t="shared" si="5"/>
        <v>-8.6364179864228952</v>
      </c>
      <c r="H50" s="49">
        <f t="shared" si="6"/>
        <v>1.2883195584412199</v>
      </c>
      <c r="I50" s="49">
        <f t="shared" si="7"/>
        <v>0.24497029626147082</v>
      </c>
      <c r="O50" s="49">
        <f t="shared" si="124"/>
        <v>2.6889896322046525E-2</v>
      </c>
      <c r="P50" s="49">
        <f t="shared" si="125"/>
        <v>-4.2061694737194344E-2</v>
      </c>
      <c r="Q50" s="49">
        <f t="shared" si="126"/>
        <v>8.1218033752605834E-2</v>
      </c>
      <c r="R50" s="49">
        <f t="shared" si="127"/>
        <v>7.0926663930048761E-2</v>
      </c>
      <c r="S50" s="49">
        <f t="shared" si="128"/>
        <v>-7.6949165115802742E-2</v>
      </c>
      <c r="T50" s="49">
        <f t="shared" si="129"/>
        <v>4.097895756416392E-2</v>
      </c>
    </row>
    <row r="51" spans="1:20" x14ac:dyDescent="0.2">
      <c r="A51" s="52">
        <f t="shared" si="0"/>
        <v>146</v>
      </c>
      <c r="B51" s="53">
        <f t="shared" si="1"/>
        <v>43801</v>
      </c>
      <c r="C51" s="54">
        <f>'Résultats observations'!D51</f>
        <v>52.5</v>
      </c>
      <c r="D51" s="49">
        <f t="shared" si="2"/>
        <v>-0.35261548852227875</v>
      </c>
      <c r="E51" s="49">
        <f t="shared" si="3"/>
        <v>-0.15087630660448603</v>
      </c>
      <c r="F51" s="49">
        <f t="shared" si="4"/>
        <v>-0.14380271608427364</v>
      </c>
      <c r="G51" s="49">
        <f t="shared" si="5"/>
        <v>-8.7544915475756824</v>
      </c>
      <c r="H51" s="49">
        <f t="shared" si="6"/>
        <v>1.3374583701049048</v>
      </c>
      <c r="I51" s="49">
        <f t="shared" si="7"/>
        <v>6.4635295892401246E-2</v>
      </c>
      <c r="O51" s="49">
        <f t="shared" si="124"/>
        <v>2.895377233191887E-2</v>
      </c>
      <c r="P51" s="49">
        <f t="shared" si="125"/>
        <v>2.8755613163844451E-2</v>
      </c>
      <c r="Q51" s="49">
        <f t="shared" si="126"/>
        <v>1.9393869014172616E-2</v>
      </c>
      <c r="R51" s="49">
        <f t="shared" si="127"/>
        <v>-2.9518390288196805E-2</v>
      </c>
      <c r="S51" s="49">
        <f t="shared" si="128"/>
        <v>1.2284702915921208E-2</v>
      </c>
      <c r="T51" s="49">
        <f t="shared" si="129"/>
        <v>-4.5083750092267394E-2</v>
      </c>
    </row>
    <row r="52" spans="1:20" x14ac:dyDescent="0.2">
      <c r="A52" s="52">
        <f t="shared" si="0"/>
        <v>148</v>
      </c>
      <c r="B52" s="53">
        <f t="shared" si="1"/>
        <v>43803</v>
      </c>
      <c r="C52" s="54">
        <f>'Résultats observations'!D52</f>
        <v>52.5</v>
      </c>
      <c r="D52" s="49">
        <f t="shared" si="2"/>
        <v>-0.55769022892304676</v>
      </c>
      <c r="E52" s="49">
        <f t="shared" si="3"/>
        <v>-0.30094559821502997</v>
      </c>
      <c r="F52" s="49">
        <f t="shared" si="4"/>
        <v>-0.43768576698277606</v>
      </c>
      <c r="G52" s="49">
        <f t="shared" si="5"/>
        <v>-9.1486654011538882</v>
      </c>
      <c r="H52" s="49">
        <f t="shared" si="6"/>
        <v>1.2035450819620763</v>
      </c>
      <c r="I52" s="49">
        <f t="shared" si="7"/>
        <v>-6.0462884825085439E-2</v>
      </c>
      <c r="O52" s="49">
        <f t="shared" si="124"/>
        <v>-0.102537370200384</v>
      </c>
      <c r="P52" s="49">
        <f t="shared" si="125"/>
        <v>-7.5034645805271971E-2</v>
      </c>
      <c r="Q52" s="49">
        <f t="shared" si="126"/>
        <v>-0.14694152544925121</v>
      </c>
      <c r="R52" s="49">
        <f t="shared" si="127"/>
        <v>-0.19708692678910289</v>
      </c>
      <c r="S52" s="49">
        <f t="shared" si="128"/>
        <v>-6.6956644071414217E-2</v>
      </c>
      <c r="T52" s="49">
        <f t="shared" si="129"/>
        <v>-6.2549090358743342E-2</v>
      </c>
    </row>
    <row r="53" spans="1:20" x14ac:dyDescent="0.2">
      <c r="A53" s="52">
        <f t="shared" si="0"/>
        <v>153</v>
      </c>
      <c r="B53" s="53">
        <f t="shared" si="1"/>
        <v>43808</v>
      </c>
      <c r="C53" s="54">
        <f>'Résultats observations'!D53</f>
        <v>52.5</v>
      </c>
      <c r="D53" s="49">
        <f t="shared" si="2"/>
        <v>-0.45728126834054805</v>
      </c>
      <c r="E53" s="49">
        <f t="shared" si="3"/>
        <v>-0.1806548867571145</v>
      </c>
      <c r="F53" s="49">
        <f t="shared" si="4"/>
        <v>-0.48827194570555399</v>
      </c>
      <c r="G53" s="49">
        <f t="shared" si="5"/>
        <v>-9.219588986058902</v>
      </c>
      <c r="H53" s="49">
        <f t="shared" si="6"/>
        <v>1.2525903826214879</v>
      </c>
      <c r="I53" s="49">
        <f t="shared" si="7"/>
        <v>7.6880550565761041E-2</v>
      </c>
      <c r="O53" s="49">
        <f t="shared" si="124"/>
        <v>2.0081792116499741E-2</v>
      </c>
      <c r="P53" s="49">
        <f t="shared" si="125"/>
        <v>2.4058142291583096E-2</v>
      </c>
      <c r="Q53" s="49">
        <f t="shared" si="126"/>
        <v>-1.0117235744555586E-2</v>
      </c>
      <c r="R53" s="49">
        <f t="shared" si="127"/>
        <v>-1.4184716981002765E-2</v>
      </c>
      <c r="S53" s="49">
        <f t="shared" si="128"/>
        <v>9.809060131882319E-3</v>
      </c>
      <c r="T53" s="49">
        <f t="shared" si="129"/>
        <v>2.7468687078169296E-2</v>
      </c>
    </row>
    <row r="54" spans="1:20" x14ac:dyDescent="0.2">
      <c r="A54" s="52">
        <f t="shared" si="0"/>
        <v>156</v>
      </c>
      <c r="B54" s="53">
        <f t="shared" si="1"/>
        <v>43811</v>
      </c>
      <c r="C54" s="54">
        <f>'Résultats observations'!D54</f>
        <v>52.5</v>
      </c>
      <c r="D54" s="49">
        <f t="shared" si="2"/>
        <v>-0.68064379176435708</v>
      </c>
      <c r="E54" s="49">
        <f t="shared" si="3"/>
        <v>-0.3904742207665457</v>
      </c>
      <c r="F54" s="49">
        <f t="shared" si="4"/>
        <v>-0.40570114353211117</v>
      </c>
      <c r="G54" s="49">
        <f t="shared" si="5"/>
        <v>-9.1251464472414945</v>
      </c>
      <c r="H54" s="49">
        <f t="shared" si="6"/>
        <v>1.0629735427909459</v>
      </c>
      <c r="I54" s="49">
        <f t="shared" si="7"/>
        <v>0.19981887796305386</v>
      </c>
      <c r="O54" s="49">
        <f t="shared" si="124"/>
        <v>-7.4454174474603008E-2</v>
      </c>
      <c r="P54" s="49">
        <f t="shared" si="125"/>
        <v>-6.9939778003143729E-2</v>
      </c>
      <c r="Q54" s="49">
        <f t="shared" si="126"/>
        <v>2.7523600724480939E-2</v>
      </c>
      <c r="R54" s="49">
        <f t="shared" si="127"/>
        <v>3.1480846272469165E-2</v>
      </c>
      <c r="S54" s="49">
        <f t="shared" si="128"/>
        <v>-6.3205613276847331E-2</v>
      </c>
      <c r="T54" s="49">
        <f t="shared" si="129"/>
        <v>4.0979442465764272E-2</v>
      </c>
    </row>
    <row r="55" spans="1:20" x14ac:dyDescent="0.2">
      <c r="A55" s="52">
        <f t="shared" si="0"/>
        <v>160</v>
      </c>
      <c r="B55" s="53">
        <f t="shared" si="1"/>
        <v>43815</v>
      </c>
      <c r="C55" s="54">
        <f>'Résultats observations'!D55</f>
        <v>52.5</v>
      </c>
      <c r="D55" s="49">
        <f t="shared" si="2"/>
        <v>-0.58601679164160814</v>
      </c>
      <c r="E55" s="49">
        <f t="shared" si="3"/>
        <v>-0.2701168126426623</v>
      </c>
      <c r="F55" s="49">
        <f t="shared" si="4"/>
        <v>-0.11182713258950372</v>
      </c>
      <c r="G55" s="49">
        <f t="shared" si="5"/>
        <v>-8.9281138438588314</v>
      </c>
      <c r="H55" s="49">
        <f t="shared" si="6"/>
        <v>1.3374583100707049</v>
      </c>
      <c r="I55" s="49">
        <f t="shared" si="7"/>
        <v>0.34955150499804688</v>
      </c>
      <c r="O55" s="49">
        <f t="shared" si="124"/>
        <v>2.3656750030687235E-2</v>
      </c>
      <c r="P55" s="49">
        <f t="shared" si="125"/>
        <v>3.0089352030970851E-2</v>
      </c>
      <c r="Q55" s="49">
        <f t="shared" si="126"/>
        <v>7.3468502735651864E-2</v>
      </c>
      <c r="R55" s="49">
        <f t="shared" si="127"/>
        <v>4.925815084566576E-2</v>
      </c>
      <c r="S55" s="49">
        <f t="shared" si="128"/>
        <v>6.8621191819939753E-2</v>
      </c>
      <c r="T55" s="49">
        <f t="shared" si="129"/>
        <v>3.7433156758748254E-2</v>
      </c>
    </row>
    <row r="56" spans="1:20" x14ac:dyDescent="0.2">
      <c r="A56" s="52">
        <f t="shared" si="0"/>
        <v>163</v>
      </c>
      <c r="B56" s="53">
        <f t="shared" si="1"/>
        <v>43818</v>
      </c>
      <c r="C56" s="54">
        <f>'Résultats observations'!D56</f>
        <v>52.5</v>
      </c>
      <c r="D56" s="49">
        <f t="shared" si="2"/>
        <v>-0.56482187300543885</v>
      </c>
      <c r="E56" s="49">
        <f t="shared" si="3"/>
        <v>-9.9692445091115189E-2</v>
      </c>
      <c r="F56" s="49">
        <f t="shared" si="4"/>
        <v>-0.58013375014431823</v>
      </c>
      <c r="G56" s="49">
        <f t="shared" si="5"/>
        <v>-9.322190713645373</v>
      </c>
      <c r="H56" s="49">
        <f t="shared" si="6"/>
        <v>1.0288693120723558</v>
      </c>
      <c r="I56" s="49">
        <f t="shared" si="7"/>
        <v>0.25103008081028833</v>
      </c>
      <c r="O56" s="49">
        <f t="shared" si="124"/>
        <v>7.064972878723097E-3</v>
      </c>
      <c r="P56" s="49">
        <f t="shared" si="125"/>
        <v>5.6808122517182369E-2</v>
      </c>
      <c r="Q56" s="49">
        <f t="shared" si="126"/>
        <v>-0.15610220585160484</v>
      </c>
      <c r="R56" s="49">
        <f t="shared" si="127"/>
        <v>-0.13135895659551386</v>
      </c>
      <c r="S56" s="49">
        <f t="shared" si="128"/>
        <v>-0.10286299933278305</v>
      </c>
      <c r="T56" s="49">
        <f t="shared" si="129"/>
        <v>-3.2840474729252854E-2</v>
      </c>
    </row>
    <row r="57" spans="1:20" x14ac:dyDescent="0.2">
      <c r="A57" s="52">
        <f t="shared" si="0"/>
        <v>182</v>
      </c>
      <c r="B57" s="53">
        <f t="shared" si="1"/>
        <v>43837</v>
      </c>
      <c r="C57" s="54">
        <f>'Résultats observations'!D57</f>
        <v>52.5</v>
      </c>
      <c r="D57" s="49">
        <f t="shared" si="2"/>
        <v>-0.58486225651677159</v>
      </c>
      <c r="E57" s="49">
        <f t="shared" si="3"/>
        <v>-0.19137946589053989</v>
      </c>
      <c r="F57" s="49">
        <f t="shared" si="4"/>
        <v>-0.28870713025419548</v>
      </c>
      <c r="G57" s="49">
        <f t="shared" si="5"/>
        <v>-9.7319723616875464</v>
      </c>
      <c r="H57" s="49">
        <f t="shared" si="6"/>
        <v>1.2684653183216987</v>
      </c>
      <c r="I57" s="49">
        <f t="shared" si="7"/>
        <v>8.9151907722850865E-2</v>
      </c>
      <c r="O57" s="49">
        <f t="shared" si="124"/>
        <v>-1.0547570269122499E-3</v>
      </c>
      <c r="P57" s="49">
        <f t="shared" si="125"/>
        <v>-4.825632673653932E-3</v>
      </c>
      <c r="Q57" s="49">
        <f t="shared" si="126"/>
        <v>1.5338243152111724E-2</v>
      </c>
      <c r="R57" s="49">
        <f t="shared" si="127"/>
        <v>-2.156745516011439E-2</v>
      </c>
      <c r="S57" s="49">
        <f t="shared" si="128"/>
        <v>1.2610316118386472E-2</v>
      </c>
      <c r="T57" s="49">
        <f t="shared" si="129"/>
        <v>-8.5199038467072344E-3</v>
      </c>
    </row>
    <row r="58" spans="1:20" x14ac:dyDescent="0.2">
      <c r="A58" s="52">
        <f t="shared" si="0"/>
        <v>188</v>
      </c>
      <c r="B58" s="53">
        <f t="shared" si="1"/>
        <v>43843</v>
      </c>
      <c r="C58" s="54">
        <f>'Résultats observations'!D58</f>
        <v>52.5</v>
      </c>
      <c r="D58" s="49">
        <f t="shared" si="2"/>
        <v>-0.74859621122191911</v>
      </c>
      <c r="E58" s="49">
        <f t="shared" si="3"/>
        <v>-0.19249995622683258</v>
      </c>
      <c r="F58" s="49">
        <f t="shared" si="4"/>
        <v>-0.48554997524452581</v>
      </c>
      <c r="G58" s="49">
        <f t="shared" si="5"/>
        <v>-10.078806508411642</v>
      </c>
      <c r="H58" s="49">
        <f t="shared" si="6"/>
        <v>1.3525452527556325</v>
      </c>
      <c r="I58" s="49">
        <f t="shared" si="7"/>
        <v>-0.11809778932558856</v>
      </c>
      <c r="O58" s="49">
        <f t="shared" si="124"/>
        <v>-2.7288992450857918E-2</v>
      </c>
      <c r="P58" s="49">
        <f t="shared" si="125"/>
        <v>-1.8674838938211499E-4</v>
      </c>
      <c r="Q58" s="49">
        <f t="shared" si="126"/>
        <v>-3.2807140831721725E-2</v>
      </c>
      <c r="R58" s="49">
        <f t="shared" si="127"/>
        <v>-5.7805691120682567E-2</v>
      </c>
      <c r="S58" s="49">
        <f t="shared" si="128"/>
        <v>1.4013322405655634E-2</v>
      </c>
      <c r="T58" s="49">
        <f t="shared" si="129"/>
        <v>-3.4541616174739907E-2</v>
      </c>
    </row>
    <row r="59" spans="1:20" x14ac:dyDescent="0.2">
      <c r="A59" s="52">
        <f t="shared" si="0"/>
        <v>195</v>
      </c>
      <c r="B59" s="53">
        <f t="shared" si="1"/>
        <v>43850</v>
      </c>
      <c r="C59" s="54">
        <f>'Résultats observations'!D59</f>
        <v>52.5</v>
      </c>
      <c r="D59" s="49">
        <f t="shared" si="2"/>
        <v>-0.77987937698376086</v>
      </c>
      <c r="E59" s="49">
        <f t="shared" si="3"/>
        <v>-0.23339259619192809</v>
      </c>
      <c r="F59" s="49">
        <f t="shared" si="4"/>
        <v>-0.28171802145604552</v>
      </c>
      <c r="G59" s="49">
        <f t="shared" si="5"/>
        <v>-9.8423594891277055</v>
      </c>
      <c r="H59" s="49">
        <f t="shared" si="6"/>
        <v>1.4541369491416489</v>
      </c>
      <c r="I59" s="49">
        <f t="shared" si="7"/>
        <v>0.17514919361705239</v>
      </c>
      <c r="O59" s="49">
        <f t="shared" si="124"/>
        <v>-4.4690236802631079E-3</v>
      </c>
      <c r="P59" s="49">
        <f t="shared" si="125"/>
        <v>-5.8418057092993591E-3</v>
      </c>
      <c r="Q59" s="49">
        <f t="shared" si="126"/>
        <v>2.911885054121147E-2</v>
      </c>
      <c r="R59" s="49">
        <f t="shared" si="127"/>
        <v>3.3778145611990898E-2</v>
      </c>
      <c r="S59" s="49">
        <f t="shared" si="128"/>
        <v>1.4513099483716627E-2</v>
      </c>
      <c r="T59" s="49">
        <f t="shared" si="129"/>
        <v>4.1892426134662993E-2</v>
      </c>
    </row>
    <row r="60" spans="1:20" x14ac:dyDescent="0.2">
      <c r="A60" s="52">
        <f t="shared" si="0"/>
        <v>202</v>
      </c>
      <c r="B60" s="53">
        <f t="shared" si="1"/>
        <v>43857</v>
      </c>
      <c r="C60" s="54">
        <f>'Résultats observations'!D60</f>
        <v>52.5</v>
      </c>
      <c r="D60" s="49">
        <f t="shared" si="2"/>
        <v>-0.84903842779304739</v>
      </c>
      <c r="E60" s="49">
        <f t="shared" si="3"/>
        <v>-0.23339259618615493</v>
      </c>
      <c r="F60" s="49">
        <f t="shared" si="4"/>
        <v>-0.29421364837389774</v>
      </c>
      <c r="G60" s="49">
        <f t="shared" si="5"/>
        <v>-10.338863401477827</v>
      </c>
      <c r="H60" s="49">
        <f t="shared" si="6"/>
        <v>1.5390239034425157</v>
      </c>
      <c r="I60" s="49">
        <f t="shared" si="7"/>
        <v>-0.13657796489940921</v>
      </c>
      <c r="O60" s="49">
        <f t="shared" si="124"/>
        <v>-9.8798644013266459E-3</v>
      </c>
      <c r="P60" s="49">
        <f t="shared" si="125"/>
        <v>8.2473710400725913E-13</v>
      </c>
      <c r="Q60" s="49">
        <f t="shared" si="126"/>
        <v>-1.7850895596931743E-3</v>
      </c>
      <c r="R60" s="49">
        <f t="shared" si="127"/>
        <v>-7.092913033573163E-2</v>
      </c>
      <c r="S60" s="49">
        <f t="shared" si="128"/>
        <v>1.2126707757266684E-2</v>
      </c>
      <c r="T60" s="49">
        <f t="shared" si="129"/>
        <v>-4.4532451216637368E-2</v>
      </c>
    </row>
    <row r="61" spans="1:20" x14ac:dyDescent="0.2">
      <c r="A61" s="52">
        <f t="shared" si="0"/>
        <v>210</v>
      </c>
      <c r="B61" s="53">
        <f t="shared" si="1"/>
        <v>43865</v>
      </c>
      <c r="C61" s="54">
        <f>'Résultats observations'!D61</f>
        <v>52.5</v>
      </c>
      <c r="D61" s="49">
        <f t="shared" si="2"/>
        <v>-0.692384275355451</v>
      </c>
      <c r="E61" s="49">
        <f t="shared" si="3"/>
        <v>-0.30947763355837488</v>
      </c>
      <c r="F61" s="49">
        <f t="shared" si="4"/>
        <v>-0.29613051411336855</v>
      </c>
      <c r="G61" s="49">
        <f t="shared" si="5"/>
        <v>-10.110303018558309</v>
      </c>
      <c r="H61" s="49">
        <f t="shared" si="6"/>
        <v>1.2327293529921235</v>
      </c>
      <c r="I61" s="49">
        <f t="shared" si="7"/>
        <v>9.7266187404798643E-2</v>
      </c>
      <c r="O61" s="49">
        <f t="shared" si="124"/>
        <v>1.9581769054699549E-2</v>
      </c>
      <c r="P61" s="49">
        <f t="shared" si="125"/>
        <v>-9.5106296715274929E-3</v>
      </c>
      <c r="Q61" s="49">
        <f t="shared" si="126"/>
        <v>-2.3960821743385097E-4</v>
      </c>
      <c r="R61" s="49">
        <f t="shared" si="127"/>
        <v>2.8570047864939774E-2</v>
      </c>
      <c r="S61" s="49">
        <f t="shared" si="128"/>
        <v>-3.8286818806299028E-2</v>
      </c>
      <c r="T61" s="49">
        <f t="shared" si="129"/>
        <v>2.9230519038025982E-2</v>
      </c>
    </row>
    <row r="62" spans="1:20" x14ac:dyDescent="0.2">
      <c r="A62" s="52">
        <f t="shared" si="0"/>
        <v>223</v>
      </c>
      <c r="B62" s="53">
        <f t="shared" si="1"/>
        <v>43878</v>
      </c>
      <c r="C62" s="54">
        <f>'Résultats observations'!D62</f>
        <v>52.5</v>
      </c>
      <c r="D62" s="49">
        <f t="shared" si="2"/>
        <v>-1.0357047775917394</v>
      </c>
      <c r="E62" s="49">
        <f t="shared" si="3"/>
        <v>-0.30947767937195003</v>
      </c>
      <c r="F62" s="49">
        <f t="shared" si="4"/>
        <v>-0.29421364837389774</v>
      </c>
      <c r="G62" s="49">
        <f t="shared" si="5"/>
        <v>-10.417562790011825</v>
      </c>
      <c r="H62" s="49">
        <f t="shared" si="6"/>
        <v>1.4707424919788714</v>
      </c>
      <c r="I62" s="49">
        <f t="shared" si="7"/>
        <v>0.22425544071502657</v>
      </c>
      <c r="O62" s="49">
        <f t="shared" si="124"/>
        <v>-2.6409269402791417E-2</v>
      </c>
      <c r="P62" s="49">
        <f t="shared" si="125"/>
        <v>-3.5241211658278471E-9</v>
      </c>
      <c r="Q62" s="49">
        <f t="shared" si="126"/>
        <v>1.4745121072852368E-4</v>
      </c>
      <c r="R62" s="49">
        <f t="shared" si="127"/>
        <v>-2.3635367034885873E-2</v>
      </c>
      <c r="S62" s="49">
        <f t="shared" si="128"/>
        <v>1.830870299898061E-2</v>
      </c>
      <c r="T62" s="49">
        <f t="shared" si="129"/>
        <v>9.768404100786764E-3</v>
      </c>
    </row>
    <row r="63" spans="1:20" x14ac:dyDescent="0.2">
      <c r="A63" s="52">
        <f t="shared" si="0"/>
        <v>231</v>
      </c>
      <c r="B63" s="53">
        <f t="shared" si="1"/>
        <v>43886</v>
      </c>
      <c r="C63" s="54">
        <f>'Résultats observations'!D63</f>
        <v>52.5</v>
      </c>
      <c r="D63" s="49">
        <f t="shared" si="2"/>
        <v>-0.68406185470815117</v>
      </c>
      <c r="E63" s="49">
        <f t="shared" si="3"/>
        <v>-0.23714334300528606</v>
      </c>
      <c r="F63" s="49">
        <f t="shared" si="4"/>
        <v>-8.7206161026864848E-2</v>
      </c>
      <c r="G63" s="49">
        <f t="shared" si="5"/>
        <v>-10.425521403287341</v>
      </c>
      <c r="H63" s="49">
        <f t="shared" si="6"/>
        <v>1.5929565295644821</v>
      </c>
      <c r="I63" s="49">
        <f t="shared" si="7"/>
        <v>0.23869820218980209</v>
      </c>
      <c r="O63" s="49">
        <f t="shared" si="124"/>
        <v>4.3955365360448528E-2</v>
      </c>
      <c r="P63" s="49">
        <f t="shared" si="125"/>
        <v>9.041792045832997E-3</v>
      </c>
      <c r="Q63" s="49">
        <f t="shared" si="126"/>
        <v>2.5875935918379112E-2</v>
      </c>
      <c r="R63" s="49">
        <f t="shared" si="127"/>
        <v>-9.9482665943950721E-4</v>
      </c>
      <c r="S63" s="49">
        <f t="shared" si="128"/>
        <v>1.5276754698201334E-2</v>
      </c>
      <c r="T63" s="49">
        <f t="shared" si="129"/>
        <v>1.8053451843469404E-3</v>
      </c>
    </row>
    <row r="64" spans="1:20" x14ac:dyDescent="0.2">
      <c r="A64" s="52">
        <f t="shared" si="0"/>
        <v>241</v>
      </c>
      <c r="B64" s="53">
        <f t="shared" si="1"/>
        <v>43896</v>
      </c>
      <c r="C64" s="54">
        <f>'Résultats observations'!D64</f>
        <v>52.5</v>
      </c>
      <c r="D64" s="49">
        <f t="shared" si="2"/>
        <v>-0.56234887207073925</v>
      </c>
      <c r="E64" s="49">
        <f t="shared" si="3"/>
        <v>5.0897655345272241E-2</v>
      </c>
      <c r="F64" s="49">
        <f t="shared" si="4"/>
        <v>-0.14510968723580042</v>
      </c>
      <c r="G64" s="49">
        <f t="shared" si="5"/>
        <v>-10.764318384985039</v>
      </c>
      <c r="H64" s="49">
        <f t="shared" si="6"/>
        <v>1.9675170093602645</v>
      </c>
      <c r="I64" s="49">
        <f t="shared" si="7"/>
        <v>0.369854623474275</v>
      </c>
      <c r="O64" s="49">
        <f t="shared" si="124"/>
        <v>1.2171298263741193E-2</v>
      </c>
      <c r="P64" s="49">
        <f t="shared" si="125"/>
        <v>2.880409983505583E-2</v>
      </c>
      <c r="Q64" s="49">
        <f t="shared" si="126"/>
        <v>-5.7903526208935574E-3</v>
      </c>
      <c r="R64" s="49">
        <f t="shared" si="127"/>
        <v>-3.3879698169769767E-2</v>
      </c>
      <c r="S64" s="49">
        <f t="shared" si="128"/>
        <v>3.7456047979578244E-2</v>
      </c>
      <c r="T64" s="49">
        <f t="shared" si="129"/>
        <v>1.3115642128447291E-2</v>
      </c>
    </row>
    <row r="65" spans="1:20" x14ac:dyDescent="0.2">
      <c r="A65" s="52">
        <f t="shared" si="0"/>
        <v>315</v>
      </c>
      <c r="B65" s="53">
        <f t="shared" si="1"/>
        <v>43970</v>
      </c>
      <c r="C65" s="54">
        <f>'Résultats observations'!D65</f>
        <v>52.5</v>
      </c>
      <c r="D65" s="49">
        <f t="shared" si="2"/>
        <v>-1.4148758914109827</v>
      </c>
      <c r="E65" s="49">
        <f t="shared" si="3"/>
        <v>-0.36680223376461818</v>
      </c>
      <c r="F65" s="49">
        <f t="shared" si="4"/>
        <v>-0.15248320697702766</v>
      </c>
      <c r="G65" s="49">
        <f t="shared" si="5"/>
        <v>-11.827882968437287</v>
      </c>
      <c r="H65" s="49">
        <f t="shared" si="6"/>
        <v>1.5885496189320669</v>
      </c>
      <c r="I65" s="49">
        <f t="shared" si="7"/>
        <v>-0.40913966968680882</v>
      </c>
      <c r="O65" s="49">
        <f t="shared" si="124"/>
        <v>-1.1520635396489776E-2</v>
      </c>
      <c r="P65" s="49">
        <f t="shared" si="125"/>
        <v>-5.6445930960796007E-3</v>
      </c>
      <c r="Q65" s="49">
        <f t="shared" si="126"/>
        <v>-9.964215866523299E-5</v>
      </c>
      <c r="R65" s="49">
        <f t="shared" si="127"/>
        <v>-1.4372494370976322E-2</v>
      </c>
      <c r="S65" s="49">
        <f t="shared" si="128"/>
        <v>-5.1211809517323998E-3</v>
      </c>
      <c r="T65" s="49">
        <f t="shared" si="129"/>
        <v>-1.0526949907582213E-2</v>
      </c>
    </row>
    <row r="66" spans="1:20" x14ac:dyDescent="0.2">
      <c r="A66" s="52">
        <f t="shared" si="0"/>
        <v>322</v>
      </c>
      <c r="B66" s="53">
        <f t="shared" si="1"/>
        <v>43977</v>
      </c>
      <c r="C66" s="54">
        <f>'Résultats observations'!D66</f>
        <v>52.5</v>
      </c>
      <c r="D66" s="49">
        <f t="shared" si="2"/>
        <v>-1.1518518819726431</v>
      </c>
      <c r="E66" s="49">
        <f t="shared" si="3"/>
        <v>-0.15724477233747258</v>
      </c>
      <c r="F66" s="49">
        <f t="shared" si="4"/>
        <v>-0.26945166465841552</v>
      </c>
      <c r="G66" s="49">
        <f t="shared" si="5"/>
        <v>-11.7256086121591</v>
      </c>
      <c r="H66" s="49">
        <f t="shared" si="6"/>
        <v>1.8287295594201503</v>
      </c>
      <c r="I66" s="49">
        <f t="shared" si="7"/>
        <v>-7.5119085204633507E-2</v>
      </c>
      <c r="O66" s="49">
        <f t="shared" si="124"/>
        <v>3.7574858491191368E-2</v>
      </c>
      <c r="P66" s="49">
        <f t="shared" si="125"/>
        <v>2.9936780203877942E-2</v>
      </c>
      <c r="Q66" s="49">
        <f t="shared" si="126"/>
        <v>-1.6709779668769693E-2</v>
      </c>
      <c r="R66" s="49">
        <f t="shared" si="127"/>
        <v>1.4610622325455276E-2</v>
      </c>
      <c r="S66" s="49">
        <f t="shared" si="128"/>
        <v>3.4311420069726192E-2</v>
      </c>
      <c r="T66" s="49">
        <f t="shared" si="129"/>
        <v>4.7717226354596472E-2</v>
      </c>
    </row>
    <row r="67" spans="1:20" x14ac:dyDescent="0.2">
      <c r="A67" s="52">
        <f t="shared" si="0"/>
        <v>329</v>
      </c>
      <c r="B67" s="53">
        <f t="shared" si="1"/>
        <v>43984</v>
      </c>
      <c r="C67" s="54">
        <f>'Résultats observations'!D67</f>
        <v>52.5</v>
      </c>
      <c r="D67" s="49">
        <f t="shared" si="2"/>
        <v>-1.3627447519612979</v>
      </c>
      <c r="E67" s="49">
        <f t="shared" si="3"/>
        <v>-0.15871189669613983</v>
      </c>
      <c r="F67" s="49">
        <f t="shared" si="4"/>
        <v>-0.19190193973495084</v>
      </c>
      <c r="G67" s="49">
        <f t="shared" si="5"/>
        <v>-11.812339212954548</v>
      </c>
      <c r="H67" s="49">
        <f t="shared" si="6"/>
        <v>1.810452372249749</v>
      </c>
      <c r="I67" s="49">
        <f t="shared" si="7"/>
        <v>-0.33956842759241823</v>
      </c>
      <c r="O67" s="49">
        <f t="shared" ref="O67" si="130">IF(AND(D67&lt;&gt;"",D66&lt;&gt;""),(D67-D66)/($B67-$B66),"")</f>
        <v>-3.0127552855522106E-2</v>
      </c>
      <c r="P67" s="49">
        <f t="shared" ref="P67" si="131">IF(AND(E67&lt;&gt;"",E66&lt;&gt;""),(E67-E66)/($B67-$B66),"")</f>
        <v>-2.0958919409532127E-4</v>
      </c>
      <c r="Q67" s="49">
        <f t="shared" ref="Q67" si="132">IF(AND(F67&lt;&gt;"",F66&lt;&gt;""),(F67-F66)/($B67-$B66),"")</f>
        <v>1.1078532131923526E-2</v>
      </c>
      <c r="R67" s="49">
        <f t="shared" ref="R67" si="133">IF(AND(G67&lt;&gt;"",G66&lt;&gt;""),(G67-G66)/($B67-$B66),"")</f>
        <v>-1.239008582792118E-2</v>
      </c>
      <c r="S67" s="49">
        <f t="shared" ref="S67" si="134">IF(AND(H67&lt;&gt;"",H66&lt;&gt;""),(H67-H66)/($B67-$B66),"")</f>
        <v>-2.6110267386287539E-3</v>
      </c>
      <c r="T67" s="49">
        <f t="shared" ref="T67" si="135">IF(AND(I67&lt;&gt;"",I66&lt;&gt;""),(I67-I66)/($B67-$B66),"")</f>
        <v>-3.7778477483969244E-2</v>
      </c>
    </row>
    <row r="68" spans="1:20" x14ac:dyDescent="0.2">
      <c r="A68" s="52">
        <f t="shared" si="0"/>
        <v>335</v>
      </c>
      <c r="B68" s="53">
        <f t="shared" si="1"/>
        <v>43990</v>
      </c>
      <c r="C68" s="54">
        <f>'Résultats observations'!D68</f>
        <v>52.5</v>
      </c>
      <c r="D68" s="49">
        <f t="shared" si="2"/>
        <v>-1.4442693088638769</v>
      </c>
      <c r="E68" s="49">
        <f t="shared" si="3"/>
        <v>-0.15724458023935739</v>
      </c>
      <c r="F68" s="49">
        <f t="shared" si="4"/>
        <v>-0.25187436033391464</v>
      </c>
      <c r="G68" s="49">
        <f t="shared" si="5"/>
        <v>-12.024974692898205</v>
      </c>
      <c r="H68" s="49">
        <f t="shared" si="6"/>
        <v>1.7779028959372667</v>
      </c>
      <c r="I68" s="49">
        <f t="shared" si="7"/>
        <v>-0.34576549980158688</v>
      </c>
      <c r="O68" s="49">
        <f t="shared" ref="O68:O71" si="136">IF(AND(D68&lt;&gt;"",D67&lt;&gt;""),(D68-D67)/($B68-$B67),"")</f>
        <v>-1.3587426150429849E-2</v>
      </c>
      <c r="P68" s="49">
        <f t="shared" ref="P68:P71" si="137">IF(AND(E68&lt;&gt;"",E67&lt;&gt;""),(E68-E67)/($B68-$B67),"")</f>
        <v>2.4455274279707356E-4</v>
      </c>
      <c r="Q68" s="49">
        <f t="shared" ref="Q68:Q71" si="138">IF(AND(F68&lt;&gt;"",F67&lt;&gt;""),(F68-F67)/($B68-$B67),"")</f>
        <v>-9.9954034331606323E-3</v>
      </c>
      <c r="R68" s="49">
        <f t="shared" ref="R68:R71" si="139">IF(AND(G68&lt;&gt;"",G67&lt;&gt;""),(G68-G67)/($B68-$B67),"")</f>
        <v>-3.5439246657276158E-2</v>
      </c>
      <c r="S68" s="49">
        <f t="shared" ref="S68:S71" si="140">IF(AND(H68&lt;&gt;"",H67&lt;&gt;""),(H68-H67)/($B68-$B67),"")</f>
        <v>-5.4249127187470476E-3</v>
      </c>
      <c r="T68" s="49">
        <f t="shared" ref="T68:T71" si="141">IF(AND(I68&lt;&gt;"",I67&lt;&gt;""),(I68-I67)/($B68-$B67),"")</f>
        <v>-1.0328453681947754E-3</v>
      </c>
    </row>
    <row r="69" spans="1:20" x14ac:dyDescent="0.2">
      <c r="A69" s="52">
        <f t="shared" si="0"/>
        <v>342</v>
      </c>
      <c r="B69" s="53">
        <f t="shared" si="1"/>
        <v>43997</v>
      </c>
      <c r="C69" s="54">
        <f>'Résultats observations'!D69</f>
        <v>53.5</v>
      </c>
      <c r="D69" s="49">
        <f t="shared" si="2"/>
        <v>-1.2746894472797088</v>
      </c>
      <c r="E69" s="49">
        <f t="shared" si="3"/>
        <v>0.12415912226959591</v>
      </c>
      <c r="F69" s="49">
        <f t="shared" si="4"/>
        <v>-0.17723248452261586</v>
      </c>
      <c r="G69" s="49">
        <f t="shared" si="5"/>
        <v>-12.293004482278214</v>
      </c>
      <c r="H69" s="49">
        <f t="shared" si="6"/>
        <v>1.7590974641339407</v>
      </c>
      <c r="I69" s="49">
        <f t="shared" si="7"/>
        <v>-0.4769891125082637</v>
      </c>
      <c r="O69" s="49">
        <f t="shared" si="136"/>
        <v>2.4225694512024023E-2</v>
      </c>
      <c r="P69" s="49">
        <f t="shared" si="137"/>
        <v>4.0200528929850474E-2</v>
      </c>
      <c r="Q69" s="49">
        <f t="shared" si="138"/>
        <v>1.0663125115899825E-2</v>
      </c>
      <c r="R69" s="49">
        <f t="shared" si="139"/>
        <v>-3.8289969911429821E-2</v>
      </c>
      <c r="S69" s="49">
        <f t="shared" si="140"/>
        <v>-2.6864902576179922E-3</v>
      </c>
      <c r="T69" s="49">
        <f t="shared" si="141"/>
        <v>-1.8746230386668117E-2</v>
      </c>
    </row>
    <row r="70" spans="1:20" x14ac:dyDescent="0.2">
      <c r="A70" s="52">
        <f t="shared" si="0"/>
        <v>349</v>
      </c>
      <c r="B70" s="53">
        <f t="shared" si="1"/>
        <v>44004</v>
      </c>
      <c r="C70" s="54">
        <f>'Résultats observations'!D70</f>
        <v>53.5</v>
      </c>
      <c r="D70" s="49">
        <f t="shared" si="2"/>
        <v>-1.5109840746379</v>
      </c>
      <c r="E70" s="49">
        <f t="shared" si="3"/>
        <v>-0.20437866344868993</v>
      </c>
      <c r="F70" s="49">
        <f t="shared" si="4"/>
        <v>-6.2497880823908503E-2</v>
      </c>
      <c r="G70" s="49">
        <f t="shared" si="5"/>
        <v>-12.28506992371603</v>
      </c>
      <c r="H70" s="49">
        <f t="shared" si="6"/>
        <v>1.7090120886797955</v>
      </c>
      <c r="I70" s="49">
        <f t="shared" si="7"/>
        <v>-0.56099370753059929</v>
      </c>
      <c r="O70" s="49">
        <f t="shared" si="136"/>
        <v>-3.3756375336884456E-2</v>
      </c>
      <c r="P70" s="49">
        <f t="shared" si="137"/>
        <v>-4.693396938832655E-2</v>
      </c>
      <c r="Q70" s="49">
        <f t="shared" si="138"/>
        <v>1.6390657671243907E-2</v>
      </c>
      <c r="R70" s="49">
        <f t="shared" si="139"/>
        <v>1.1335083660262463E-3</v>
      </c>
      <c r="S70" s="49">
        <f t="shared" si="140"/>
        <v>-7.1550536363064665E-3</v>
      </c>
      <c r="T70" s="49">
        <f t="shared" si="141"/>
        <v>-1.2000656431762227E-2</v>
      </c>
    </row>
    <row r="71" spans="1:20" x14ac:dyDescent="0.2">
      <c r="A71" s="52">
        <f t="shared" si="0"/>
        <v>363</v>
      </c>
      <c r="B71" s="53">
        <f t="shared" si="1"/>
        <v>44018</v>
      </c>
      <c r="C71" s="54">
        <f>'Résultats observations'!D71</f>
        <v>53.5</v>
      </c>
      <c r="D71" s="49">
        <f t="shared" si="2"/>
        <v>-1.8755100602376729</v>
      </c>
      <c r="E71" s="49">
        <f t="shared" si="3"/>
        <v>-0.28940703169588744</v>
      </c>
      <c r="F71" s="49">
        <f t="shared" si="4"/>
        <v>-0.1101009370394479</v>
      </c>
      <c r="G71" s="49">
        <f t="shared" si="5"/>
        <v>-12.51333581411318</v>
      </c>
      <c r="H71" s="49">
        <f t="shared" si="6"/>
        <v>1.7751639823857523</v>
      </c>
      <c r="I71" s="49">
        <f t="shared" si="7"/>
        <v>-0.73524056689766581</v>
      </c>
      <c r="O71" s="49">
        <f t="shared" si="136"/>
        <v>-2.6037570399983778E-2</v>
      </c>
      <c r="P71" s="49">
        <f t="shared" si="137"/>
        <v>-6.0734548747998218E-3</v>
      </c>
      <c r="Q71" s="49">
        <f t="shared" si="138"/>
        <v>-3.4002183011099568E-3</v>
      </c>
      <c r="R71" s="49">
        <f t="shared" si="139"/>
        <v>-1.6304706456939298E-2</v>
      </c>
      <c r="S71" s="49">
        <f t="shared" si="140"/>
        <v>4.7251352647112044E-3</v>
      </c>
      <c r="T71" s="49">
        <f t="shared" si="141"/>
        <v>-1.2446204240504752E-2</v>
      </c>
    </row>
    <row r="72" spans="1:20" x14ac:dyDescent="0.2">
      <c r="A72" s="52">
        <f t="shared" si="0"/>
        <v>372</v>
      </c>
      <c r="B72" s="53">
        <f t="shared" si="1"/>
        <v>44027</v>
      </c>
      <c r="C72" s="54">
        <f>'Résultats observations'!D72</f>
        <v>53.5</v>
      </c>
      <c r="D72" s="49">
        <f t="shared" si="2"/>
        <v>-2.1172023893241132</v>
      </c>
      <c r="E72" s="49">
        <f t="shared" si="3"/>
        <v>-0.37188788310582588</v>
      </c>
      <c r="F72" s="49">
        <f t="shared" si="4"/>
        <v>-0.12977762850852059</v>
      </c>
      <c r="G72" s="49">
        <f t="shared" si="5"/>
        <v>-12.623697509750897</v>
      </c>
      <c r="H72" s="49">
        <f t="shared" si="6"/>
        <v>1.5021432717539085</v>
      </c>
      <c r="I72" s="49">
        <f t="shared" si="7"/>
        <v>-0.9690547465588395</v>
      </c>
      <c r="O72" s="49">
        <f t="shared" ref="O72:O73" si="142">IF(AND(D72&lt;&gt;"",D71&lt;&gt;""),(D72-D71)/($B72-$B71),"")</f>
        <v>-2.6854703231826704E-2</v>
      </c>
      <c r="P72" s="49">
        <f t="shared" ref="P72:P73" si="143">IF(AND(E72&lt;&gt;"",E71&lt;&gt;""),(E72-E71)/($B72-$B71),"")</f>
        <v>-9.1645390455487152E-3</v>
      </c>
      <c r="Q72" s="49">
        <f t="shared" ref="Q72:Q73" si="144">IF(AND(F72&lt;&gt;"",F71&lt;&gt;""),(F72-F71)/($B72-$B71),"")</f>
        <v>-2.1862990521191884E-3</v>
      </c>
      <c r="R72" s="49">
        <f t="shared" ref="R72:R73" si="145">IF(AND(G72&lt;&gt;"",G71&lt;&gt;""),(G72-G71)/($B72-$B71),"")</f>
        <v>-1.2262410626413041E-2</v>
      </c>
      <c r="S72" s="49">
        <f t="shared" ref="S72:S73" si="146">IF(AND(H72&lt;&gt;"",H71&lt;&gt;""),(H72-H71)/($B72-$B71),"")</f>
        <v>-3.0335634514649316E-2</v>
      </c>
      <c r="T72" s="49">
        <f t="shared" ref="T72:T73" si="147">IF(AND(I72&lt;&gt;"",I71&lt;&gt;""),(I72-I71)/($B72-$B71),"")</f>
        <v>-2.5979353295685965E-2</v>
      </c>
    </row>
    <row r="73" spans="1:20" x14ac:dyDescent="0.2">
      <c r="A73" s="52">
        <f t="shared" si="0"/>
        <v>384</v>
      </c>
      <c r="B73" s="53">
        <f t="shared" si="1"/>
        <v>44039</v>
      </c>
      <c r="C73" s="54">
        <f>'Résultats observations'!D73</f>
        <v>53.5</v>
      </c>
      <c r="D73" s="49">
        <f t="shared" si="2"/>
        <v>-2.3037150414717544</v>
      </c>
      <c r="E73" s="49">
        <f t="shared" si="3"/>
        <v>-0.40875954673236237</v>
      </c>
      <c r="F73" s="49">
        <f t="shared" si="4"/>
        <v>-0.15027406844669855</v>
      </c>
      <c r="G73" s="49">
        <f t="shared" si="5"/>
        <v>-12.859724175340315</v>
      </c>
      <c r="H73" s="49">
        <f t="shared" si="6"/>
        <v>1.7403896507937056</v>
      </c>
      <c r="I73" s="49">
        <f t="shared" si="7"/>
        <v>-0.86851298229717599</v>
      </c>
      <c r="O73" s="49">
        <f t="shared" si="142"/>
        <v>-1.5542721012303437E-2</v>
      </c>
      <c r="P73" s="49">
        <f t="shared" si="143"/>
        <v>-3.0726386355447075E-3</v>
      </c>
      <c r="Q73" s="49">
        <f t="shared" si="144"/>
        <v>-1.7080366615148297E-3</v>
      </c>
      <c r="R73" s="49">
        <f t="shared" si="145"/>
        <v>-1.9668888799118101E-2</v>
      </c>
      <c r="S73" s="49">
        <f t="shared" si="146"/>
        <v>1.9853864919983089E-2</v>
      </c>
      <c r="T73" s="49">
        <f t="shared" si="147"/>
        <v>8.3784803551386258E-3</v>
      </c>
    </row>
    <row r="74" spans="1:20" x14ac:dyDescent="0.2">
      <c r="A74" s="52">
        <f t="shared" ref="A74:A107" si="148">jours</f>
        <v>398</v>
      </c>
      <c r="B74" s="53">
        <f t="shared" si="1"/>
        <v>44053</v>
      </c>
      <c r="C74" s="54">
        <f>'Résultats observations'!D74</f>
        <v>53.5</v>
      </c>
      <c r="D74" s="49">
        <f t="shared" si="2"/>
        <v>-2.5185651803369957</v>
      </c>
      <c r="E74" s="49">
        <f t="shared" si="3"/>
        <v>-0.21196106634358003</v>
      </c>
      <c r="F74" s="49">
        <f t="shared" si="4"/>
        <v>-0.25482508004648352</v>
      </c>
      <c r="G74" s="49">
        <f t="shared" si="5"/>
        <v>-13.388031027866898</v>
      </c>
      <c r="H74" s="49">
        <f t="shared" si="6"/>
        <v>1.7217790595069893</v>
      </c>
      <c r="I74" s="49">
        <f t="shared" si="7"/>
        <v>-1.4201067312331617</v>
      </c>
      <c r="O74" s="49">
        <f t="shared" ref="O74:O78" si="149">IF(AND(D74&lt;&gt;"",D73&lt;&gt;""),(D74-D73)/($B74-$B73),"")</f>
        <v>-1.5346438490374379E-2</v>
      </c>
      <c r="P74" s="49">
        <f t="shared" ref="P74:P78" si="150">IF(AND(E74&lt;&gt;"",E73&lt;&gt;""),(E74-E73)/($B74-$B73),"")</f>
        <v>1.4057034313484453E-2</v>
      </c>
      <c r="Q74" s="49">
        <f t="shared" ref="Q74:Q78" si="151">IF(AND(F74&lt;&gt;"",F73&lt;&gt;""),(F74-F73)/($B74-$B73),"")</f>
        <v>-7.4679293999846408E-3</v>
      </c>
      <c r="R74" s="49">
        <f t="shared" ref="R74:R78" si="152">IF(AND(G74&lt;&gt;"",G73&lt;&gt;""),(G74-G73)/($B74-$B73),"")</f>
        <v>-3.7736203751898803E-2</v>
      </c>
      <c r="S74" s="49">
        <f t="shared" ref="S74:S78" si="153">IF(AND(H74&lt;&gt;"",H73&lt;&gt;""),(H74-H73)/($B74-$B73),"")</f>
        <v>-1.3293279490511622E-3</v>
      </c>
      <c r="T74" s="49">
        <f t="shared" ref="T74:T78" si="154">IF(AND(I74&lt;&gt;"",I73&lt;&gt;""),(I74-I73)/($B74-$B73),"")</f>
        <v>-3.939955349542755E-2</v>
      </c>
    </row>
    <row r="75" spans="1:20" x14ac:dyDescent="0.2">
      <c r="A75" s="52">
        <f t="shared" si="148"/>
        <v>420</v>
      </c>
      <c r="B75" s="53">
        <f t="shared" si="1"/>
        <v>44075</v>
      </c>
      <c r="C75" s="54">
        <f>'Résultats observations'!D75</f>
        <v>53.5</v>
      </c>
      <c r="D75" s="49"/>
      <c r="E75" s="49"/>
      <c r="F75" s="49"/>
      <c r="G75" s="49"/>
      <c r="H75" s="49">
        <f t="shared" si="6"/>
        <v>1.9092361218708831</v>
      </c>
      <c r="I75" s="49">
        <f t="shared" si="7"/>
        <v>-1.2682827417682674</v>
      </c>
      <c r="O75" s="49" t="str">
        <f t="shared" si="149"/>
        <v/>
      </c>
      <c r="P75" s="49" t="str">
        <f t="shared" si="150"/>
        <v/>
      </c>
      <c r="Q75" s="49" t="str">
        <f t="shared" si="151"/>
        <v/>
      </c>
      <c r="R75" s="49" t="str">
        <f t="shared" si="152"/>
        <v/>
      </c>
      <c r="S75" s="49">
        <f t="shared" si="153"/>
        <v>8.5207755619951739E-3</v>
      </c>
      <c r="T75" s="49">
        <f t="shared" si="154"/>
        <v>6.9010904302224674E-3</v>
      </c>
    </row>
    <row r="76" spans="1:20" x14ac:dyDescent="0.2">
      <c r="A76" s="52">
        <f t="shared" si="148"/>
        <v>427</v>
      </c>
      <c r="B76" s="53">
        <f t="shared" si="1"/>
        <v>44082</v>
      </c>
      <c r="C76" s="54">
        <f>'Résultats observations'!D76</f>
        <v>53.5</v>
      </c>
      <c r="D76" s="49"/>
      <c r="E76" s="49"/>
      <c r="F76" s="49"/>
      <c r="G76" s="49"/>
      <c r="H76" s="49">
        <f t="shared" si="6"/>
        <v>1.9099567988130062</v>
      </c>
      <c r="I76" s="49">
        <f t="shared" si="7"/>
        <v>-1.3750190867289902</v>
      </c>
      <c r="O76" s="49" t="str">
        <f t="shared" si="149"/>
        <v/>
      </c>
      <c r="P76" s="49" t="str">
        <f t="shared" si="150"/>
        <v/>
      </c>
      <c r="Q76" s="49" t="str">
        <f t="shared" si="151"/>
        <v/>
      </c>
      <c r="R76" s="49" t="str">
        <f t="shared" si="152"/>
        <v/>
      </c>
      <c r="S76" s="49">
        <f t="shared" si="153"/>
        <v>1.0295384887472534E-4</v>
      </c>
      <c r="T76" s="49">
        <f t="shared" si="154"/>
        <v>-1.524804928010326E-2</v>
      </c>
    </row>
    <row r="77" spans="1:20" x14ac:dyDescent="0.2">
      <c r="A77" s="52">
        <f t="shared" si="148"/>
        <v>457</v>
      </c>
      <c r="B77" s="53">
        <f t="shared" ref="B77:B107" si="155">date</f>
        <v>44112</v>
      </c>
      <c r="C77" s="54">
        <f>'Résultats observations'!D77</f>
        <v>53.5</v>
      </c>
      <c r="D77" s="49"/>
      <c r="E77" s="49"/>
      <c r="F77" s="49"/>
      <c r="G77" s="49"/>
      <c r="H77" s="49">
        <f t="shared" ref="H77" si="156">Ecart_LH</f>
        <v>2.4038435729916152</v>
      </c>
      <c r="I77" s="49"/>
      <c r="O77" s="49" t="str">
        <f t="shared" si="149"/>
        <v/>
      </c>
      <c r="P77" s="49" t="str">
        <f t="shared" si="150"/>
        <v/>
      </c>
      <c r="Q77" s="49" t="str">
        <f t="shared" si="151"/>
        <v/>
      </c>
      <c r="R77" s="49" t="str">
        <f t="shared" si="152"/>
        <v/>
      </c>
      <c r="S77" s="49">
        <f t="shared" si="153"/>
        <v>1.64628924726203E-2</v>
      </c>
      <c r="T77" s="49" t="str">
        <f t="shared" si="154"/>
        <v/>
      </c>
    </row>
    <row r="78" spans="1:20" x14ac:dyDescent="0.2">
      <c r="A78" s="52">
        <f t="shared" si="148"/>
        <v>479</v>
      </c>
      <c r="B78" s="53">
        <f t="shared" si="155"/>
        <v>44134</v>
      </c>
      <c r="C78" s="54">
        <f>'Résultats observations'!D78</f>
        <v>53.5</v>
      </c>
      <c r="D78" s="49">
        <f t="shared" ref="D78:D107" si="157">Ecart_IG</f>
        <v>-3.7974683264332398</v>
      </c>
      <c r="E78" s="49"/>
      <c r="F78" s="49">
        <f t="shared" ref="F78:F107" si="158">Ecart_HD</f>
        <v>-0.13769725197931848</v>
      </c>
      <c r="G78" s="49">
        <f t="shared" ref="G78:G107" si="159">Ecart_ID</f>
        <v>-14.81229842971965</v>
      </c>
      <c r="H78" s="49"/>
      <c r="I78" s="49">
        <f t="shared" ref="I78:I107" si="160">Ecart_LI</f>
        <v>-1.8708481052387427</v>
      </c>
      <c r="O78" s="49" t="str">
        <f t="shared" si="149"/>
        <v/>
      </c>
      <c r="P78" s="49" t="str">
        <f t="shared" si="150"/>
        <v/>
      </c>
      <c r="Q78" s="49" t="str">
        <f t="shared" si="151"/>
        <v/>
      </c>
      <c r="R78" s="49" t="str">
        <f t="shared" si="152"/>
        <v/>
      </c>
      <c r="S78" s="49" t="str">
        <f t="shared" si="153"/>
        <v/>
      </c>
      <c r="T78" s="49" t="str">
        <f t="shared" si="154"/>
        <v/>
      </c>
    </row>
    <row r="79" spans="1:20" x14ac:dyDescent="0.2">
      <c r="A79" s="52" t="str">
        <f t="shared" si="148"/>
        <v/>
      </c>
      <c r="B79" s="53"/>
      <c r="C79" s="54"/>
      <c r="D79" s="49"/>
      <c r="E79" s="49"/>
      <c r="F79" s="49"/>
      <c r="G79" s="49"/>
      <c r="H79" s="49"/>
      <c r="I79" s="49"/>
      <c r="O79" s="49"/>
      <c r="P79" s="49"/>
      <c r="Q79" s="49"/>
      <c r="R79" s="49"/>
      <c r="S79" s="49"/>
      <c r="T79" s="49"/>
    </row>
    <row r="80" spans="1:20" x14ac:dyDescent="0.2">
      <c r="A80" s="52">
        <f t="shared" si="148"/>
        <v>479</v>
      </c>
      <c r="B80" s="53">
        <f t="shared" si="155"/>
        <v>44134</v>
      </c>
      <c r="C80" s="54">
        <f>'Résultats observations'!D80</f>
        <v>53.5</v>
      </c>
      <c r="D80" s="49"/>
      <c r="E80" s="49"/>
      <c r="F80" s="49"/>
      <c r="G80" s="49"/>
      <c r="H80" s="49"/>
      <c r="I80" s="49"/>
      <c r="O80" s="49" t="str">
        <f t="shared" ref="O80:O83" si="161">IF(AND(D80&lt;&gt;"",D79&lt;&gt;""),(D80-D79)/($B80-$B79),"")</f>
        <v/>
      </c>
      <c r="P80" s="49" t="str">
        <f t="shared" ref="P80:P83" si="162">IF(AND(E80&lt;&gt;"",E79&lt;&gt;""),(E80-E79)/($B80-$B79),"")</f>
        <v/>
      </c>
      <c r="Q80" s="49" t="str">
        <f t="shared" ref="Q80:Q83" si="163">IF(AND(F80&lt;&gt;"",F79&lt;&gt;""),(F80-F79)/($B80-$B79),"")</f>
        <v/>
      </c>
      <c r="R80" s="49" t="str">
        <f t="shared" ref="R80:R83" si="164">IF(AND(G80&lt;&gt;"",G79&lt;&gt;""),(G80-G79)/($B80-$B79),"")</f>
        <v/>
      </c>
      <c r="S80" s="49" t="str">
        <f t="shared" ref="S80:S83" si="165">IF(AND(H80&lt;&gt;"",H79&lt;&gt;""),(H80-H79)/($B80-$B79),"")</f>
        <v/>
      </c>
      <c r="T80" s="49" t="str">
        <f t="shared" ref="T80:T83" si="166">IF(AND(I80&lt;&gt;"",I79&lt;&gt;""),(I80-I79)/($B80-$B79),"")</f>
        <v/>
      </c>
    </row>
    <row r="81" spans="1:20" x14ac:dyDescent="0.2">
      <c r="A81" s="52" t="str">
        <f t="shared" si="148"/>
        <v/>
      </c>
      <c r="B81" s="53"/>
      <c r="C81" s="54" t="str">
        <f>'Résultats observations'!D81</f>
        <v/>
      </c>
      <c r="D81" s="49" t="str">
        <f t="shared" si="157"/>
        <v/>
      </c>
      <c r="E81" s="49"/>
      <c r="F81" s="49" t="str">
        <f t="shared" si="158"/>
        <v/>
      </c>
      <c r="G81" s="49" t="str">
        <f t="shared" si="159"/>
        <v/>
      </c>
      <c r="H81" s="49"/>
      <c r="I81" s="49" t="str">
        <f t="shared" si="160"/>
        <v/>
      </c>
      <c r="O81" s="49" t="str">
        <f t="shared" si="161"/>
        <v/>
      </c>
      <c r="P81" s="49" t="str">
        <f t="shared" si="162"/>
        <v/>
      </c>
      <c r="Q81" s="49" t="str">
        <f t="shared" si="163"/>
        <v/>
      </c>
      <c r="R81" s="49" t="str">
        <f t="shared" si="164"/>
        <v/>
      </c>
      <c r="S81" s="49" t="str">
        <f t="shared" si="165"/>
        <v/>
      </c>
      <c r="T81" s="49" t="str">
        <f t="shared" si="166"/>
        <v/>
      </c>
    </row>
    <row r="82" spans="1:20" x14ac:dyDescent="0.2">
      <c r="A82" s="52">
        <f t="shared" si="148"/>
        <v>485</v>
      </c>
      <c r="B82" s="53">
        <f t="shared" si="155"/>
        <v>44140</v>
      </c>
      <c r="C82" s="54">
        <f>'Résultats observations'!D82</f>
        <v>53.5</v>
      </c>
      <c r="D82" s="49">
        <f t="shared" si="157"/>
        <v>-3.8801160752615083</v>
      </c>
      <c r="E82" s="49"/>
      <c r="F82" s="49">
        <f t="shared" si="158"/>
        <v>1.155954097775691E-2</v>
      </c>
      <c r="G82" s="49">
        <f t="shared" si="159"/>
        <v>-15.055927146112591</v>
      </c>
      <c r="H82" s="49"/>
      <c r="I82" s="49">
        <f t="shared" si="160"/>
        <v>-2.0442694439219977</v>
      </c>
      <c r="O82" s="49" t="str">
        <f t="shared" si="161"/>
        <v/>
      </c>
      <c r="P82" s="49" t="str">
        <f t="shared" si="162"/>
        <v/>
      </c>
      <c r="Q82" s="49" t="str">
        <f t="shared" si="163"/>
        <v/>
      </c>
      <c r="R82" s="49" t="str">
        <f t="shared" si="164"/>
        <v/>
      </c>
      <c r="S82" s="49" t="str">
        <f t="shared" si="165"/>
        <v/>
      </c>
      <c r="T82" s="49" t="str">
        <f t="shared" si="166"/>
        <v/>
      </c>
    </row>
    <row r="83" spans="1:20" x14ac:dyDescent="0.2">
      <c r="A83" s="52">
        <f t="shared" si="148"/>
        <v>517</v>
      </c>
      <c r="B83" s="53">
        <f t="shared" si="155"/>
        <v>44172</v>
      </c>
      <c r="C83" s="54">
        <f>'Résultats observations'!D83</f>
        <v>53.5</v>
      </c>
      <c r="D83" s="49">
        <f t="shared" si="157"/>
        <v>-3.7942238503956283</v>
      </c>
      <c r="E83" s="49"/>
      <c r="F83" s="49">
        <f t="shared" si="158"/>
        <v>-0.34440271266955591</v>
      </c>
      <c r="G83" s="49">
        <f t="shared" si="159"/>
        <v>-15.536503964782789</v>
      </c>
      <c r="H83" s="49"/>
      <c r="I83" s="49">
        <f t="shared" si="160"/>
        <v>-2.1009090722099444</v>
      </c>
      <c r="O83" s="49">
        <f t="shared" si="161"/>
        <v>2.6841320270587499E-3</v>
      </c>
      <c r="P83" s="49" t="str">
        <f t="shared" si="162"/>
        <v/>
      </c>
      <c r="Q83" s="49">
        <f t="shared" si="163"/>
        <v>-1.1123820426478526E-2</v>
      </c>
      <c r="R83" s="49">
        <f t="shared" si="164"/>
        <v>-1.5018025583443673E-2</v>
      </c>
      <c r="S83" s="49" t="str">
        <f t="shared" si="165"/>
        <v/>
      </c>
      <c r="T83" s="49">
        <f t="shared" si="166"/>
        <v>-1.7699883839983332E-3</v>
      </c>
    </row>
    <row r="84" spans="1:20" x14ac:dyDescent="0.2">
      <c r="A84" s="52">
        <f t="shared" si="148"/>
        <v>531</v>
      </c>
      <c r="B84" s="53">
        <f t="shared" si="155"/>
        <v>44186</v>
      </c>
      <c r="C84" s="54">
        <f>'Résultats observations'!D84</f>
        <v>53.5</v>
      </c>
      <c r="D84" s="49">
        <f t="shared" si="157"/>
        <v>-4.6138748426143295</v>
      </c>
      <c r="E84" s="49"/>
      <c r="F84" s="49">
        <f t="shared" si="158"/>
        <v>-0.22235354320199185</v>
      </c>
      <c r="G84" s="49">
        <f t="shared" si="159"/>
        <v>-15.693665651453692</v>
      </c>
      <c r="H84" s="49"/>
      <c r="I84" s="49">
        <f t="shared" si="160"/>
        <v>-2.6936709444749241</v>
      </c>
      <c r="O84" s="49">
        <f t="shared" ref="O84:O87" si="167">IF(AND(D84&lt;&gt;"",D83&lt;&gt;""),(D84-D83)/($B84-$B83),"")</f>
        <v>-5.8546499444192941E-2</v>
      </c>
      <c r="P84" s="49" t="str">
        <f t="shared" ref="P84:P87" si="168">IF(AND(E84&lt;&gt;"",E83&lt;&gt;""),(E84-E83)/($B84-$B83),"")</f>
        <v/>
      </c>
      <c r="Q84" s="49">
        <f t="shared" ref="Q84:Q87" si="169">IF(AND(F84&lt;&gt;"",F83&lt;&gt;""),(F84-F83)/($B84-$B83),"")</f>
        <v>8.7177978191117188E-3</v>
      </c>
      <c r="R84" s="49">
        <f t="shared" ref="R84:R87" si="170">IF(AND(G84&lt;&gt;"",G83&lt;&gt;""),(G84-G83)/($B84-$B83),"")</f>
        <v>-1.1225834762207398E-2</v>
      </c>
      <c r="S84" s="49" t="str">
        <f t="shared" ref="S84:S87" si="171">IF(AND(H84&lt;&gt;"",H83&lt;&gt;""),(H84-H83)/($B84-$B83),"")</f>
        <v/>
      </c>
      <c r="T84" s="49">
        <f t="shared" ref="T84:T87" si="172">IF(AND(I84&lt;&gt;"",I83&lt;&gt;""),(I84-I83)/($B84-$B83),"")</f>
        <v>-4.2340133733212833E-2</v>
      </c>
    </row>
    <row r="85" spans="1:20" x14ac:dyDescent="0.2">
      <c r="A85" s="52">
        <f t="shared" si="148"/>
        <v>548</v>
      </c>
      <c r="B85" s="53">
        <f t="shared" si="155"/>
        <v>44203</v>
      </c>
      <c r="C85" s="54">
        <f>'Résultats observations'!D85</f>
        <v>53.5</v>
      </c>
      <c r="D85" s="49">
        <f t="shared" si="157"/>
        <v>-4.7606596194826878</v>
      </c>
      <c r="E85" s="49"/>
      <c r="F85" s="49">
        <f t="shared" si="158"/>
        <v>-0.38429223290381564</v>
      </c>
      <c r="G85" s="49">
        <f t="shared" si="159"/>
        <v>-15.968014612190551</v>
      </c>
      <c r="H85" s="49"/>
      <c r="I85" s="49">
        <f t="shared" si="160"/>
        <v>-2.3932696313053725</v>
      </c>
      <c r="O85" s="49">
        <f t="shared" si="167"/>
        <v>-8.634398639315196E-3</v>
      </c>
      <c r="P85" s="49" t="str">
        <f t="shared" si="168"/>
        <v/>
      </c>
      <c r="Q85" s="49">
        <f t="shared" si="169"/>
        <v>-9.52580527657787E-3</v>
      </c>
      <c r="R85" s="49">
        <f t="shared" si="170"/>
        <v>-1.6138174160991694E-2</v>
      </c>
      <c r="S85" s="49" t="str">
        <f t="shared" si="171"/>
        <v/>
      </c>
      <c r="T85" s="49">
        <f t="shared" si="172"/>
        <v>1.7670665480561856E-2</v>
      </c>
    </row>
    <row r="86" spans="1:20" x14ac:dyDescent="0.2">
      <c r="A86" s="52">
        <f t="shared" si="148"/>
        <v>574</v>
      </c>
      <c r="B86" s="53">
        <f t="shared" si="155"/>
        <v>44229</v>
      </c>
      <c r="C86" s="54">
        <f>'Résultats observations'!D86</f>
        <v>53.5</v>
      </c>
      <c r="D86" s="49">
        <f t="shared" si="157"/>
        <v>-5.0837635586531427</v>
      </c>
      <c r="E86" s="49"/>
      <c r="F86" s="49">
        <f t="shared" si="158"/>
        <v>-0.42427125850719172</v>
      </c>
      <c r="G86" s="49">
        <f t="shared" si="159"/>
        <v>-16.363586674322139</v>
      </c>
      <c r="H86" s="49"/>
      <c r="I86" s="49">
        <f t="shared" si="160"/>
        <v>-2.8798816209851807</v>
      </c>
      <c r="O86" s="49">
        <f t="shared" si="167"/>
        <v>-1.2427074583479034E-2</v>
      </c>
      <c r="P86" s="49" t="str">
        <f t="shared" si="168"/>
        <v/>
      </c>
      <c r="Q86" s="49">
        <f t="shared" si="169"/>
        <v>-1.5376548308990796E-3</v>
      </c>
      <c r="R86" s="49">
        <f t="shared" si="170"/>
        <v>-1.5214310081984168E-2</v>
      </c>
      <c r="S86" s="49" t="str">
        <f t="shared" si="171"/>
        <v/>
      </c>
      <c r="T86" s="49">
        <f t="shared" si="172"/>
        <v>-1.8715845756915702E-2</v>
      </c>
    </row>
    <row r="87" spans="1:20" x14ac:dyDescent="0.2">
      <c r="A87" s="52">
        <f t="shared" si="148"/>
        <v>590</v>
      </c>
      <c r="B87" s="53">
        <f t="shared" si="155"/>
        <v>44245</v>
      </c>
      <c r="C87" s="54">
        <f>'Résultats observations'!D87</f>
        <v>53.5</v>
      </c>
      <c r="D87" s="49">
        <f t="shared" si="157"/>
        <v>-4.5344525415154102</v>
      </c>
      <c r="E87" s="49"/>
      <c r="F87" s="49">
        <f t="shared" si="158"/>
        <v>-0.2375698789593983</v>
      </c>
      <c r="G87" s="49">
        <f t="shared" si="159"/>
        <v>-16.590951873594939</v>
      </c>
      <c r="H87" s="49"/>
      <c r="I87" s="49">
        <f t="shared" si="160"/>
        <v>-2.6663522503378445</v>
      </c>
      <c r="O87" s="49">
        <f t="shared" si="167"/>
        <v>3.4331938571108278E-2</v>
      </c>
      <c r="P87" s="49" t="str">
        <f t="shared" si="168"/>
        <v/>
      </c>
      <c r="Q87" s="49">
        <f t="shared" si="169"/>
        <v>1.1668836221737089E-2</v>
      </c>
      <c r="R87" s="49">
        <f t="shared" si="170"/>
        <v>-1.4210324954549991E-2</v>
      </c>
      <c r="S87" s="49" t="str">
        <f t="shared" si="171"/>
        <v/>
      </c>
      <c r="T87" s="49">
        <f t="shared" si="172"/>
        <v>1.3345585665458515E-2</v>
      </c>
    </row>
    <row r="88" spans="1:20" x14ac:dyDescent="0.2">
      <c r="A88" s="52">
        <f t="shared" si="148"/>
        <v>618</v>
      </c>
      <c r="B88" s="53">
        <f t="shared" si="155"/>
        <v>44273</v>
      </c>
      <c r="C88" s="54">
        <f>'Résultats observations'!D88</f>
        <v>53.5</v>
      </c>
      <c r="D88" s="49">
        <f t="shared" si="157"/>
        <v>-5.4299676035833855</v>
      </c>
      <c r="E88" s="49"/>
      <c r="F88" s="49">
        <f t="shared" si="158"/>
        <v>-0.16237316579159611</v>
      </c>
      <c r="G88" s="49">
        <f t="shared" si="159"/>
        <v>-16.74919959257215</v>
      </c>
      <c r="H88" s="49"/>
      <c r="I88" s="49">
        <f t="shared" si="160"/>
        <v>-3.7565438905238224</v>
      </c>
      <c r="O88" s="49">
        <f t="shared" ref="O88:O89" si="173">IF(AND(D88&lt;&gt;"",D87&lt;&gt;""),(D88-D87)/($B88-$B87),"")</f>
        <v>-3.1982680788141975E-2</v>
      </c>
      <c r="P88" s="49" t="str">
        <f t="shared" ref="P88:P89" si="174">IF(AND(E88&lt;&gt;"",E87&lt;&gt;""),(E88-E87)/($B88-$B87),"")</f>
        <v/>
      </c>
      <c r="Q88" s="49">
        <f t="shared" ref="Q88:Q89" si="175">IF(AND(F88&lt;&gt;"",F87&lt;&gt;""),(F88-F87)/($B88-$B87),"")</f>
        <v>2.6855968988500783E-3</v>
      </c>
      <c r="R88" s="49">
        <f t="shared" ref="R88:R89" si="176">IF(AND(G88&lt;&gt;"",G87&lt;&gt;""),(G88-G87)/($B88-$B87),"")</f>
        <v>-5.6517042491861192E-3</v>
      </c>
      <c r="S88" s="49" t="str">
        <f t="shared" ref="S88:S89" si="177">IF(AND(H88&lt;&gt;"",H87&lt;&gt;""),(H88-H87)/($B88-$B87),"")</f>
        <v/>
      </c>
      <c r="T88" s="49">
        <f t="shared" ref="T88:T89" si="178">IF(AND(I88&lt;&gt;"",I87&lt;&gt;""),(I88-I87)/($B88-$B87),"")</f>
        <v>-3.8935415720927784E-2</v>
      </c>
    </row>
    <row r="89" spans="1:20" x14ac:dyDescent="0.2">
      <c r="A89" s="52">
        <f t="shared" si="148"/>
        <v>632</v>
      </c>
      <c r="B89" s="53">
        <f t="shared" si="155"/>
        <v>44287</v>
      </c>
      <c r="C89" s="54">
        <f>'Résultats observations'!D89</f>
        <v>53.5</v>
      </c>
      <c r="D89" s="49">
        <f t="shared" si="157"/>
        <v>-7.0194027540702031</v>
      </c>
      <c r="E89" s="49"/>
      <c r="F89" s="49">
        <f t="shared" si="158"/>
        <v>-0.17772011848449232</v>
      </c>
      <c r="G89" s="49">
        <f t="shared" si="159"/>
        <v>-16.880756181563594</v>
      </c>
      <c r="H89" s="49"/>
      <c r="I89" s="49">
        <f t="shared" si="160"/>
        <v>-5.0664286135795322</v>
      </c>
      <c r="O89" s="49">
        <f t="shared" si="173"/>
        <v>-0.11353108217762983</v>
      </c>
      <c r="P89" s="49" t="str">
        <f t="shared" si="174"/>
        <v/>
      </c>
      <c r="Q89" s="49">
        <f t="shared" si="175"/>
        <v>-1.0962109066354436E-3</v>
      </c>
      <c r="R89" s="49">
        <f t="shared" si="176"/>
        <v>-9.3968992136745609E-3</v>
      </c>
      <c r="S89" s="49" t="str">
        <f t="shared" si="177"/>
        <v/>
      </c>
      <c r="T89" s="49">
        <f t="shared" si="178"/>
        <v>-9.3563194503979277E-2</v>
      </c>
    </row>
    <row r="90" spans="1:20" x14ac:dyDescent="0.2">
      <c r="A90" s="52">
        <f t="shared" si="148"/>
        <v>653</v>
      </c>
      <c r="B90" s="53">
        <f t="shared" si="155"/>
        <v>44308</v>
      </c>
      <c r="C90" s="54">
        <f>'Résultats observations'!D90</f>
        <v>53.5</v>
      </c>
      <c r="D90" s="49">
        <f t="shared" si="157"/>
        <v>-5.36213961348464</v>
      </c>
      <c r="E90" s="49"/>
      <c r="F90" s="49">
        <f t="shared" si="158"/>
        <v>-0.17499884486804618</v>
      </c>
      <c r="G90" s="49">
        <f t="shared" si="159"/>
        <v>-16.818315942326745</v>
      </c>
      <c r="H90" s="49"/>
      <c r="I90" s="49">
        <f t="shared" si="160"/>
        <v>-2.7324958443344372</v>
      </c>
      <c r="O90" s="49">
        <f t="shared" ref="O90:O91" si="179">IF(AND(D90&lt;&gt;"",D89&lt;&gt;""),(D90-D89)/($B90-$B89),"")</f>
        <v>7.891729240883634E-2</v>
      </c>
      <c r="P90" s="49" t="str">
        <f t="shared" ref="P90:P91" si="180">IF(AND(E90&lt;&gt;"",E89&lt;&gt;""),(E90-E89)/($B90-$B89),"")</f>
        <v/>
      </c>
      <c r="Q90" s="49">
        <f t="shared" ref="Q90:Q91" si="181">IF(AND(F90&lt;&gt;"",F89&lt;&gt;""),(F90-F89)/($B90-$B89),"")</f>
        <v>1.2958445792600668E-4</v>
      </c>
      <c r="R90" s="49">
        <f t="shared" ref="R90:R91" si="182">IF(AND(G90&lt;&gt;"",G89&lt;&gt;""),(G90-G89)/($B90-$B89),"")</f>
        <v>2.9733447255642616E-3</v>
      </c>
      <c r="S90" s="49" t="str">
        <f t="shared" ref="S90:S91" si="183">IF(AND(H90&lt;&gt;"",H89&lt;&gt;""),(H90-H89)/($B90-$B89),"")</f>
        <v/>
      </c>
      <c r="T90" s="49">
        <f t="shared" ref="T90:T91" si="184">IF(AND(I90&lt;&gt;"",I89&lt;&gt;""),(I90-I89)/($B90-$B89),"")</f>
        <v>0.11113965567833786</v>
      </c>
    </row>
    <row r="91" spans="1:20" x14ac:dyDescent="0.2">
      <c r="A91" s="52">
        <f t="shared" si="148"/>
        <v>667</v>
      </c>
      <c r="B91" s="53">
        <f t="shared" si="155"/>
        <v>44322</v>
      </c>
      <c r="C91" s="54">
        <f>'Résultats observations'!D91</f>
        <v>53.5</v>
      </c>
      <c r="D91" s="49">
        <f t="shared" si="157"/>
        <v>-5.1642236526867613</v>
      </c>
      <c r="E91" s="49"/>
      <c r="F91" s="49">
        <f t="shared" si="158"/>
        <v>-1.3112711327201154E-2</v>
      </c>
      <c r="G91" s="49">
        <f t="shared" si="159"/>
        <v>-16.691193594653431</v>
      </c>
      <c r="H91" s="49"/>
      <c r="I91" s="49">
        <f t="shared" si="160"/>
        <v>-2.2687267231020769</v>
      </c>
      <c r="O91" s="49">
        <f t="shared" si="179"/>
        <v>1.4136854342705618E-2</v>
      </c>
      <c r="P91" s="49" t="str">
        <f t="shared" si="180"/>
        <v/>
      </c>
      <c r="Q91" s="49">
        <f t="shared" si="181"/>
        <v>1.1563295252917502E-2</v>
      </c>
      <c r="R91" s="49">
        <f t="shared" si="182"/>
        <v>9.0801676909510066E-3</v>
      </c>
      <c r="S91" s="49" t="str">
        <f t="shared" si="183"/>
        <v/>
      </c>
      <c r="T91" s="49">
        <f t="shared" si="184"/>
        <v>3.3126365802311444E-2</v>
      </c>
    </row>
    <row r="92" spans="1:20" x14ac:dyDescent="0.2">
      <c r="A92" s="52">
        <f t="shared" si="148"/>
        <v>682</v>
      </c>
      <c r="B92" s="53">
        <f t="shared" si="155"/>
        <v>44337</v>
      </c>
      <c r="C92" s="54">
        <f>'Résultats observations'!D92</f>
        <v>53.5</v>
      </c>
      <c r="D92" s="49">
        <f t="shared" si="157"/>
        <v>-5.6359722623535724</v>
      </c>
      <c r="E92" s="49"/>
      <c r="F92" s="49">
        <f t="shared" si="158"/>
        <v>-0.14746506613150245</v>
      </c>
      <c r="G92" s="49">
        <f t="shared" si="159"/>
        <v>-17.006558932375793</v>
      </c>
      <c r="H92" s="49"/>
      <c r="I92" s="49">
        <f t="shared" si="160"/>
        <v>-2.6916007226533978</v>
      </c>
      <c r="O92" s="49">
        <f t="shared" ref="O92:O102" si="185">IF(AND(D92&lt;&gt;"",D91&lt;&gt;""),(D92-D91)/($B92-$B91),"")</f>
        <v>-3.1449907311120739E-2</v>
      </c>
      <c r="P92" s="49" t="str">
        <f t="shared" ref="P92:P102" si="186">IF(AND(E92&lt;&gt;"",E91&lt;&gt;""),(E92-E91)/($B92-$B91),"")</f>
        <v/>
      </c>
      <c r="Q92" s="49">
        <f t="shared" ref="Q92:Q102" si="187">IF(AND(F92&lt;&gt;"",F91&lt;&gt;""),(F92-F91)/($B92-$B91),"")</f>
        <v>-8.956823653620086E-3</v>
      </c>
      <c r="R92" s="49">
        <f t="shared" ref="R92:R102" si="188">IF(AND(G92&lt;&gt;"",G91&lt;&gt;""),(G92-G91)/($B92-$B91),"")</f>
        <v>-2.1024355848157466E-2</v>
      </c>
      <c r="S92" s="49" t="str">
        <f t="shared" ref="S92:S102" si="189">IF(AND(H92&lt;&gt;"",H91&lt;&gt;""),(H92-H91)/($B92-$B91),"")</f>
        <v/>
      </c>
      <c r="T92" s="49">
        <f t="shared" ref="T92:T102" si="190">IF(AND(I92&lt;&gt;"",I91&lt;&gt;""),(I92-I91)/($B92-$B91),"")</f>
        <v>-2.819159997008806E-2</v>
      </c>
    </row>
    <row r="93" spans="1:20" x14ac:dyDescent="0.2">
      <c r="A93" s="52">
        <f t="shared" si="148"/>
        <v>696</v>
      </c>
      <c r="B93" s="53">
        <f t="shared" si="155"/>
        <v>44351</v>
      </c>
      <c r="C93" s="54">
        <f>'Résultats observations'!D93</f>
        <v>53.5</v>
      </c>
      <c r="D93" s="49">
        <f t="shared" si="157"/>
        <v>-5.6420215773331783</v>
      </c>
      <c r="E93" s="49"/>
      <c r="F93" s="49">
        <f t="shared" si="158"/>
        <v>-0.11463621941643076</v>
      </c>
      <c r="G93" s="49">
        <f t="shared" si="159"/>
        <v>-16.818317849185416</v>
      </c>
      <c r="H93" s="49"/>
      <c r="I93" s="49">
        <f t="shared" si="160"/>
        <v>-2.8332687945287205</v>
      </c>
      <c r="O93" s="49">
        <f t="shared" si="185"/>
        <v>-4.3209392711470888E-4</v>
      </c>
      <c r="P93" s="49" t="str">
        <f t="shared" si="186"/>
        <v/>
      </c>
      <c r="Q93" s="49">
        <f t="shared" si="187"/>
        <v>2.344917622505121E-3</v>
      </c>
      <c r="R93" s="49">
        <f t="shared" si="188"/>
        <v>1.3445791656455494E-2</v>
      </c>
      <c r="S93" s="49" t="str">
        <f t="shared" si="189"/>
        <v/>
      </c>
      <c r="T93" s="49">
        <f t="shared" si="190"/>
        <v>-1.0119147991094479E-2</v>
      </c>
    </row>
    <row r="94" spans="1:20" x14ac:dyDescent="0.2">
      <c r="A94" s="52">
        <f t="shared" si="148"/>
        <v>702</v>
      </c>
      <c r="B94" s="53">
        <f t="shared" si="155"/>
        <v>44357</v>
      </c>
      <c r="C94" s="54">
        <f>'Résultats observations'!D94</f>
        <v>53.5</v>
      </c>
      <c r="D94" s="49">
        <f t="shared" si="157"/>
        <v>-5.4195376468744172</v>
      </c>
      <c r="E94" s="49"/>
      <c r="F94" s="49">
        <f t="shared" si="158"/>
        <v>2.4348978649113562E-2</v>
      </c>
      <c r="G94" s="49">
        <f t="shared" si="159"/>
        <v>-17.108783013972673</v>
      </c>
      <c r="H94" s="49"/>
      <c r="I94" s="49">
        <f t="shared" si="160"/>
        <v>-2.4660591968697076</v>
      </c>
      <c r="O94" s="49">
        <f t="shared" si="185"/>
        <v>3.7080655076460189E-2</v>
      </c>
      <c r="P94" s="49" t="str">
        <f t="shared" si="186"/>
        <v/>
      </c>
      <c r="Q94" s="49">
        <f t="shared" si="187"/>
        <v>2.316419967759072E-2</v>
      </c>
      <c r="R94" s="49">
        <f t="shared" si="188"/>
        <v>-4.8410860797876154E-2</v>
      </c>
      <c r="S94" s="49" t="str">
        <f t="shared" si="189"/>
        <v/>
      </c>
      <c r="T94" s="49">
        <f t="shared" si="190"/>
        <v>6.1201599609835476E-2</v>
      </c>
    </row>
    <row r="95" spans="1:20" x14ac:dyDescent="0.2">
      <c r="A95" s="52">
        <f t="shared" si="148"/>
        <v>707</v>
      </c>
      <c r="B95" s="53">
        <f t="shared" si="155"/>
        <v>44362</v>
      </c>
      <c r="C95" s="54">
        <f>'Résultats observations'!D95</f>
        <v>53.5</v>
      </c>
      <c r="D95" s="49">
        <f t="shared" si="157"/>
        <v>-5.5989520394423842</v>
      </c>
      <c r="E95" s="49"/>
      <c r="F95" s="49">
        <f t="shared" si="158"/>
        <v>6.9614958928543302E-3</v>
      </c>
      <c r="G95" s="49">
        <f t="shared" si="159"/>
        <v>-17.10111382060564</v>
      </c>
      <c r="H95" s="49"/>
      <c r="I95" s="49">
        <f t="shared" si="160"/>
        <v>-2.5646484621857368</v>
      </c>
      <c r="O95" s="49">
        <f t="shared" si="185"/>
        <v>-3.5882878513593397E-2</v>
      </c>
      <c r="P95" s="49" t="str">
        <f t="shared" si="186"/>
        <v/>
      </c>
      <c r="Q95" s="49">
        <f t="shared" si="187"/>
        <v>-3.4774965512518463E-3</v>
      </c>
      <c r="R95" s="49">
        <f t="shared" si="188"/>
        <v>1.5338386734065068E-3</v>
      </c>
      <c r="S95" s="49" t="str">
        <f t="shared" si="189"/>
        <v/>
      </c>
      <c r="T95" s="49">
        <f t="shared" si="190"/>
        <v>-1.9717853063205837E-2</v>
      </c>
    </row>
    <row r="96" spans="1:20" x14ac:dyDescent="0.2">
      <c r="A96" s="52">
        <f t="shared" si="148"/>
        <v>709</v>
      </c>
      <c r="B96" s="53">
        <f t="shared" si="155"/>
        <v>44364</v>
      </c>
      <c r="C96" s="54">
        <f>'Résultats observations'!D96</f>
        <v>53.5</v>
      </c>
      <c r="D96" s="49">
        <f t="shared" si="157"/>
        <v>-5.5921721449099238</v>
      </c>
      <c r="E96" s="49"/>
      <c r="F96" s="49">
        <f t="shared" si="158"/>
        <v>-0.13749241300997639</v>
      </c>
      <c r="G96" s="49">
        <f t="shared" si="159"/>
        <v>-17.645267222810013</v>
      </c>
      <c r="H96" s="49"/>
      <c r="I96" s="49">
        <f t="shared" si="160"/>
        <v>-3.2204376244155952</v>
      </c>
      <c r="O96" s="49">
        <f t="shared" si="185"/>
        <v>3.3899472662302088E-3</v>
      </c>
      <c r="P96" s="49" t="str">
        <f t="shared" si="186"/>
        <v/>
      </c>
      <c r="Q96" s="49">
        <f t="shared" si="187"/>
        <v>-7.2226954451415359E-2</v>
      </c>
      <c r="R96" s="49">
        <f t="shared" si="188"/>
        <v>-0.27207670110218629</v>
      </c>
      <c r="S96" s="49" t="str">
        <f t="shared" si="189"/>
        <v/>
      </c>
      <c r="T96" s="49">
        <f t="shared" si="190"/>
        <v>-0.3278945811149292</v>
      </c>
    </row>
    <row r="97" spans="1:20" x14ac:dyDescent="0.2">
      <c r="A97" s="52">
        <f t="shared" si="148"/>
        <v>714</v>
      </c>
      <c r="B97" s="53">
        <f t="shared" si="155"/>
        <v>44369</v>
      </c>
      <c r="C97" s="54">
        <f>'Résultats observations'!D97</f>
        <v>53.5</v>
      </c>
      <c r="D97" s="49">
        <f t="shared" si="157"/>
        <v>-6.016339642665347</v>
      </c>
      <c r="E97" s="49"/>
      <c r="F97" s="49">
        <f t="shared" si="158"/>
        <v>-0.15463384050895534</v>
      </c>
      <c r="G97" s="49">
        <f t="shared" si="159"/>
        <v>-17.503250344959476</v>
      </c>
      <c r="H97" s="49"/>
      <c r="I97" s="49">
        <f t="shared" si="160"/>
        <v>-3.4417221721820823</v>
      </c>
      <c r="O97" s="49">
        <f t="shared" si="185"/>
        <v>-8.4833499551084657E-2</v>
      </c>
      <c r="P97" s="49" t="str">
        <f t="shared" si="186"/>
        <v/>
      </c>
      <c r="Q97" s="49">
        <f t="shared" si="187"/>
        <v>-3.4282854997957912E-3</v>
      </c>
      <c r="R97" s="49">
        <f t="shared" si="188"/>
        <v>2.8403375570107414E-2</v>
      </c>
      <c r="S97" s="49" t="str">
        <f t="shared" si="189"/>
        <v/>
      </c>
      <c r="T97" s="49">
        <f t="shared" si="190"/>
        <v>-4.4256909553297419E-2</v>
      </c>
    </row>
    <row r="98" spans="1:20" x14ac:dyDescent="0.2">
      <c r="A98" s="52">
        <f t="shared" si="148"/>
        <v>721</v>
      </c>
      <c r="B98" s="53">
        <f t="shared" si="155"/>
        <v>44376</v>
      </c>
      <c r="C98" s="54">
        <f>'Résultats observations'!D98</f>
        <v>53.5</v>
      </c>
      <c r="D98" s="49">
        <f t="shared" si="157"/>
        <v>-6.054488435931038</v>
      </c>
      <c r="E98" s="49"/>
      <c r="F98" s="49">
        <f t="shared" si="158"/>
        <v>-0.21972483351317962</v>
      </c>
      <c r="G98" s="49">
        <f t="shared" si="159"/>
        <v>-17.542138478976899</v>
      </c>
      <c r="H98" s="49"/>
      <c r="I98" s="49">
        <f t="shared" si="160"/>
        <v>-3.3817849870976247</v>
      </c>
      <c r="O98" s="49">
        <f t="shared" si="185"/>
        <v>-5.4498276093844266E-3</v>
      </c>
      <c r="P98" s="49" t="str">
        <f t="shared" si="186"/>
        <v/>
      </c>
      <c r="Q98" s="49">
        <f t="shared" si="187"/>
        <v>-9.2987132863177526E-3</v>
      </c>
      <c r="R98" s="49">
        <f t="shared" si="188"/>
        <v>-5.5554477167747097E-3</v>
      </c>
      <c r="S98" s="49" t="str">
        <f t="shared" si="189"/>
        <v/>
      </c>
      <c r="T98" s="49">
        <f t="shared" si="190"/>
        <v>8.5624550120653817E-3</v>
      </c>
    </row>
    <row r="99" spans="1:20" x14ac:dyDescent="0.2">
      <c r="A99" s="52">
        <f t="shared" si="148"/>
        <v>723</v>
      </c>
      <c r="B99" s="53">
        <f t="shared" si="155"/>
        <v>44378</v>
      </c>
      <c r="C99" s="54">
        <f>'Résultats observations'!D99</f>
        <v>53.5</v>
      </c>
      <c r="D99" s="49">
        <f t="shared" si="157"/>
        <v>-5.6020058820007712</v>
      </c>
      <c r="E99" s="49"/>
      <c r="F99" s="49">
        <f t="shared" si="158"/>
        <v>4.6626307416586243E-2</v>
      </c>
      <c r="G99" s="49">
        <f t="shared" si="159"/>
        <v>-17.551142490135785</v>
      </c>
      <c r="H99" s="49"/>
      <c r="I99" s="49">
        <f t="shared" si="160"/>
        <v>-3.2266606930724251</v>
      </c>
      <c r="O99" s="49">
        <f t="shared" si="185"/>
        <v>0.22624127696513341</v>
      </c>
      <c r="P99" s="49" t="str">
        <f t="shared" si="186"/>
        <v/>
      </c>
      <c r="Q99" s="49">
        <f t="shared" si="187"/>
        <v>0.13317557046488293</v>
      </c>
      <c r="R99" s="49">
        <f t="shared" si="188"/>
        <v>-4.5020055794431357E-3</v>
      </c>
      <c r="S99" s="49" t="str">
        <f t="shared" si="189"/>
        <v/>
      </c>
      <c r="T99" s="49">
        <f t="shared" si="190"/>
        <v>7.756214701259978E-2</v>
      </c>
    </row>
    <row r="100" spans="1:20" x14ac:dyDescent="0.2">
      <c r="A100" s="52">
        <f t="shared" si="148"/>
        <v>737</v>
      </c>
      <c r="B100" s="53">
        <f t="shared" si="155"/>
        <v>44392</v>
      </c>
      <c r="C100" s="54">
        <f>'Résultats observations'!D100</f>
        <v>53.5</v>
      </c>
      <c r="D100" s="49">
        <f t="shared" si="157"/>
        <v>-6.4287880733813196</v>
      </c>
      <c r="E100" s="49"/>
      <c r="F100" s="49">
        <f t="shared" si="158"/>
        <v>-0.23201002343853361</v>
      </c>
      <c r="G100" s="49">
        <f t="shared" si="159"/>
        <v>-17.942833342941444</v>
      </c>
      <c r="H100" s="49"/>
      <c r="I100" s="49">
        <f t="shared" si="160"/>
        <v>-3.6376792044130468</v>
      </c>
      <c r="O100" s="49">
        <f t="shared" si="185"/>
        <v>-5.9055870812896316E-2</v>
      </c>
      <c r="P100" s="49" t="str">
        <f t="shared" si="186"/>
        <v/>
      </c>
      <c r="Q100" s="49">
        <f t="shared" si="187"/>
        <v>-1.990259506107999E-2</v>
      </c>
      <c r="R100" s="49">
        <f t="shared" si="188"/>
        <v>-2.7977918057547107E-2</v>
      </c>
      <c r="S100" s="49" t="str">
        <f t="shared" si="189"/>
        <v/>
      </c>
      <c r="T100" s="49">
        <f t="shared" si="190"/>
        <v>-2.9358465095758696E-2</v>
      </c>
    </row>
    <row r="101" spans="1:20" x14ac:dyDescent="0.2">
      <c r="A101" s="52">
        <f t="shared" si="148"/>
        <v>745</v>
      </c>
      <c r="B101" s="53">
        <f t="shared" si="155"/>
        <v>44400</v>
      </c>
      <c r="C101" s="54">
        <f>'Résultats observations'!D101</f>
        <v>53.5</v>
      </c>
      <c r="D101" s="49">
        <f t="shared" si="157"/>
        <v>-6.2153881158004687</v>
      </c>
      <c r="E101" s="49"/>
      <c r="F101" s="49">
        <f t="shared" si="158"/>
        <v>-0.31416696215025297</v>
      </c>
      <c r="G101" s="49">
        <f t="shared" si="159"/>
        <v>-18.038376988455784</v>
      </c>
      <c r="H101" s="49"/>
      <c r="I101" s="49">
        <f t="shared" si="160"/>
        <v>-3.6912930181278725</v>
      </c>
      <c r="O101" s="49">
        <f t="shared" si="185"/>
        <v>2.6674994697606369E-2</v>
      </c>
      <c r="P101" s="49" t="str">
        <f t="shared" si="186"/>
        <v/>
      </c>
      <c r="Q101" s="49">
        <f t="shared" si="187"/>
        <v>-1.026961733896492E-2</v>
      </c>
      <c r="R101" s="49">
        <f t="shared" si="188"/>
        <v>-1.1942955689292489E-2</v>
      </c>
      <c r="S101" s="49" t="str">
        <f t="shared" si="189"/>
        <v/>
      </c>
      <c r="T101" s="49">
        <f t="shared" si="190"/>
        <v>-6.7017267143532067E-3</v>
      </c>
    </row>
    <row r="102" spans="1:20" x14ac:dyDescent="0.2">
      <c r="A102" s="52">
        <f t="shared" si="148"/>
        <v>755</v>
      </c>
      <c r="B102" s="53">
        <f t="shared" si="155"/>
        <v>44410</v>
      </c>
      <c r="C102" s="54">
        <f>'Résultats observations'!D102</f>
        <v>53.5</v>
      </c>
      <c r="D102" s="49"/>
      <c r="E102" s="49"/>
      <c r="F102" s="49">
        <f t="shared" si="158"/>
        <v>7.6928480345461736E-2</v>
      </c>
      <c r="G102" s="49">
        <f t="shared" si="159"/>
        <v>-17.572466014487365</v>
      </c>
      <c r="H102" s="49"/>
      <c r="I102" s="49"/>
      <c r="O102" s="49" t="str">
        <f t="shared" si="185"/>
        <v/>
      </c>
      <c r="P102" s="49" t="str">
        <f t="shared" si="186"/>
        <v/>
      </c>
      <c r="Q102" s="49">
        <f t="shared" si="187"/>
        <v>3.9109544249571471E-2</v>
      </c>
      <c r="R102" s="49">
        <f t="shared" si="188"/>
        <v>4.6591097396841974E-2</v>
      </c>
      <c r="S102" s="49" t="str">
        <f t="shared" si="189"/>
        <v/>
      </c>
      <c r="T102" s="49" t="str">
        <f t="shared" si="190"/>
        <v/>
      </c>
    </row>
    <row r="103" spans="1:20" x14ac:dyDescent="0.2">
      <c r="A103" s="52">
        <f t="shared" si="148"/>
        <v>798</v>
      </c>
      <c r="B103" s="53">
        <f t="shared" si="155"/>
        <v>44453</v>
      </c>
      <c r="C103" s="54">
        <f>'Résultats observations'!D103</f>
        <v>53.5</v>
      </c>
      <c r="D103" s="49">
        <f t="shared" si="157"/>
        <v>-7.0077487130162375</v>
      </c>
      <c r="E103" s="49"/>
      <c r="F103" s="49">
        <f t="shared" si="158"/>
        <v>0.19183431092284486</v>
      </c>
      <c r="G103" s="49">
        <f t="shared" si="159"/>
        <v>-18.367643092641384</v>
      </c>
      <c r="H103" s="49"/>
      <c r="I103" s="49">
        <f t="shared" si="160"/>
        <v>-3.8802398674366856</v>
      </c>
      <c r="O103" s="49" t="str">
        <f t="shared" ref="O103:O104" si="191">IF(AND(D103&lt;&gt;"",D102&lt;&gt;""),(D103-D102)/($B103-$B102),"")</f>
        <v/>
      </c>
      <c r="P103" s="49" t="str">
        <f t="shared" ref="P103:P104" si="192">IF(AND(E103&lt;&gt;"",E102&lt;&gt;""),(E103-E102)/($B103-$B102),"")</f>
        <v/>
      </c>
      <c r="Q103" s="49">
        <f t="shared" ref="Q103:Q104" si="193">IF(AND(F103&lt;&gt;"",F102&lt;&gt;""),(F103-F102)/($B103-$B102),"")</f>
        <v>2.6722286180786772E-3</v>
      </c>
      <c r="R103" s="49">
        <f t="shared" ref="R103:R104" si="194">IF(AND(G103&lt;&gt;"",G102&lt;&gt;""),(G103-G102)/($B103-$B102),"")</f>
        <v>-1.8492490189628352E-2</v>
      </c>
      <c r="S103" s="49" t="str">
        <f t="shared" ref="S103:S104" si="195">IF(AND(H103&lt;&gt;"",H102&lt;&gt;""),(H103-H102)/($B103-$B102),"")</f>
        <v/>
      </c>
      <c r="T103" s="49" t="str">
        <f t="shared" ref="T103:T104" si="196">IF(AND(I103&lt;&gt;"",I102&lt;&gt;""),(I103-I102)/($B103-$B102),"")</f>
        <v/>
      </c>
    </row>
    <row r="104" spans="1:20" x14ac:dyDescent="0.2">
      <c r="A104" s="52">
        <f t="shared" si="148"/>
        <v>815</v>
      </c>
      <c r="B104" s="53">
        <f t="shared" si="155"/>
        <v>44470</v>
      </c>
      <c r="C104" s="54">
        <f>'Résultats observations'!D104</f>
        <v>53.5</v>
      </c>
      <c r="D104" s="49">
        <f t="shared" si="157"/>
        <v>-6.5529291620451957</v>
      </c>
      <c r="E104" s="49"/>
      <c r="F104" s="49">
        <f t="shared" si="158"/>
        <v>-7.5151230414238768E-3</v>
      </c>
      <c r="G104" s="49">
        <f t="shared" si="159"/>
        <v>-18.691584550923235</v>
      </c>
      <c r="H104" s="49"/>
      <c r="I104" s="49">
        <f t="shared" si="160"/>
        <v>-3.9473162521073135</v>
      </c>
      <c r="O104" s="49">
        <f t="shared" si="191"/>
        <v>2.6754091233590693E-2</v>
      </c>
      <c r="P104" s="49" t="str">
        <f t="shared" si="192"/>
        <v/>
      </c>
      <c r="Q104" s="49">
        <f t="shared" si="193"/>
        <v>-1.1726437292015808E-2</v>
      </c>
      <c r="R104" s="49">
        <f t="shared" si="194"/>
        <v>-1.9055379898932422E-2</v>
      </c>
      <c r="S104" s="49" t="str">
        <f t="shared" si="195"/>
        <v/>
      </c>
      <c r="T104" s="49">
        <f t="shared" si="196"/>
        <v>-3.945669686507525E-3</v>
      </c>
    </row>
    <row r="105" spans="1:20" x14ac:dyDescent="0.2">
      <c r="A105" s="52">
        <f t="shared" si="148"/>
        <v>834</v>
      </c>
      <c r="B105" s="53">
        <f t="shared" si="155"/>
        <v>44489</v>
      </c>
      <c r="C105" s="54">
        <f>'Résultats observations'!D105</f>
        <v>53.5</v>
      </c>
      <c r="D105" s="49">
        <f t="shared" si="157"/>
        <v>-6.7077665926302821</v>
      </c>
      <c r="E105" s="49"/>
      <c r="F105" s="49">
        <f t="shared" si="158"/>
        <v>9.0058190939767968E-2</v>
      </c>
      <c r="G105" s="49">
        <f t="shared" si="159"/>
        <v>-19.163807067853256</v>
      </c>
      <c r="H105" s="49"/>
      <c r="I105" s="49">
        <f t="shared" si="160"/>
        <v>-4.043879397346295</v>
      </c>
      <c r="O105" s="49">
        <f t="shared" ref="O105:O107" si="197">IF(AND(D105&lt;&gt;"",D104&lt;&gt;""),(D105-D104)/($B105-$B104),"")</f>
        <v>-8.1493384518466511E-3</v>
      </c>
      <c r="P105" s="49" t="str">
        <f t="shared" ref="P105:P107" si="198">IF(AND(E105&lt;&gt;"",E104&lt;&gt;""),(E105-E104)/($B105-$B104),"")</f>
        <v/>
      </c>
      <c r="Q105" s="49">
        <f t="shared" ref="Q105:Q107" si="199">IF(AND(F105&lt;&gt;"",F104&lt;&gt;""),(F105-F104)/($B105-$B104),"")</f>
        <v>5.1354375779574654E-3</v>
      </c>
      <c r="R105" s="49">
        <f t="shared" ref="R105:R107" si="200">IF(AND(G105&lt;&gt;"",G104&lt;&gt;""),(G105-G104)/($B105-$B104),"")</f>
        <v>-2.4853816680527416E-2</v>
      </c>
      <c r="S105" s="49" t="str">
        <f t="shared" ref="S105:S107" si="201">IF(AND(H105&lt;&gt;"",H104&lt;&gt;""),(H105-H104)/($B105-$B104),"")</f>
        <v/>
      </c>
      <c r="T105" s="49">
        <f t="shared" ref="T105:T107" si="202">IF(AND(I105&lt;&gt;"",I104&lt;&gt;""),(I105-I104)/($B105-$B104),"")</f>
        <v>-5.0822708020516558E-3</v>
      </c>
    </row>
    <row r="106" spans="1:20" x14ac:dyDescent="0.2">
      <c r="A106" s="52">
        <f t="shared" si="148"/>
        <v>847</v>
      </c>
      <c r="B106" s="53">
        <f t="shared" si="155"/>
        <v>44502</v>
      </c>
      <c r="C106" s="54">
        <f>'Résultats observations'!D106</f>
        <v>53.5</v>
      </c>
      <c r="D106" s="49">
        <f t="shared" si="157"/>
        <v>-7.0846146524301545</v>
      </c>
      <c r="E106" s="49"/>
      <c r="F106" s="49">
        <f t="shared" si="158"/>
        <v>-0.11421190508165147</v>
      </c>
      <c r="G106" s="49">
        <f t="shared" si="159"/>
        <v>-19.249149961497292</v>
      </c>
      <c r="H106" s="49"/>
      <c r="I106" s="49">
        <f t="shared" si="160"/>
        <v>-3.9684689554153607</v>
      </c>
      <c r="O106" s="49">
        <f t="shared" si="197"/>
        <v>-2.8988312292297883E-2</v>
      </c>
      <c r="P106" s="49" t="str">
        <f t="shared" si="198"/>
        <v/>
      </c>
      <c r="Q106" s="49">
        <f t="shared" si="199"/>
        <v>-1.5713084309339955E-2</v>
      </c>
      <c r="R106" s="49">
        <f t="shared" si="200"/>
        <v>-6.5648379726181471E-3</v>
      </c>
      <c r="S106" s="49" t="str">
        <f t="shared" si="201"/>
        <v/>
      </c>
      <c r="T106" s="49">
        <f t="shared" si="202"/>
        <v>5.8008032254564818E-3</v>
      </c>
    </row>
    <row r="107" spans="1:20" x14ac:dyDescent="0.2">
      <c r="A107" s="52">
        <f t="shared" si="148"/>
        <v>1260</v>
      </c>
      <c r="B107" s="53">
        <f t="shared" si="155"/>
        <v>44915</v>
      </c>
      <c r="C107" s="54">
        <f>'Résultats observations'!D107</f>
        <v>53.5</v>
      </c>
      <c r="D107" s="49">
        <f t="shared" si="157"/>
        <v>-9.5385357032773399</v>
      </c>
      <c r="E107" s="49"/>
      <c r="F107" s="49">
        <f t="shared" si="158"/>
        <v>6.9307804805074369E-2</v>
      </c>
      <c r="G107" s="49">
        <f t="shared" si="159"/>
        <v>-22.539076346856035</v>
      </c>
      <c r="H107" s="49"/>
      <c r="I107" s="49">
        <f t="shared" si="160"/>
        <v>-4.579620577329635</v>
      </c>
      <c r="O107" s="49">
        <f t="shared" si="197"/>
        <v>-5.9416974596784152E-3</v>
      </c>
      <c r="P107" s="49" t="str">
        <f t="shared" si="198"/>
        <v/>
      </c>
      <c r="Q107" s="49">
        <f t="shared" si="199"/>
        <v>4.4435765105744752E-4</v>
      </c>
      <c r="R107" s="49">
        <f t="shared" si="200"/>
        <v>-7.9659234512318242E-3</v>
      </c>
      <c r="S107" s="49" t="str">
        <f t="shared" si="201"/>
        <v/>
      </c>
      <c r="T107" s="49">
        <f t="shared" si="202"/>
        <v>-1.4797860094776618E-3</v>
      </c>
    </row>
  </sheetData>
  <mergeCells count="6">
    <mergeCell ref="K20:M20"/>
    <mergeCell ref="O8:T8"/>
    <mergeCell ref="D8:I8"/>
    <mergeCell ref="Q1:T1"/>
    <mergeCell ref="Q2:T2"/>
    <mergeCell ref="A5:T5"/>
  </mergeCells>
  <phoneticPr fontId="31" type="noConversion"/>
  <printOptions horizontalCentered="1"/>
  <pageMargins left="0.39370078740157483" right="0.39370078740157483" top="0.19685039370078741" bottom="0.19685039370078741" header="0.51181102362204722" footer="0.51181102362204722"/>
  <pageSetup paperSize="9" scale="64" fitToHeight="0" orientation="landscape" horizontalDpi="4294967293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Feuil4">
    <pageSetUpPr fitToPage="1"/>
  </sheetPr>
  <dimension ref="A1:AL202"/>
  <sheetViews>
    <sheetView zoomScale="70" zoomScaleNormal="70" workbookViewId="0">
      <pane ySplit="9" topLeftCell="A100" activePane="bottomLeft" state="frozenSplit"/>
      <selection activeCell="C7" sqref="C7"/>
      <selection pane="bottomLeft" activeCell="A106" sqref="A106:V107"/>
    </sheetView>
  </sheetViews>
  <sheetFormatPr baseColWidth="10" defaultRowHeight="12.75" x14ac:dyDescent="0.2"/>
  <cols>
    <col min="1" max="1" width="7.7109375" customWidth="1"/>
    <col min="2" max="2" width="11.140625" style="24" bestFit="1" customWidth="1"/>
    <col min="3" max="22" width="11.28515625" customWidth="1"/>
    <col min="23" max="23" width="22.85546875" style="26" customWidth="1"/>
  </cols>
  <sheetData>
    <row r="1" spans="1:38" s="2" customFormat="1" ht="27.75" customHeight="1" x14ac:dyDescent="0.2">
      <c r="B1" s="19"/>
      <c r="Q1" s="132" t="s">
        <v>6</v>
      </c>
      <c r="R1" s="132"/>
      <c r="S1" s="132"/>
      <c r="T1" s="132"/>
      <c r="W1" s="25"/>
    </row>
    <row r="2" spans="1:38" s="2" customFormat="1" ht="15.75" x14ac:dyDescent="0.2">
      <c r="B2" s="19"/>
      <c r="Q2" s="132" t="s">
        <v>39</v>
      </c>
      <c r="R2" s="132"/>
      <c r="S2" s="132"/>
      <c r="T2" s="132"/>
      <c r="W2" s="25"/>
    </row>
    <row r="3" spans="1:38" s="2" customFormat="1" ht="15" customHeight="1" x14ac:dyDescent="0.2">
      <c r="B3" s="19"/>
      <c r="M3" s="11"/>
      <c r="N3" s="11"/>
      <c r="O3" s="11"/>
      <c r="P3" s="11"/>
      <c r="Q3" s="11"/>
      <c r="R3" s="11"/>
      <c r="S3" s="11"/>
      <c r="T3" s="11"/>
      <c r="U3" s="11"/>
      <c r="V3" s="11"/>
      <c r="W3" s="25"/>
    </row>
    <row r="4" spans="1:38" ht="15" customHeight="1" x14ac:dyDescent="0.2">
      <c r="A4" s="2"/>
      <c r="B4" s="19"/>
      <c r="C4" s="2"/>
      <c r="D4" s="2"/>
      <c r="E4" s="2"/>
      <c r="F4" s="2"/>
      <c r="G4" s="2"/>
      <c r="H4" s="2"/>
      <c r="I4" s="2"/>
      <c r="J4" s="2"/>
      <c r="K4" s="2"/>
      <c r="L4" s="2"/>
      <c r="M4" s="11"/>
      <c r="N4" s="11"/>
      <c r="O4" s="11"/>
      <c r="P4" s="11"/>
      <c r="Q4" s="11"/>
      <c r="R4" s="11"/>
      <c r="S4" s="11"/>
      <c r="T4" s="11"/>
      <c r="U4" s="11"/>
      <c r="V4" s="11"/>
      <c r="W4" s="13"/>
      <c r="X4" s="8"/>
    </row>
    <row r="5" spans="1:38" s="33" customFormat="1" ht="18" customHeight="1" x14ac:dyDescent="0.2">
      <c r="A5" s="136" t="s">
        <v>45</v>
      </c>
      <c r="B5" s="136"/>
      <c r="C5" s="136"/>
      <c r="D5" s="136"/>
      <c r="E5" s="136"/>
      <c r="F5" s="136"/>
      <c r="G5" s="136"/>
      <c r="H5" s="136"/>
      <c r="I5" s="136"/>
      <c r="J5" s="136"/>
      <c r="K5" s="136"/>
      <c r="L5" s="136"/>
      <c r="M5" s="136"/>
      <c r="N5" s="136"/>
      <c r="O5" s="136"/>
      <c r="P5" s="136"/>
      <c r="Q5" s="136"/>
      <c r="R5" s="136"/>
      <c r="S5" s="136"/>
      <c r="T5" s="136"/>
      <c r="U5" s="136"/>
      <c r="V5" s="83"/>
      <c r="W5" s="34"/>
    </row>
    <row r="6" spans="1:38" ht="15" customHeight="1" x14ac:dyDescent="0.2">
      <c r="A6" s="26"/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</row>
    <row r="7" spans="1:38" s="2" customFormat="1" ht="15" customHeight="1" thickBot="1" x14ac:dyDescent="0.25">
      <c r="B7" s="19"/>
      <c r="C7" s="134"/>
      <c r="D7" s="134"/>
      <c r="E7" s="134"/>
      <c r="F7" s="134"/>
      <c r="G7" s="134"/>
      <c r="H7" s="134"/>
      <c r="I7" s="134"/>
      <c r="J7" s="134"/>
      <c r="K7" s="134"/>
      <c r="L7" s="134"/>
      <c r="M7" s="134"/>
      <c r="N7" s="134"/>
      <c r="O7" s="134"/>
      <c r="P7" s="134"/>
      <c r="Q7" s="134"/>
      <c r="R7" s="134"/>
      <c r="S7" s="135"/>
      <c r="T7" s="135"/>
      <c r="U7" s="135"/>
      <c r="V7" s="16"/>
      <c r="W7" s="25"/>
    </row>
    <row r="8" spans="1:38" ht="16.5" thickBot="1" x14ac:dyDescent="0.3">
      <c r="A8" s="9"/>
      <c r="B8" s="22"/>
      <c r="C8" s="137" t="s">
        <v>46</v>
      </c>
      <c r="D8" s="138"/>
      <c r="E8" s="138"/>
      <c r="F8" s="139"/>
      <c r="G8" s="115" t="s">
        <v>10</v>
      </c>
      <c r="H8" s="116"/>
      <c r="I8" s="116"/>
      <c r="J8" s="117"/>
      <c r="K8" s="115" t="s">
        <v>1</v>
      </c>
      <c r="L8" s="116"/>
      <c r="M8" s="116"/>
      <c r="N8" s="117"/>
      <c r="O8" s="115" t="s">
        <v>11</v>
      </c>
      <c r="P8" s="116"/>
      <c r="Q8" s="116"/>
      <c r="R8" s="117"/>
      <c r="S8" s="115" t="s">
        <v>47</v>
      </c>
      <c r="T8" s="116"/>
      <c r="U8" s="116"/>
      <c r="V8" s="117"/>
      <c r="W8" s="25"/>
    </row>
    <row r="9" spans="1:38" s="3" customFormat="1" ht="60" customHeight="1" x14ac:dyDescent="0.25">
      <c r="A9" s="12" t="s">
        <v>9</v>
      </c>
      <c r="B9" s="23" t="s">
        <v>8</v>
      </c>
      <c r="C9" s="10" t="s">
        <v>40</v>
      </c>
      <c r="D9" s="10" t="s">
        <v>41</v>
      </c>
      <c r="E9" s="10" t="s">
        <v>42</v>
      </c>
      <c r="F9" s="23" t="s">
        <v>56</v>
      </c>
      <c r="G9" s="10" t="s">
        <v>21</v>
      </c>
      <c r="H9" s="10" t="s">
        <v>22</v>
      </c>
      <c r="I9" s="10" t="s">
        <v>23</v>
      </c>
      <c r="J9" s="23" t="s">
        <v>57</v>
      </c>
      <c r="K9" s="10" t="s">
        <v>24</v>
      </c>
      <c r="L9" s="10" t="s">
        <v>25</v>
      </c>
      <c r="M9" s="10" t="s">
        <v>26</v>
      </c>
      <c r="N9" s="23" t="s">
        <v>58</v>
      </c>
      <c r="O9" s="10" t="s">
        <v>27</v>
      </c>
      <c r="P9" s="10" t="s">
        <v>28</v>
      </c>
      <c r="Q9" s="10" t="s">
        <v>29</v>
      </c>
      <c r="R9" s="23" t="s">
        <v>59</v>
      </c>
      <c r="S9" s="10" t="s">
        <v>63</v>
      </c>
      <c r="T9" s="10" t="s">
        <v>64</v>
      </c>
      <c r="U9" s="10" t="s">
        <v>43</v>
      </c>
      <c r="V9" s="84" t="s">
        <v>60</v>
      </c>
      <c r="W9" s="27"/>
      <c r="X9"/>
      <c r="Y9"/>
      <c r="Z9"/>
      <c r="AA9"/>
      <c r="AI9" s="14" t="s">
        <v>33</v>
      </c>
      <c r="AJ9" s="14" t="s">
        <v>70</v>
      </c>
      <c r="AK9" s="14" t="s">
        <v>71</v>
      </c>
      <c r="AL9" s="14" t="s">
        <v>72</v>
      </c>
    </row>
    <row r="10" spans="1:38" ht="29.25" customHeight="1" x14ac:dyDescent="0.2">
      <c r="A10" s="30">
        <f t="shared" ref="A10:A77" si="0">jours</f>
        <v>0</v>
      </c>
      <c r="B10" s="31">
        <f t="shared" ref="B10:B77" si="1">date</f>
        <v>43655</v>
      </c>
      <c r="C10" s="49">
        <f t="shared" ref="C10:C76" si="2">DPM_IG</f>
        <v>0</v>
      </c>
      <c r="D10" s="49">
        <f t="shared" ref="D10:D76" si="3">DH_IG</f>
        <v>0</v>
      </c>
      <c r="E10" s="49">
        <f t="shared" ref="E10:E76" si="4">DZ_IG</f>
        <v>0</v>
      </c>
      <c r="F10" s="49">
        <f t="shared" ref="F10:F20" si="5">SQRT(C10*C10+D10*D10+E10*E10)</f>
        <v>0</v>
      </c>
      <c r="G10" s="49">
        <f t="shared" ref="G10:G77" si="6">DPM_HG</f>
        <v>0</v>
      </c>
      <c r="H10" s="49">
        <f t="shared" ref="H10:H77" si="7">DH_HG</f>
        <v>0</v>
      </c>
      <c r="I10" s="49">
        <f t="shared" ref="I10:I77" si="8">DZ_HG</f>
        <v>0</v>
      </c>
      <c r="J10" s="49">
        <f t="shared" ref="J10:J20" si="9">SQRT(G10*G10+H10*H10+I10*I10)</f>
        <v>0</v>
      </c>
      <c r="K10" s="49">
        <f t="shared" ref="K10:K74" si="10">DPMhaut</f>
        <v>0</v>
      </c>
      <c r="L10" s="49">
        <f t="shared" ref="L10:L74" si="11">DHhaut</f>
        <v>0</v>
      </c>
      <c r="M10" s="49">
        <f t="shared" ref="M10:M74" si="12">DZhaut</f>
        <v>0</v>
      </c>
      <c r="N10" s="49">
        <f t="shared" ref="N10:N20" si="13">SQRT(K10*K10+L10*L10+M10*M10)</f>
        <v>0</v>
      </c>
      <c r="O10" s="49">
        <f t="shared" ref="O10:O77" si="14">DPM_HD</f>
        <v>0</v>
      </c>
      <c r="P10" s="49">
        <f t="shared" ref="P10:P77" si="15">DH_HD</f>
        <v>0</v>
      </c>
      <c r="Q10" s="49">
        <f t="shared" ref="Q10:Q77" si="16">DZ_HD</f>
        <v>0</v>
      </c>
      <c r="R10" s="49">
        <f t="shared" ref="R10:R20" si="17">SQRT(O10*O10+P10*P10+Q10*Q10)</f>
        <v>0</v>
      </c>
      <c r="S10" s="50">
        <f t="shared" ref="S10:S41" si="18">DPM_ID</f>
        <v>0</v>
      </c>
      <c r="T10" s="50">
        <f t="shared" ref="T10:T41" si="19">DH_ID</f>
        <v>0</v>
      </c>
      <c r="U10" s="50">
        <f t="shared" ref="U10:U77" si="20">DZ_ID</f>
        <v>0</v>
      </c>
      <c r="V10" s="49">
        <f t="shared" ref="V10:V20" si="21">SQRT(S10*S10+T10*T10+U10*U10)</f>
        <v>0</v>
      </c>
      <c r="W10" s="25" t="str">
        <f>IF(Convergences!J10="","",Convergences!J10)</f>
        <v/>
      </c>
      <c r="AF10" s="85" t="s">
        <v>68</v>
      </c>
      <c r="AG10" s="14"/>
      <c r="AJ10" s="80">
        <v>43655</v>
      </c>
      <c r="AK10">
        <v>0</v>
      </c>
      <c r="AL10">
        <f t="shared" ref="AL10:AL23" si="22">$AG$12*(1-($AG$13/(AK10+$AG$13))^$AG$14)</f>
        <v>0</v>
      </c>
    </row>
    <row r="11" spans="1:38" ht="29.25" customHeight="1" x14ac:dyDescent="0.2">
      <c r="A11" s="30">
        <f t="shared" si="0"/>
        <v>2</v>
      </c>
      <c r="B11" s="31">
        <f t="shared" si="1"/>
        <v>43657</v>
      </c>
      <c r="C11" s="49">
        <f t="shared" si="2"/>
        <v>0.49999999998817657</v>
      </c>
      <c r="D11" s="49">
        <f t="shared" si="3"/>
        <v>0.50000000000016698</v>
      </c>
      <c r="E11" s="49">
        <f t="shared" si="4"/>
        <v>-0.15000000000497948</v>
      </c>
      <c r="F11" s="49">
        <f t="shared" si="5"/>
        <v>0.72284161473301844</v>
      </c>
      <c r="G11" s="50">
        <f t="shared" si="6"/>
        <v>0.59999999999149622</v>
      </c>
      <c r="H11" s="50">
        <f t="shared" si="7"/>
        <v>0.50000000000016698</v>
      </c>
      <c r="I11" s="50">
        <f t="shared" si="8"/>
        <v>-0.34999999999740794</v>
      </c>
      <c r="J11" s="49">
        <f t="shared" si="9"/>
        <v>0.85586213842426051</v>
      </c>
      <c r="K11" s="49">
        <f t="shared" si="10"/>
        <v>0.40000000001327862</v>
      </c>
      <c r="L11" s="49">
        <f t="shared" si="11"/>
        <v>0.59999999999998943</v>
      </c>
      <c r="M11" s="50">
        <f t="shared" si="12"/>
        <v>-0.39999999999906777</v>
      </c>
      <c r="N11" s="49">
        <f t="shared" si="13"/>
        <v>0.82462112512951324</v>
      </c>
      <c r="O11" s="50">
        <f t="shared" si="14"/>
        <v>0.69999999999481588</v>
      </c>
      <c r="P11" s="50">
        <f t="shared" si="15"/>
        <v>0.59999999999993392</v>
      </c>
      <c r="Q11" s="50">
        <f t="shared" si="16"/>
        <v>-0.24999999999408828</v>
      </c>
      <c r="R11" s="49">
        <f t="shared" si="17"/>
        <v>0.95524865872175246</v>
      </c>
      <c r="S11" s="50">
        <f t="shared" si="18"/>
        <v>1.0000000000047748</v>
      </c>
      <c r="T11" s="50">
        <f t="shared" si="19"/>
        <v>0.60000000000037801</v>
      </c>
      <c r="U11" s="50">
        <f t="shared" si="20"/>
        <v>-0.15000000000497948</v>
      </c>
      <c r="V11" s="49">
        <f t="shared" si="21"/>
        <v>1.1757976016353739</v>
      </c>
      <c r="W11" s="25" t="str">
        <f>IF(Convergences!J11="","",Convergences!J11)</f>
        <v/>
      </c>
      <c r="AF11" s="85" t="s">
        <v>65</v>
      </c>
      <c r="AG11" s="14"/>
      <c r="AJ11" s="80">
        <v>43656</v>
      </c>
      <c r="AK11">
        <v>1</v>
      </c>
      <c r="AL11">
        <f t="shared" si="22"/>
        <v>0.2312613996895595</v>
      </c>
    </row>
    <row r="12" spans="1:38" ht="29.25" customHeight="1" x14ac:dyDescent="0.2">
      <c r="A12" s="30">
        <f t="shared" si="0"/>
        <v>6</v>
      </c>
      <c r="B12" s="31">
        <f t="shared" si="1"/>
        <v>43661</v>
      </c>
      <c r="C12" s="49">
        <f t="shared" si="2"/>
        <v>1.1999999999829924</v>
      </c>
      <c r="D12" s="49">
        <f t="shared" si="3"/>
        <v>0.60000000000037801</v>
      </c>
      <c r="E12" s="49">
        <f t="shared" si="4"/>
        <v>-0.75000000001068656</v>
      </c>
      <c r="F12" s="49">
        <f t="shared" si="5"/>
        <v>1.5370426148860237</v>
      </c>
      <c r="G12" s="50">
        <f t="shared" si="6"/>
        <v>0.99999999997635314</v>
      </c>
      <c r="H12" s="50">
        <f t="shared" si="7"/>
        <v>0.40000000000017799</v>
      </c>
      <c r="I12" s="50">
        <f t="shared" si="8"/>
        <v>-0.64999999999315605</v>
      </c>
      <c r="J12" s="49">
        <f t="shared" si="9"/>
        <v>1.2579745625186352</v>
      </c>
      <c r="K12" s="49">
        <f t="shared" si="10"/>
        <v>0.90000000000145519</v>
      </c>
      <c r="L12" s="49">
        <f t="shared" si="11"/>
        <v>0.40000000000001146</v>
      </c>
      <c r="M12" s="50">
        <f t="shared" si="12"/>
        <v>-0.90000000000145519</v>
      </c>
      <c r="N12" s="49">
        <f t="shared" si="13"/>
        <v>1.3341664064145999</v>
      </c>
      <c r="O12" s="50">
        <f t="shared" si="14"/>
        <v>0.69999999999481588</v>
      </c>
      <c r="P12" s="50">
        <f t="shared" si="15"/>
        <v>0.79999999999991189</v>
      </c>
      <c r="Q12" s="50">
        <f t="shared" si="16"/>
        <v>-0.74999999999647571</v>
      </c>
      <c r="R12" s="49">
        <f t="shared" si="17"/>
        <v>1.3009611831208934</v>
      </c>
      <c r="S12" s="50">
        <f t="shared" si="18"/>
        <v>0.20000000000663931</v>
      </c>
      <c r="T12" s="50">
        <f t="shared" si="19"/>
        <v>-0.29999999999974492</v>
      </c>
      <c r="U12" s="50">
        <f t="shared" si="20"/>
        <v>-0.95000000000311502</v>
      </c>
      <c r="V12" s="49">
        <f t="shared" si="21"/>
        <v>1.0161200716492227</v>
      </c>
      <c r="W12" s="25" t="str">
        <f>IF(Convergences!J12="","",Convergences!J12)</f>
        <v/>
      </c>
      <c r="AF12" s="14" t="s">
        <v>50</v>
      </c>
      <c r="AG12" s="14">
        <v>51.638100000000001</v>
      </c>
      <c r="AJ12" s="80">
        <v>43657</v>
      </c>
      <c r="AK12">
        <v>2</v>
      </c>
      <c r="AL12">
        <f t="shared" si="22"/>
        <v>0.45810070260620733</v>
      </c>
    </row>
    <row r="13" spans="1:38" ht="29.25" customHeight="1" x14ac:dyDescent="0.2">
      <c r="A13" s="30">
        <f t="shared" si="0"/>
        <v>8</v>
      </c>
      <c r="B13" s="31">
        <f t="shared" si="1"/>
        <v>43663</v>
      </c>
      <c r="C13" s="49">
        <f t="shared" si="2"/>
        <v>0.49999999998817657</v>
      </c>
      <c r="D13" s="49">
        <f t="shared" si="3"/>
        <v>1.8000000000002458</v>
      </c>
      <c r="E13" s="49">
        <f t="shared" si="4"/>
        <v>-0.84999999999979536</v>
      </c>
      <c r="F13" s="49">
        <f t="shared" si="5"/>
        <v>2.0524375751746295</v>
      </c>
      <c r="G13" s="50">
        <f t="shared" si="6"/>
        <v>0</v>
      </c>
      <c r="H13" s="50">
        <f t="shared" si="7"/>
        <v>1.3000000000000789</v>
      </c>
      <c r="I13" s="50">
        <f t="shared" si="8"/>
        <v>-1.5499999999946112</v>
      </c>
      <c r="J13" s="49">
        <f t="shared" si="9"/>
        <v>2.022992832410313</v>
      </c>
      <c r="K13" s="49">
        <f t="shared" si="10"/>
        <v>0.69999999999481588</v>
      </c>
      <c r="L13" s="49">
        <f t="shared" si="11"/>
        <v>0.9000000000000119</v>
      </c>
      <c r="M13" s="50">
        <f t="shared" si="12"/>
        <v>-1.4999999999929514</v>
      </c>
      <c r="N13" s="49">
        <f t="shared" si="13"/>
        <v>1.8841443681341454</v>
      </c>
      <c r="O13" s="50">
        <f t="shared" si="14"/>
        <v>0.69999999999481588</v>
      </c>
      <c r="P13" s="50">
        <f t="shared" si="15"/>
        <v>1.3999999999998458</v>
      </c>
      <c r="Q13" s="50">
        <f t="shared" si="16"/>
        <v>-0.84999999999979536</v>
      </c>
      <c r="R13" s="49">
        <f t="shared" si="17"/>
        <v>1.7811513130534313</v>
      </c>
      <c r="S13" s="50">
        <f t="shared" si="18"/>
        <v>2.4999999999977263</v>
      </c>
      <c r="T13" s="50">
        <f t="shared" si="19"/>
        <v>1.5000000000000568</v>
      </c>
      <c r="U13" s="50">
        <f t="shared" si="20"/>
        <v>-0.25000000000829914</v>
      </c>
      <c r="V13" s="49">
        <f t="shared" si="21"/>
        <v>2.926174977678702</v>
      </c>
      <c r="W13" s="25" t="str">
        <f>IF(Convergences!J13="","",Convergences!J13)</f>
        <v/>
      </c>
      <c r="AF13" s="14" t="s">
        <v>66</v>
      </c>
      <c r="AG13" s="14">
        <v>66.337800000000001</v>
      </c>
      <c r="AJ13" s="80">
        <v>43661</v>
      </c>
      <c r="AK13">
        <v>6</v>
      </c>
      <c r="AL13">
        <f t="shared" si="22"/>
        <v>1.3240838680468323</v>
      </c>
    </row>
    <row r="14" spans="1:38" ht="29.25" customHeight="1" x14ac:dyDescent="0.2">
      <c r="A14" s="30">
        <f t="shared" si="0"/>
        <v>14</v>
      </c>
      <c r="B14" s="31">
        <f t="shared" si="1"/>
        <v>43669</v>
      </c>
      <c r="C14" s="49">
        <f t="shared" si="2"/>
        <v>-0.50000000001659828</v>
      </c>
      <c r="D14" s="49">
        <f t="shared" si="3"/>
        <v>0.50000000000016698</v>
      </c>
      <c r="E14" s="49">
        <f t="shared" si="4"/>
        <v>-1.1500000000097543</v>
      </c>
      <c r="F14" s="49">
        <f t="shared" si="5"/>
        <v>1.3500000000145187</v>
      </c>
      <c r="G14" s="50"/>
      <c r="H14" s="50" t="str">
        <f t="shared" si="7"/>
        <v/>
      </c>
      <c r="I14" s="50" t="str">
        <f t="shared" si="8"/>
        <v/>
      </c>
      <c r="J14" s="49"/>
      <c r="K14" s="49">
        <f t="shared" si="10"/>
        <v>-0.59999999999149622</v>
      </c>
      <c r="L14" s="49">
        <f t="shared" si="11"/>
        <v>-0.40000000000001146</v>
      </c>
      <c r="M14" s="50">
        <f t="shared" si="12"/>
        <v>-2.0999999999986585</v>
      </c>
      <c r="N14" s="49">
        <f t="shared" si="13"/>
        <v>2.2203603311138873</v>
      </c>
      <c r="O14" s="50">
        <f t="shared" si="14"/>
        <v>0.20000000000663931</v>
      </c>
      <c r="P14" s="50">
        <f t="shared" si="15"/>
        <v>9.9999999999988987E-2</v>
      </c>
      <c r="Q14" s="50">
        <f t="shared" si="16"/>
        <v>-1.1499999999955435</v>
      </c>
      <c r="R14" s="49">
        <f t="shared" si="17"/>
        <v>1.1715374513827561</v>
      </c>
      <c r="S14" s="50">
        <f t="shared" si="18"/>
        <v>0.49999999998817657</v>
      </c>
      <c r="T14" s="50">
        <f t="shared" si="19"/>
        <v>-1.3999999999998458</v>
      </c>
      <c r="U14" s="50">
        <f t="shared" si="20"/>
        <v>-0.84999999999979536</v>
      </c>
      <c r="V14" s="49">
        <f t="shared" si="21"/>
        <v>1.712454378950691</v>
      </c>
      <c r="W14" s="25" t="str">
        <f>IF(Convergences!J14="","",Convergences!J14)</f>
        <v/>
      </c>
      <c r="AF14" s="14" t="s">
        <v>67</v>
      </c>
      <c r="AG14" s="14">
        <v>0.3</v>
      </c>
      <c r="AJ14" s="80">
        <v>43663</v>
      </c>
      <c r="AK14">
        <v>8</v>
      </c>
      <c r="AL14">
        <f t="shared" si="22"/>
        <v>1.7340649577718015</v>
      </c>
    </row>
    <row r="15" spans="1:38" ht="29.25" customHeight="1" x14ac:dyDescent="0.2">
      <c r="A15" s="30">
        <f t="shared" si="0"/>
        <v>20</v>
      </c>
      <c r="B15" s="31">
        <f t="shared" si="1"/>
        <v>43675</v>
      </c>
      <c r="C15" s="49">
        <f t="shared" si="2"/>
        <v>0.10000000000331966</v>
      </c>
      <c r="D15" s="49">
        <f t="shared" si="3"/>
        <v>2.8000000000001357</v>
      </c>
      <c r="E15" s="49">
        <f t="shared" si="4"/>
        <v>-1.2499999999988631</v>
      </c>
      <c r="F15" s="49">
        <f t="shared" si="5"/>
        <v>3.0679797913282583</v>
      </c>
      <c r="G15" s="50">
        <f t="shared" si="6"/>
        <v>-1.6999999999995907</v>
      </c>
      <c r="H15" s="50">
        <f t="shared" si="7"/>
        <v>2.6000000000001577</v>
      </c>
      <c r="I15" s="50">
        <f t="shared" si="8"/>
        <v>-2.5499999999993861</v>
      </c>
      <c r="J15" s="49">
        <f t="shared" si="9"/>
        <v>4.019017292821256</v>
      </c>
      <c r="K15" s="49">
        <f t="shared" si="10"/>
        <v>-1.2000000000114142</v>
      </c>
      <c r="L15" s="49">
        <f t="shared" si="11"/>
        <v>2.0999999999999908</v>
      </c>
      <c r="M15" s="50">
        <f t="shared" si="12"/>
        <v>-3.0000000000001137</v>
      </c>
      <c r="N15" s="49">
        <f t="shared" si="13"/>
        <v>3.8535697736031764</v>
      </c>
      <c r="O15" s="50">
        <f t="shared" si="14"/>
        <v>-1.6999999999995907</v>
      </c>
      <c r="P15" s="50">
        <f t="shared" si="15"/>
        <v>2.4999999999999467</v>
      </c>
      <c r="Q15" s="50">
        <f t="shared" si="16"/>
        <v>-2.3499999999927468</v>
      </c>
      <c r="R15" s="49">
        <f t="shared" si="17"/>
        <v>3.8291643997044904</v>
      </c>
      <c r="S15" s="50">
        <f t="shared" si="18"/>
        <v>-0.20000000000663931</v>
      </c>
      <c r="T15" s="50">
        <f t="shared" si="19"/>
        <v>1.2000000000003119</v>
      </c>
      <c r="U15" s="50">
        <f t="shared" si="20"/>
        <v>-0.95000000000311502</v>
      </c>
      <c r="V15" s="49">
        <f t="shared" si="21"/>
        <v>1.5435349040463333</v>
      </c>
      <c r="W15" s="25" t="str">
        <f>IF(Convergences!J15="","",Convergences!J15)</f>
        <v/>
      </c>
      <c r="AJ15" s="80">
        <v>43677</v>
      </c>
      <c r="AK15">
        <v>22</v>
      </c>
      <c r="AL15">
        <f t="shared" si="22"/>
        <v>4.251603571603634</v>
      </c>
    </row>
    <row r="16" spans="1:38" ht="29.25" customHeight="1" x14ac:dyDescent="0.2">
      <c r="A16" s="30">
        <f t="shared" si="0"/>
        <v>24</v>
      </c>
      <c r="B16" s="31">
        <f t="shared" si="1"/>
        <v>43679</v>
      </c>
      <c r="C16" s="49">
        <f t="shared" si="2"/>
        <v>-0.32269999999812171</v>
      </c>
      <c r="D16" s="49">
        <f t="shared" si="3"/>
        <v>1.2842800000001375</v>
      </c>
      <c r="E16" s="49">
        <f t="shared" si="4"/>
        <v>-1.0500000000064347</v>
      </c>
      <c r="F16" s="49">
        <f t="shared" si="5"/>
        <v>1.6899734934053414</v>
      </c>
      <c r="G16" s="50">
        <f t="shared" si="6"/>
        <v>-1.3102000000060343</v>
      </c>
      <c r="H16" s="50">
        <f t="shared" si="7"/>
        <v>1.1352790000001001</v>
      </c>
      <c r="I16" s="50">
        <f t="shared" si="8"/>
        <v>-2.1500000000003183</v>
      </c>
      <c r="J16" s="49">
        <f t="shared" si="9"/>
        <v>2.7618802377833855</v>
      </c>
      <c r="K16" s="49">
        <f t="shared" si="10"/>
        <v>-1.0686999999904856</v>
      </c>
      <c r="L16" s="49">
        <f t="shared" si="11"/>
        <v>0.65322899999997741</v>
      </c>
      <c r="M16" s="50">
        <f t="shared" si="12"/>
        <v>-2.6000000000010459</v>
      </c>
      <c r="N16" s="49">
        <f t="shared" si="13"/>
        <v>2.8859708620195863</v>
      </c>
      <c r="O16" s="50">
        <f t="shared" si="14"/>
        <v>-1.5841000000023087</v>
      </c>
      <c r="P16" s="50">
        <f t="shared" si="15"/>
        <v>1.1550139999998432</v>
      </c>
      <c r="Q16" s="50">
        <f t="shared" si="16"/>
        <v>-2.0499999999969987</v>
      </c>
      <c r="R16" s="49">
        <f t="shared" si="17"/>
        <v>2.836534884359903</v>
      </c>
      <c r="S16" s="50">
        <f t="shared" si="18"/>
        <v>-0.10499999999069587</v>
      </c>
      <c r="T16" s="50">
        <f t="shared" si="19"/>
        <v>-0.5295369999998023</v>
      </c>
      <c r="U16" s="50">
        <f t="shared" si="20"/>
        <v>-0.35000000001161879</v>
      </c>
      <c r="V16" s="49">
        <f t="shared" si="21"/>
        <v>0.64337736545123336</v>
      </c>
      <c r="W16" s="25"/>
      <c r="AJ16" s="80">
        <v>43693</v>
      </c>
      <c r="AK16">
        <v>38</v>
      </c>
      <c r="AL16">
        <f t="shared" si="22"/>
        <v>6.5599513817560924</v>
      </c>
    </row>
    <row r="17" spans="1:38" ht="29.25" customHeight="1" x14ac:dyDescent="0.2">
      <c r="A17" s="30">
        <f t="shared" si="0"/>
        <v>27</v>
      </c>
      <c r="B17" s="31">
        <f t="shared" si="1"/>
        <v>43682</v>
      </c>
      <c r="C17" s="49">
        <f t="shared" si="2"/>
        <v>-1.0656118906240408</v>
      </c>
      <c r="D17" s="49">
        <f t="shared" si="3"/>
        <v>1.9308821512047381</v>
      </c>
      <c r="E17" s="49">
        <f t="shared" si="4"/>
        <v>-1.4500000000055024</v>
      </c>
      <c r="F17" s="49">
        <f t="shared" si="5"/>
        <v>2.6393814774102542</v>
      </c>
      <c r="G17" s="50">
        <f t="shared" si="6"/>
        <v>-2.6814397401437873</v>
      </c>
      <c r="H17" s="50">
        <f t="shared" si="7"/>
        <v>1.7095482365681036</v>
      </c>
      <c r="I17" s="50">
        <f t="shared" si="8"/>
        <v>-2.9499999999984539</v>
      </c>
      <c r="J17" s="49">
        <f t="shared" si="9"/>
        <v>4.3376461650492395</v>
      </c>
      <c r="K17" s="49">
        <f t="shared" si="10"/>
        <v>-1.7209699263105449</v>
      </c>
      <c r="L17" s="49">
        <f t="shared" si="11"/>
        <v>1.3420960832648543</v>
      </c>
      <c r="M17" s="50">
        <f t="shared" si="12"/>
        <v>-3.3999999999991815</v>
      </c>
      <c r="N17" s="49">
        <f t="shared" si="13"/>
        <v>4.0401682370879826</v>
      </c>
      <c r="O17" s="50">
        <f t="shared" si="14"/>
        <v>-2.1940717712993774</v>
      </c>
      <c r="P17" s="50">
        <f t="shared" si="15"/>
        <v>1.753251604003303</v>
      </c>
      <c r="Q17" s="50">
        <f t="shared" si="16"/>
        <v>-2.5499999999993861</v>
      </c>
      <c r="R17" s="49">
        <f t="shared" si="17"/>
        <v>3.7934604419381799</v>
      </c>
      <c r="S17" s="50" t="str">
        <f t="shared" si="18"/>
        <v/>
      </c>
      <c r="T17" s="50" t="str">
        <f t="shared" si="19"/>
        <v/>
      </c>
      <c r="U17" s="50" t="str">
        <f t="shared" si="20"/>
        <v/>
      </c>
      <c r="V17" s="49"/>
      <c r="W17" s="25"/>
      <c r="AJ17" s="80">
        <v>43697</v>
      </c>
      <c r="AK17">
        <v>42</v>
      </c>
      <c r="AL17">
        <f t="shared" si="22"/>
        <v>7.0658487468949538</v>
      </c>
    </row>
    <row r="18" spans="1:38" ht="29.25" customHeight="1" x14ac:dyDescent="0.2">
      <c r="A18" s="30">
        <f t="shared" si="0"/>
        <v>29</v>
      </c>
      <c r="B18" s="31">
        <f t="shared" si="1"/>
        <v>43684</v>
      </c>
      <c r="C18" s="49">
        <f t="shared" si="2"/>
        <v>3.5999999852265319E-3</v>
      </c>
      <c r="D18" s="49">
        <f t="shared" si="3"/>
        <v>1.7674940000000916</v>
      </c>
      <c r="E18" s="49">
        <f t="shared" si="4"/>
        <v>-1.8500000000045702</v>
      </c>
      <c r="F18" s="49">
        <f t="shared" si="5"/>
        <v>2.558622285538279</v>
      </c>
      <c r="G18" s="50">
        <f t="shared" si="6"/>
        <v>-1.6906000000176391</v>
      </c>
      <c r="H18" s="50">
        <f t="shared" si="7"/>
        <v>1.9509420000001221</v>
      </c>
      <c r="I18" s="50">
        <f t="shared" si="8"/>
        <v>-3.4500000000008413</v>
      </c>
      <c r="J18" s="49">
        <f t="shared" si="9"/>
        <v>4.3089213322396498</v>
      </c>
      <c r="K18" s="49">
        <f t="shared" si="10"/>
        <v>-0.87519999999585707</v>
      </c>
      <c r="L18" s="49">
        <f t="shared" si="11"/>
        <v>1.1848059999999827</v>
      </c>
      <c r="M18" s="50">
        <f t="shared" si="12"/>
        <v>-3.7999999999982492</v>
      </c>
      <c r="N18" s="49">
        <f t="shared" si="13"/>
        <v>4.0755049132120309</v>
      </c>
      <c r="O18" s="50">
        <f t="shared" si="14"/>
        <v>-1.4328999999975167</v>
      </c>
      <c r="P18" s="50">
        <f t="shared" si="15"/>
        <v>1.7772199999999128</v>
      </c>
      <c r="Q18" s="50">
        <f t="shared" si="16"/>
        <v>-3.1499999999908823</v>
      </c>
      <c r="R18" s="49">
        <f t="shared" si="17"/>
        <v>3.8902716278346339</v>
      </c>
      <c r="S18" s="50">
        <f t="shared" si="18"/>
        <v>0.44479999999680331</v>
      </c>
      <c r="T18" s="50">
        <f t="shared" si="19"/>
        <v>-5.2421999999996416E-2</v>
      </c>
      <c r="U18" s="50">
        <f t="shared" si="20"/>
        <v>-1.1500000000097543</v>
      </c>
      <c r="V18" s="49">
        <f t="shared" si="21"/>
        <v>1.2341373935277995</v>
      </c>
      <c r="W18" s="25"/>
      <c r="AJ18" s="80">
        <v>43699</v>
      </c>
      <c r="AK18">
        <v>44</v>
      </c>
      <c r="AL18">
        <f t="shared" si="22"/>
        <v>7.3097794669384308</v>
      </c>
    </row>
    <row r="19" spans="1:38" ht="29.25" customHeight="1" x14ac:dyDescent="0.2">
      <c r="A19" s="30">
        <f t="shared" si="0"/>
        <v>30</v>
      </c>
      <c r="B19" s="31">
        <f t="shared" si="1"/>
        <v>43685</v>
      </c>
      <c r="C19" s="49">
        <f t="shared" si="2"/>
        <v>7.6399999983323141E-2</v>
      </c>
      <c r="D19" s="49">
        <f t="shared" si="3"/>
        <v>2.7944830000001808</v>
      </c>
      <c r="E19" s="49">
        <f t="shared" si="4"/>
        <v>-1.4500000000055024</v>
      </c>
      <c r="F19" s="49">
        <f t="shared" si="5"/>
        <v>3.1492018349580926</v>
      </c>
      <c r="G19" s="50">
        <f t="shared" si="6"/>
        <v>-1.8897000000208664</v>
      </c>
      <c r="H19" s="50">
        <f t="shared" si="7"/>
        <v>2.8511350000000046</v>
      </c>
      <c r="I19" s="50">
        <f t="shared" si="8"/>
        <v>-3.0499999999875627</v>
      </c>
      <c r="J19" s="49">
        <f t="shared" si="9"/>
        <v>4.5828415724556768</v>
      </c>
      <c r="K19" s="49">
        <f t="shared" si="10"/>
        <v>-0.85079999999493339</v>
      </c>
      <c r="L19" s="49">
        <f t="shared" si="11"/>
        <v>2.0789010000000219</v>
      </c>
      <c r="M19" s="50">
        <f t="shared" si="12"/>
        <v>-3.3999999999991815</v>
      </c>
      <c r="N19" s="49">
        <f t="shared" si="13"/>
        <v>4.0750079764077647</v>
      </c>
      <c r="O19" s="50">
        <f t="shared" si="14"/>
        <v>-1.4506999999923664</v>
      </c>
      <c r="P19" s="50">
        <f t="shared" si="15"/>
        <v>2.7619439999999607</v>
      </c>
      <c r="Q19" s="50">
        <f t="shared" si="16"/>
        <v>-2.4499999999960664</v>
      </c>
      <c r="R19" s="49">
        <f t="shared" si="17"/>
        <v>3.9667827201769397</v>
      </c>
      <c r="S19" s="50">
        <f t="shared" si="18"/>
        <v>0.24569999999357606</v>
      </c>
      <c r="T19" s="50">
        <f t="shared" si="19"/>
        <v>0.84777100000010819</v>
      </c>
      <c r="U19" s="50">
        <f t="shared" si="20"/>
        <v>-0.55000000000404725</v>
      </c>
      <c r="V19" s="49">
        <f t="shared" si="21"/>
        <v>1.0399923838386889</v>
      </c>
      <c r="W19" s="25"/>
      <c r="AJ19" s="80">
        <v>43703</v>
      </c>
      <c r="AK19">
        <v>48</v>
      </c>
      <c r="AL19">
        <f t="shared" si="22"/>
        <v>7.7808270057635296</v>
      </c>
    </row>
    <row r="20" spans="1:38" ht="29.25" customHeight="1" x14ac:dyDescent="0.2">
      <c r="A20" s="30">
        <f t="shared" si="0"/>
        <v>34</v>
      </c>
      <c r="B20" s="31">
        <f t="shared" si="1"/>
        <v>43689</v>
      </c>
      <c r="C20" s="49">
        <f t="shared" si="2"/>
        <v>-1.3375000000053205</v>
      </c>
      <c r="D20" s="49">
        <f t="shared" si="3"/>
        <v>1.8040870000000098</v>
      </c>
      <c r="E20" s="49">
        <f t="shared" si="4"/>
        <v>-2.1500000000003183</v>
      </c>
      <c r="F20" s="49">
        <f t="shared" si="5"/>
        <v>3.1090410344002599</v>
      </c>
      <c r="G20" s="50">
        <f t="shared" si="6"/>
        <v>-3.3882000000176049</v>
      </c>
      <c r="H20" s="50">
        <f t="shared" si="7"/>
        <v>2.0419970000000731</v>
      </c>
      <c r="I20" s="50">
        <f t="shared" si="8"/>
        <v>-4.1499999999956572</v>
      </c>
      <c r="J20" s="49">
        <f t="shared" si="9"/>
        <v>5.7334240195621806</v>
      </c>
      <c r="K20" s="49">
        <f t="shared" si="10"/>
        <v>-2.300899999994499</v>
      </c>
      <c r="L20" s="49">
        <f t="shared" si="11"/>
        <v>1.4026580000000011</v>
      </c>
      <c r="M20" s="50">
        <f t="shared" si="12"/>
        <v>-4.4000000000039563</v>
      </c>
      <c r="N20" s="49">
        <f t="shared" si="13"/>
        <v>5.1596114461239724</v>
      </c>
      <c r="O20" s="50">
        <f t="shared" si="14"/>
        <v>-2.9913999999848784</v>
      </c>
      <c r="P20" s="50">
        <f t="shared" si="15"/>
        <v>2.0434359999998986</v>
      </c>
      <c r="Q20" s="50">
        <f t="shared" si="16"/>
        <v>-3.5500000000041609</v>
      </c>
      <c r="R20" s="49">
        <f t="shared" si="17"/>
        <v>5.0721400459800652</v>
      </c>
      <c r="S20" s="50">
        <f t="shared" si="18"/>
        <v>-0.99299999999402644</v>
      </c>
      <c r="T20" s="50">
        <f t="shared" si="19"/>
        <v>-0.28161799999981696</v>
      </c>
      <c r="U20" s="50">
        <f t="shared" si="20"/>
        <v>-1.0500000000064347</v>
      </c>
      <c r="V20" s="49">
        <f t="shared" si="21"/>
        <v>1.4723646620065107</v>
      </c>
      <c r="W20" s="25"/>
      <c r="AJ20" s="80">
        <v>43705</v>
      </c>
      <c r="AK20">
        <v>50</v>
      </c>
      <c r="AL20">
        <f t="shared" si="22"/>
        <v>8.008390676904801</v>
      </c>
    </row>
    <row r="21" spans="1:38" ht="29.25" customHeight="1" x14ac:dyDescent="0.2">
      <c r="A21" s="30">
        <f t="shared" si="0"/>
        <v>35</v>
      </c>
      <c r="B21" s="31">
        <f t="shared" si="1"/>
        <v>43690</v>
      </c>
      <c r="C21" s="49">
        <f t="shared" si="2"/>
        <v>-1.4520999999945161</v>
      </c>
      <c r="D21" s="49">
        <f t="shared" si="3"/>
        <v>2.5230210000000142</v>
      </c>
      <c r="E21" s="49">
        <f t="shared" si="4"/>
        <v>-1.7500000000012506</v>
      </c>
      <c r="F21" s="49">
        <f>SQRT(C21*C21+D21*D21+E21*E21)</f>
        <v>3.3965761255166242</v>
      </c>
      <c r="G21" s="50">
        <f t="shared" si="6"/>
        <v>-3.9921000000049389</v>
      </c>
      <c r="H21" s="50">
        <f t="shared" si="7"/>
        <v>2.8637590000000213</v>
      </c>
      <c r="I21" s="50">
        <f t="shared" si="8"/>
        <v>-3.7499999999965894</v>
      </c>
      <c r="J21" s="49">
        <f>SQRT(G21*G21+H21*H21+I21*I21)</f>
        <v>6.1806535269415468</v>
      </c>
      <c r="K21" s="49">
        <f t="shared" si="10"/>
        <v>-2.0106999999995878</v>
      </c>
      <c r="L21" s="49">
        <f t="shared" si="11"/>
        <v>2.2000240000000226</v>
      </c>
      <c r="M21" s="50">
        <f t="shared" si="12"/>
        <v>-3.7999999999982492</v>
      </c>
      <c r="N21" s="49">
        <f>SQRT(K21*K21+L21*L21+M21*M21)</f>
        <v>4.8293912753639185</v>
      </c>
      <c r="O21" s="50">
        <f t="shared" si="14"/>
        <v>-3.2812000000035368</v>
      </c>
      <c r="P21" s="50">
        <f t="shared" si="15"/>
        <v>2.9013639999999619</v>
      </c>
      <c r="Q21" s="50">
        <f t="shared" si="16"/>
        <v>-2.9499999999984539</v>
      </c>
      <c r="R21" s="49">
        <f>SQRT(O21*O21+P21*P21+Q21*Q21)</f>
        <v>5.2807846481853309</v>
      </c>
      <c r="S21" s="50">
        <f t="shared" si="18"/>
        <v>-0.92029999998999301</v>
      </c>
      <c r="T21" s="50">
        <f t="shared" si="19"/>
        <v>0.74537100000027223</v>
      </c>
      <c r="U21" s="50">
        <f t="shared" si="20"/>
        <v>-0.65000000000736691</v>
      </c>
      <c r="V21" s="49">
        <f>SQRT(S21*S21+T21*T21+U21*U21)</f>
        <v>1.3509367185892032</v>
      </c>
      <c r="W21" s="25"/>
      <c r="AJ21" s="80">
        <v>43706</v>
      </c>
      <c r="AK21">
        <v>51</v>
      </c>
      <c r="AL21">
        <f t="shared" si="22"/>
        <v>8.1202740135854157</v>
      </c>
    </row>
    <row r="22" spans="1:38" ht="29.25" customHeight="1" x14ac:dyDescent="0.2">
      <c r="A22" s="30">
        <f t="shared" si="0"/>
        <v>41</v>
      </c>
      <c r="B22" s="31">
        <f t="shared" si="1"/>
        <v>43696</v>
      </c>
      <c r="C22" s="49">
        <f t="shared" si="2"/>
        <v>-1.5999999999962711</v>
      </c>
      <c r="D22" s="49">
        <f t="shared" si="3"/>
        <v>0.50000000000016698</v>
      </c>
      <c r="E22" s="49">
        <f t="shared" si="4"/>
        <v>-1.8500000000045702</v>
      </c>
      <c r="F22" s="49">
        <f t="shared" ref="F22:F25" si="23">SQRT(C22*C22+D22*D22+E22*E22)</f>
        <v>2.4964975465650161</v>
      </c>
      <c r="G22" s="50">
        <f t="shared" si="6"/>
        <v>-3.1000000000176442</v>
      </c>
      <c r="H22" s="50">
        <f t="shared" si="7"/>
        <v>1.1000000000001009</v>
      </c>
      <c r="I22" s="50">
        <f t="shared" si="8"/>
        <v>-4.1499999999956572</v>
      </c>
      <c r="J22" s="49">
        <f t="shared" ref="J22:J25" si="24">SQRT(G22*G22+H22*H22+I22*I22)</f>
        <v>5.2955169719370714</v>
      </c>
      <c r="K22" s="49">
        <f t="shared" si="10"/>
        <v>-1.5999999999962711</v>
      </c>
      <c r="L22" s="49">
        <f t="shared" si="11"/>
        <v>0.40000000000001146</v>
      </c>
      <c r="M22" s="50">
        <f t="shared" si="12"/>
        <v>-4.4000000000039563</v>
      </c>
      <c r="N22" s="49">
        <f t="shared" ref="N22:N25" si="25">SQRT(K22*K22+L22*L22+M22*M22)</f>
        <v>4.6989360497907278</v>
      </c>
      <c r="O22" s="50">
        <f t="shared" si="14"/>
        <v>-2.299999999991087</v>
      </c>
      <c r="P22" s="50">
        <f t="shared" si="15"/>
        <v>1.3999999999998458</v>
      </c>
      <c r="Q22" s="50">
        <f t="shared" si="16"/>
        <v>-3.249999999994202</v>
      </c>
      <c r="R22" s="49">
        <f t="shared" ref="R22:R25" si="26">SQRT(O22*O22+P22*P22+Q22*Q22)</f>
        <v>4.2204857540241596</v>
      </c>
      <c r="S22" s="50">
        <f t="shared" si="18"/>
        <v>0.20000000000663931</v>
      </c>
      <c r="T22" s="50">
        <f t="shared" si="19"/>
        <v>-1.1999999999998678</v>
      </c>
      <c r="U22" s="50">
        <f t="shared" si="20"/>
        <v>-0.35000000001161879</v>
      </c>
      <c r="V22" s="49">
        <f t="shared" ref="V22:V25" si="27">SQRT(S22*S22+T22*T22+U22*U22)</f>
        <v>1.2658988901213524</v>
      </c>
      <c r="W22" s="25"/>
      <c r="AJ22" s="80">
        <v>43711</v>
      </c>
      <c r="AK22">
        <v>56</v>
      </c>
      <c r="AL22">
        <f t="shared" si="22"/>
        <v>8.6616663001553622</v>
      </c>
    </row>
    <row r="23" spans="1:38" ht="29.25" customHeight="1" x14ac:dyDescent="0.2">
      <c r="A23" s="30">
        <f t="shared" si="0"/>
        <v>44</v>
      </c>
      <c r="B23" s="31">
        <f t="shared" si="1"/>
        <v>43699</v>
      </c>
      <c r="C23" s="49">
        <f t="shared" si="2"/>
        <v>-1.90000000000623</v>
      </c>
      <c r="D23" s="49">
        <f t="shared" si="3"/>
        <v>0.70000000000014495</v>
      </c>
      <c r="E23" s="49">
        <f t="shared" si="4"/>
        <v>-2.3500000000069576</v>
      </c>
      <c r="F23" s="49">
        <f t="shared" si="23"/>
        <v>3.1020154738583394</v>
      </c>
      <c r="G23" s="50">
        <f t="shared" si="6"/>
        <v>-3.6000000000058208</v>
      </c>
      <c r="H23" s="50">
        <f t="shared" si="7"/>
        <v>1.4000000000000679</v>
      </c>
      <c r="I23" s="50">
        <f t="shared" si="8"/>
        <v>-4.9499999999937927</v>
      </c>
      <c r="J23" s="49">
        <f t="shared" si="24"/>
        <v>6.2787339488132989</v>
      </c>
      <c r="K23" s="49">
        <f t="shared" si="10"/>
        <v>-1.90000000000623</v>
      </c>
      <c r="L23" s="49">
        <f t="shared" si="11"/>
        <v>0.69999999999997842</v>
      </c>
      <c r="M23" s="50">
        <f t="shared" si="12"/>
        <v>-4.9000000000063437</v>
      </c>
      <c r="N23" s="49">
        <f t="shared" si="25"/>
        <v>5.301886456732718</v>
      </c>
      <c r="O23" s="50">
        <f t="shared" si="14"/>
        <v>-2.7000000000043656</v>
      </c>
      <c r="P23" s="50">
        <f t="shared" si="15"/>
        <v>1.4999999999998348</v>
      </c>
      <c r="Q23" s="50">
        <f t="shared" si="16"/>
        <v>-3.9500000000032287</v>
      </c>
      <c r="R23" s="49">
        <f t="shared" si="26"/>
        <v>5.0142297514223042</v>
      </c>
      <c r="S23" s="50">
        <f t="shared" si="18"/>
        <v>0.10000000000331966</v>
      </c>
      <c r="T23" s="50">
        <f t="shared" si="19"/>
        <v>-0.99999999999988987</v>
      </c>
      <c r="U23" s="50">
        <f t="shared" si="20"/>
        <v>-0.75000000001068656</v>
      </c>
      <c r="V23" s="49">
        <f t="shared" si="27"/>
        <v>1.2539936204050137</v>
      </c>
      <c r="W23" s="25"/>
      <c r="AJ23" s="80">
        <v>43713</v>
      </c>
      <c r="AK23">
        <v>58</v>
      </c>
      <c r="AL23">
        <f t="shared" si="22"/>
        <v>8.8702301306700235</v>
      </c>
    </row>
    <row r="24" spans="1:38" ht="29.25" customHeight="1" x14ac:dyDescent="0.2">
      <c r="A24" s="30">
        <f t="shared" si="0"/>
        <v>48</v>
      </c>
      <c r="B24" s="31">
        <f t="shared" si="1"/>
        <v>43703</v>
      </c>
      <c r="C24" s="49">
        <f t="shared" si="2"/>
        <v>-3.0000000000143245</v>
      </c>
      <c r="D24" s="49">
        <f t="shared" si="3"/>
        <v>1.7000000000000348</v>
      </c>
      <c r="E24" s="49">
        <f t="shared" si="4"/>
        <v>-2.6500000000027057</v>
      </c>
      <c r="F24" s="49">
        <f t="shared" si="23"/>
        <v>4.3488504228244507</v>
      </c>
      <c r="G24" s="50">
        <f t="shared" si="6"/>
        <v>-4.7000000000139153</v>
      </c>
      <c r="H24" s="50">
        <f t="shared" si="7"/>
        <v>2.5000000000001688</v>
      </c>
      <c r="I24" s="50">
        <f t="shared" si="8"/>
        <v>-5.4499999999961801</v>
      </c>
      <c r="J24" s="49">
        <f t="shared" si="24"/>
        <v>7.618562856608194</v>
      </c>
      <c r="K24" s="49">
        <f t="shared" si="10"/>
        <v>-2.9000000000110049</v>
      </c>
      <c r="L24" s="49">
        <f t="shared" si="11"/>
        <v>1.8000000000000238</v>
      </c>
      <c r="M24" s="50">
        <f t="shared" si="12"/>
        <v>-5.49999999999784</v>
      </c>
      <c r="N24" s="49">
        <f t="shared" si="25"/>
        <v>6.4730209330760049</v>
      </c>
      <c r="O24" s="50">
        <f t="shared" si="14"/>
        <v>-4.199999999997317</v>
      </c>
      <c r="P24" s="50">
        <f t="shared" si="15"/>
        <v>2.7999999999999137</v>
      </c>
      <c r="Q24" s="50">
        <f t="shared" si="16"/>
        <v>-4.4499999999914053</v>
      </c>
      <c r="R24" s="49">
        <f t="shared" si="26"/>
        <v>6.7292272959011044</v>
      </c>
      <c r="S24" s="50">
        <f t="shared" si="18"/>
        <v>-1.1000000000080945</v>
      </c>
      <c r="T24" s="50">
        <f t="shared" si="19"/>
        <v>0</v>
      </c>
      <c r="U24" s="50">
        <f t="shared" si="20"/>
        <v>-0.84999999999979536</v>
      </c>
      <c r="V24" s="49">
        <f t="shared" si="27"/>
        <v>1.3901438774520642</v>
      </c>
      <c r="W24" s="25"/>
      <c r="AJ24" s="80">
        <v>43717</v>
      </c>
      <c r="AK24">
        <v>62</v>
      </c>
      <c r="AL24">
        <f>$AG$12*(1-($AG$13/(AK24+$AG$13))^$AG$14)</f>
        <v>9.2745645943002888</v>
      </c>
    </row>
    <row r="25" spans="1:38" ht="29.25" customHeight="1" x14ac:dyDescent="0.2">
      <c r="A25" s="30">
        <f t="shared" si="0"/>
        <v>51</v>
      </c>
      <c r="B25" s="31">
        <f t="shared" si="1"/>
        <v>43706</v>
      </c>
      <c r="C25" s="49">
        <f t="shared" si="2"/>
        <v>-3.1999999999925421</v>
      </c>
      <c r="D25" s="49">
        <f t="shared" si="3"/>
        <v>1.5000000000000568</v>
      </c>
      <c r="E25" s="49">
        <f t="shared" si="4"/>
        <v>-3.0500000000017735</v>
      </c>
      <c r="F25" s="49">
        <f t="shared" si="23"/>
        <v>4.6682437811197541</v>
      </c>
      <c r="G25" s="50">
        <f t="shared" si="6"/>
        <v>-4.8000000000172349</v>
      </c>
      <c r="H25" s="50">
        <f t="shared" si="7"/>
        <v>2.5000000000001688</v>
      </c>
      <c r="I25" s="50">
        <f t="shared" si="8"/>
        <v>-5.8499999999952479</v>
      </c>
      <c r="J25" s="49">
        <f t="shared" si="24"/>
        <v>7.9694730064233674</v>
      </c>
      <c r="K25" s="49">
        <f t="shared" si="10"/>
        <v>-2.9000000000110049</v>
      </c>
      <c r="L25" s="49">
        <f t="shared" si="11"/>
        <v>1.6999999999999793</v>
      </c>
      <c r="M25" s="50">
        <f t="shared" si="12"/>
        <v>-5.8999999999969077</v>
      </c>
      <c r="N25" s="49">
        <f t="shared" si="25"/>
        <v>6.7904344485479919</v>
      </c>
      <c r="O25" s="50">
        <f t="shared" si="14"/>
        <v>-3.899999999987358</v>
      </c>
      <c r="P25" s="50">
        <f t="shared" si="15"/>
        <v>2.6999999999999247</v>
      </c>
      <c r="Q25" s="50">
        <f t="shared" si="16"/>
        <v>-4.7500000000013642</v>
      </c>
      <c r="R25" s="49">
        <f t="shared" si="26"/>
        <v>6.7128607910423668</v>
      </c>
      <c r="S25" s="50">
        <f t="shared" si="18"/>
        <v>-0.90000000000145519</v>
      </c>
      <c r="T25" s="50">
        <f t="shared" si="19"/>
        <v>-0.19999999999997797</v>
      </c>
      <c r="U25" s="50">
        <f t="shared" si="20"/>
        <v>-0.95000000000311502</v>
      </c>
      <c r="V25" s="49">
        <f t="shared" si="27"/>
        <v>1.3238202294905941</v>
      </c>
      <c r="W25" s="25"/>
      <c r="AJ25" s="80">
        <v>43720</v>
      </c>
      <c r="AK25">
        <v>65</v>
      </c>
      <c r="AL25">
        <f t="shared" ref="AL25:AL88" si="28">$AG$12*(1-($AG$13/(AK25+$AG$13))^$AG$14)</f>
        <v>9.5672145603780052</v>
      </c>
    </row>
    <row r="26" spans="1:38" ht="29.25" customHeight="1" x14ac:dyDescent="0.2">
      <c r="A26" s="30">
        <f t="shared" si="0"/>
        <v>55</v>
      </c>
      <c r="B26" s="31">
        <f t="shared" si="1"/>
        <v>43710</v>
      </c>
      <c r="C26" s="49">
        <f t="shared" si="2"/>
        <v>-3.1999999999925421</v>
      </c>
      <c r="D26" s="49">
        <f t="shared" si="3"/>
        <v>1.3000000000000789</v>
      </c>
      <c r="E26" s="49">
        <f t="shared" si="4"/>
        <v>-3.1500000000050932</v>
      </c>
      <c r="F26" s="49">
        <f t="shared" ref="F26:F27" si="29">SQRT(C26*C26+D26*D26+E26*E26)</f>
        <v>4.6746657634513893</v>
      </c>
      <c r="G26" s="50">
        <f t="shared" si="6"/>
        <v>-4.9000000000205546</v>
      </c>
      <c r="H26" s="50">
        <f t="shared" si="7"/>
        <v>2.4000000000001798</v>
      </c>
      <c r="I26" s="50">
        <f t="shared" si="8"/>
        <v>-6.450000000000955</v>
      </c>
      <c r="J26" s="49">
        <f t="shared" ref="J26:J27" si="30">SQRT(G26*G26+H26*H26+I26*I26)</f>
        <v>8.4482246655859363</v>
      </c>
      <c r="K26" s="49">
        <f t="shared" si="10"/>
        <v>-3.2999999999958618</v>
      </c>
      <c r="L26" s="49">
        <f t="shared" si="11"/>
        <v>1.5999999999999903</v>
      </c>
      <c r="M26" s="50">
        <f t="shared" si="12"/>
        <v>-6.3999999999992951</v>
      </c>
      <c r="N26" s="49">
        <f t="shared" ref="N26:N27" si="31">SQRT(K26*K26+L26*L26+M26*M26)</f>
        <v>7.3763134423615453</v>
      </c>
      <c r="O26" s="50">
        <f t="shared" si="14"/>
        <v>-3.9999999999906777</v>
      </c>
      <c r="P26" s="50">
        <f t="shared" si="15"/>
        <v>2.6999999999999247</v>
      </c>
      <c r="Q26" s="50">
        <f t="shared" si="16"/>
        <v>-4.9499999999937927</v>
      </c>
      <c r="R26" s="49">
        <f t="shared" ref="R26:R27" si="32">SQRT(O26*O26+P26*P26+Q26*Q26)</f>
        <v>6.9132119886391132</v>
      </c>
      <c r="S26" s="50">
        <f t="shared" si="18"/>
        <v>-1.0000000000047748</v>
      </c>
      <c r="T26" s="50">
        <f t="shared" si="19"/>
        <v>-0.49999999999972289</v>
      </c>
      <c r="U26" s="50">
        <f t="shared" si="20"/>
        <v>-1.0500000000064347</v>
      </c>
      <c r="V26" s="49">
        <f t="shared" ref="V26:V27" si="33">SQRT(S26*S26+T26*T26+U26*U26)</f>
        <v>1.5337861650252245</v>
      </c>
      <c r="W26" s="25"/>
      <c r="AJ26" s="80">
        <v>43725</v>
      </c>
      <c r="AK26">
        <v>70</v>
      </c>
      <c r="AL26">
        <f t="shared" si="28"/>
        <v>10.036149867333965</v>
      </c>
    </row>
    <row r="27" spans="1:38" ht="29.25" customHeight="1" x14ac:dyDescent="0.2">
      <c r="A27" s="30">
        <f t="shared" si="0"/>
        <v>58</v>
      </c>
      <c r="B27" s="31">
        <f t="shared" si="1"/>
        <v>43713</v>
      </c>
      <c r="C27" s="49">
        <f t="shared" si="2"/>
        <v>-3.6000000000058208</v>
      </c>
      <c r="D27" s="49">
        <f t="shared" si="3"/>
        <v>1.3000000000000789</v>
      </c>
      <c r="E27" s="49">
        <f t="shared" si="4"/>
        <v>-3.5500000000041609</v>
      </c>
      <c r="F27" s="49">
        <f t="shared" si="29"/>
        <v>5.2203927055415722</v>
      </c>
      <c r="G27" s="50">
        <f t="shared" si="6"/>
        <v>-5.5000000000120508</v>
      </c>
      <c r="H27" s="50">
        <f t="shared" si="7"/>
        <v>2.5000000000001688</v>
      </c>
      <c r="I27" s="50">
        <f t="shared" si="8"/>
        <v>-7.0499999999924512</v>
      </c>
      <c r="J27" s="49">
        <f t="shared" si="30"/>
        <v>9.2845301442790831</v>
      </c>
      <c r="K27" s="49">
        <f t="shared" si="10"/>
        <v>-3.5000000000025011</v>
      </c>
      <c r="L27" s="49">
        <f t="shared" si="11"/>
        <v>1.6999999999999793</v>
      </c>
      <c r="M27" s="50">
        <f t="shared" si="12"/>
        <v>-6.9000000000016826</v>
      </c>
      <c r="N27" s="49">
        <f t="shared" si="31"/>
        <v>7.9214897588799964</v>
      </c>
      <c r="O27" s="50">
        <f t="shared" si="14"/>
        <v>-4.0999999999939973</v>
      </c>
      <c r="P27" s="50">
        <f t="shared" si="15"/>
        <v>2.7999999999999137</v>
      </c>
      <c r="Q27" s="50">
        <f t="shared" si="16"/>
        <v>-5.4499999999961801</v>
      </c>
      <c r="R27" s="49">
        <f t="shared" si="32"/>
        <v>7.3724148011291835</v>
      </c>
      <c r="S27" s="50">
        <f t="shared" si="18"/>
        <v>-1.0000000000047748</v>
      </c>
      <c r="T27" s="50">
        <f t="shared" si="19"/>
        <v>-0.39999999999995595</v>
      </c>
      <c r="U27" s="50">
        <f t="shared" si="20"/>
        <v>-1.3500000000021828</v>
      </c>
      <c r="V27" s="49">
        <f t="shared" si="33"/>
        <v>1.7269916039215154</v>
      </c>
      <c r="W27" s="25"/>
      <c r="AJ27" s="80">
        <v>43731</v>
      </c>
      <c r="AK27">
        <v>76</v>
      </c>
      <c r="AL27">
        <f t="shared" si="28"/>
        <v>10.57019970958445</v>
      </c>
    </row>
    <row r="28" spans="1:38" ht="29.25" customHeight="1" x14ac:dyDescent="0.2">
      <c r="A28" s="30">
        <f t="shared" si="0"/>
        <v>63</v>
      </c>
      <c r="B28" s="31">
        <f t="shared" si="1"/>
        <v>43718</v>
      </c>
      <c r="C28" s="49">
        <f t="shared" si="2"/>
        <v>-3.4520387476675296</v>
      </c>
      <c r="D28" s="49">
        <f t="shared" si="3"/>
        <v>1.3696632158577415</v>
      </c>
      <c r="E28" s="49">
        <f t="shared" si="4"/>
        <v>-3.4500000000008413</v>
      </c>
      <c r="F28" s="49">
        <f t="shared" ref="F28:F34" si="34">SQRT(C28*C28+D28*D28+E28*E28)</f>
        <v>5.0690283921356745</v>
      </c>
      <c r="G28" s="50">
        <f t="shared" si="6"/>
        <v>-5.0674402060622015</v>
      </c>
      <c r="H28" s="50">
        <f t="shared" si="7"/>
        <v>2.8036237832764765</v>
      </c>
      <c r="I28" s="50">
        <f t="shared" si="8"/>
        <v>-6.7499999999967031</v>
      </c>
      <c r="J28" s="49">
        <f t="shared" ref="J28:J34" si="35">SQRT(G28*G28+H28*H28+I28*I28)</f>
        <v>8.8939168289412702</v>
      </c>
      <c r="K28" s="49">
        <f t="shared" si="10"/>
        <v>-3.0860804203314274</v>
      </c>
      <c r="L28" s="49">
        <f t="shared" si="11"/>
        <v>2.1398890533373405</v>
      </c>
      <c r="M28" s="50">
        <f t="shared" si="12"/>
        <v>-6.6000000000059345</v>
      </c>
      <c r="N28" s="49">
        <f t="shared" ref="N28:N34" si="36">SQRT(K28*K28+L28*L28+M28*M28)</f>
        <v>7.5936168932481909</v>
      </c>
      <c r="O28" s="50">
        <f t="shared" si="14"/>
        <v>-4.253721926744447</v>
      </c>
      <c r="P28" s="50">
        <f t="shared" si="15"/>
        <v>3.3305409271253694</v>
      </c>
      <c r="Q28" s="50">
        <f t="shared" si="16"/>
        <v>-5.4499999999961801</v>
      </c>
      <c r="R28" s="49">
        <f t="shared" ref="R28:R34" si="37">SQRT(O28*O28+P28*P28+Q28*Q28)</f>
        <v>7.6739268368470892</v>
      </c>
      <c r="S28" s="50">
        <f t="shared" si="18"/>
        <v>-0.84795030460327325</v>
      </c>
      <c r="T28" s="50">
        <f t="shared" si="19"/>
        <v>0.11706527372989939</v>
      </c>
      <c r="U28" s="50">
        <f t="shared" si="20"/>
        <v>-0.75000000001068656</v>
      </c>
      <c r="V28" s="49">
        <f t="shared" ref="V28:V34" si="38">SQRT(S28*S28+T28*T28+U28*U28)</f>
        <v>1.1380790822285902</v>
      </c>
      <c r="W28" s="25"/>
      <c r="AJ28" s="80">
        <v>43735</v>
      </c>
      <c r="AK28">
        <v>80</v>
      </c>
      <c r="AL28">
        <f t="shared" si="28"/>
        <v>10.910237566651199</v>
      </c>
    </row>
    <row r="29" spans="1:38" ht="29.25" customHeight="1" x14ac:dyDescent="0.2">
      <c r="A29" s="30">
        <f t="shared" si="0"/>
        <v>65</v>
      </c>
      <c r="B29" s="31">
        <f t="shared" si="1"/>
        <v>43720</v>
      </c>
      <c r="C29" s="49">
        <f t="shared" si="2"/>
        <v>-3.8000000000124601</v>
      </c>
      <c r="D29" s="49">
        <f t="shared" si="3"/>
        <v>1.1000000000001009</v>
      </c>
      <c r="E29" s="49">
        <f t="shared" si="4"/>
        <v>-3.2500000000084128</v>
      </c>
      <c r="F29" s="49">
        <f t="shared" si="34"/>
        <v>5.1198144497774143</v>
      </c>
      <c r="G29" s="50">
        <f t="shared" si="6"/>
        <v>-5.5000000000120508</v>
      </c>
      <c r="H29" s="50">
        <f t="shared" si="7"/>
        <v>2.7000000000001467</v>
      </c>
      <c r="I29" s="50">
        <f t="shared" si="8"/>
        <v>-6.8500000000000227</v>
      </c>
      <c r="J29" s="49">
        <f t="shared" si="35"/>
        <v>9.1903481979810575</v>
      </c>
      <c r="K29" s="49">
        <f t="shared" si="10"/>
        <v>-3.2999999999958618</v>
      </c>
      <c r="L29" s="49">
        <f t="shared" si="11"/>
        <v>1.9000000000000128</v>
      </c>
      <c r="M29" s="50">
        <f t="shared" si="12"/>
        <v>-6.5000000000026148</v>
      </c>
      <c r="N29" s="49">
        <f t="shared" si="36"/>
        <v>7.5332595866601286</v>
      </c>
      <c r="O29" s="50">
        <f t="shared" si="14"/>
        <v>-4.0999999999939973</v>
      </c>
      <c r="P29" s="50">
        <f t="shared" si="15"/>
        <v>3.2999999999998586</v>
      </c>
      <c r="Q29" s="50">
        <f t="shared" si="16"/>
        <v>-5.150000000000432</v>
      </c>
      <c r="R29" s="49">
        <f t="shared" si="37"/>
        <v>7.3635928730446727</v>
      </c>
      <c r="S29" s="50">
        <f t="shared" si="18"/>
        <v>-0.79999999999813554</v>
      </c>
      <c r="T29" s="50">
        <f t="shared" si="19"/>
        <v>-9.9999999999766942E-2</v>
      </c>
      <c r="U29" s="50">
        <f t="shared" si="20"/>
        <v>-0.4500000000007276</v>
      </c>
      <c r="V29" s="49">
        <f t="shared" si="38"/>
        <v>0.9233092656296833</v>
      </c>
      <c r="W29" s="25"/>
      <c r="AJ29" s="80">
        <v>43738</v>
      </c>
      <c r="AK29">
        <v>83</v>
      </c>
      <c r="AL29">
        <f t="shared" si="28"/>
        <v>11.157434014466896</v>
      </c>
    </row>
    <row r="30" spans="1:38" ht="29.25" customHeight="1" x14ac:dyDescent="0.2">
      <c r="A30" s="30">
        <f t="shared" si="0"/>
        <v>69</v>
      </c>
      <c r="B30" s="31">
        <f t="shared" si="1"/>
        <v>43724</v>
      </c>
      <c r="C30" s="49">
        <f t="shared" si="2"/>
        <v>-4.0999999999939973</v>
      </c>
      <c r="D30" s="49">
        <f t="shared" si="3"/>
        <v>0.300000000000189</v>
      </c>
      <c r="E30" s="49">
        <f t="shared" si="4"/>
        <v>-4.0500000000065484</v>
      </c>
      <c r="F30" s="49">
        <f t="shared" si="34"/>
        <v>5.7708318291216845</v>
      </c>
      <c r="G30" s="50">
        <f t="shared" si="6"/>
        <v>-5.8000000000220098</v>
      </c>
      <c r="H30" s="50">
        <f t="shared" si="7"/>
        <v>2.3000000000001908</v>
      </c>
      <c r="I30" s="50">
        <f t="shared" si="8"/>
        <v>-7.8499999999905867</v>
      </c>
      <c r="J30" s="49">
        <f t="shared" si="35"/>
        <v>10.027586948020367</v>
      </c>
      <c r="K30" s="49">
        <f t="shared" si="10"/>
        <v>-3.7000000000091404</v>
      </c>
      <c r="L30" s="49">
        <f t="shared" si="11"/>
        <v>1.5999999999999903</v>
      </c>
      <c r="M30" s="50">
        <f t="shared" si="12"/>
        <v>-7.5999999999964984</v>
      </c>
      <c r="N30" s="49">
        <f t="shared" si="36"/>
        <v>8.6029064856020838</v>
      </c>
      <c r="O30" s="50">
        <f t="shared" si="14"/>
        <v>-4.5999999999821739</v>
      </c>
      <c r="P30" s="50">
        <f t="shared" si="15"/>
        <v>2.8999999999999027</v>
      </c>
      <c r="Q30" s="50">
        <f t="shared" si="16"/>
        <v>-6.0500000000018872</v>
      </c>
      <c r="R30" s="49">
        <f t="shared" si="37"/>
        <v>8.1346481177650372</v>
      </c>
      <c r="S30" s="50">
        <f t="shared" si="18"/>
        <v>-1.2000000000114142</v>
      </c>
      <c r="T30" s="50">
        <f t="shared" si="19"/>
        <v>-0.59999999999993392</v>
      </c>
      <c r="U30" s="50">
        <f t="shared" si="20"/>
        <v>-1.1500000000097543</v>
      </c>
      <c r="V30" s="49">
        <f t="shared" si="38"/>
        <v>1.7670597047213064</v>
      </c>
      <c r="W30" s="25"/>
      <c r="AJ30" s="80">
        <v>43740</v>
      </c>
      <c r="AK30">
        <v>85</v>
      </c>
      <c r="AL30">
        <f t="shared" si="28"/>
        <v>11.318673258030019</v>
      </c>
    </row>
    <row r="31" spans="1:38" ht="29.25" customHeight="1" x14ac:dyDescent="0.2">
      <c r="A31" s="30">
        <f t="shared" si="0"/>
        <v>72</v>
      </c>
      <c r="B31" s="31">
        <f t="shared" si="1"/>
        <v>43727</v>
      </c>
      <c r="C31" s="49">
        <f t="shared" si="2"/>
        <v>-3.7000000000091404</v>
      </c>
      <c r="D31" s="49">
        <f t="shared" si="3"/>
        <v>1.2000000000003119</v>
      </c>
      <c r="E31" s="49">
        <f t="shared" si="4"/>
        <v>-4.4500000000056161</v>
      </c>
      <c r="F31" s="49">
        <f t="shared" si="34"/>
        <v>5.9103722387103819</v>
      </c>
      <c r="G31" s="50">
        <f t="shared" si="6"/>
        <v>-5.6000000000153705</v>
      </c>
      <c r="H31" s="50">
        <f t="shared" si="7"/>
        <v>3.0000000000001137</v>
      </c>
      <c r="I31" s="50">
        <f t="shared" si="8"/>
        <v>-8.3499999999929742</v>
      </c>
      <c r="J31" s="49">
        <f t="shared" si="35"/>
        <v>10.492020777717489</v>
      </c>
      <c r="K31" s="49">
        <f t="shared" si="10"/>
        <v>-3.2999999999958618</v>
      </c>
      <c r="L31" s="49">
        <f t="shared" si="11"/>
        <v>2.3000000000000242</v>
      </c>
      <c r="M31" s="50">
        <f t="shared" si="12"/>
        <v>-7.9999999999955662</v>
      </c>
      <c r="N31" s="49">
        <f t="shared" si="36"/>
        <v>8.9543285622039726</v>
      </c>
      <c r="O31" s="50">
        <f t="shared" si="14"/>
        <v>-4.0999999999939973</v>
      </c>
      <c r="P31" s="50">
        <f t="shared" si="15"/>
        <v>3.7000000000000366</v>
      </c>
      <c r="Q31" s="50">
        <f t="shared" si="16"/>
        <v>-6.2499999999943157</v>
      </c>
      <c r="R31" s="49">
        <f t="shared" si="37"/>
        <v>8.3404136587989441</v>
      </c>
      <c r="S31" s="50">
        <f t="shared" si="18"/>
        <v>-0.20000000000663931</v>
      </c>
      <c r="T31" s="50">
        <f t="shared" si="19"/>
        <v>0.40000000000040004</v>
      </c>
      <c r="U31" s="50">
        <f t="shared" si="20"/>
        <v>-1.1500000000097543</v>
      </c>
      <c r="V31" s="49">
        <f t="shared" si="38"/>
        <v>1.2338962679356036</v>
      </c>
      <c r="W31" s="25"/>
      <c r="Z31" t="s">
        <v>69</v>
      </c>
      <c r="AJ31" s="80">
        <v>43741</v>
      </c>
      <c r="AK31">
        <v>86</v>
      </c>
      <c r="AL31">
        <f t="shared" si="28"/>
        <v>11.398257723165294</v>
      </c>
    </row>
    <row r="32" spans="1:38" ht="29.25" customHeight="1" x14ac:dyDescent="0.2">
      <c r="A32" s="30">
        <f t="shared" si="0"/>
        <v>76</v>
      </c>
      <c r="B32" s="31">
        <f t="shared" si="1"/>
        <v>43731</v>
      </c>
      <c r="C32" s="49">
        <f t="shared" si="2"/>
        <v>-5.2000000000020918</v>
      </c>
      <c r="D32" s="49">
        <f t="shared" si="3"/>
        <v>0.40000000000040004</v>
      </c>
      <c r="E32" s="49">
        <f t="shared" si="4"/>
        <v>-4.3500000000022965</v>
      </c>
      <c r="F32" s="49">
        <f t="shared" si="34"/>
        <v>6.7913547985686957</v>
      </c>
      <c r="G32" s="50">
        <f t="shared" si="6"/>
        <v>-6.700000000023465</v>
      </c>
      <c r="H32" s="50">
        <f t="shared" si="7"/>
        <v>2.4000000000001798</v>
      </c>
      <c r="I32" s="50">
        <f t="shared" si="8"/>
        <v>-8.7499999999920419</v>
      </c>
      <c r="J32" s="49">
        <f t="shared" si="35"/>
        <v>11.278851891933684</v>
      </c>
      <c r="K32" s="49">
        <f t="shared" si="10"/>
        <v>-4.6000000000105956</v>
      </c>
      <c r="L32" s="49">
        <f t="shared" si="11"/>
        <v>1.3000000000000234</v>
      </c>
      <c r="M32" s="50">
        <f t="shared" si="12"/>
        <v>-8.3000000000055252</v>
      </c>
      <c r="N32" s="49">
        <f t="shared" si="36"/>
        <v>9.578100020368824</v>
      </c>
      <c r="O32" s="50">
        <f t="shared" si="14"/>
        <v>-5.4999999999836291</v>
      </c>
      <c r="P32" s="50">
        <f t="shared" si="15"/>
        <v>3.0999999999998806</v>
      </c>
      <c r="Q32" s="50">
        <f t="shared" si="16"/>
        <v>-6.6499999999933834</v>
      </c>
      <c r="R32" s="49">
        <f t="shared" si="37"/>
        <v>9.1696510293320976</v>
      </c>
      <c r="S32" s="50">
        <f t="shared" si="18"/>
        <v>-1.90000000000623</v>
      </c>
      <c r="T32" s="50">
        <f t="shared" si="19"/>
        <v>-0.79999999999991189</v>
      </c>
      <c r="U32" s="50">
        <f t="shared" si="20"/>
        <v>-1.1500000000097543</v>
      </c>
      <c r="V32" s="49">
        <f t="shared" si="38"/>
        <v>2.3606143268323119</v>
      </c>
      <c r="W32" s="25"/>
      <c r="Z32" s="80">
        <f>+[1]PM170!$Y$41+AA32</f>
        <v>43655</v>
      </c>
      <c r="AA32">
        <v>0</v>
      </c>
      <c r="AB32">
        <f>AB33</f>
        <v>30.002649597748196</v>
      </c>
      <c r="AJ32" s="80">
        <v>43745</v>
      </c>
      <c r="AK32">
        <v>90</v>
      </c>
      <c r="AL32">
        <f t="shared" si="28"/>
        <v>11.709932866914428</v>
      </c>
    </row>
    <row r="33" spans="1:38" ht="29.25" customHeight="1" x14ac:dyDescent="0.2">
      <c r="A33" s="30">
        <f t="shared" si="0"/>
        <v>79</v>
      </c>
      <c r="B33" s="31">
        <f t="shared" si="1"/>
        <v>43734</v>
      </c>
      <c r="C33" s="49">
        <f t="shared" si="2"/>
        <v>-4.7000000000139153</v>
      </c>
      <c r="D33" s="49">
        <f t="shared" si="3"/>
        <v>0.300000000000189</v>
      </c>
      <c r="E33" s="49">
        <f t="shared" si="4"/>
        <v>-4.6499999999980446</v>
      </c>
      <c r="F33" s="49">
        <f t="shared" si="34"/>
        <v>6.6183457147623175</v>
      </c>
      <c r="G33" s="50">
        <f t="shared" si="6"/>
        <v>-6.5000000000168257</v>
      </c>
      <c r="H33" s="50">
        <f t="shared" si="7"/>
        <v>2.6000000000001577</v>
      </c>
      <c r="I33" s="50">
        <f t="shared" si="8"/>
        <v>-8.9499999999986812</v>
      </c>
      <c r="J33" s="49">
        <f t="shared" si="35"/>
        <v>11.362768148659725</v>
      </c>
      <c r="K33" s="49">
        <f t="shared" si="10"/>
        <v>-4.199999999997317</v>
      </c>
      <c r="L33" s="49">
        <f t="shared" si="11"/>
        <v>1.5999999999999903</v>
      </c>
      <c r="M33" s="50">
        <f t="shared" si="12"/>
        <v>-8.399999999994634</v>
      </c>
      <c r="N33" s="49">
        <f t="shared" si="36"/>
        <v>9.5268042910457282</v>
      </c>
      <c r="O33" s="50">
        <f t="shared" si="14"/>
        <v>-5.2000000000020918</v>
      </c>
      <c r="P33" s="50">
        <f t="shared" si="15"/>
        <v>2.9999999999998916</v>
      </c>
      <c r="Q33" s="50">
        <f t="shared" si="16"/>
        <v>-7.0499999999924512</v>
      </c>
      <c r="R33" s="49">
        <f t="shared" si="37"/>
        <v>9.2597246179308517</v>
      </c>
      <c r="S33" s="50">
        <f t="shared" si="18"/>
        <v>-1.5999999999962711</v>
      </c>
      <c r="T33" s="50">
        <f t="shared" si="19"/>
        <v>-0.69999999999970086</v>
      </c>
      <c r="U33" s="50">
        <f t="shared" si="20"/>
        <v>-1.250000000013074</v>
      </c>
      <c r="V33" s="49">
        <f t="shared" si="38"/>
        <v>2.1476731594961871</v>
      </c>
      <c r="W33" s="25"/>
      <c r="Z33" s="80">
        <f>AJ10+AA33</f>
        <v>44794</v>
      </c>
      <c r="AA33">
        <v>1139</v>
      </c>
      <c r="AB33">
        <f>$AG$12*(1-($AG$13/(AA33+$AG$13))^$AG$14)</f>
        <v>30.002649597748196</v>
      </c>
      <c r="AJ33" s="80">
        <v>43746</v>
      </c>
      <c r="AK33">
        <v>91</v>
      </c>
      <c r="AL33">
        <f t="shared" si="28"/>
        <v>11.786234891868922</v>
      </c>
    </row>
    <row r="34" spans="1:38" ht="29.25" customHeight="1" x14ac:dyDescent="0.2">
      <c r="A34" s="30">
        <f t="shared" si="0"/>
        <v>83</v>
      </c>
      <c r="B34" s="31">
        <f t="shared" si="1"/>
        <v>43738</v>
      </c>
      <c r="C34" s="49">
        <f t="shared" si="2"/>
        <v>-5.0833644081365037</v>
      </c>
      <c r="D34" s="49">
        <f t="shared" si="3"/>
        <v>0.60888961075011849</v>
      </c>
      <c r="E34" s="49">
        <f t="shared" si="4"/>
        <v>-4.5500000000089358</v>
      </c>
      <c r="F34" s="49">
        <f t="shared" si="34"/>
        <v>6.8493678733201167</v>
      </c>
      <c r="G34" s="50">
        <f t="shared" si="6"/>
        <v>-6.9039931065901783</v>
      </c>
      <c r="H34" s="50">
        <f t="shared" si="7"/>
        <v>2.7195197683571593</v>
      </c>
      <c r="I34" s="50">
        <f t="shared" si="8"/>
        <v>-8.8499999999953616</v>
      </c>
      <c r="J34" s="49">
        <f t="shared" si="35"/>
        <v>11.549173502300846</v>
      </c>
      <c r="K34" s="49">
        <f t="shared" si="10"/>
        <v>-4.5662151851786348</v>
      </c>
      <c r="L34" s="49">
        <f t="shared" si="11"/>
        <v>2.0013221481431365</v>
      </c>
      <c r="M34" s="50">
        <f t="shared" si="12"/>
        <v>-8.4999999999979536</v>
      </c>
      <c r="N34" s="49">
        <f t="shared" si="36"/>
        <v>9.8542179526317266</v>
      </c>
      <c r="O34" s="50">
        <f t="shared" si="14"/>
        <v>-5.1478163070726168</v>
      </c>
      <c r="P34" s="50">
        <f t="shared" si="15"/>
        <v>3.3549361890670149</v>
      </c>
      <c r="Q34" s="50">
        <f t="shared" si="16"/>
        <v>-6.7499999999967031</v>
      </c>
      <c r="R34" s="49">
        <f t="shared" si="37"/>
        <v>9.1278754134809343</v>
      </c>
      <c r="S34" s="50">
        <f t="shared" si="18"/>
        <v>-1.3555591319516225</v>
      </c>
      <c r="T34" s="50">
        <f t="shared" si="19"/>
        <v>-0.45067869768944391</v>
      </c>
      <c r="U34" s="50">
        <f t="shared" si="20"/>
        <v>-0.84999999999979536</v>
      </c>
      <c r="V34" s="49">
        <f t="shared" si="38"/>
        <v>1.6622730969272592</v>
      </c>
      <c r="W34" s="25"/>
      <c r="Z34" s="80">
        <v>44794</v>
      </c>
      <c r="AA34">
        <f>AA33</f>
        <v>1139</v>
      </c>
      <c r="AB34">
        <v>0</v>
      </c>
      <c r="AJ34" s="80">
        <v>43752</v>
      </c>
      <c r="AK34">
        <v>97</v>
      </c>
      <c r="AL34">
        <f t="shared" si="28"/>
        <v>12.23117357037942</v>
      </c>
    </row>
    <row r="35" spans="1:38" ht="29.25" customHeight="1" x14ac:dyDescent="0.2">
      <c r="A35" s="30">
        <f t="shared" si="0"/>
        <v>86</v>
      </c>
      <c r="B35" s="31">
        <f t="shared" si="1"/>
        <v>43741</v>
      </c>
      <c r="C35" s="49">
        <f t="shared" si="2"/>
        <v>-4.9999999999954525</v>
      </c>
      <c r="D35" s="49">
        <f t="shared" si="3"/>
        <v>0.50000000000016698</v>
      </c>
      <c r="E35" s="49">
        <f t="shared" si="4"/>
        <v>-4.5500000000089358</v>
      </c>
      <c r="F35" s="49">
        <f t="shared" ref="F35" si="39">SQRT(C35*C35+D35*D35+E35*E35)</f>
        <v>6.7788273322187527</v>
      </c>
      <c r="G35" s="50">
        <f t="shared" si="6"/>
        <v>-7.3000000000149612</v>
      </c>
      <c r="H35" s="50">
        <f t="shared" si="7"/>
        <v>3.0000000000001137</v>
      </c>
      <c r="I35" s="50">
        <f t="shared" si="8"/>
        <v>-9.2499999999944293</v>
      </c>
      <c r="J35" s="49">
        <f t="shared" ref="J35" si="40">SQRT(G35*G35+H35*H35+I35*I35)</f>
        <v>12.15946133675814</v>
      </c>
      <c r="K35" s="49">
        <f t="shared" si="10"/>
        <v>-4.500000000007276</v>
      </c>
      <c r="L35" s="49">
        <f t="shared" si="11"/>
        <v>2.0999999999999908</v>
      </c>
      <c r="M35" s="50">
        <f t="shared" si="12"/>
        <v>-8.4999999999979536</v>
      </c>
      <c r="N35" s="49">
        <f t="shared" ref="N35" si="41">SQRT(K35*K35+L35*L35+M35*M35)</f>
        <v>9.8442876837296183</v>
      </c>
      <c r="O35" s="50">
        <f t="shared" si="14"/>
        <v>-5.5999999999869488</v>
      </c>
      <c r="P35" s="50">
        <f t="shared" si="15"/>
        <v>3.6000000000000476</v>
      </c>
      <c r="Q35" s="50">
        <f t="shared" si="16"/>
        <v>-6.9500000000033424</v>
      </c>
      <c r="R35" s="49">
        <f t="shared" ref="R35" si="42">SQRT(O35*O35+P35*P35+Q35*Q35)</f>
        <v>9.6240583954951475</v>
      </c>
      <c r="S35" s="50">
        <f t="shared" si="18"/>
        <v>-1.6999999999995907</v>
      </c>
      <c r="T35" s="50">
        <f t="shared" si="19"/>
        <v>-9.9999999999766942E-2</v>
      </c>
      <c r="U35" s="50">
        <f t="shared" si="20"/>
        <v>-0.95000000000311502</v>
      </c>
      <c r="V35" s="49">
        <f t="shared" ref="V35" si="43">SQRT(S35*S35+T35*T35+U35*U35)</f>
        <v>1.9500000000011488</v>
      </c>
      <c r="W35" s="25"/>
      <c r="AJ35" s="80">
        <v>43755</v>
      </c>
      <c r="AK35">
        <v>100</v>
      </c>
      <c r="AL35">
        <f t="shared" si="28"/>
        <v>12.445751550434572</v>
      </c>
    </row>
    <row r="36" spans="1:38" ht="29.25" customHeight="1" x14ac:dyDescent="0.2">
      <c r="A36" s="30">
        <f t="shared" si="0"/>
        <v>91</v>
      </c>
      <c r="B36" s="31">
        <f t="shared" si="1"/>
        <v>43746</v>
      </c>
      <c r="C36" s="49">
        <f t="shared" si="2"/>
        <v>-5.3040517971965073</v>
      </c>
      <c r="D36" s="49">
        <f t="shared" si="3"/>
        <v>-0.10089700403081991</v>
      </c>
      <c r="E36" s="49">
        <f t="shared" si="4"/>
        <v>-5.2500000000179625</v>
      </c>
      <c r="F36" s="49">
        <f t="shared" ref="F36" si="44">SQRT(C36*C36+D36*D36+E36*E36)</f>
        <v>7.4636214851072467</v>
      </c>
      <c r="G36" s="50">
        <f t="shared" si="6"/>
        <v>-7.0490850970372776</v>
      </c>
      <c r="H36" s="50">
        <f t="shared" si="7"/>
        <v>2.3208366090183841</v>
      </c>
      <c r="I36" s="50">
        <f t="shared" si="8"/>
        <v>-9.9999999999909051</v>
      </c>
      <c r="J36" s="49">
        <f t="shared" ref="J36" si="45">SQRT(G36*G36+H36*H36+I36*I36)</f>
        <v>12.452946770578082</v>
      </c>
      <c r="K36" s="49">
        <f t="shared" si="10"/>
        <v>-4.599545461701382</v>
      </c>
      <c r="L36" s="49">
        <f t="shared" si="11"/>
        <v>1.5995893814840234</v>
      </c>
      <c r="M36" s="50">
        <f t="shared" si="12"/>
        <v>-9.6999999999951569</v>
      </c>
      <c r="N36" s="49">
        <f t="shared" ref="N36" si="46">SQRT(K36*K36+L36*L36+M36*M36)</f>
        <v>10.853778357950759</v>
      </c>
      <c r="O36" s="50">
        <f t="shared" si="14"/>
        <v>-5.4227533908317582</v>
      </c>
      <c r="P36" s="50">
        <f t="shared" si="15"/>
        <v>3.1163786796530868</v>
      </c>
      <c r="Q36" s="50">
        <f t="shared" si="16"/>
        <v>-7.6999999999998181</v>
      </c>
      <c r="R36" s="49">
        <f t="shared" ref="R36" si="47">SQRT(O36*O36+P36*P36+Q36*Q36)</f>
        <v>9.920084193834791</v>
      </c>
      <c r="S36" s="50">
        <f t="shared" si="18"/>
        <v>-1.4755238385930625</v>
      </c>
      <c r="T36" s="50">
        <f t="shared" si="19"/>
        <v>-1.0215429594477854</v>
      </c>
      <c r="U36" s="50">
        <f t="shared" si="20"/>
        <v>-1.5999999999962711</v>
      </c>
      <c r="V36" s="49">
        <f t="shared" ref="V36" si="48">SQRT(S36*S36+T36*T36+U36*U36)</f>
        <v>2.4043129197843225</v>
      </c>
      <c r="W36" s="25"/>
      <c r="AJ36" s="80">
        <v>43759</v>
      </c>
      <c r="AK36">
        <v>104</v>
      </c>
      <c r="AL36">
        <f t="shared" si="28"/>
        <v>12.724154754858429</v>
      </c>
    </row>
    <row r="37" spans="1:38" ht="29.25" customHeight="1" x14ac:dyDescent="0.2">
      <c r="A37" s="30">
        <f t="shared" si="0"/>
        <v>98</v>
      </c>
      <c r="B37" s="31">
        <f t="shared" si="1"/>
        <v>43753</v>
      </c>
      <c r="C37" s="49">
        <f t="shared" si="2"/>
        <v>-4.959831471836651</v>
      </c>
      <c r="D37" s="49">
        <f t="shared" si="3"/>
        <v>-0.60240697545577149</v>
      </c>
      <c r="E37" s="49">
        <f t="shared" si="4"/>
        <v>-5.3000000000196223</v>
      </c>
      <c r="F37" s="49">
        <f t="shared" ref="F37" si="49">SQRT(C37*C37+D37*D37+E37*E37)</f>
        <v>7.2837368426726599</v>
      </c>
      <c r="G37" s="50">
        <f t="shared" si="6"/>
        <v>-6.7480751112327653</v>
      </c>
      <c r="H37" s="50">
        <f t="shared" si="7"/>
        <v>2.1485841905193315</v>
      </c>
      <c r="I37" s="50">
        <f t="shared" si="8"/>
        <v>-10.099999999980014</v>
      </c>
      <c r="J37" s="49">
        <f t="shared" ref="J37" si="50">SQRT(G37*G37+H37*H37+I37*I37)</f>
        <v>12.335433990346063</v>
      </c>
      <c r="K37" s="49">
        <f t="shared" si="10"/>
        <v>-4.2190166107616278</v>
      </c>
      <c r="L37" s="49">
        <f t="shared" si="11"/>
        <v>1.3356915544688319</v>
      </c>
      <c r="M37" s="50">
        <f t="shared" si="12"/>
        <v>-9.5833333333388282</v>
      </c>
      <c r="N37" s="49">
        <f t="shared" ref="N37" si="51">SQRT(K37*K37+L37*L37+M37*M37)</f>
        <v>10.555778079726998</v>
      </c>
      <c r="O37" s="50">
        <f t="shared" si="14"/>
        <v>-4.9123083977917759</v>
      </c>
      <c r="P37" s="50">
        <f t="shared" si="15"/>
        <v>2.9682376515474118</v>
      </c>
      <c r="Q37" s="50">
        <f t="shared" si="16"/>
        <v>-7.8500000000047976</v>
      </c>
      <c r="R37" s="49">
        <f t="shared" ref="R37" si="52">SQRT(O37*O37+P37*P37+Q37*Q37)</f>
        <v>9.7243873098079874</v>
      </c>
      <c r="S37" s="50">
        <f t="shared" si="18"/>
        <v>-0.71432363844792235</v>
      </c>
      <c r="T37" s="50">
        <f t="shared" si="19"/>
        <v>-0.99757429965841027</v>
      </c>
      <c r="U37" s="50">
        <f t="shared" si="20"/>
        <v>-1.3833333333224118</v>
      </c>
      <c r="V37" s="49">
        <f t="shared" ref="V37" si="53">SQRT(S37*S37+T37*T37+U37*U37)</f>
        <v>1.8490602626375756</v>
      </c>
      <c r="W37" s="25"/>
      <c r="AJ37" s="80">
        <v>43762</v>
      </c>
      <c r="AK37">
        <v>107</v>
      </c>
      <c r="AL37">
        <f t="shared" si="28"/>
        <v>12.927438783871596</v>
      </c>
    </row>
    <row r="38" spans="1:38" ht="29.25" customHeight="1" x14ac:dyDescent="0.2">
      <c r="A38" s="30">
        <f t="shared" si="0"/>
        <v>101</v>
      </c>
      <c r="B38" s="31">
        <f t="shared" si="1"/>
        <v>43756</v>
      </c>
      <c r="C38" s="49">
        <f t="shared" si="2"/>
        <v>-5.3434808733356931</v>
      </c>
      <c r="D38" s="49">
        <f t="shared" si="3"/>
        <v>-0.72615326202551955</v>
      </c>
      <c r="E38" s="49">
        <f t="shared" si="4"/>
        <v>-4.6499999999980446</v>
      </c>
      <c r="F38" s="49">
        <f t="shared" ref="F38:F40" si="54">SQRT(C38*C38+D38*D38+E38*E38)</f>
        <v>7.1205748646887006</v>
      </c>
      <c r="G38" s="50">
        <f t="shared" si="6"/>
        <v>-7.1941770875127986</v>
      </c>
      <c r="H38" s="50">
        <f t="shared" si="7"/>
        <v>1.9221534496816073</v>
      </c>
      <c r="I38" s="50">
        <f t="shared" si="8"/>
        <v>-9.7499999999968168</v>
      </c>
      <c r="J38" s="49">
        <f t="shared" ref="J38:J40" si="55">SQRT(G38*G38+H38*H38+I38*I38)</f>
        <v>12.268388559650163</v>
      </c>
      <c r="K38" s="49">
        <f t="shared" si="10"/>
        <v>-4.5422464690716424</v>
      </c>
      <c r="L38" s="49">
        <f t="shared" si="11"/>
        <v>1.2401221026775433</v>
      </c>
      <c r="M38" s="50">
        <f t="shared" si="12"/>
        <v>-9.0000000000003411</v>
      </c>
      <c r="N38" s="49">
        <f t="shared" ref="N38:N40" si="56">SQRT(K38*K38+L38*L38+M38*M38)</f>
        <v>10.157258774657132</v>
      </c>
      <c r="O38" s="50">
        <f t="shared" si="14"/>
        <v>-5.4319014883503769</v>
      </c>
      <c r="P38" s="50">
        <f t="shared" si="15"/>
        <v>2.7810933616936317</v>
      </c>
      <c r="Q38" s="50">
        <f t="shared" si="16"/>
        <v>-7.3500000000024102</v>
      </c>
      <c r="R38" s="49">
        <f t="shared" ref="R38:R40" si="57">SQRT(O38*O38+P38*P38+Q38*Q38)</f>
        <v>9.5531426277238669</v>
      </c>
      <c r="S38" s="50">
        <f t="shared" si="18"/>
        <v>-1.0658014366526913</v>
      </c>
      <c r="T38" s="50">
        <f t="shared" si="19"/>
        <v>-1.3086068118322025</v>
      </c>
      <c r="U38" s="50">
        <f t="shared" si="20"/>
        <v>-0.75000000001068656</v>
      </c>
      <c r="V38" s="49">
        <f t="shared" ref="V38:V40" si="58">SQRT(S38*S38+T38*T38+U38*U38)</f>
        <v>1.8468580049263701</v>
      </c>
      <c r="W38" s="25"/>
      <c r="AJ38" s="80">
        <v>43766</v>
      </c>
      <c r="AK38">
        <v>111</v>
      </c>
      <c r="AL38">
        <f t="shared" si="28"/>
        <v>13.191478806378942</v>
      </c>
    </row>
    <row r="39" spans="1:38" ht="29.25" customHeight="1" x14ac:dyDescent="0.2">
      <c r="A39" s="30">
        <f t="shared" si="0"/>
        <v>105</v>
      </c>
      <c r="B39" s="31">
        <f t="shared" si="1"/>
        <v>43760</v>
      </c>
      <c r="C39" s="49">
        <f t="shared" si="2"/>
        <v>-5.1922900761383062</v>
      </c>
      <c r="D39" s="49">
        <f t="shared" si="3"/>
        <v>-0.10394635110522188</v>
      </c>
      <c r="E39" s="49">
        <f t="shared" si="4"/>
        <v>-5.5499999999994998</v>
      </c>
      <c r="F39" s="49">
        <f t="shared" si="54"/>
        <v>7.6008671267603987</v>
      </c>
      <c r="G39" s="50">
        <f t="shared" si="6"/>
        <v>-7.3571390999234154</v>
      </c>
      <c r="H39" s="50">
        <f t="shared" si="7"/>
        <v>2.5081937779016794</v>
      </c>
      <c r="I39" s="50">
        <f t="shared" si="8"/>
        <v>-11.04999999999734</v>
      </c>
      <c r="J39" s="49">
        <f t="shared" si="55"/>
        <v>13.510034484155391</v>
      </c>
      <c r="K39" s="49">
        <f t="shared" si="10"/>
        <v>-4.4333208995226414</v>
      </c>
      <c r="L39" s="49">
        <f t="shared" si="11"/>
        <v>1.9529582755826169</v>
      </c>
      <c r="M39" s="50">
        <f t="shared" si="12"/>
        <v>-10.499999999993292</v>
      </c>
      <c r="N39" s="49">
        <f t="shared" si="56"/>
        <v>11.563666383296001</v>
      </c>
      <c r="O39" s="50">
        <f t="shared" si="14"/>
        <v>-5.2746118915365514</v>
      </c>
      <c r="P39" s="50">
        <f t="shared" si="15"/>
        <v>3.6268237639767165</v>
      </c>
      <c r="Q39" s="50">
        <f t="shared" si="16"/>
        <v>-8.1500000000005457</v>
      </c>
      <c r="R39" s="49">
        <f t="shared" si="57"/>
        <v>10.36329490178167</v>
      </c>
      <c r="S39" s="50">
        <f t="shared" si="18"/>
        <v>-1.0836714515392032</v>
      </c>
      <c r="T39" s="50">
        <f t="shared" si="19"/>
        <v>-0.32388306406350154</v>
      </c>
      <c r="U39" s="50">
        <f t="shared" si="20"/>
        <v>-1.8500000000045702</v>
      </c>
      <c r="V39" s="49">
        <f t="shared" si="58"/>
        <v>2.1683505376403409</v>
      </c>
      <c r="W39" s="25"/>
      <c r="AJ39" s="80">
        <v>43769</v>
      </c>
      <c r="AK39">
        <v>114</v>
      </c>
      <c r="AL39">
        <f t="shared" si="28"/>
        <v>13.384479644351583</v>
      </c>
    </row>
    <row r="40" spans="1:38" ht="29.25" customHeight="1" x14ac:dyDescent="0.2">
      <c r="A40" s="30">
        <f t="shared" si="0"/>
        <v>107</v>
      </c>
      <c r="B40" s="31">
        <f t="shared" si="1"/>
        <v>43762</v>
      </c>
      <c r="C40" s="49">
        <f t="shared" si="2"/>
        <v>-5.6938001038417951</v>
      </c>
      <c r="D40" s="49">
        <f t="shared" si="3"/>
        <v>-0.44816683119375256</v>
      </c>
      <c r="E40" s="49">
        <f t="shared" si="4"/>
        <v>-5.6500000000028194</v>
      </c>
      <c r="F40" s="49">
        <f t="shared" si="54"/>
        <v>8.0338479653975874</v>
      </c>
      <c r="G40" s="50">
        <f t="shared" si="6"/>
        <v>-6.8377590573618363</v>
      </c>
      <c r="H40" s="50">
        <f t="shared" si="7"/>
        <v>1.8676905101535635</v>
      </c>
      <c r="I40" s="50">
        <f t="shared" si="8"/>
        <v>-10.249999999999204</v>
      </c>
      <c r="J40" s="49">
        <f t="shared" si="55"/>
        <v>12.462171430703206</v>
      </c>
      <c r="K40" s="49">
        <f t="shared" si="10"/>
        <v>-4.8986644992510264</v>
      </c>
      <c r="L40" s="49">
        <f t="shared" si="11"/>
        <v>1.2945850421979266</v>
      </c>
      <c r="M40" s="50">
        <f t="shared" si="12"/>
        <v>-9.9000000000017963</v>
      </c>
      <c r="N40" s="49">
        <f t="shared" si="56"/>
        <v>11.121279796306739</v>
      </c>
      <c r="O40" s="50">
        <f t="shared" si="14"/>
        <v>-5.951281530911956</v>
      </c>
      <c r="P40" s="50">
        <f t="shared" si="15"/>
        <v>3.4215966294248723</v>
      </c>
      <c r="Q40" s="50">
        <f t="shared" si="16"/>
        <v>-8.049999999997226</v>
      </c>
      <c r="R40" s="49">
        <f t="shared" si="57"/>
        <v>10.579582948047657</v>
      </c>
      <c r="S40" s="50">
        <f t="shared" si="18"/>
        <v>-1.8570690541821477</v>
      </c>
      <c r="T40" s="50">
        <f t="shared" si="19"/>
        <v>-0.79489912854358025</v>
      </c>
      <c r="U40" s="50">
        <f t="shared" si="20"/>
        <v>-1.0500000000064347</v>
      </c>
      <c r="V40" s="49">
        <f t="shared" si="58"/>
        <v>2.2766356969383206</v>
      </c>
      <c r="W40" s="25"/>
      <c r="AJ40" s="80">
        <v>43774</v>
      </c>
      <c r="AK40">
        <v>119</v>
      </c>
      <c r="AL40">
        <f t="shared" si="28"/>
        <v>13.697047645541431</v>
      </c>
    </row>
    <row r="41" spans="1:38" ht="29.25" customHeight="1" x14ac:dyDescent="0.2">
      <c r="A41" s="30">
        <f t="shared" si="0"/>
        <v>111</v>
      </c>
      <c r="B41" s="31">
        <f t="shared" si="1"/>
        <v>43766</v>
      </c>
      <c r="C41" s="49">
        <f t="shared" si="2"/>
        <v>-5.7722316539070562</v>
      </c>
      <c r="D41" s="49">
        <f t="shared" si="3"/>
        <v>-4.3384766677423414E-2</v>
      </c>
      <c r="E41" s="49">
        <f t="shared" si="4"/>
        <v>-5.150000000000432</v>
      </c>
      <c r="F41" s="49">
        <f t="shared" ref="F41:F42" si="59">SQRT(C41*C41+D41*D41+E41*E41)</f>
        <v>7.7358283657505416</v>
      </c>
      <c r="G41" s="50"/>
      <c r="H41" s="50"/>
      <c r="I41" s="50"/>
      <c r="J41" s="49"/>
      <c r="K41" s="49">
        <f t="shared" si="10"/>
        <v>-5.4180444434450692</v>
      </c>
      <c r="L41" s="49">
        <f t="shared" si="11"/>
        <v>1.9350880989065233</v>
      </c>
      <c r="M41" s="50">
        <f t="shared" si="12"/>
        <v>-9.9000000000017963</v>
      </c>
      <c r="N41" s="49">
        <f t="shared" ref="N41:N42" si="60">SQRT(K41*K41+L41*L41+M41*M41)</f>
        <v>11.450317530169686</v>
      </c>
      <c r="O41" s="50">
        <f t="shared" si="14"/>
        <v>-6.120342244571475</v>
      </c>
      <c r="P41" s="50">
        <f t="shared" si="15"/>
        <v>3.7841132552960399</v>
      </c>
      <c r="Q41" s="50">
        <f t="shared" si="16"/>
        <v>-7.8500000000047976</v>
      </c>
      <c r="R41" s="49">
        <f t="shared" ref="R41:R42" si="61">SQRT(O41*O41+P41*P41+Q41*Q41)</f>
        <v>10.648971890265685</v>
      </c>
      <c r="S41" s="50">
        <f t="shared" si="18"/>
        <v>-1.9838646385892389</v>
      </c>
      <c r="T41" s="50">
        <f t="shared" si="19"/>
        <v>-0.52301155365652718</v>
      </c>
      <c r="U41" s="50">
        <f t="shared" si="20"/>
        <v>-1.250000000013074</v>
      </c>
      <c r="V41" s="49">
        <f t="shared" ref="V41:V42" si="62">SQRT(S41*S41+T41*T41+U41*U41)</f>
        <v>2.4024487485762753</v>
      </c>
      <c r="W41" s="25"/>
      <c r="AJ41" s="80">
        <v>43776</v>
      </c>
      <c r="AK41">
        <v>121</v>
      </c>
      <c r="AL41">
        <f t="shared" si="28"/>
        <v>13.819020954113467</v>
      </c>
    </row>
    <row r="42" spans="1:38" ht="29.25" customHeight="1" x14ac:dyDescent="0.2">
      <c r="A42" s="30">
        <f t="shared" si="0"/>
        <v>114</v>
      </c>
      <c r="B42" s="31">
        <f t="shared" si="1"/>
        <v>43769</v>
      </c>
      <c r="C42" s="49">
        <f t="shared" si="2"/>
        <v>-5.8811573218804369</v>
      </c>
      <c r="D42" s="49">
        <f t="shared" si="3"/>
        <v>-0.75622072858072542</v>
      </c>
      <c r="E42" s="49">
        <f t="shared" si="4"/>
        <v>-5.2500000000037517</v>
      </c>
      <c r="F42" s="49">
        <f t="shared" si="59"/>
        <v>7.9197462860297758</v>
      </c>
      <c r="G42" s="50">
        <f t="shared" si="6"/>
        <v>-7.8102850932850743</v>
      </c>
      <c r="H42" s="50">
        <f t="shared" si="7"/>
        <v>2.296867787413337</v>
      </c>
      <c r="I42" s="50">
        <f t="shared" si="8"/>
        <v>-10.749999999987381</v>
      </c>
      <c r="J42" s="49">
        <f t="shared" ref="J42" si="63">SQRT(G42*G42+H42*H42+I42*I42)</f>
        <v>13.484756389011141</v>
      </c>
      <c r="K42" s="49">
        <f t="shared" si="10"/>
        <v>-4.675140853208859</v>
      </c>
      <c r="L42" s="49">
        <f t="shared" si="11"/>
        <v>1.2884861862586527</v>
      </c>
      <c r="M42" s="50">
        <f t="shared" si="12"/>
        <v>-9.9000000000017963</v>
      </c>
      <c r="N42" s="49">
        <f t="shared" si="60"/>
        <v>11.023934807933028</v>
      </c>
      <c r="O42" s="50">
        <f t="shared" si="14"/>
        <v>-5.7399554912365147</v>
      </c>
      <c r="P42" s="50">
        <f t="shared" si="15"/>
        <v>2.9684505305975772</v>
      </c>
      <c r="Q42" s="50">
        <f t="shared" si="16"/>
        <v>-8.2500000000038654</v>
      </c>
      <c r="R42" s="49">
        <f t="shared" si="61"/>
        <v>10.47956523878949</v>
      </c>
      <c r="S42" s="50">
        <f t="shared" ref="S42:S107" si="64">DPM_ID</f>
        <v>-1.3860531443583568</v>
      </c>
      <c r="T42" s="50">
        <f t="shared" ref="T42:T107" si="65">DH_ID</f>
        <v>-1.5682966748675753</v>
      </c>
      <c r="U42" s="50">
        <f t="shared" si="20"/>
        <v>-1.0500000000064347</v>
      </c>
      <c r="V42" s="49">
        <f t="shared" si="62"/>
        <v>2.3416228943619197</v>
      </c>
      <c r="W42" s="25"/>
      <c r="AJ42" s="80">
        <v>43780</v>
      </c>
      <c r="AK42">
        <v>125</v>
      </c>
      <c r="AL42">
        <f t="shared" si="28"/>
        <v>14.057964577351751</v>
      </c>
    </row>
    <row r="43" spans="1:38" ht="29.25" customHeight="1" x14ac:dyDescent="0.2">
      <c r="A43" s="30">
        <f t="shared" si="0"/>
        <v>119</v>
      </c>
      <c r="B43" s="31">
        <f t="shared" si="1"/>
        <v>43774</v>
      </c>
      <c r="C43" s="49">
        <f t="shared" si="2"/>
        <v>-5.8689597155421325</v>
      </c>
      <c r="D43" s="49">
        <f t="shared" si="3"/>
        <v>-0.30917348565306924</v>
      </c>
      <c r="E43" s="49">
        <f t="shared" si="4"/>
        <v>-5.7500000000061391</v>
      </c>
      <c r="F43" s="49">
        <f t="shared" ref="F43:F44" si="66">SQRT(C43*C43+D43*D43+E43*E43)</f>
        <v>8.2220907552129248</v>
      </c>
      <c r="G43" s="50">
        <f t="shared" si="6"/>
        <v>-7.5806627459940046</v>
      </c>
      <c r="H43" s="50">
        <f t="shared" si="7"/>
        <v>2.5142926338492799</v>
      </c>
      <c r="I43" s="50">
        <f t="shared" si="8"/>
        <v>-11.349999999993088</v>
      </c>
      <c r="J43" s="49">
        <f t="shared" ref="J43:J44" si="67">SQRT(G43*G43+H43*H43+I43*I43)</f>
        <v>13.878422645134179</v>
      </c>
      <c r="K43" s="49">
        <f t="shared" si="10"/>
        <v>-4.9709972496714272</v>
      </c>
      <c r="L43" s="49">
        <f t="shared" si="11"/>
        <v>1.9228905980473998</v>
      </c>
      <c r="M43" s="50">
        <f t="shared" si="12"/>
        <v>-10.499999999993292</v>
      </c>
      <c r="N43" s="49">
        <f t="shared" ref="N43:N44" si="68">SQRT(K43*K43+L43*L43+M43*M43)</f>
        <v>11.775326828082484</v>
      </c>
      <c r="O43" s="50">
        <f t="shared" si="14"/>
        <v>-5.9935466601643839</v>
      </c>
      <c r="P43" s="50">
        <f t="shared" si="15"/>
        <v>3.5122256804120955</v>
      </c>
      <c r="Q43" s="50">
        <f t="shared" si="16"/>
        <v>-8.6500000000029331</v>
      </c>
      <c r="R43" s="49">
        <f t="shared" ref="R43:R44" si="69">SQRT(O43*O43+P43*P43+Q43*Q43)</f>
        <v>11.094180041704956</v>
      </c>
      <c r="S43" s="50">
        <f t="shared" si="64"/>
        <v>-1.5006511223987218</v>
      </c>
      <c r="T43" s="50">
        <f t="shared" si="65"/>
        <v>-0.84936185704709288</v>
      </c>
      <c r="U43" s="50">
        <f t="shared" si="20"/>
        <v>-1.4500000000055024</v>
      </c>
      <c r="V43" s="49">
        <f t="shared" ref="V43:V44" si="70">SQRT(S43*S43+T43*T43+U43*U43)</f>
        <v>2.2529690089699383</v>
      </c>
      <c r="W43" s="25"/>
      <c r="AJ43" s="80">
        <v>43783</v>
      </c>
      <c r="AK43">
        <v>128</v>
      </c>
      <c r="AL43">
        <f t="shared" si="28"/>
        <v>14.232951002826015</v>
      </c>
    </row>
    <row r="44" spans="1:38" ht="29.25" customHeight="1" x14ac:dyDescent="0.2">
      <c r="A44" s="30">
        <f t="shared" si="0"/>
        <v>121</v>
      </c>
      <c r="B44" s="31">
        <f t="shared" si="1"/>
        <v>43776</v>
      </c>
      <c r="C44" s="49">
        <f t="shared" si="2"/>
        <v>-6.0000000000002274</v>
      </c>
      <c r="D44" s="49">
        <f t="shared" si="3"/>
        <v>-0.69999999999970086</v>
      </c>
      <c r="E44" s="49">
        <f t="shared" si="4"/>
        <v>-5.5499999999994998</v>
      </c>
      <c r="F44" s="49">
        <f t="shared" si="66"/>
        <v>8.2032005948895801</v>
      </c>
      <c r="G44" s="50">
        <f t="shared" si="6"/>
        <v>-8.0000000000097771</v>
      </c>
      <c r="H44" s="50">
        <f t="shared" si="7"/>
        <v>2.3000000000001908</v>
      </c>
      <c r="I44" s="50">
        <f t="shared" si="8"/>
        <v>-11.150000000000659</v>
      </c>
      <c r="J44" s="49">
        <f t="shared" si="67"/>
        <v>13.914470884664354</v>
      </c>
      <c r="K44" s="49">
        <f t="shared" si="10"/>
        <v>-4.8999999999921329</v>
      </c>
      <c r="L44" s="49">
        <f t="shared" si="11"/>
        <v>1.5999999999999903</v>
      </c>
      <c r="M44" s="50">
        <f t="shared" si="12"/>
        <v>-10.300000000000864</v>
      </c>
      <c r="N44" s="49">
        <f t="shared" si="68"/>
        <v>11.517812292268905</v>
      </c>
      <c r="O44" s="50">
        <f t="shared" si="14"/>
        <v>-5.8999999999969077</v>
      </c>
      <c r="P44" s="50">
        <f t="shared" si="15"/>
        <v>3.1999999999998696</v>
      </c>
      <c r="Q44" s="50">
        <f t="shared" si="16"/>
        <v>-8.4499999999962938</v>
      </c>
      <c r="R44" s="49">
        <f t="shared" si="69"/>
        <v>10.791315953112486</v>
      </c>
      <c r="S44" s="50">
        <f t="shared" si="64"/>
        <v>-1.4999999999929514</v>
      </c>
      <c r="T44" s="50">
        <f t="shared" si="65"/>
        <v>-1.1999999999998678</v>
      </c>
      <c r="U44" s="50">
        <f t="shared" si="20"/>
        <v>-1.0500000000064347</v>
      </c>
      <c r="V44" s="49">
        <f t="shared" si="70"/>
        <v>2.1891779278971479</v>
      </c>
      <c r="W44" s="25"/>
      <c r="AJ44" s="80">
        <v>43787</v>
      </c>
      <c r="AK44">
        <v>132</v>
      </c>
      <c r="AL44">
        <f t="shared" si="28"/>
        <v>14.460878741372646</v>
      </c>
    </row>
    <row r="45" spans="1:38" ht="29.25" customHeight="1" x14ac:dyDescent="0.2">
      <c r="A45" s="30">
        <f t="shared" si="0"/>
        <v>126</v>
      </c>
      <c r="B45" s="31">
        <f t="shared" si="1"/>
        <v>43781</v>
      </c>
      <c r="C45" s="49">
        <f t="shared" si="2"/>
        <v>-6.3000000000101863</v>
      </c>
      <c r="D45" s="49">
        <f t="shared" si="3"/>
        <v>-0.69999999999970086</v>
      </c>
      <c r="E45" s="49">
        <f t="shared" si="4"/>
        <v>-5.7500000000061391</v>
      </c>
      <c r="F45" s="49">
        <f t="shared" ref="F45" si="71">SQRT(C45*C45+D45*D45+E45*E45)</f>
        <v>8.5581832184289279</v>
      </c>
      <c r="G45" s="50">
        <f t="shared" si="6"/>
        <v>-8.300000000019736</v>
      </c>
      <c r="H45" s="50">
        <f t="shared" si="7"/>
        <v>2.4000000000001798</v>
      </c>
      <c r="I45" s="50">
        <f t="shared" si="8"/>
        <v>-11.549999999999727</v>
      </c>
      <c r="J45" s="49">
        <f t="shared" ref="J45" si="72">SQRT(G45*G45+H45*H45+I45*I45)</f>
        <v>14.424025097049789</v>
      </c>
      <c r="K45" s="49">
        <f t="shared" si="10"/>
        <v>-5.3000000000054115</v>
      </c>
      <c r="L45" s="49">
        <f t="shared" si="11"/>
        <v>1.6999999999999793</v>
      </c>
      <c r="M45" s="50">
        <f t="shared" si="12"/>
        <v>-10.499999999993292</v>
      </c>
      <c r="N45" s="49">
        <f t="shared" ref="N45" si="73">SQRT(K45*K45+L45*L45+M45*M45)</f>
        <v>11.884022887890969</v>
      </c>
      <c r="O45" s="50">
        <f t="shared" si="14"/>
        <v>-6.2000000000068667</v>
      </c>
      <c r="P45" s="50">
        <f t="shared" si="15"/>
        <v>3.3999999999998476</v>
      </c>
      <c r="Q45" s="50">
        <f t="shared" si="16"/>
        <v>-8.6500000000029331</v>
      </c>
      <c r="R45" s="49">
        <f t="shared" ref="R45" si="74">SQRT(O45*O45+P45*P45+Q45*Q45)</f>
        <v>11.172399026177629</v>
      </c>
      <c r="S45" s="50">
        <f t="shared" si="64"/>
        <v>-1.90000000000623</v>
      </c>
      <c r="T45" s="50">
        <f t="shared" si="65"/>
        <v>-1.1999999999998678</v>
      </c>
      <c r="U45" s="50">
        <f t="shared" si="20"/>
        <v>-1.1500000000097543</v>
      </c>
      <c r="V45" s="49">
        <f t="shared" ref="V45" si="75">SQRT(S45*S45+T45*T45+U45*U45)</f>
        <v>2.5243811122819375</v>
      </c>
      <c r="W45" s="25"/>
      <c r="AJ45" s="80">
        <v>43790</v>
      </c>
      <c r="AK45">
        <v>135</v>
      </c>
      <c r="AL45">
        <f t="shared" si="28"/>
        <v>14.627938690585435</v>
      </c>
    </row>
    <row r="46" spans="1:38" ht="29.25" customHeight="1" x14ac:dyDescent="0.2">
      <c r="A46" s="30">
        <f t="shared" si="0"/>
        <v>128</v>
      </c>
      <c r="B46" s="31">
        <f t="shared" si="1"/>
        <v>43783</v>
      </c>
      <c r="C46" s="49">
        <f t="shared" si="2"/>
        <v>-6.100000000003547</v>
      </c>
      <c r="D46" s="49">
        <f t="shared" si="3"/>
        <v>-0.29999999999974492</v>
      </c>
      <c r="E46" s="49">
        <f t="shared" si="4"/>
        <v>-5.8500000000094587</v>
      </c>
      <c r="F46" s="49">
        <f t="shared" ref="F46:F47" si="76">SQRT(C46*C46+D46*D46+E46*E46)</f>
        <v>8.4570976108919194</v>
      </c>
      <c r="G46" s="50"/>
      <c r="H46" s="50"/>
      <c r="I46" s="50"/>
      <c r="J46" s="49"/>
      <c r="K46" s="49">
        <f t="shared" si="10"/>
        <v>-5.2000000000020918</v>
      </c>
      <c r="L46" s="49">
        <f t="shared" si="11"/>
        <v>2.1999999999999797</v>
      </c>
      <c r="M46" s="50">
        <f t="shared" si="12"/>
        <v>-10.699999999999932</v>
      </c>
      <c r="N46" s="49">
        <f t="shared" ref="N46:N47" si="77">SQRT(K46*K46+L46*L46+M46*M46)</f>
        <v>12.098346994528642</v>
      </c>
      <c r="O46" s="50">
        <f t="shared" si="14"/>
        <v>-5.8999999999969077</v>
      </c>
      <c r="P46" s="50">
        <f t="shared" si="15"/>
        <v>3.6000000000000476</v>
      </c>
      <c r="Q46" s="50">
        <f t="shared" si="16"/>
        <v>-8.8499999999953616</v>
      </c>
      <c r="R46" s="49">
        <f t="shared" ref="R46:R47" si="78">SQRT(O46*O46+P46*P46+Q46*Q46)</f>
        <v>11.229091681871768</v>
      </c>
      <c r="S46" s="50">
        <f t="shared" si="64"/>
        <v>-1.5999999999962711</v>
      </c>
      <c r="T46" s="50">
        <f t="shared" si="65"/>
        <v>-0.69999999999970086</v>
      </c>
      <c r="U46" s="50">
        <f t="shared" si="20"/>
        <v>-1.250000000013074</v>
      </c>
      <c r="V46" s="49">
        <f t="shared" ref="V46:V47" si="79">SQRT(S46*S46+T46*T46+U46*U46)</f>
        <v>2.1476731594961871</v>
      </c>
      <c r="W46" s="25"/>
      <c r="AJ46" s="80">
        <v>43794</v>
      </c>
      <c r="AK46">
        <v>139</v>
      </c>
      <c r="AL46">
        <f t="shared" si="28"/>
        <v>14.845718293546861</v>
      </c>
    </row>
    <row r="47" spans="1:38" ht="29.25" customHeight="1" x14ac:dyDescent="0.2">
      <c r="A47" s="30">
        <f t="shared" si="0"/>
        <v>132</v>
      </c>
      <c r="B47" s="31">
        <f t="shared" si="1"/>
        <v>43787</v>
      </c>
      <c r="C47" s="49">
        <f t="shared" si="2"/>
        <v>-6.100000000003547</v>
      </c>
      <c r="D47" s="49">
        <f t="shared" si="3"/>
        <v>-0.99999999999988987</v>
      </c>
      <c r="E47" s="49">
        <f t="shared" si="4"/>
        <v>-5.7500000000061391</v>
      </c>
      <c r="F47" s="49">
        <f t="shared" si="76"/>
        <v>8.4423041878454992</v>
      </c>
      <c r="G47" s="50">
        <f t="shared" si="6"/>
        <v>-8.4999999999979536</v>
      </c>
      <c r="H47" s="50">
        <f t="shared" si="7"/>
        <v>2.6000000000001577</v>
      </c>
      <c r="I47" s="50">
        <f t="shared" si="8"/>
        <v>-11.849999999995475</v>
      </c>
      <c r="J47" s="49">
        <f t="shared" ref="J47" si="80">SQRT(G47*G47+H47*H47+I47*I47)</f>
        <v>14.813254200203909</v>
      </c>
      <c r="K47" s="49">
        <f t="shared" si="10"/>
        <v>-5.5000000000120508</v>
      </c>
      <c r="L47" s="49">
        <f t="shared" si="11"/>
        <v>1.6999999999999793</v>
      </c>
      <c r="M47" s="50">
        <f t="shared" si="12"/>
        <v>-11.099999999999</v>
      </c>
      <c r="N47" s="49">
        <f t="shared" si="77"/>
        <v>12.503999360209129</v>
      </c>
      <c r="O47" s="50">
        <f t="shared" si="14"/>
        <v>-6.0000000000002274</v>
      </c>
      <c r="P47" s="50">
        <f t="shared" si="15"/>
        <v>3.3999999999998476</v>
      </c>
      <c r="Q47" s="50">
        <f t="shared" si="16"/>
        <v>-8.9499999999986812</v>
      </c>
      <c r="R47" s="49">
        <f t="shared" si="78"/>
        <v>11.298783120317784</v>
      </c>
      <c r="S47" s="50">
        <f t="shared" si="64"/>
        <v>-1.5999999999962711</v>
      </c>
      <c r="T47" s="50">
        <f t="shared" si="65"/>
        <v>-1.0999999999996568</v>
      </c>
      <c r="U47" s="50">
        <f t="shared" si="20"/>
        <v>-1.250000000013074</v>
      </c>
      <c r="V47" s="49">
        <f t="shared" si="79"/>
        <v>2.3092206477554278</v>
      </c>
      <c r="W47" s="25"/>
      <c r="AJ47" s="80">
        <v>43797</v>
      </c>
      <c r="AK47">
        <v>142</v>
      </c>
      <c r="AL47">
        <f t="shared" si="28"/>
        <v>15.005465614224638</v>
      </c>
    </row>
    <row r="48" spans="1:38" ht="29.25" customHeight="1" x14ac:dyDescent="0.2">
      <c r="A48" s="30">
        <f t="shared" si="0"/>
        <v>135</v>
      </c>
      <c r="B48" s="31">
        <f t="shared" si="1"/>
        <v>43790</v>
      </c>
      <c r="C48" s="49">
        <f t="shared" si="2"/>
        <v>-6.2000000000068667</v>
      </c>
      <c r="D48" s="49">
        <f t="shared" si="3"/>
        <v>-0.59999999999993392</v>
      </c>
      <c r="E48" s="49">
        <f t="shared" si="4"/>
        <v>-5.7500000000061391</v>
      </c>
      <c r="F48" s="49">
        <f t="shared" ref="F48" si="81">SQRT(C48*C48+D48*D48+E48*E48)</f>
        <v>8.4771752370796065</v>
      </c>
      <c r="G48" s="50">
        <f t="shared" si="6"/>
        <v>-8.4999999999979536</v>
      </c>
      <c r="H48" s="50">
        <f t="shared" si="7"/>
        <v>2.8000000000001357</v>
      </c>
      <c r="I48" s="50">
        <f t="shared" si="8"/>
        <v>-11.949999999998795</v>
      </c>
      <c r="J48" s="49">
        <f t="shared" ref="J48" si="82">SQRT(G48*G48+H48*H48+I48*I48)</f>
        <v>14.929584722956536</v>
      </c>
      <c r="K48" s="49">
        <f t="shared" si="10"/>
        <v>-5.5000000000120508</v>
      </c>
      <c r="L48" s="49">
        <f t="shared" si="11"/>
        <v>1.9000000000000128</v>
      </c>
      <c r="M48" s="50">
        <f t="shared" si="12"/>
        <v>-11.200000000002319</v>
      </c>
      <c r="N48" s="49">
        <f t="shared" ref="N48" si="83">SQRT(K48*K48+L48*L48+M48*M48)</f>
        <v>12.621410380784889</v>
      </c>
      <c r="O48" s="50">
        <f t="shared" si="14"/>
        <v>-6.100000000003547</v>
      </c>
      <c r="P48" s="50">
        <f t="shared" si="15"/>
        <v>3.7000000000000366</v>
      </c>
      <c r="Q48" s="50">
        <f t="shared" si="16"/>
        <v>-8.9499999999986812</v>
      </c>
      <c r="R48" s="49">
        <f t="shared" ref="R48" si="84">SQRT(O48*O48+P48*P48+Q48*Q48)</f>
        <v>11.445632354746502</v>
      </c>
      <c r="S48" s="50">
        <f t="shared" si="64"/>
        <v>-1.6999999999995907</v>
      </c>
      <c r="T48" s="50">
        <f t="shared" si="65"/>
        <v>-0.89999999999967883</v>
      </c>
      <c r="U48" s="50">
        <f t="shared" si="20"/>
        <v>-1.1500000000097543</v>
      </c>
      <c r="V48" s="49">
        <f t="shared" ref="V48" si="85">SQRT(S48*S48+T48*T48+U48*U48)</f>
        <v>2.2410934831060629</v>
      </c>
      <c r="W48" s="25"/>
      <c r="AJ48" s="80">
        <v>43802</v>
      </c>
      <c r="AK48">
        <v>147</v>
      </c>
      <c r="AL48">
        <f t="shared" si="28"/>
        <v>15.265174760706918</v>
      </c>
    </row>
    <row r="49" spans="1:38" ht="29.25" customHeight="1" x14ac:dyDescent="0.2">
      <c r="A49" s="30">
        <f t="shared" si="0"/>
        <v>140</v>
      </c>
      <c r="B49" s="31">
        <f t="shared" si="1"/>
        <v>43795</v>
      </c>
      <c r="C49" s="49">
        <f t="shared" si="2"/>
        <v>-6.2000000000068667</v>
      </c>
      <c r="D49" s="49">
        <f t="shared" si="3"/>
        <v>-0.99999999999988987</v>
      </c>
      <c r="E49" s="49">
        <f t="shared" si="4"/>
        <v>-6.2500000000085265</v>
      </c>
      <c r="F49" s="49">
        <f t="shared" ref="F49:F58" si="86">SQRT(C49*C49+D49*D49+E49*E49)</f>
        <v>8.8601636553842216</v>
      </c>
      <c r="G49" s="50">
        <f t="shared" si="6"/>
        <v>-8.2000000000164164</v>
      </c>
      <c r="H49" s="50">
        <f t="shared" si="7"/>
        <v>2.2000000000002018</v>
      </c>
      <c r="I49" s="50">
        <f t="shared" si="8"/>
        <v>-12.349999999997863</v>
      </c>
      <c r="J49" s="49">
        <f t="shared" ref="J49:J58" si="87">SQRT(G49*G49+H49*H49+I49*I49)</f>
        <v>14.986744142748861</v>
      </c>
      <c r="K49" s="49">
        <f t="shared" si="10"/>
        <v>-5.2000000000020918</v>
      </c>
      <c r="L49" s="49">
        <f t="shared" si="11"/>
        <v>1.5999999999999903</v>
      </c>
      <c r="M49" s="50">
        <f t="shared" si="12"/>
        <v>-11.600000000001387</v>
      </c>
      <c r="N49" s="49">
        <f t="shared" ref="N49:N58" si="88">SQRT(K49*K49+L49*L49+M49*M49)</f>
        <v>12.812493902439677</v>
      </c>
      <c r="O49" s="50">
        <f t="shared" si="14"/>
        <v>-5.5999999999869488</v>
      </c>
      <c r="P49" s="50">
        <f t="shared" si="15"/>
        <v>3.4999999999998366</v>
      </c>
      <c r="Q49" s="50">
        <f t="shared" si="16"/>
        <v>-9.349999999997749</v>
      </c>
      <c r="R49" s="49">
        <f t="shared" ref="R49:R58" si="89">SQRT(O49*O49+P49*P49+Q49*Q49)</f>
        <v>11.446942823296123</v>
      </c>
      <c r="S49" s="50">
        <f t="shared" si="64"/>
        <v>-1.3000000000147338</v>
      </c>
      <c r="T49" s="50">
        <f t="shared" si="65"/>
        <v>-1.1999999999998678</v>
      </c>
      <c r="U49" s="50">
        <f t="shared" si="20"/>
        <v>-1.3500000000021828</v>
      </c>
      <c r="V49" s="49">
        <f t="shared" ref="V49:V58" si="90">SQRT(S49*S49+T49*T49+U49*U49)</f>
        <v>2.2254213084366485</v>
      </c>
      <c r="W49" s="25"/>
      <c r="AJ49" s="80">
        <v>43809</v>
      </c>
      <c r="AK49">
        <v>154</v>
      </c>
      <c r="AL49">
        <f t="shared" si="28"/>
        <v>15.615764152464342</v>
      </c>
    </row>
    <row r="50" spans="1:38" ht="29.25" customHeight="1" x14ac:dyDescent="0.2">
      <c r="A50" s="30">
        <f t="shared" si="0"/>
        <v>142</v>
      </c>
      <c r="B50" s="31">
        <f t="shared" si="1"/>
        <v>43797</v>
      </c>
      <c r="C50" s="49">
        <f t="shared" si="2"/>
        <v>-6.9000000000016826</v>
      </c>
      <c r="D50" s="49">
        <f t="shared" si="3"/>
        <v>-9.9999999999766942E-2</v>
      </c>
      <c r="E50" s="49">
        <f t="shared" si="4"/>
        <v>-6.1500000000052069</v>
      </c>
      <c r="F50" s="49">
        <f t="shared" si="86"/>
        <v>9.2435112376243271</v>
      </c>
      <c r="G50" s="50">
        <f t="shared" si="6"/>
        <v>-9.0000000000145519</v>
      </c>
      <c r="H50" s="50">
        <f t="shared" si="7"/>
        <v>3.3000000000000806</v>
      </c>
      <c r="I50" s="50">
        <f t="shared" si="8"/>
        <v>-12.349999999997863</v>
      </c>
      <c r="J50" s="49">
        <f t="shared" si="87"/>
        <v>15.633697579274381</v>
      </c>
      <c r="K50" s="49">
        <f t="shared" si="10"/>
        <v>-5.8999999999969077</v>
      </c>
      <c r="L50" s="49">
        <f t="shared" si="11"/>
        <v>2.5000000000000022</v>
      </c>
      <c r="M50" s="50">
        <f t="shared" si="12"/>
        <v>-11.399999999994748</v>
      </c>
      <c r="N50" s="49">
        <f t="shared" si="88"/>
        <v>13.077461527370049</v>
      </c>
      <c r="O50" s="50">
        <f t="shared" si="14"/>
        <v>-6.6999999999950433</v>
      </c>
      <c r="P50" s="50">
        <f t="shared" si="15"/>
        <v>4.3999999999999595</v>
      </c>
      <c r="Q50" s="50">
        <f t="shared" si="16"/>
        <v>-9.4500000000010687</v>
      </c>
      <c r="R50" s="49">
        <f t="shared" si="89"/>
        <v>12.391630239801115</v>
      </c>
      <c r="S50" s="50">
        <f t="shared" si="64"/>
        <v>-2.299999999991087</v>
      </c>
      <c r="T50" s="50">
        <f t="shared" si="65"/>
        <v>-0.19999999999997797</v>
      </c>
      <c r="U50" s="50">
        <f t="shared" si="20"/>
        <v>-1.250000000013074</v>
      </c>
      <c r="V50" s="49">
        <f t="shared" si="90"/>
        <v>2.6253571185634299</v>
      </c>
      <c r="W50" s="25"/>
      <c r="AJ50" s="80">
        <v>43812</v>
      </c>
      <c r="AK50">
        <v>157</v>
      </c>
      <c r="AL50">
        <f t="shared" si="28"/>
        <v>15.76161359172486</v>
      </c>
    </row>
    <row r="51" spans="1:38" ht="29.25" customHeight="1" x14ac:dyDescent="0.2">
      <c r="A51" s="30">
        <f t="shared" si="0"/>
        <v>146</v>
      </c>
      <c r="B51" s="31">
        <f t="shared" si="1"/>
        <v>43801</v>
      </c>
      <c r="C51" s="49">
        <f t="shared" si="2"/>
        <v>-6.400000000013506</v>
      </c>
      <c r="D51" s="49">
        <f t="shared" si="3"/>
        <v>-0.89999999999967883</v>
      </c>
      <c r="E51" s="49">
        <f t="shared" si="4"/>
        <v>-6.0500000000018872</v>
      </c>
      <c r="F51" s="49">
        <f t="shared" si="86"/>
        <v>8.8528244080742464</v>
      </c>
      <c r="G51" s="50">
        <f t="shared" si="6"/>
        <v>-8.8000000000079126</v>
      </c>
      <c r="H51" s="50">
        <f t="shared" si="7"/>
        <v>2.7000000000001467</v>
      </c>
      <c r="I51" s="50">
        <f t="shared" si="8"/>
        <v>-12.649999999993611</v>
      </c>
      <c r="J51" s="49">
        <f t="shared" si="87"/>
        <v>15.644567747303803</v>
      </c>
      <c r="K51" s="49">
        <f t="shared" si="10"/>
        <v>-5.3000000000054115</v>
      </c>
      <c r="L51" s="49">
        <f t="shared" si="11"/>
        <v>1.9000000000000128</v>
      </c>
      <c r="M51" s="50">
        <f t="shared" si="12"/>
        <v>-11.300000000005639</v>
      </c>
      <c r="N51" s="49">
        <f t="shared" si="88"/>
        <v>12.624975247507809</v>
      </c>
      <c r="O51" s="50">
        <f t="shared" si="14"/>
        <v>-6.3999999999850843</v>
      </c>
      <c r="P51" s="50">
        <f t="shared" si="15"/>
        <v>3.9000000000000146</v>
      </c>
      <c r="Q51" s="50">
        <f t="shared" si="16"/>
        <v>-9.4500000000010687</v>
      </c>
      <c r="R51" s="49">
        <f t="shared" si="89"/>
        <v>12.061198116266452</v>
      </c>
      <c r="S51" s="50">
        <f t="shared" si="64"/>
        <v>-1.6999999999995907</v>
      </c>
      <c r="T51" s="50">
        <f t="shared" si="65"/>
        <v>-1.1999999999998678</v>
      </c>
      <c r="U51" s="50">
        <f t="shared" si="20"/>
        <v>-1.3500000000021828</v>
      </c>
      <c r="V51" s="49">
        <f t="shared" si="90"/>
        <v>2.4804233509633362</v>
      </c>
      <c r="W51" s="25"/>
      <c r="AJ51" s="80">
        <v>43816</v>
      </c>
      <c r="AK51">
        <v>161</v>
      </c>
      <c r="AL51">
        <f t="shared" si="28"/>
        <v>15.952165193704468</v>
      </c>
    </row>
    <row r="52" spans="1:38" ht="29.25" customHeight="1" x14ac:dyDescent="0.2">
      <c r="A52" s="30">
        <f t="shared" si="0"/>
        <v>148</v>
      </c>
      <c r="B52" s="31">
        <f t="shared" si="1"/>
        <v>43803</v>
      </c>
      <c r="C52" s="49">
        <f t="shared" si="2"/>
        <v>-6.3000000000101863</v>
      </c>
      <c r="D52" s="49">
        <f t="shared" si="3"/>
        <v>-0.79999999999991189</v>
      </c>
      <c r="E52" s="49">
        <f t="shared" si="4"/>
        <v>-6.0500000000018872</v>
      </c>
      <c r="F52" s="49">
        <f t="shared" si="86"/>
        <v>8.7711173746650459</v>
      </c>
      <c r="G52" s="50">
        <f t="shared" si="6"/>
        <v>-8.2000000000164164</v>
      </c>
      <c r="H52" s="50">
        <f t="shared" si="7"/>
        <v>2.6000000000001577</v>
      </c>
      <c r="I52" s="50">
        <f t="shared" si="8"/>
        <v>-12.249999999994543</v>
      </c>
      <c r="J52" s="49">
        <f t="shared" si="87"/>
        <v>14.968717379927259</v>
      </c>
      <c r="K52" s="49">
        <f t="shared" si="10"/>
        <v>-5.3000000000054115</v>
      </c>
      <c r="L52" s="49">
        <f t="shared" si="11"/>
        <v>1.9000000000000128</v>
      </c>
      <c r="M52" s="50">
        <f t="shared" si="12"/>
        <v>-11.600000000001387</v>
      </c>
      <c r="N52" s="49">
        <f t="shared" si="88"/>
        <v>12.894184735767112</v>
      </c>
      <c r="O52" s="50">
        <f t="shared" si="14"/>
        <v>-6.3999999999850843</v>
      </c>
      <c r="P52" s="50">
        <f t="shared" si="15"/>
        <v>3.7000000000000366</v>
      </c>
      <c r="Q52" s="50">
        <f t="shared" si="16"/>
        <v>-9.5500000000043883</v>
      </c>
      <c r="R52" s="49">
        <f t="shared" si="89"/>
        <v>12.076940837807113</v>
      </c>
      <c r="S52" s="50">
        <f t="shared" si="64"/>
        <v>-1.3999999999896318</v>
      </c>
      <c r="T52" s="50">
        <f t="shared" si="65"/>
        <v>-1.2999999999996348</v>
      </c>
      <c r="U52" s="50">
        <f t="shared" si="20"/>
        <v>-1.1500000000097543</v>
      </c>
      <c r="V52" s="49">
        <f t="shared" si="90"/>
        <v>2.2299103120960839</v>
      </c>
      <c r="W52" s="25"/>
      <c r="AJ52" s="80">
        <v>43818</v>
      </c>
      <c r="AK52">
        <v>163</v>
      </c>
      <c r="AL52">
        <f t="shared" si="28"/>
        <v>16.045814123546748</v>
      </c>
    </row>
    <row r="53" spans="1:38" ht="29.25" customHeight="1" x14ac:dyDescent="0.2">
      <c r="A53" s="30">
        <f t="shared" si="0"/>
        <v>153</v>
      </c>
      <c r="B53" s="31">
        <f t="shared" si="1"/>
        <v>43808</v>
      </c>
      <c r="C53" s="49">
        <f t="shared" si="2"/>
        <v>-6.9203436997895551</v>
      </c>
      <c r="D53" s="49">
        <f t="shared" si="3"/>
        <v>-1.1305088862005874</v>
      </c>
      <c r="E53" s="49">
        <f t="shared" si="4"/>
        <v>-6.6500000000075943</v>
      </c>
      <c r="F53" s="49">
        <f t="shared" si="86"/>
        <v>9.663938496549763</v>
      </c>
      <c r="G53" s="50">
        <f t="shared" si="6"/>
        <v>-9.0607976092655917</v>
      </c>
      <c r="H53" s="50">
        <f t="shared" si="7"/>
        <v>2.3757259396497421</v>
      </c>
      <c r="I53" s="50">
        <f t="shared" si="8"/>
        <v>-13.049999999992679</v>
      </c>
      <c r="J53" s="49">
        <f t="shared" si="87"/>
        <v>16.063767523722653</v>
      </c>
      <c r="K53" s="49">
        <f t="shared" si="10"/>
        <v>-6.0947140828204738</v>
      </c>
      <c r="L53" s="49">
        <f t="shared" si="11"/>
        <v>1.7298609643722207</v>
      </c>
      <c r="M53" s="50">
        <f t="shared" si="12"/>
        <v>-12.199999999992883</v>
      </c>
      <c r="N53" s="49">
        <f t="shared" si="88"/>
        <v>13.74692542742614</v>
      </c>
      <c r="O53" s="50">
        <f t="shared" si="14"/>
        <v>-6.6218523706993437</v>
      </c>
      <c r="P53" s="50">
        <f t="shared" si="15"/>
        <v>3.439892986264681</v>
      </c>
      <c r="Q53" s="50">
        <f t="shared" si="16"/>
        <v>-9.9500000000034561</v>
      </c>
      <c r="R53" s="49">
        <f t="shared" si="89"/>
        <v>12.437214019882356</v>
      </c>
      <c r="S53" s="50">
        <f t="shared" si="64"/>
        <v>-2.008259949747071</v>
      </c>
      <c r="T53" s="50">
        <f t="shared" si="65"/>
        <v>-1.4171058284730975</v>
      </c>
      <c r="U53" s="50">
        <f t="shared" si="20"/>
        <v>-1.6500000000121418</v>
      </c>
      <c r="V53" s="49">
        <f t="shared" si="90"/>
        <v>2.9603710839843371</v>
      </c>
      <c r="W53" s="25"/>
      <c r="AJ53" s="80">
        <v>43822</v>
      </c>
      <c r="AK53">
        <v>167</v>
      </c>
      <c r="AL53">
        <f t="shared" si="28"/>
        <v>16.229965688832408</v>
      </c>
    </row>
    <row r="54" spans="1:38" ht="29.25" customHeight="1" x14ac:dyDescent="0.2">
      <c r="A54" s="30">
        <f t="shared" si="0"/>
        <v>156</v>
      </c>
      <c r="B54" s="31">
        <f t="shared" si="1"/>
        <v>43811</v>
      </c>
      <c r="C54" s="49">
        <f t="shared" si="2"/>
        <v>-6.5999999999917236</v>
      </c>
      <c r="D54" s="49">
        <f t="shared" si="3"/>
        <v>-1.0999999999996568</v>
      </c>
      <c r="E54" s="49">
        <f t="shared" si="4"/>
        <v>-5.9499999999985675</v>
      </c>
      <c r="F54" s="49">
        <f t="shared" si="86"/>
        <v>8.9539097605388527</v>
      </c>
      <c r="G54" s="50">
        <f t="shared" si="6"/>
        <v>-9.1000000000178716</v>
      </c>
      <c r="H54" s="50">
        <f t="shared" si="7"/>
        <v>2.6000000000001577</v>
      </c>
      <c r="I54" s="50">
        <f t="shared" si="8"/>
        <v>-12.74999999999693</v>
      </c>
      <c r="J54" s="49">
        <f t="shared" si="87"/>
        <v>15.878680675681082</v>
      </c>
      <c r="K54" s="49">
        <f t="shared" si="10"/>
        <v>-5.7999999999935881</v>
      </c>
      <c r="L54" s="49">
        <f t="shared" si="11"/>
        <v>1.5999999999999903</v>
      </c>
      <c r="M54" s="50">
        <f t="shared" si="12"/>
        <v>-11.700000000004707</v>
      </c>
      <c r="N54" s="49">
        <f t="shared" si="88"/>
        <v>13.156367279763655</v>
      </c>
      <c r="O54" s="50">
        <f t="shared" si="14"/>
        <v>-6.7999999999983629</v>
      </c>
      <c r="P54" s="50">
        <f t="shared" si="15"/>
        <v>3.4999999999998366</v>
      </c>
      <c r="Q54" s="50">
        <f t="shared" si="16"/>
        <v>-9.5500000000043883</v>
      </c>
      <c r="R54" s="49">
        <f t="shared" si="89"/>
        <v>12.23488863864565</v>
      </c>
      <c r="S54" s="50">
        <f t="shared" si="64"/>
        <v>-2.1000000000128694</v>
      </c>
      <c r="T54" s="50">
        <f t="shared" si="65"/>
        <v>-1.1999999999998678</v>
      </c>
      <c r="U54" s="50">
        <f t="shared" si="20"/>
        <v>-0.95000000000311502</v>
      </c>
      <c r="V54" s="49">
        <f t="shared" si="90"/>
        <v>2.5985572920487345</v>
      </c>
      <c r="W54" s="25"/>
      <c r="AJ54" s="80">
        <v>43825</v>
      </c>
      <c r="AK54">
        <v>170</v>
      </c>
      <c r="AL54">
        <f t="shared" si="28"/>
        <v>16.365407112112319</v>
      </c>
    </row>
    <row r="55" spans="1:38" ht="29.25" customHeight="1" x14ac:dyDescent="0.2">
      <c r="A55" s="30">
        <f t="shared" si="0"/>
        <v>160</v>
      </c>
      <c r="B55" s="31">
        <f t="shared" si="1"/>
        <v>43815</v>
      </c>
      <c r="C55" s="49">
        <f t="shared" si="2"/>
        <v>-7.0000000000050022</v>
      </c>
      <c r="D55" s="49">
        <f t="shared" si="3"/>
        <v>-0.89999999999967883</v>
      </c>
      <c r="E55" s="49">
        <f t="shared" si="4"/>
        <v>-6.9500000000033424</v>
      </c>
      <c r="F55" s="49">
        <f t="shared" si="86"/>
        <v>9.9051754149089106</v>
      </c>
      <c r="G55" s="50">
        <f t="shared" si="6"/>
        <v>-9.2000000000211912</v>
      </c>
      <c r="H55" s="50">
        <f t="shared" si="7"/>
        <v>2.6000000000001577</v>
      </c>
      <c r="I55" s="50">
        <f t="shared" si="8"/>
        <v>-13.749999999987494</v>
      </c>
      <c r="J55" s="49">
        <f t="shared" si="87"/>
        <v>16.747014659336955</v>
      </c>
      <c r="K55" s="49">
        <f t="shared" si="10"/>
        <v>-5.8999999999969077</v>
      </c>
      <c r="L55" s="49">
        <f t="shared" si="11"/>
        <v>1.6999999999999793</v>
      </c>
      <c r="M55" s="50">
        <f t="shared" si="12"/>
        <v>-12.500000000002842</v>
      </c>
      <c r="N55" s="49">
        <f t="shared" si="88"/>
        <v>13.926593266123431</v>
      </c>
      <c r="O55" s="50">
        <f t="shared" si="14"/>
        <v>-6.7999999999983629</v>
      </c>
      <c r="P55" s="50">
        <f t="shared" si="15"/>
        <v>3.8000000000000256</v>
      </c>
      <c r="Q55" s="50">
        <f t="shared" si="16"/>
        <v>-10.549999999994952</v>
      </c>
      <c r="R55" s="49">
        <f t="shared" si="89"/>
        <v>13.114209850382577</v>
      </c>
      <c r="S55" s="50">
        <f t="shared" si="64"/>
        <v>-2.0000000000095497</v>
      </c>
      <c r="T55" s="50">
        <f t="shared" si="65"/>
        <v>-0.99999999999988987</v>
      </c>
      <c r="U55" s="50">
        <f t="shared" si="20"/>
        <v>-1.8500000000045702</v>
      </c>
      <c r="V55" s="49">
        <f t="shared" si="90"/>
        <v>2.9021543721957466</v>
      </c>
      <c r="W55" s="25"/>
      <c r="AJ55" s="80">
        <v>43830</v>
      </c>
      <c r="AK55">
        <v>175</v>
      </c>
      <c r="AL55">
        <f t="shared" si="28"/>
        <v>16.586248041244257</v>
      </c>
    </row>
    <row r="56" spans="1:38" ht="29.25" customHeight="1" x14ac:dyDescent="0.2">
      <c r="A56" s="30">
        <f t="shared" si="0"/>
        <v>163</v>
      </c>
      <c r="B56" s="31">
        <f t="shared" si="1"/>
        <v>43818</v>
      </c>
      <c r="C56" s="49">
        <f t="shared" si="2"/>
        <v>-6.5999999999917236</v>
      </c>
      <c r="D56" s="49">
        <f t="shared" si="3"/>
        <v>-0.99999999999988987</v>
      </c>
      <c r="E56" s="49">
        <f t="shared" si="4"/>
        <v>-6.5500000000042746</v>
      </c>
      <c r="F56" s="49">
        <f t="shared" si="86"/>
        <v>9.3521387928081197</v>
      </c>
      <c r="G56" s="50">
        <f t="shared" si="6"/>
        <v>-8.9000000000112323</v>
      </c>
      <c r="H56" s="50">
        <f t="shared" si="7"/>
        <v>2.8000000000001357</v>
      </c>
      <c r="I56" s="50">
        <f t="shared" si="8"/>
        <v>-13.349999999988427</v>
      </c>
      <c r="J56" s="49">
        <f t="shared" si="87"/>
        <v>16.287188216505992</v>
      </c>
      <c r="K56" s="49">
        <f t="shared" si="10"/>
        <v>-5.7999999999935881</v>
      </c>
      <c r="L56" s="49">
        <f t="shared" si="11"/>
        <v>1.9000000000000128</v>
      </c>
      <c r="M56" s="50">
        <f t="shared" si="12"/>
        <v>-12.299999999996203</v>
      </c>
      <c r="N56" s="49">
        <f t="shared" si="88"/>
        <v>13.730986854550268</v>
      </c>
      <c r="O56" s="50">
        <f t="shared" si="14"/>
        <v>-6.5999999999917236</v>
      </c>
      <c r="P56" s="50">
        <f t="shared" si="15"/>
        <v>3.9000000000000146</v>
      </c>
      <c r="Q56" s="50">
        <f t="shared" si="16"/>
        <v>-10.149999999995885</v>
      </c>
      <c r="R56" s="49">
        <f t="shared" si="89"/>
        <v>12.719768079639161</v>
      </c>
      <c r="S56" s="50">
        <f t="shared" si="64"/>
        <v>-2.0000000000095497</v>
      </c>
      <c r="T56" s="50">
        <f t="shared" si="65"/>
        <v>-1.0999999999996568</v>
      </c>
      <c r="U56" s="50">
        <f t="shared" si="20"/>
        <v>-1.3500000000021828</v>
      </c>
      <c r="V56" s="49">
        <f t="shared" si="90"/>
        <v>2.6518861212433951</v>
      </c>
      <c r="W56" s="25"/>
      <c r="AJ56" s="80">
        <v>43832</v>
      </c>
      <c r="AK56">
        <v>177</v>
      </c>
      <c r="AL56">
        <f t="shared" si="28"/>
        <v>16.67292546607068</v>
      </c>
    </row>
    <row r="57" spans="1:38" ht="29.25" customHeight="1" x14ac:dyDescent="0.2">
      <c r="A57" s="30">
        <f t="shared" si="0"/>
        <v>182</v>
      </c>
      <c r="B57" s="31">
        <f t="shared" si="1"/>
        <v>43837</v>
      </c>
      <c r="C57" s="49">
        <f t="shared" si="2"/>
        <v>-7.1000000000083219</v>
      </c>
      <c r="D57" s="49">
        <f t="shared" si="3"/>
        <v>-0.89999999999967883</v>
      </c>
      <c r="E57" s="49">
        <f t="shared" si="4"/>
        <v>-6.7500000000109139</v>
      </c>
      <c r="F57" s="49">
        <f t="shared" si="86"/>
        <v>9.8378097155954851</v>
      </c>
      <c r="G57" s="50">
        <f t="shared" si="6"/>
        <v>-9.6000000000060481</v>
      </c>
      <c r="H57" s="50">
        <f t="shared" si="7"/>
        <v>2.9000000000001247</v>
      </c>
      <c r="I57" s="50">
        <f t="shared" si="8"/>
        <v>-13.949999999994134</v>
      </c>
      <c r="J57" s="49">
        <f t="shared" si="87"/>
        <v>17.180584972577424</v>
      </c>
      <c r="K57" s="49">
        <f t="shared" si="10"/>
        <v>-6.100000000003547</v>
      </c>
      <c r="L57" s="49">
        <f t="shared" si="11"/>
        <v>2.0000000000000018</v>
      </c>
      <c r="M57" s="50">
        <f t="shared" si="12"/>
        <v>-12.699999999995271</v>
      </c>
      <c r="N57" s="49">
        <f t="shared" si="88"/>
        <v>14.230249470755007</v>
      </c>
      <c r="O57" s="50">
        <f t="shared" si="14"/>
        <v>-7.0000000000050022</v>
      </c>
      <c r="P57" s="50">
        <f t="shared" si="15"/>
        <v>3.9000000000000146</v>
      </c>
      <c r="Q57" s="50">
        <f t="shared" si="16"/>
        <v>-10.649999999998272</v>
      </c>
      <c r="R57" s="49">
        <f t="shared" si="89"/>
        <v>13.327884303220573</v>
      </c>
      <c r="S57" s="50">
        <f t="shared" si="64"/>
        <v>-2.0000000000095497</v>
      </c>
      <c r="T57" s="50">
        <f t="shared" si="65"/>
        <v>-1.1999999999998678</v>
      </c>
      <c r="U57" s="50">
        <f t="shared" si="20"/>
        <v>-1.4500000000055024</v>
      </c>
      <c r="V57" s="49">
        <f t="shared" si="90"/>
        <v>2.7463612289816939</v>
      </c>
      <c r="W57" s="25"/>
      <c r="AJ57" s="80">
        <v>43837</v>
      </c>
      <c r="AK57">
        <v>182</v>
      </c>
      <c r="AL57">
        <f t="shared" si="28"/>
        <v>16.885626184169499</v>
      </c>
    </row>
    <row r="58" spans="1:38" ht="29.25" customHeight="1" x14ac:dyDescent="0.2">
      <c r="A58" s="30">
        <f t="shared" si="0"/>
        <v>188</v>
      </c>
      <c r="B58" s="31">
        <f t="shared" si="1"/>
        <v>43843</v>
      </c>
      <c r="C58" s="49">
        <f t="shared" si="2"/>
        <v>-6.7999999999983629</v>
      </c>
      <c r="D58" s="49">
        <f t="shared" si="3"/>
        <v>-0.99999999999988987</v>
      </c>
      <c r="E58" s="49">
        <f t="shared" si="4"/>
        <v>-6.7500000000109139</v>
      </c>
      <c r="F58" s="49">
        <f t="shared" si="86"/>
        <v>9.6334054207286872</v>
      </c>
      <c r="G58" s="50">
        <f t="shared" si="6"/>
        <v>-10.000000000019327</v>
      </c>
      <c r="H58" s="50">
        <f t="shared" si="7"/>
        <v>2.9000000000001247</v>
      </c>
      <c r="I58" s="50">
        <f t="shared" si="8"/>
        <v>-14.150000000000773</v>
      </c>
      <c r="J58" s="49">
        <f t="shared" si="87"/>
        <v>17.567939549087967</v>
      </c>
      <c r="K58" s="49">
        <f t="shared" si="10"/>
        <v>-6.400000000013506</v>
      </c>
      <c r="L58" s="49">
        <f t="shared" si="11"/>
        <v>2.0999999999999908</v>
      </c>
      <c r="M58" s="50">
        <f t="shared" si="12"/>
        <v>-13.00000000000523</v>
      </c>
      <c r="N58" s="49">
        <f t="shared" si="88"/>
        <v>14.641379716417056</v>
      </c>
      <c r="O58" s="50">
        <f t="shared" si="14"/>
        <v>-7.3999999999898591</v>
      </c>
      <c r="P58" s="50">
        <f t="shared" si="15"/>
        <v>4.0999999999999925</v>
      </c>
      <c r="Q58" s="50">
        <f t="shared" si="16"/>
        <v>-10.649999999998272</v>
      </c>
      <c r="R58" s="49">
        <f t="shared" si="89"/>
        <v>13.601194800450916</v>
      </c>
      <c r="S58" s="50">
        <f t="shared" si="64"/>
        <v>-2.7000000000043656</v>
      </c>
      <c r="T58" s="50">
        <f t="shared" si="65"/>
        <v>-1.2999999999996348</v>
      </c>
      <c r="U58" s="50">
        <f t="shared" si="20"/>
        <v>-1.4500000000055024</v>
      </c>
      <c r="V58" s="49">
        <f t="shared" si="90"/>
        <v>3.3290389003492558</v>
      </c>
      <c r="W58" s="25"/>
      <c r="AJ58" s="80">
        <v>43839</v>
      </c>
      <c r="AK58">
        <v>184</v>
      </c>
      <c r="AL58">
        <f t="shared" si="28"/>
        <v>16.969153542228298</v>
      </c>
    </row>
    <row r="59" spans="1:38" ht="29.25" customHeight="1" x14ac:dyDescent="0.2">
      <c r="A59" s="30">
        <f t="shared" si="0"/>
        <v>195</v>
      </c>
      <c r="B59" s="31">
        <f t="shared" si="1"/>
        <v>43850</v>
      </c>
      <c r="C59" s="49">
        <f t="shared" si="2"/>
        <v>-6.9000000000016826</v>
      </c>
      <c r="D59" s="49">
        <f t="shared" si="3"/>
        <v>-1.0999999999996568</v>
      </c>
      <c r="E59" s="49">
        <f t="shared" si="4"/>
        <v>-6.7500000000109139</v>
      </c>
      <c r="F59" s="49">
        <f t="shared" ref="F59:F60" si="91">SQRT(C59*C59+D59*D59+E59*E59)</f>
        <v>9.715065619962111</v>
      </c>
      <c r="G59" s="50">
        <f t="shared" si="6"/>
        <v>-9.6000000000060481</v>
      </c>
      <c r="H59" s="50">
        <f t="shared" si="7"/>
        <v>2.7000000000001467</v>
      </c>
      <c r="I59" s="50">
        <f t="shared" si="8"/>
        <v>-14.249999999989882</v>
      </c>
      <c r="J59" s="49">
        <f t="shared" ref="J59:J60" si="92">SQRT(G59*G59+H59*H59+I59*I59)</f>
        <v>17.392886476943055</v>
      </c>
      <c r="K59" s="49">
        <f t="shared" si="10"/>
        <v>-6.100000000003547</v>
      </c>
      <c r="L59" s="49">
        <f t="shared" si="11"/>
        <v>1.6999999999999793</v>
      </c>
      <c r="M59" s="50">
        <f t="shared" si="12"/>
        <v>-12.90000000000191</v>
      </c>
      <c r="N59" s="49">
        <f t="shared" ref="N59:N60" si="93">SQRT(K59*K59+L59*L59+M59*M59)</f>
        <v>14.370455803491151</v>
      </c>
      <c r="O59" s="50">
        <f t="shared" si="14"/>
        <v>-6.7999999999983629</v>
      </c>
      <c r="P59" s="50">
        <f t="shared" si="15"/>
        <v>3.9000000000000146</v>
      </c>
      <c r="Q59" s="50">
        <f t="shared" si="16"/>
        <v>-10.549999999994952</v>
      </c>
      <c r="R59" s="49">
        <f t="shared" ref="R59:R60" si="94">SQRT(O59*O59+P59*P59+Q59*Q59)</f>
        <v>13.143534532228054</v>
      </c>
      <c r="S59" s="50">
        <f t="shared" si="64"/>
        <v>-2.1000000000128694</v>
      </c>
      <c r="T59" s="50">
        <f t="shared" si="65"/>
        <v>-1.2999999999996348</v>
      </c>
      <c r="U59" s="50">
        <f t="shared" si="20"/>
        <v>-1.250000000013074</v>
      </c>
      <c r="V59" s="49">
        <f t="shared" ref="V59:V60" si="95">SQRT(S59*S59+T59*T59+U59*U59)</f>
        <v>2.7681221071487774</v>
      </c>
      <c r="W59" s="25"/>
      <c r="AJ59" s="80">
        <v>43843</v>
      </c>
      <c r="AK59">
        <v>188</v>
      </c>
      <c r="AL59">
        <f t="shared" si="28"/>
        <v>17.13363479670625</v>
      </c>
    </row>
    <row r="60" spans="1:38" ht="29.25" customHeight="1" x14ac:dyDescent="0.2">
      <c r="A60" s="30">
        <f t="shared" si="0"/>
        <v>202</v>
      </c>
      <c r="B60" s="31">
        <f t="shared" si="1"/>
        <v>43857</v>
      </c>
      <c r="C60" s="49">
        <f t="shared" si="2"/>
        <v>-6.7999999999983629</v>
      </c>
      <c r="D60" s="49">
        <f t="shared" si="3"/>
        <v>-0.89999999999967883</v>
      </c>
      <c r="E60" s="49">
        <f t="shared" si="4"/>
        <v>-7.2499999999990905</v>
      </c>
      <c r="F60" s="49">
        <f t="shared" si="91"/>
        <v>9.9806061940126654</v>
      </c>
      <c r="G60" s="50">
        <f t="shared" si="6"/>
        <v>-9.8000000000126875</v>
      </c>
      <c r="H60" s="50">
        <f t="shared" si="7"/>
        <v>2.9000000000001247</v>
      </c>
      <c r="I60" s="50">
        <f t="shared" si="8"/>
        <v>-14.849999999995589</v>
      </c>
      <c r="J60" s="49">
        <f t="shared" si="92"/>
        <v>18.026993648418429</v>
      </c>
      <c r="K60" s="49">
        <f t="shared" si="10"/>
        <v>-6.2000000000068667</v>
      </c>
      <c r="L60" s="49">
        <f t="shared" si="11"/>
        <v>2.0000000000000018</v>
      </c>
      <c r="M60" s="50">
        <f t="shared" si="12"/>
        <v>-13.499999999993406</v>
      </c>
      <c r="N60" s="49">
        <f t="shared" si="93"/>
        <v>14.989663104950262</v>
      </c>
      <c r="O60" s="50">
        <f t="shared" si="14"/>
        <v>-7.0000000000050022</v>
      </c>
      <c r="P60" s="50">
        <f t="shared" si="15"/>
        <v>4.2999999999999705</v>
      </c>
      <c r="Q60" s="50">
        <f t="shared" si="16"/>
        <v>-11.04999999999734</v>
      </c>
      <c r="R60" s="49">
        <f t="shared" si="94"/>
        <v>13.769259239334954</v>
      </c>
      <c r="S60" s="50">
        <f t="shared" si="64"/>
        <v>-2.1000000000128694</v>
      </c>
      <c r="T60" s="50">
        <f t="shared" si="65"/>
        <v>-1.3999999999998458</v>
      </c>
      <c r="U60" s="50">
        <f t="shared" si="20"/>
        <v>-1.4500000000055024</v>
      </c>
      <c r="V60" s="49">
        <f t="shared" si="95"/>
        <v>2.9107559155775284</v>
      </c>
      <c r="W60" s="25"/>
      <c r="AJ60" s="80">
        <v>43846</v>
      </c>
      <c r="AK60">
        <v>191</v>
      </c>
      <c r="AL60">
        <f t="shared" si="28"/>
        <v>17.254804598512077</v>
      </c>
    </row>
    <row r="61" spans="1:38" ht="29.25" customHeight="1" x14ac:dyDescent="0.2">
      <c r="A61" s="30">
        <f t="shared" si="0"/>
        <v>210</v>
      </c>
      <c r="B61" s="31">
        <f t="shared" si="1"/>
        <v>43865</v>
      </c>
      <c r="C61" s="49">
        <f t="shared" si="2"/>
        <v>-7.1000000000083219</v>
      </c>
      <c r="D61" s="49">
        <f t="shared" si="3"/>
        <v>-1.0999999999996568</v>
      </c>
      <c r="E61" s="49">
        <f t="shared" si="4"/>
        <v>-7.6499999999981583</v>
      </c>
      <c r="F61" s="49">
        <f t="shared" ref="F61:F63" si="96">SQRT(C61*C61+D61*D61+E61*E61)</f>
        <v>10.49487970393607</v>
      </c>
      <c r="G61" s="50">
        <f t="shared" si="6"/>
        <v>-9.3999999999994088</v>
      </c>
      <c r="H61" s="50">
        <f t="shared" si="7"/>
        <v>2.8000000000001357</v>
      </c>
      <c r="I61" s="50">
        <f t="shared" si="8"/>
        <v>-15.049999999988017</v>
      </c>
      <c r="J61" s="49">
        <f t="shared" ref="J61:J63" si="97">SQRT(G61*G61+H61*H61+I61*I61)</f>
        <v>17.963922177509815</v>
      </c>
      <c r="K61" s="49">
        <f t="shared" si="10"/>
        <v>-6.100000000003547</v>
      </c>
      <c r="L61" s="49">
        <f t="shared" si="11"/>
        <v>1.8000000000000238</v>
      </c>
      <c r="M61" s="50">
        <f t="shared" si="12"/>
        <v>-13.800000000003365</v>
      </c>
      <c r="N61" s="49">
        <f t="shared" ref="N61:N63" si="98">SQRT(K61*K61+L61*L61+M61*M61)</f>
        <v>15.195064988348561</v>
      </c>
      <c r="O61" s="50">
        <f t="shared" si="14"/>
        <v>-7.0999999999799002</v>
      </c>
      <c r="P61" s="50">
        <f t="shared" si="15"/>
        <v>3.9000000000000146</v>
      </c>
      <c r="Q61" s="50">
        <f t="shared" si="16"/>
        <v>-11.650000000003047</v>
      </c>
      <c r="R61" s="49">
        <f t="shared" ref="R61:R63" si="99">SQRT(O61*O61+P61*P61+Q61*Q61)</f>
        <v>14.189520781188689</v>
      </c>
      <c r="S61" s="50">
        <f t="shared" si="64"/>
        <v>-2.0000000000095497</v>
      </c>
      <c r="T61" s="50">
        <f t="shared" si="65"/>
        <v>-1.3999999999998458</v>
      </c>
      <c r="U61" s="50">
        <f t="shared" si="20"/>
        <v>-1.9500000000078899</v>
      </c>
      <c r="V61" s="49">
        <f t="shared" ref="V61:V63" si="100">SQRT(S61*S61+T61*T61+U61*U61)</f>
        <v>3.1244999600045666</v>
      </c>
      <c r="W61" s="25"/>
      <c r="AJ61" s="80">
        <v>43851</v>
      </c>
      <c r="AK61">
        <v>196</v>
      </c>
      <c r="AL61">
        <f t="shared" si="28"/>
        <v>17.452727859802202</v>
      </c>
    </row>
    <row r="62" spans="1:38" ht="29.25" customHeight="1" x14ac:dyDescent="0.2">
      <c r="A62" s="30">
        <f t="shared" si="0"/>
        <v>223</v>
      </c>
      <c r="B62" s="31">
        <f t="shared" si="1"/>
        <v>43878</v>
      </c>
      <c r="C62" s="49">
        <f t="shared" si="2"/>
        <v>-6.6999999999950433</v>
      </c>
      <c r="D62" s="49">
        <f t="shared" si="3"/>
        <v>-0.19999999999997797</v>
      </c>
      <c r="E62" s="49">
        <f t="shared" si="4"/>
        <v>-7.8500000000047976</v>
      </c>
      <c r="F62" s="49">
        <f t="shared" si="96"/>
        <v>10.322427040188218</v>
      </c>
      <c r="G62" s="50">
        <f t="shared" si="6"/>
        <v>-9.3999999999994088</v>
      </c>
      <c r="H62" s="50">
        <f t="shared" si="7"/>
        <v>3.6000000000000476</v>
      </c>
      <c r="I62" s="50">
        <f t="shared" si="8"/>
        <v>-15.749999999997044</v>
      </c>
      <c r="J62" s="49">
        <f t="shared" si="97"/>
        <v>18.691776266580341</v>
      </c>
      <c r="K62" s="49">
        <f t="shared" si="10"/>
        <v>-6.2000000000068667</v>
      </c>
      <c r="L62" s="49">
        <f t="shared" si="11"/>
        <v>2.6999999999999802</v>
      </c>
      <c r="M62" s="50">
        <f t="shared" si="12"/>
        <v>-14.499999999998181</v>
      </c>
      <c r="N62" s="49">
        <f t="shared" si="98"/>
        <v>15.999374987793502</v>
      </c>
      <c r="O62" s="50">
        <f t="shared" si="14"/>
        <v>-7.0000000000050022</v>
      </c>
      <c r="P62" s="50">
        <f t="shared" si="15"/>
        <v>4.8999999999999044</v>
      </c>
      <c r="Q62" s="50">
        <f t="shared" si="16"/>
        <v>-12.050000000002115</v>
      </c>
      <c r="R62" s="49">
        <f t="shared" si="99"/>
        <v>14.772017465468963</v>
      </c>
      <c r="S62" s="50">
        <f t="shared" si="64"/>
        <v>-1.90000000000623</v>
      </c>
      <c r="T62" s="50">
        <f t="shared" si="65"/>
        <v>-0.39999999999995595</v>
      </c>
      <c r="U62" s="50">
        <f t="shared" si="20"/>
        <v>-1.9500000000078899</v>
      </c>
      <c r="V62" s="49">
        <f t="shared" si="100"/>
        <v>2.7518175811732886</v>
      </c>
      <c r="W62" s="25"/>
      <c r="AJ62" s="80">
        <v>43853</v>
      </c>
      <c r="AK62">
        <v>198</v>
      </c>
      <c r="AL62">
        <f t="shared" si="28"/>
        <v>17.530528967617297</v>
      </c>
    </row>
    <row r="63" spans="1:38" ht="29.25" customHeight="1" x14ac:dyDescent="0.2">
      <c r="A63" s="30">
        <f t="shared" si="0"/>
        <v>231</v>
      </c>
      <c r="B63" s="31">
        <f t="shared" si="1"/>
        <v>43886</v>
      </c>
      <c r="C63" s="49">
        <f t="shared" si="2"/>
        <v>-6.7999999999983629</v>
      </c>
      <c r="D63" s="49">
        <f t="shared" si="3"/>
        <v>-1.2999999999996348</v>
      </c>
      <c r="E63" s="49">
        <f t="shared" si="4"/>
        <v>-7.7500000000014779</v>
      </c>
      <c r="F63" s="49">
        <f t="shared" si="96"/>
        <v>10.391943995230136</v>
      </c>
      <c r="G63" s="50">
        <f t="shared" si="6"/>
        <v>-9.5000000000027285</v>
      </c>
      <c r="H63" s="50">
        <f t="shared" si="7"/>
        <v>2.7000000000001467</v>
      </c>
      <c r="I63" s="50">
        <f t="shared" si="8"/>
        <v>-15.450000000001296</v>
      </c>
      <c r="J63" s="49">
        <f t="shared" si="97"/>
        <v>18.33691631654823</v>
      </c>
      <c r="K63" s="49">
        <f t="shared" si="10"/>
        <v>-5.7999999999935881</v>
      </c>
      <c r="L63" s="49">
        <f t="shared" si="11"/>
        <v>1.8000000000000238</v>
      </c>
      <c r="M63" s="50">
        <f t="shared" si="12"/>
        <v>-14.099999999999113</v>
      </c>
      <c r="N63" s="49">
        <f t="shared" si="98"/>
        <v>15.352198539619682</v>
      </c>
      <c r="O63" s="50">
        <f t="shared" si="14"/>
        <v>-6.6999999999950433</v>
      </c>
      <c r="P63" s="50">
        <f t="shared" si="15"/>
        <v>4.0999999999999925</v>
      </c>
      <c r="Q63" s="50">
        <f t="shared" si="16"/>
        <v>-11.949999999998795</v>
      </c>
      <c r="R63" s="49">
        <f t="shared" si="99"/>
        <v>14.300437056254774</v>
      </c>
      <c r="S63" s="50">
        <f t="shared" si="64"/>
        <v>-1.6999999999995907</v>
      </c>
      <c r="T63" s="50">
        <f t="shared" si="65"/>
        <v>-1.4999999999996128</v>
      </c>
      <c r="U63" s="50">
        <f t="shared" si="20"/>
        <v>-1.7500000000012506</v>
      </c>
      <c r="V63" s="49">
        <f t="shared" si="100"/>
        <v>2.8640006983242556</v>
      </c>
      <c r="W63" s="25"/>
      <c r="AJ63" s="80">
        <v>43857</v>
      </c>
      <c r="AK63">
        <v>202</v>
      </c>
      <c r="AL63">
        <f t="shared" si="28"/>
        <v>17.683859757657775</v>
      </c>
    </row>
    <row r="64" spans="1:38" ht="29.25" customHeight="1" x14ac:dyDescent="0.2">
      <c r="A64" s="30">
        <f t="shared" si="0"/>
        <v>241</v>
      </c>
      <c r="B64" s="31">
        <f t="shared" si="1"/>
        <v>43896</v>
      </c>
      <c r="C64" s="49">
        <f t="shared" si="2"/>
        <v>-7.2000000000116415</v>
      </c>
      <c r="D64" s="49">
        <f t="shared" si="3"/>
        <v>-0.99999999999988987</v>
      </c>
      <c r="E64" s="49">
        <f t="shared" si="4"/>
        <v>-7.7500000000014779</v>
      </c>
      <c r="F64" s="49">
        <f t="shared" ref="F64" si="101">SQRT(C64*C64+D64*D64+E64*E64)</f>
        <v>10.625558808843435</v>
      </c>
      <c r="G64" s="50">
        <f t="shared" si="6"/>
        <v>-10.300000000000864</v>
      </c>
      <c r="H64" s="50">
        <f t="shared" si="7"/>
        <v>3.0000000000001137</v>
      </c>
      <c r="I64" s="50">
        <f t="shared" si="8"/>
        <v>-15.749999999997044</v>
      </c>
      <c r="J64" s="49">
        <f t="shared" ref="J64" si="102">SQRT(G64*G64+H64*H64+I64*I64)</f>
        <v>19.056560550107811</v>
      </c>
      <c r="K64" s="49">
        <f t="shared" si="10"/>
        <v>-6.5999999999917236</v>
      </c>
      <c r="L64" s="49">
        <f t="shared" si="11"/>
        <v>2.4000000000000132</v>
      </c>
      <c r="M64" s="50">
        <f t="shared" si="12"/>
        <v>-14.300000000005753</v>
      </c>
      <c r="N64" s="49">
        <f t="shared" ref="N64" si="103">SQRT(K64*K64+L64*L64+M64*M64)</f>
        <v>15.931415505222859</v>
      </c>
      <c r="O64" s="50">
        <f t="shared" si="14"/>
        <v>-7.0999999999799002</v>
      </c>
      <c r="P64" s="50">
        <f t="shared" si="15"/>
        <v>4.7999999999999154</v>
      </c>
      <c r="Q64" s="50">
        <f t="shared" si="16"/>
        <v>-11.849999999995475</v>
      </c>
      <c r="R64" s="49">
        <f t="shared" ref="R64" si="104">SQRT(O64*O64+P64*P64+Q64*Q64)</f>
        <v>14.624380328738942</v>
      </c>
      <c r="S64" s="50">
        <f t="shared" si="64"/>
        <v>-2.200000000016189</v>
      </c>
      <c r="T64" s="50">
        <f t="shared" si="65"/>
        <v>-1.0999999999996568</v>
      </c>
      <c r="U64" s="50">
        <f t="shared" si="20"/>
        <v>-1.6500000000121418</v>
      </c>
      <c r="V64" s="49">
        <f t="shared" ref="V64" si="105">SQRT(S64*S64+T64*T64+U64*U64)</f>
        <v>2.9618406439426384</v>
      </c>
      <c r="W64" s="25"/>
      <c r="AJ64" s="80">
        <v>43859</v>
      </c>
      <c r="AK64">
        <v>204</v>
      </c>
      <c r="AL64">
        <f t="shared" si="28"/>
        <v>17.75941529637597</v>
      </c>
    </row>
    <row r="65" spans="1:38" ht="29.25" customHeight="1" x14ac:dyDescent="0.2">
      <c r="A65" s="30">
        <f t="shared" si="0"/>
        <v>315</v>
      </c>
      <c r="B65" s="31">
        <f t="shared" si="1"/>
        <v>43970</v>
      </c>
      <c r="C65" s="49">
        <f t="shared" si="2"/>
        <v>-7.9000000000064574</v>
      </c>
      <c r="D65" s="49">
        <f t="shared" si="3"/>
        <v>-0.29999999999974492</v>
      </c>
      <c r="E65" s="49">
        <f t="shared" si="4"/>
        <v>-8.5499999999996135</v>
      </c>
      <c r="F65" s="49">
        <f t="shared" ref="F65:F67" si="106">SQRT(C65*C65+D65*D65+E65*E65)</f>
        <v>11.64484864650869</v>
      </c>
      <c r="G65" s="50">
        <f t="shared" si="6"/>
        <v>-11.099999999999</v>
      </c>
      <c r="H65" s="50">
        <f t="shared" si="7"/>
        <v>3.5000000000000586</v>
      </c>
      <c r="I65" s="50">
        <f t="shared" si="8"/>
        <v>-17.449999999996635</v>
      </c>
      <c r="J65" s="49">
        <f t="shared" ref="J65:J67" si="107">SQRT(G65*G65+H65*H65+I65*I65)</f>
        <v>20.97528307317593</v>
      </c>
      <c r="K65" s="49">
        <f t="shared" si="10"/>
        <v>-7.1000000000083219</v>
      </c>
      <c r="L65" s="49">
        <f t="shared" si="11"/>
        <v>2.5000000000000022</v>
      </c>
      <c r="M65" s="50">
        <f t="shared" si="12"/>
        <v>-15.799999999998704</v>
      </c>
      <c r="N65" s="49">
        <f t="shared" ref="N65:N67" si="108">SQRT(K65*K65+L65*L65+M65*M65)</f>
        <v>17.501428513126502</v>
      </c>
      <c r="O65" s="50">
        <f t="shared" si="14"/>
        <v>-7.9000000000064574</v>
      </c>
      <c r="P65" s="50">
        <f t="shared" si="15"/>
        <v>5.1999999999998714</v>
      </c>
      <c r="Q65" s="50">
        <f t="shared" si="16"/>
        <v>-13.249999999999318</v>
      </c>
      <c r="R65" s="49">
        <f t="shared" ref="R65:R67" si="109">SQRT(O65*O65+P65*P65+Q65*Q65)</f>
        <v>16.279204526022841</v>
      </c>
      <c r="S65" s="50">
        <f t="shared" si="64"/>
        <v>-2.6000000000010459</v>
      </c>
      <c r="T65" s="50">
        <f t="shared" si="65"/>
        <v>-0.89999999999967883</v>
      </c>
      <c r="U65" s="50">
        <f t="shared" si="20"/>
        <v>-1.7500000000012506</v>
      </c>
      <c r="V65" s="49">
        <f t="shared" ref="V65:V67" si="110">SQRT(S65*S65+T65*T65+U65*U65)</f>
        <v>3.2607514471374901</v>
      </c>
      <c r="W65" s="25"/>
      <c r="AJ65" s="80">
        <v>43864</v>
      </c>
      <c r="AK65">
        <v>209</v>
      </c>
      <c r="AL65">
        <f t="shared" si="28"/>
        <v>17.945166699731114</v>
      </c>
    </row>
    <row r="66" spans="1:38" ht="29.25" customHeight="1" x14ac:dyDescent="0.2">
      <c r="A66" s="30">
        <f t="shared" si="0"/>
        <v>322</v>
      </c>
      <c r="B66" s="31">
        <f t="shared" si="1"/>
        <v>43977</v>
      </c>
      <c r="C66" s="49">
        <f t="shared" si="2"/>
        <v>-7.2000000000116415</v>
      </c>
      <c r="D66" s="49">
        <f t="shared" si="3"/>
        <v>-0.59999999999993392</v>
      </c>
      <c r="E66" s="49">
        <f t="shared" si="4"/>
        <v>-8.1500000000005457</v>
      </c>
      <c r="F66" s="49">
        <f t="shared" si="106"/>
        <v>10.891395686512196</v>
      </c>
      <c r="G66" s="50">
        <f t="shared" si="6"/>
        <v>-10.600000000010823</v>
      </c>
      <c r="H66" s="50">
        <f t="shared" si="7"/>
        <v>3.5000000000000586</v>
      </c>
      <c r="I66" s="50">
        <f t="shared" si="8"/>
        <v>-16.949999999994247</v>
      </c>
      <c r="J66" s="49">
        <f t="shared" si="107"/>
        <v>20.295627607936513</v>
      </c>
      <c r="K66" s="49">
        <f t="shared" si="10"/>
        <v>-6.6999999999950433</v>
      </c>
      <c r="L66" s="49">
        <f t="shared" si="11"/>
        <v>2.5999999999999912</v>
      </c>
      <c r="M66" s="50">
        <f t="shared" si="12"/>
        <v>-15.500000000002956</v>
      </c>
      <c r="N66" s="49">
        <f t="shared" si="108"/>
        <v>17.085081211396837</v>
      </c>
      <c r="O66" s="50">
        <f t="shared" si="14"/>
        <v>-7.4999999999931788</v>
      </c>
      <c r="P66" s="50">
        <f t="shared" si="15"/>
        <v>5.0999999999998824</v>
      </c>
      <c r="Q66" s="50">
        <f t="shared" si="16"/>
        <v>-12.85000000000025</v>
      </c>
      <c r="R66" s="49">
        <f t="shared" si="109"/>
        <v>15.728397884079069</v>
      </c>
      <c r="S66" s="50">
        <f t="shared" si="64"/>
        <v>-2.3999999999944066</v>
      </c>
      <c r="T66" s="50">
        <f t="shared" si="65"/>
        <v>-0.99999999999988987</v>
      </c>
      <c r="U66" s="50">
        <f t="shared" si="20"/>
        <v>-1.6500000000121418</v>
      </c>
      <c r="V66" s="49">
        <f t="shared" si="110"/>
        <v>3.0793668180346749</v>
      </c>
      <c r="W66" s="25"/>
      <c r="AJ66" s="80">
        <v>43867</v>
      </c>
      <c r="AK66">
        <v>212</v>
      </c>
      <c r="AL66">
        <f t="shared" si="28"/>
        <v>18.05452567470093</v>
      </c>
    </row>
    <row r="67" spans="1:38" ht="29.25" customHeight="1" x14ac:dyDescent="0.2">
      <c r="A67" s="30">
        <f t="shared" si="0"/>
        <v>329</v>
      </c>
      <c r="B67" s="31">
        <f t="shared" si="1"/>
        <v>43984</v>
      </c>
      <c r="C67" s="49">
        <f t="shared" si="2"/>
        <v>-7.6693460896706256</v>
      </c>
      <c r="D67" s="49">
        <f t="shared" si="3"/>
        <v>-0.70743046488264127</v>
      </c>
      <c r="E67" s="49">
        <f t="shared" si="4"/>
        <v>-8.2500000000038654</v>
      </c>
      <c r="F67" s="49">
        <f t="shared" si="106"/>
        <v>11.286355802731631</v>
      </c>
      <c r="G67" s="50">
        <f t="shared" si="6"/>
        <v>-10.69169687858107</v>
      </c>
      <c r="H67" s="50">
        <f t="shared" si="7"/>
        <v>3.2702468166321275</v>
      </c>
      <c r="I67" s="50">
        <f t="shared" si="8"/>
        <v>-17.349999999993315</v>
      </c>
      <c r="J67" s="49">
        <f t="shared" si="107"/>
        <v>20.640479558017077</v>
      </c>
      <c r="K67" s="49">
        <f t="shared" si="10"/>
        <v>-6.7953525438326778</v>
      </c>
      <c r="L67" s="49">
        <f t="shared" si="11"/>
        <v>2.2858338260651201</v>
      </c>
      <c r="M67" s="50">
        <f t="shared" si="12"/>
        <v>-15.699999999995384</v>
      </c>
      <c r="N67" s="49">
        <f t="shared" si="108"/>
        <v>17.259543808432824</v>
      </c>
      <c r="O67" s="50">
        <f t="shared" si="14"/>
        <v>-7.8357719691553029</v>
      </c>
      <c r="P67" s="50">
        <f t="shared" si="15"/>
        <v>4.8598926562080091</v>
      </c>
      <c r="Q67" s="50">
        <f t="shared" si="16"/>
        <v>-13.149999999995998</v>
      </c>
      <c r="R67" s="49">
        <f t="shared" si="109"/>
        <v>16.060522375762229</v>
      </c>
      <c r="S67" s="50">
        <f t="shared" si="64"/>
        <v>-2.7694600514962531</v>
      </c>
      <c r="T67" s="50">
        <f t="shared" si="65"/>
        <v>-1.4410746992723489</v>
      </c>
      <c r="U67" s="50">
        <f t="shared" si="20"/>
        <v>-1.7500000000012506</v>
      </c>
      <c r="V67" s="49">
        <f t="shared" si="110"/>
        <v>3.5789810373513991</v>
      </c>
      <c r="W67" s="25"/>
      <c r="AJ67" s="80">
        <v>43871</v>
      </c>
      <c r="AK67">
        <v>216</v>
      </c>
      <c r="AL67">
        <f t="shared" si="28"/>
        <v>18.197977036789354</v>
      </c>
    </row>
    <row r="68" spans="1:38" ht="29.25" customHeight="1" x14ac:dyDescent="0.2">
      <c r="A68" s="30">
        <f t="shared" si="0"/>
        <v>335</v>
      </c>
      <c r="B68" s="31">
        <f t="shared" si="1"/>
        <v>43990</v>
      </c>
      <c r="C68" s="49">
        <f t="shared" si="2"/>
        <v>-7.608784554435033</v>
      </c>
      <c r="D68" s="49">
        <f t="shared" si="3"/>
        <v>-0.12748878156543242</v>
      </c>
      <c r="E68" s="49">
        <f t="shared" si="4"/>
        <v>-8.6500000000029331</v>
      </c>
      <c r="F68" s="49">
        <f t="shared" ref="F68:F69" si="111">SQRT(C68*C68+D68*D68+E68*E68)</f>
        <v>11.520952902658916</v>
      </c>
      <c r="G68" s="50">
        <f t="shared" si="6"/>
        <v>-11.301706084708485</v>
      </c>
      <c r="H68" s="50">
        <f t="shared" si="7"/>
        <v>3.8684846457339717</v>
      </c>
      <c r="I68" s="50">
        <f t="shared" si="8"/>
        <v>-17.749999999992383</v>
      </c>
      <c r="J68" s="49">
        <f t="shared" ref="J68:J69" si="112">SQRT(G68*G68+H68*H68+I68*I68)</f>
        <v>21.395238579626678</v>
      </c>
      <c r="K68" s="49">
        <f t="shared" si="10"/>
        <v>-7.4476270760044372</v>
      </c>
      <c r="L68" s="49">
        <f t="shared" si="11"/>
        <v>2.9747011281501257</v>
      </c>
      <c r="M68" s="50">
        <f t="shared" si="12"/>
        <v>-16.300000000001091</v>
      </c>
      <c r="N68" s="49">
        <f t="shared" ref="N68:N69" si="113">SQRT(K68*K68+L68*L68+M68*M68)</f>
        <v>18.166067154590383</v>
      </c>
      <c r="O68" s="50">
        <f t="shared" si="14"/>
        <v>-8.3128867840969178</v>
      </c>
      <c r="P68" s="50">
        <f t="shared" si="15"/>
        <v>5.4097666619785656</v>
      </c>
      <c r="Q68" s="50">
        <f t="shared" si="16"/>
        <v>-13.750000000001705</v>
      </c>
      <c r="R68" s="49">
        <f t="shared" ref="R68:R69" si="114">SQRT(O68*O68+P68*P68+Q68*Q68)</f>
        <v>16.953824406968323</v>
      </c>
      <c r="S68" s="50">
        <f t="shared" si="64"/>
        <v>-2.9324219584339062</v>
      </c>
      <c r="T68" s="50">
        <f t="shared" si="65"/>
        <v>-0.85503432185474182</v>
      </c>
      <c r="U68" s="50">
        <f t="shared" si="20"/>
        <v>-2.1500000000003183</v>
      </c>
      <c r="V68" s="49">
        <f t="shared" ref="V68:V69" si="115">SQRT(S68*S68+T68*T68+U68*U68)</f>
        <v>3.7353289324845691</v>
      </c>
      <c r="W68" s="25"/>
      <c r="AJ68" s="80">
        <v>43874</v>
      </c>
      <c r="AK68">
        <v>219</v>
      </c>
      <c r="AL68">
        <f t="shared" si="28"/>
        <v>18.30384287143869</v>
      </c>
    </row>
    <row r="69" spans="1:38" ht="29.25" customHeight="1" x14ac:dyDescent="0.2">
      <c r="A69" s="30">
        <f t="shared" si="0"/>
        <v>342</v>
      </c>
      <c r="B69" s="31">
        <f t="shared" si="1"/>
        <v>43997</v>
      </c>
      <c r="C69" s="49">
        <f t="shared" si="2"/>
        <v>-7.3913598135391112</v>
      </c>
      <c r="D69" s="49">
        <f t="shared" si="3"/>
        <v>-0.3571111780962255</v>
      </c>
      <c r="E69" s="49">
        <f t="shared" si="4"/>
        <v>-7.5500000000090495</v>
      </c>
      <c r="F69" s="49">
        <f t="shared" si="111"/>
        <v>10.571765618233259</v>
      </c>
      <c r="G69" s="50">
        <f t="shared" si="6"/>
        <v>-11.217175727892936</v>
      </c>
      <c r="H69" s="50">
        <f t="shared" si="7"/>
        <v>3.6872263327971666</v>
      </c>
      <c r="I69" s="50">
        <f t="shared" si="8"/>
        <v>-17.049999999997567</v>
      </c>
      <c r="J69" s="49">
        <f t="shared" si="112"/>
        <v>20.739411017182245</v>
      </c>
      <c r="K69" s="49">
        <f t="shared" si="10"/>
        <v>-7.1818382023138838</v>
      </c>
      <c r="L69" s="49">
        <f t="shared" si="11"/>
        <v>2.8779730102427847</v>
      </c>
      <c r="M69" s="50">
        <f t="shared" si="12"/>
        <v>-15.100000000003888</v>
      </c>
      <c r="N69" s="49">
        <f t="shared" si="113"/>
        <v>16.966777201696804</v>
      </c>
      <c r="O69" s="50">
        <f t="shared" si="14"/>
        <v>-7.8719383971304069</v>
      </c>
      <c r="P69" s="50">
        <f t="shared" si="15"/>
        <v>5.1740454095634547</v>
      </c>
      <c r="Q69" s="50">
        <f t="shared" si="16"/>
        <v>-12.74999999999693</v>
      </c>
      <c r="R69" s="49">
        <f t="shared" si="114"/>
        <v>15.852465424291655</v>
      </c>
      <c r="S69" s="50">
        <f t="shared" si="64"/>
        <v>-2.7633611463784291</v>
      </c>
      <c r="T69" s="50">
        <f t="shared" si="65"/>
        <v>-1.217551158732455</v>
      </c>
      <c r="U69" s="50">
        <f t="shared" si="20"/>
        <v>-0.84999999999979536</v>
      </c>
      <c r="V69" s="49">
        <f t="shared" si="115"/>
        <v>3.1370520635533454</v>
      </c>
      <c r="W69" s="25"/>
      <c r="AJ69" s="80">
        <v>43893</v>
      </c>
      <c r="AK69">
        <v>238</v>
      </c>
      <c r="AL69">
        <f t="shared" si="28"/>
        <v>18.942312314537595</v>
      </c>
    </row>
    <row r="70" spans="1:38" ht="29.25" customHeight="1" x14ac:dyDescent="0.2">
      <c r="A70" s="30">
        <f t="shared" si="0"/>
        <v>349</v>
      </c>
      <c r="B70" s="31">
        <f t="shared" si="1"/>
        <v>44004</v>
      </c>
      <c r="C70" s="49">
        <f t="shared" si="2"/>
        <v>-7.6693460896706256</v>
      </c>
      <c r="D70" s="49">
        <f t="shared" si="3"/>
        <v>-0.70743046488264127</v>
      </c>
      <c r="E70" s="49">
        <f t="shared" si="4"/>
        <v>-8.1500000000005457</v>
      </c>
      <c r="F70" s="49">
        <f t="shared" ref="F70:F71" si="116">SQRT(C70*C70+D70*D70+E70*E70)</f>
        <v>11.213466337658444</v>
      </c>
      <c r="G70" s="50">
        <f t="shared" si="6"/>
        <v>-11.313903789499591</v>
      </c>
      <c r="H70" s="50">
        <f t="shared" si="7"/>
        <v>3.4214376138248515</v>
      </c>
      <c r="I70" s="50">
        <f t="shared" si="8"/>
        <v>-17.649999999989063</v>
      </c>
      <c r="J70" s="49">
        <f t="shared" ref="J70:J71" si="117">SQRT(G70*G70+H70*H70+I70*I70)</f>
        <v>21.242249275982115</v>
      </c>
      <c r="K70" s="49">
        <f t="shared" si="10"/>
        <v>-7.1517705810890675</v>
      </c>
      <c r="L70" s="49">
        <f t="shared" si="11"/>
        <v>2.3402965053574976</v>
      </c>
      <c r="M70" s="50">
        <f t="shared" si="12"/>
        <v>-15.900000000002024</v>
      </c>
      <c r="N70" s="49">
        <f t="shared" ref="N70:N71" si="118">SQRT(K70*K70+L70*L70+M70*M70)</f>
        <v>17.590759226866357</v>
      </c>
      <c r="O70" s="50">
        <f t="shared" si="14"/>
        <v>-8.0592956151974704</v>
      </c>
      <c r="P70" s="50">
        <f t="shared" si="15"/>
        <v>4.8659915121509467</v>
      </c>
      <c r="Q70" s="50">
        <f t="shared" si="16"/>
        <v>-13.549999999995066</v>
      </c>
      <c r="R70" s="49">
        <f t="shared" ref="R70:R71" si="119">SQRT(O70*O70+P70*P70+Q70*Q70)</f>
        <v>16.499473300967292</v>
      </c>
      <c r="S70" s="50">
        <f t="shared" si="64"/>
        <v>-2.7755587527451553</v>
      </c>
      <c r="T70" s="50">
        <f t="shared" si="65"/>
        <v>-1.6645984016561144</v>
      </c>
      <c r="U70" s="50">
        <f t="shared" si="20"/>
        <v>-1.5500000000088221</v>
      </c>
      <c r="V70" s="49">
        <f t="shared" ref="V70:V71" si="120">SQRT(S70*S70+T70*T70+U70*U70)</f>
        <v>3.5884696221040637</v>
      </c>
      <c r="W70" s="25"/>
      <c r="AJ70" s="80">
        <v>43899</v>
      </c>
      <c r="AK70">
        <v>244</v>
      </c>
      <c r="AL70">
        <f t="shared" si="28"/>
        <v>19.133249681472623</v>
      </c>
    </row>
    <row r="71" spans="1:38" ht="29.25" customHeight="1" x14ac:dyDescent="0.2">
      <c r="A71" s="30">
        <f t="shared" si="0"/>
        <v>363</v>
      </c>
      <c r="B71" s="31">
        <f t="shared" si="1"/>
        <v>44018</v>
      </c>
      <c r="C71" s="49">
        <f t="shared" si="2"/>
        <v>-7.6632473884217234</v>
      </c>
      <c r="D71" s="49">
        <f t="shared" si="3"/>
        <v>-0.48390676249976394</v>
      </c>
      <c r="E71" s="49">
        <f t="shared" si="4"/>
        <v>-8.350000000007185</v>
      </c>
      <c r="F71" s="49">
        <f t="shared" si="116"/>
        <v>11.343810042973454</v>
      </c>
      <c r="G71" s="50">
        <f t="shared" si="6"/>
        <v>-11.712586948846138</v>
      </c>
      <c r="H71" s="50">
        <f t="shared" si="7"/>
        <v>3.5665296042910466</v>
      </c>
      <c r="I71" s="50">
        <f t="shared" si="8"/>
        <v>-18.24999999999477</v>
      </c>
      <c r="J71" s="49">
        <f t="shared" si="117"/>
        <v>21.976517614316752</v>
      </c>
      <c r="K71" s="49">
        <f t="shared" si="10"/>
        <v>-7.3752941216298495</v>
      </c>
      <c r="L71" s="49">
        <f t="shared" si="11"/>
        <v>2.3463954104793738</v>
      </c>
      <c r="M71" s="50">
        <f t="shared" si="12"/>
        <v>-16.400000000004411</v>
      </c>
      <c r="N71" s="49">
        <f t="shared" si="118"/>
        <v>18.134512257102788</v>
      </c>
      <c r="O71" s="50">
        <f t="shared" si="14"/>
        <v>-8.1438259720414408</v>
      </c>
      <c r="P71" s="50">
        <f t="shared" si="15"/>
        <v>5.0472498251166176</v>
      </c>
      <c r="Q71" s="50">
        <f t="shared" si="16"/>
        <v>-13.750000000001705</v>
      </c>
      <c r="R71" s="49">
        <f t="shared" si="119"/>
        <v>16.758852355101268</v>
      </c>
      <c r="S71" s="50">
        <f t="shared" si="64"/>
        <v>-2.6849295962563247</v>
      </c>
      <c r="T71" s="50">
        <f t="shared" si="65"/>
        <v>-1.6223332232399024</v>
      </c>
      <c r="U71" s="50">
        <f t="shared" si="20"/>
        <v>-1.6500000000121418</v>
      </c>
      <c r="V71" s="49">
        <f t="shared" si="120"/>
        <v>3.54447626936917</v>
      </c>
      <c r="W71" s="25"/>
      <c r="AJ71" s="80">
        <v>43906</v>
      </c>
      <c r="AK71">
        <v>251</v>
      </c>
      <c r="AL71">
        <f t="shared" si="28"/>
        <v>19.350034048713081</v>
      </c>
    </row>
    <row r="72" spans="1:38" ht="29.25" customHeight="1" x14ac:dyDescent="0.2">
      <c r="A72" s="30">
        <f t="shared" si="0"/>
        <v>372</v>
      </c>
      <c r="B72" s="31">
        <f t="shared" si="1"/>
        <v>44027</v>
      </c>
      <c r="C72" s="49">
        <f t="shared" si="2"/>
        <v>-7.9830726065495128</v>
      </c>
      <c r="D72" s="49">
        <f t="shared" si="3"/>
        <v>0.91169764551457533</v>
      </c>
      <c r="E72" s="49">
        <f t="shared" si="4"/>
        <v>-7.7500000000014779</v>
      </c>
      <c r="F72" s="49">
        <f t="shared" ref="F72" si="121">SQRT(C72*C72+D72*D72+E72*E72)</f>
        <v>11.163473511336019</v>
      </c>
      <c r="G72" s="50">
        <f t="shared" si="6"/>
        <v>-12.080776095814372</v>
      </c>
      <c r="H72" s="50">
        <f t="shared" si="7"/>
        <v>4.829239571904953</v>
      </c>
      <c r="I72" s="50">
        <f t="shared" si="8"/>
        <v>-17.749999999992383</v>
      </c>
      <c r="J72" s="49">
        <f t="shared" ref="J72" si="122">SQRT(G72*G72+H72*H72+I72*I72)</f>
        <v>22.007480680890811</v>
      </c>
      <c r="K72" s="49">
        <f t="shared" si="10"/>
        <v>-7.7012182448754629</v>
      </c>
      <c r="L72" s="49">
        <f t="shared" si="11"/>
        <v>3.5184762779759682</v>
      </c>
      <c r="M72" s="50">
        <f t="shared" si="12"/>
        <v>-15.900000000002024</v>
      </c>
      <c r="N72" s="49">
        <f t="shared" ref="N72" si="123">SQRT(K72*K72+L72*L72+M72*M72)</f>
        <v>18.013840172876705</v>
      </c>
      <c r="O72" s="50">
        <f t="shared" si="14"/>
        <v>-8.6087431806163295</v>
      </c>
      <c r="P72" s="50">
        <f t="shared" si="15"/>
        <v>6.0441710737813015</v>
      </c>
      <c r="Q72" s="50">
        <f t="shared" si="16"/>
        <v>-13.449999999991746</v>
      </c>
      <c r="R72" s="49">
        <f t="shared" ref="R72" si="124">SQRT(O72*O72+P72*P72+Q72*Q72)</f>
        <v>17.074687789787571</v>
      </c>
      <c r="S72" s="50">
        <f t="shared" si="64"/>
        <v>-3.4579008006687673</v>
      </c>
      <c r="T72" s="50">
        <f t="shared" si="65"/>
        <v>-0.43805454547740652</v>
      </c>
      <c r="U72" s="50">
        <f t="shared" si="20"/>
        <v>-0.95000000000311502</v>
      </c>
      <c r="V72" s="49">
        <f t="shared" ref="V72" si="125">SQRT(S72*S72+T72*T72+U72*U72)</f>
        <v>3.6126817922542029</v>
      </c>
      <c r="W72" s="25"/>
      <c r="AJ72" s="80">
        <v>43913</v>
      </c>
      <c r="AK72">
        <v>258</v>
      </c>
      <c r="AL72">
        <f t="shared" si="28"/>
        <v>19.560689371192112</v>
      </c>
    </row>
    <row r="73" spans="1:38" ht="29.25" customHeight="1" x14ac:dyDescent="0.2">
      <c r="A73" s="30">
        <f t="shared" si="0"/>
        <v>384</v>
      </c>
      <c r="B73" s="31">
        <f t="shared" si="1"/>
        <v>44039</v>
      </c>
      <c r="C73" s="49">
        <f t="shared" si="2"/>
        <v>-7.6449509824101369</v>
      </c>
      <c r="D73" s="49">
        <f t="shared" si="3"/>
        <v>0.18666397175826077</v>
      </c>
      <c r="E73" s="49">
        <f t="shared" si="4"/>
        <v>-9.0500000000020009</v>
      </c>
      <c r="F73" s="49">
        <f t="shared" ref="F73" si="126">SQRT(C73*C73+D73*D73+E73*E73)</f>
        <v>11.848317136278995</v>
      </c>
      <c r="G73" s="50">
        <f t="shared" si="6"/>
        <v>-11.652025315243009</v>
      </c>
      <c r="H73" s="50">
        <f t="shared" si="7"/>
        <v>4.1464710765852786</v>
      </c>
      <c r="I73" s="50">
        <f t="shared" si="8"/>
        <v>-19.349999999988654</v>
      </c>
      <c r="J73" s="49">
        <f t="shared" ref="J73" si="127">SQRT(G73*G73+H73*H73+I73*I73)</f>
        <v>22.964873531887417</v>
      </c>
      <c r="K73" s="49">
        <f t="shared" si="10"/>
        <v>-7.4959910048164602</v>
      </c>
      <c r="L73" s="49">
        <f t="shared" si="11"/>
        <v>2.8418066877772818</v>
      </c>
      <c r="M73" s="50">
        <f t="shared" si="12"/>
        <v>-17.600000000001614</v>
      </c>
      <c r="N73" s="49">
        <f t="shared" ref="N73" si="128">SQRT(K73*K73+L73*L73+M73*M73)</f>
        <v>19.339745251554938</v>
      </c>
      <c r="O73" s="50">
        <f t="shared" si="14"/>
        <v>-7.9503700526970533</v>
      </c>
      <c r="P73" s="50">
        <f t="shared" si="15"/>
        <v>5.5788274248622649</v>
      </c>
      <c r="Q73" s="50">
        <f t="shared" si="16"/>
        <v>-14.749999999992269</v>
      </c>
      <c r="R73" s="49">
        <f t="shared" ref="R73" si="129">SQRT(O73*O73+P73*P73+Q73*Q73)</f>
        <v>17.660526589289159</v>
      </c>
      <c r="S73" s="50">
        <f t="shared" si="64"/>
        <v>-2.7149972175095627</v>
      </c>
      <c r="T73" s="50">
        <f t="shared" si="65"/>
        <v>-1.0846567183291356</v>
      </c>
      <c r="U73" s="50">
        <f t="shared" si="20"/>
        <v>-2.250000000003638</v>
      </c>
      <c r="V73" s="49">
        <f t="shared" ref="V73" si="130">SQRT(S73*S73+T73*T73+U73*U73)</f>
        <v>3.6891991119642169</v>
      </c>
      <c r="W73" s="25"/>
      <c r="AJ73" s="80">
        <v>43921</v>
      </c>
      <c r="AK73">
        <v>266</v>
      </c>
      <c r="AL73">
        <f t="shared" si="28"/>
        <v>19.794317316210901</v>
      </c>
    </row>
    <row r="74" spans="1:38" ht="29.25" customHeight="1" x14ac:dyDescent="0.2">
      <c r="A74" s="30">
        <f t="shared" si="0"/>
        <v>398</v>
      </c>
      <c r="B74" s="31">
        <f t="shared" si="1"/>
        <v>44053</v>
      </c>
      <c r="C74" s="49">
        <f t="shared" si="2"/>
        <v>-7.8684745229793407</v>
      </c>
      <c r="D74" s="49">
        <f t="shared" si="3"/>
        <v>0.19276287689162785</v>
      </c>
      <c r="E74" s="49">
        <f t="shared" si="4"/>
        <v>-8.5499999999996135</v>
      </c>
      <c r="F74" s="49">
        <f t="shared" ref="F74" si="131">SQRT(C74*C74+D74*D74+E74*E74)</f>
        <v>11.621211160867695</v>
      </c>
      <c r="G74" s="50">
        <f t="shared" si="6"/>
        <v>-12.280330920276583</v>
      </c>
      <c r="H74" s="50">
        <f t="shared" si="7"/>
        <v>4.0741384316114182</v>
      </c>
      <c r="I74" s="50">
        <f t="shared" si="8"/>
        <v>-19.549999999995293</v>
      </c>
      <c r="J74" s="49">
        <f t="shared" ref="J74" si="132">SQRT(G74*G74+H74*H74+I74*I74)</f>
        <v>23.443711981494104</v>
      </c>
      <c r="K74" s="49">
        <f t="shared" si="10"/>
        <v>-7.7195146508870494</v>
      </c>
      <c r="L74" s="49">
        <f t="shared" si="11"/>
        <v>2.8479055437019007</v>
      </c>
      <c r="M74" s="50">
        <f t="shared" si="12"/>
        <v>-17.499999999998295</v>
      </c>
      <c r="N74" s="49">
        <f t="shared" ref="N74" si="133">SQRT(K74*K74+L74*L74+M74*M74)</f>
        <v>19.337824914685935</v>
      </c>
      <c r="O74" s="50">
        <f t="shared" si="14"/>
        <v>-8.2222576276080872</v>
      </c>
      <c r="P74" s="50">
        <f t="shared" si="15"/>
        <v>5.4520318404069901</v>
      </c>
      <c r="Q74" s="50">
        <f t="shared" si="16"/>
        <v>-14.65000000000316</v>
      </c>
      <c r="R74" s="49">
        <f t="shared" ref="R74" si="134">SQRT(O74*O74+P74*P74+Q74*Q74)</f>
        <v>17.662181962703919</v>
      </c>
      <c r="S74" s="50">
        <f t="shared" si="64"/>
        <v>-3.3555003305139053</v>
      </c>
      <c r="T74" s="50">
        <f t="shared" si="65"/>
        <v>-1.6040368172407504</v>
      </c>
      <c r="U74" s="50">
        <f t="shared" si="20"/>
        <v>-1.9500000000078899</v>
      </c>
      <c r="V74" s="49">
        <f t="shared" ref="V74" si="135">SQRT(S74*S74+T74*T74+U74*U74)</f>
        <v>4.1993828807544489</v>
      </c>
      <c r="W74" s="25"/>
      <c r="AJ74" s="80">
        <v>43923</v>
      </c>
      <c r="AK74">
        <v>268</v>
      </c>
      <c r="AL74">
        <f t="shared" si="28"/>
        <v>19.851583974012733</v>
      </c>
    </row>
    <row r="75" spans="1:38" ht="29.25" customHeight="1" x14ac:dyDescent="0.2">
      <c r="A75" s="30">
        <f t="shared" si="0"/>
        <v>420</v>
      </c>
      <c r="B75" s="31">
        <f t="shared" si="1"/>
        <v>44075</v>
      </c>
      <c r="C75" s="49">
        <f t="shared" si="2"/>
        <v>-7.8262092953309548</v>
      </c>
      <c r="D75" s="49">
        <f t="shared" si="3"/>
        <v>0.10213361490452044</v>
      </c>
      <c r="E75" s="49">
        <f t="shared" si="4"/>
        <v>-9.1500000000053205</v>
      </c>
      <c r="F75" s="49">
        <f t="shared" ref="F75" si="136">SQRT(C75*C75+D75*D75+E75*E75)</f>
        <v>12.040867211696817</v>
      </c>
      <c r="G75" s="50">
        <f t="shared" si="6"/>
        <v>-12.195800465036655</v>
      </c>
      <c r="H75" s="50">
        <f t="shared" si="7"/>
        <v>3.892879907674951</v>
      </c>
      <c r="I75" s="50">
        <f t="shared" si="8"/>
        <v>-20.550000000000068</v>
      </c>
      <c r="J75" s="49">
        <f t="shared" ref="J75" si="137">SQRT(G75*G75+H75*H75+I75*I75)</f>
        <v>24.211455201176371</v>
      </c>
      <c r="K75" s="49"/>
      <c r="L75" s="49"/>
      <c r="M75" s="50"/>
      <c r="N75" s="49"/>
      <c r="O75" s="50">
        <f t="shared" si="14"/>
        <v>-7.9987339815659197</v>
      </c>
      <c r="P75" s="50">
        <f t="shared" si="15"/>
        <v>5.4459329844591675</v>
      </c>
      <c r="Q75" s="50">
        <f t="shared" si="16"/>
        <v>-15.450000000001296</v>
      </c>
      <c r="R75" s="49">
        <f t="shared" ref="R75" si="138">SQRT(O75*O75+P75*P75+Q75*Q75)</f>
        <v>18.230206564356802</v>
      </c>
      <c r="S75" s="50">
        <f t="shared" si="64"/>
        <v>-2.8178239803366978</v>
      </c>
      <c r="T75" s="50">
        <f t="shared" si="65"/>
        <v>-1.5739691396601252</v>
      </c>
      <c r="U75" s="50">
        <f t="shared" si="20"/>
        <v>-2.3500000000069576</v>
      </c>
      <c r="V75" s="49">
        <f t="shared" ref="V75" si="139">SQRT(S75*S75+T75*T75+U75*U75)</f>
        <v>3.9924943126816959</v>
      </c>
      <c r="W75" s="25"/>
      <c r="AJ75" s="80">
        <v>43934</v>
      </c>
      <c r="AK75">
        <v>279</v>
      </c>
      <c r="AL75">
        <f t="shared" si="28"/>
        <v>20.158780301217636</v>
      </c>
    </row>
    <row r="76" spans="1:38" ht="29.25" customHeight="1" x14ac:dyDescent="0.2">
      <c r="A76" s="30">
        <f t="shared" si="0"/>
        <v>427</v>
      </c>
      <c r="B76" s="31">
        <f t="shared" si="1"/>
        <v>44082</v>
      </c>
      <c r="C76" s="49">
        <f t="shared" si="2"/>
        <v>-7.288532945182169</v>
      </c>
      <c r="D76" s="49">
        <f t="shared" si="3"/>
        <v>0.13220129246382939</v>
      </c>
      <c r="E76" s="49">
        <f t="shared" si="4"/>
        <v>-8.7500000000062528</v>
      </c>
      <c r="F76" s="49">
        <f t="shared" ref="F76:F78" si="140">SQRT(C76*C76+D76*D76+E76*E76)</f>
        <v>11.388708867770939</v>
      </c>
      <c r="G76" s="50">
        <f t="shared" si="6"/>
        <v>-12.147436536167788</v>
      </c>
      <c r="H76" s="50">
        <f t="shared" si="7"/>
        <v>4.0257743480645036</v>
      </c>
      <c r="I76" s="50">
        <f t="shared" si="8"/>
        <v>-20.449999999996749</v>
      </c>
      <c r="J76" s="49">
        <f t="shared" ref="J76:J77" si="141">SQRT(G76*G76+H76*H76+I76*I76)</f>
        <v>24.124045545920055</v>
      </c>
      <c r="K76" s="49"/>
      <c r="L76" s="49"/>
      <c r="M76" s="50"/>
      <c r="N76" s="49"/>
      <c r="O76" s="50">
        <f t="shared" si="14"/>
        <v>-7.9503700526970533</v>
      </c>
      <c r="P76" s="50">
        <f t="shared" si="15"/>
        <v>5.5788274248622649</v>
      </c>
      <c r="Q76" s="50">
        <f t="shared" si="16"/>
        <v>-15.450000000001296</v>
      </c>
      <c r="R76" s="49">
        <f t="shared" ref="R76:R78" si="142">SQRT(O76*O76+P76*P76+Q76*Q76)</f>
        <v>18.249224624932904</v>
      </c>
      <c r="S76" s="50">
        <f t="shared" si="64"/>
        <v>-2.9084531368255284</v>
      </c>
      <c r="T76" s="50">
        <f t="shared" si="65"/>
        <v>-1.6162343180896599</v>
      </c>
      <c r="U76" s="50">
        <f t="shared" si="20"/>
        <v>-1.9500000000078899</v>
      </c>
      <c r="V76" s="49">
        <f t="shared" ref="V76:V78" si="143">SQRT(S76*S76+T76*T76+U76*U76)</f>
        <v>3.8566582711087811</v>
      </c>
      <c r="W76" s="25"/>
      <c r="AJ76" s="80">
        <v>43942</v>
      </c>
      <c r="AK76">
        <v>287</v>
      </c>
      <c r="AL76">
        <f t="shared" si="28"/>
        <v>20.374315863444217</v>
      </c>
    </row>
    <row r="77" spans="1:38" ht="29.25" customHeight="1" x14ac:dyDescent="0.2">
      <c r="A77" s="30">
        <f t="shared" si="0"/>
        <v>457</v>
      </c>
      <c r="B77" s="31">
        <f t="shared" si="1"/>
        <v>44112</v>
      </c>
      <c r="C77" s="49"/>
      <c r="D77" s="49"/>
      <c r="E77" s="49"/>
      <c r="F77" s="49"/>
      <c r="G77" s="50">
        <f t="shared" si="6"/>
        <v>-12.020640951760697</v>
      </c>
      <c r="H77" s="50">
        <f t="shared" si="7"/>
        <v>3.7538867731501391</v>
      </c>
      <c r="I77" s="50">
        <f t="shared" si="8"/>
        <v>-20.449999999996749</v>
      </c>
      <c r="J77" s="49">
        <f t="shared" si="141"/>
        <v>24.016452169224429</v>
      </c>
      <c r="K77" s="49"/>
      <c r="L77" s="49"/>
      <c r="M77" s="50"/>
      <c r="N77" s="49"/>
      <c r="O77" s="50">
        <f t="shared" si="14"/>
        <v>-7.7207475999045982</v>
      </c>
      <c r="P77" s="50">
        <f t="shared" si="15"/>
        <v>5.7962523204733163</v>
      </c>
      <c r="Q77" s="50">
        <f t="shared" si="16"/>
        <v>-14.949999999998909</v>
      </c>
      <c r="R77" s="49">
        <f t="shared" si="142"/>
        <v>17.79631940778745</v>
      </c>
      <c r="S77" s="50">
        <f t="shared" si="64"/>
        <v>-1.8753655656666979</v>
      </c>
      <c r="T77" s="50">
        <f t="shared" si="65"/>
        <v>-1.4654699120186798</v>
      </c>
      <c r="U77" s="50">
        <f t="shared" si="20"/>
        <v>-0.65000000000736691</v>
      </c>
      <c r="V77" s="49">
        <f t="shared" si="143"/>
        <v>2.467204504683385</v>
      </c>
      <c r="W77" s="25"/>
      <c r="AJ77" s="80">
        <v>43952</v>
      </c>
      <c r="AK77">
        <v>297</v>
      </c>
      <c r="AL77">
        <f t="shared" si="28"/>
        <v>20.634980165540767</v>
      </c>
    </row>
    <row r="78" spans="1:38" ht="29.25" customHeight="1" x14ac:dyDescent="0.2">
      <c r="A78" s="30">
        <f t="shared" ref="A78:A107" si="144">jours</f>
        <v>479</v>
      </c>
      <c r="B78" s="31">
        <f t="shared" ref="B78:B107" si="145">date</f>
        <v>44134</v>
      </c>
      <c r="C78" s="49">
        <f t="shared" ref="C78:C107" si="146">DPM_IG</f>
        <v>-8.2370902649984146</v>
      </c>
      <c r="D78" s="49">
        <f t="shared" ref="D78:D107" si="147">DH_IG</f>
        <v>-0.19982147572861209</v>
      </c>
      <c r="E78" s="49">
        <f t="shared" ref="E78:E107" si="148">DZ_IG</f>
        <v>-8.350000000007185</v>
      </c>
      <c r="F78" s="49">
        <f t="shared" si="140"/>
        <v>11.730817731770195</v>
      </c>
      <c r="G78" s="50"/>
      <c r="H78" s="50"/>
      <c r="I78" s="50"/>
      <c r="J78" s="49"/>
      <c r="K78" s="49">
        <f t="shared" ref="K78:K107" si="149">DPMhaut</f>
        <v>-8.190957057365722</v>
      </c>
      <c r="L78" s="49">
        <f t="shared" ref="L78:L107" si="150">DHhaut</f>
        <v>1.9660085587208664</v>
      </c>
      <c r="M78" s="50">
        <f t="shared" ref="M78:M107" si="151">DZhaut</f>
        <v>-18.900000000002137</v>
      </c>
      <c r="N78" s="49">
        <f t="shared" ref="N78" si="152">SQRT(K78*K78+L78*L78+M78*M78)</f>
        <v>20.692195803458219</v>
      </c>
      <c r="O78" s="50">
        <f t="shared" ref="O78:O107" si="153">DPM_HD</f>
        <v>-8.6815024277200337</v>
      </c>
      <c r="P78" s="50">
        <f t="shared" ref="P78:P107" si="154">DH_HD</f>
        <v>5.0171820983442306</v>
      </c>
      <c r="Q78" s="50">
        <f t="shared" ref="Q78:Q107" si="155">DZ_HD</f>
        <v>-15.749999999997044</v>
      </c>
      <c r="R78" s="49">
        <f t="shared" si="142"/>
        <v>18.670915901753762</v>
      </c>
      <c r="S78" s="50">
        <f t="shared" si="64"/>
        <v>-2.7093247035168133</v>
      </c>
      <c r="T78" s="50">
        <f t="shared" si="65"/>
        <v>-2.5164276598692581</v>
      </c>
      <c r="U78" s="50">
        <f t="shared" ref="U78:U107" si="156">DZ_ID</f>
        <v>-1.1500000000097543</v>
      </c>
      <c r="V78" s="49">
        <f t="shared" si="143"/>
        <v>3.8723827957039543</v>
      </c>
      <c r="W78" s="25"/>
      <c r="AJ78" s="80">
        <v>44026</v>
      </c>
      <c r="AK78">
        <v>371</v>
      </c>
      <c r="AL78">
        <f t="shared" si="28"/>
        <v>22.312056877686334</v>
      </c>
    </row>
    <row r="79" spans="1:38" ht="29.25" customHeight="1" x14ac:dyDescent="0.2">
      <c r="A79" s="30"/>
      <c r="B79" s="31"/>
      <c r="C79" s="49"/>
      <c r="D79" s="49"/>
      <c r="E79" s="49"/>
      <c r="F79" s="49"/>
      <c r="G79" s="50"/>
      <c r="H79" s="50"/>
      <c r="I79" s="50"/>
      <c r="J79" s="49"/>
      <c r="K79" s="49"/>
      <c r="L79" s="49"/>
      <c r="M79" s="50"/>
      <c r="N79" s="49"/>
      <c r="O79" s="50"/>
      <c r="P79" s="50"/>
      <c r="Q79" s="50"/>
      <c r="R79" s="49"/>
      <c r="S79" s="50"/>
      <c r="T79" s="50"/>
      <c r="U79" s="50"/>
      <c r="V79" s="49"/>
      <c r="W79" s="25"/>
      <c r="AJ79" s="80">
        <v>44033</v>
      </c>
      <c r="AK79">
        <v>378</v>
      </c>
      <c r="AL79">
        <f t="shared" si="28"/>
        <v>22.451426793146371</v>
      </c>
    </row>
    <row r="80" spans="1:38" ht="29.25" customHeight="1" x14ac:dyDescent="0.2">
      <c r="A80" s="30">
        <f t="shared" si="144"/>
        <v>479</v>
      </c>
      <c r="B80" s="31">
        <f t="shared" si="145"/>
        <v>44134</v>
      </c>
      <c r="C80" s="49"/>
      <c r="D80" s="49"/>
      <c r="E80" s="49"/>
      <c r="F80" s="49"/>
      <c r="G80" s="50"/>
      <c r="H80" s="50"/>
      <c r="I80" s="50"/>
      <c r="J80" s="49"/>
      <c r="K80" s="49"/>
      <c r="L80" s="49"/>
      <c r="M80" s="50"/>
      <c r="N80" s="49"/>
      <c r="O80" s="50"/>
      <c r="P80" s="50"/>
      <c r="Q80" s="50"/>
      <c r="R80" s="49"/>
      <c r="S80" s="50"/>
      <c r="T80" s="50"/>
      <c r="U80" s="50"/>
      <c r="V80" s="49"/>
      <c r="W80" s="25"/>
      <c r="AJ80" s="80">
        <v>44040</v>
      </c>
      <c r="AK80">
        <v>385</v>
      </c>
      <c r="AL80">
        <f t="shared" si="28"/>
        <v>22.587971263054968</v>
      </c>
    </row>
    <row r="81" spans="1:38" ht="29.25" customHeight="1" x14ac:dyDescent="0.2">
      <c r="A81" s="30" t="str">
        <f t="shared" si="144"/>
        <v/>
      </c>
      <c r="B81" s="31"/>
      <c r="C81" s="49" t="str">
        <f t="shared" si="146"/>
        <v/>
      </c>
      <c r="D81" s="49" t="str">
        <f t="shared" si="147"/>
        <v/>
      </c>
      <c r="E81" s="49" t="str">
        <f t="shared" si="148"/>
        <v/>
      </c>
      <c r="F81" s="49"/>
      <c r="G81" s="50"/>
      <c r="H81" s="50"/>
      <c r="I81" s="50"/>
      <c r="J81" s="49"/>
      <c r="K81" s="49"/>
      <c r="L81" s="49"/>
      <c r="M81" s="50"/>
      <c r="N81" s="49"/>
      <c r="O81" s="50"/>
      <c r="P81" s="50"/>
      <c r="Q81" s="50"/>
      <c r="R81" s="49"/>
      <c r="S81" s="50"/>
      <c r="T81" s="50"/>
      <c r="U81" s="50"/>
      <c r="V81" s="49"/>
      <c r="W81" s="25"/>
      <c r="AJ81" s="80">
        <v>44046</v>
      </c>
      <c r="AK81">
        <v>391</v>
      </c>
      <c r="AL81">
        <f t="shared" si="28"/>
        <v>22.702836333418773</v>
      </c>
    </row>
    <row r="82" spans="1:38" ht="29.25" customHeight="1" x14ac:dyDescent="0.2">
      <c r="A82" s="30">
        <f t="shared" si="144"/>
        <v>485</v>
      </c>
      <c r="B82" s="31">
        <f t="shared" si="145"/>
        <v>44140</v>
      </c>
      <c r="C82" s="49">
        <f t="shared" si="146"/>
        <v>-6.8963749766055571</v>
      </c>
      <c r="D82" s="49">
        <f t="shared" si="147"/>
        <v>-1.8917086713998721</v>
      </c>
      <c r="E82" s="49">
        <f t="shared" si="148"/>
        <v>-9.1500000000053205</v>
      </c>
      <c r="F82" s="49">
        <f t="shared" ref="F82" si="157">SQRT(C82*C82+D82*D82+E82*E82)</f>
        <v>11.612969022411889</v>
      </c>
      <c r="G82" s="50"/>
      <c r="H82" s="50"/>
      <c r="I82" s="50"/>
      <c r="J82" s="49"/>
      <c r="K82" s="49">
        <f t="shared" si="149"/>
        <v>-7.0375990996751625</v>
      </c>
      <c r="L82" s="49">
        <f t="shared" si="150"/>
        <v>-3.3932843762962683E-2</v>
      </c>
      <c r="M82" s="50">
        <f t="shared" si="151"/>
        <v>-19.599999999996953</v>
      </c>
      <c r="N82" s="49">
        <f t="shared" ref="N82" si="158">SQRT(K82*K82+L82*L82+M82*M82)</f>
        <v>20.825199939628792</v>
      </c>
      <c r="O82" s="50">
        <f t="shared" si="153"/>
        <v>-7.6126748197111738</v>
      </c>
      <c r="P82" s="50">
        <f t="shared" si="154"/>
        <v>3.1984992690405889</v>
      </c>
      <c r="Q82" s="50">
        <f t="shared" si="155"/>
        <v>-16.450000000006071</v>
      </c>
      <c r="R82" s="49">
        <f t="shared" ref="R82" si="159">SQRT(O82*O82+P82*P82+Q82*Q82)</f>
        <v>18.406132550998251</v>
      </c>
      <c r="S82" s="50">
        <f t="shared" si="64"/>
        <v>-1.9184834771976966</v>
      </c>
      <c r="T82" s="50">
        <f t="shared" si="65"/>
        <v>-4.6854298251934878</v>
      </c>
      <c r="U82" s="50">
        <f t="shared" si="156"/>
        <v>-1.6500000000121418</v>
      </c>
      <c r="V82" s="49">
        <f t="shared" ref="V82" si="160">SQRT(S82*S82+T82*T82+U82*U82)</f>
        <v>5.3250663375335812</v>
      </c>
      <c r="W82" s="25"/>
      <c r="AJ82" s="80">
        <v>44053</v>
      </c>
      <c r="AK82">
        <v>398</v>
      </c>
      <c r="AL82">
        <f t="shared" si="28"/>
        <v>22.834394505116158</v>
      </c>
    </row>
    <row r="83" spans="1:38" ht="29.25" customHeight="1" x14ac:dyDescent="0.2">
      <c r="A83" s="30">
        <f t="shared" si="144"/>
        <v>517</v>
      </c>
      <c r="B83" s="31">
        <f t="shared" si="145"/>
        <v>44172</v>
      </c>
      <c r="C83" s="49">
        <f t="shared" si="146"/>
        <v>-9.3973998117178326</v>
      </c>
      <c r="D83" s="49">
        <f t="shared" si="147"/>
        <v>-1.7339927889414852</v>
      </c>
      <c r="E83" s="49">
        <f t="shared" si="148"/>
        <v>-8.9500000000128921</v>
      </c>
      <c r="F83" s="49">
        <f t="shared" ref="F83:F86" si="161">SQRT(C83*C83+D83*D83+E83*E83)</f>
        <v>13.092759610319215</v>
      </c>
      <c r="G83" s="50"/>
      <c r="H83" s="50"/>
      <c r="I83" s="50"/>
      <c r="J83" s="49"/>
      <c r="K83" s="49">
        <f t="shared" si="149"/>
        <v>-8.3726419724712287</v>
      </c>
      <c r="L83" s="49">
        <f t="shared" si="150"/>
        <v>0.22618362140192083</v>
      </c>
      <c r="M83" s="50">
        <f t="shared" si="151"/>
        <v>-19.599999999996953</v>
      </c>
      <c r="N83" s="49">
        <f t="shared" ref="N83:N86" si="162">SQRT(K83*K83+L83*L83+M83*M83)</f>
        <v>21.314602802530896</v>
      </c>
      <c r="O83" s="50">
        <f t="shared" si="153"/>
        <v>-9.0867108833379007</v>
      </c>
      <c r="P83" s="50">
        <f t="shared" si="154"/>
        <v>3.2834560661947343</v>
      </c>
      <c r="Q83" s="50">
        <f t="shared" si="155"/>
        <v>-16.149999999996112</v>
      </c>
      <c r="R83" s="49">
        <f t="shared" ref="R83:R86" si="163">SQRT(O83*O83+P83*P83+Q83*Q83)</f>
        <v>18.819455316663042</v>
      </c>
      <c r="S83" s="50">
        <f t="shared" si="64"/>
        <v>-3.4831486972848325</v>
      </c>
      <c r="T83" s="50">
        <f t="shared" si="65"/>
        <v>-4.6427382064617717</v>
      </c>
      <c r="U83" s="50">
        <f t="shared" si="156"/>
        <v>-1.1500000000097543</v>
      </c>
      <c r="V83" s="49">
        <f t="shared" ref="V83:V86" si="164">SQRT(S83*S83+T83*T83+U83*U83)</f>
        <v>5.9169116016009005</v>
      </c>
      <c r="W83" s="25"/>
      <c r="AJ83" s="80">
        <v>44055</v>
      </c>
      <c r="AK83">
        <v>400</v>
      </c>
      <c r="AL83">
        <f t="shared" si="28"/>
        <v>22.871509721043097</v>
      </c>
    </row>
    <row r="84" spans="1:38" ht="29.25" customHeight="1" x14ac:dyDescent="0.2">
      <c r="A84" s="30">
        <f t="shared" si="144"/>
        <v>531</v>
      </c>
      <c r="B84" s="31">
        <f t="shared" si="145"/>
        <v>44186</v>
      </c>
      <c r="C84" s="49">
        <f t="shared" si="146"/>
        <v>-6.951448749617839</v>
      </c>
      <c r="D84" s="49">
        <f t="shared" si="147"/>
        <v>-2.1751855467933012</v>
      </c>
      <c r="E84" s="49">
        <f t="shared" si="148"/>
        <v>-9.4500000000152795</v>
      </c>
      <c r="F84" s="49">
        <f t="shared" si="161"/>
        <v>11.931327331099029</v>
      </c>
      <c r="G84" s="50"/>
      <c r="H84" s="50"/>
      <c r="I84" s="50"/>
      <c r="J84" s="49"/>
      <c r="K84" s="49">
        <f t="shared" si="149"/>
        <v>-6.317430817460945</v>
      </c>
      <c r="L84" s="49">
        <f t="shared" si="150"/>
        <v>-0.77758617875478553</v>
      </c>
      <c r="M84" s="50">
        <f t="shared" si="151"/>
        <v>-20.600000000001728</v>
      </c>
      <c r="N84" s="49">
        <f t="shared" si="162"/>
        <v>21.560950173841295</v>
      </c>
      <c r="O84" s="50">
        <f t="shared" si="153"/>
        <v>-7.0738488475967642</v>
      </c>
      <c r="P84" s="50">
        <f t="shared" si="154"/>
        <v>2.3768767607723618</v>
      </c>
      <c r="Q84" s="50">
        <f t="shared" si="155"/>
        <v>-17.250000000004206</v>
      </c>
      <c r="R84" s="49">
        <f t="shared" si="163"/>
        <v>18.794982858589975</v>
      </c>
      <c r="S84" s="50">
        <f t="shared" si="64"/>
        <v>-1.3598891266326518</v>
      </c>
      <c r="T84" s="50">
        <f t="shared" si="65"/>
        <v>-5.6860853571696346</v>
      </c>
      <c r="U84" s="50">
        <f t="shared" si="156"/>
        <v>-1.8500000000187811</v>
      </c>
      <c r="V84" s="49">
        <f t="shared" si="164"/>
        <v>6.1321582763185534</v>
      </c>
      <c r="W84" s="25"/>
      <c r="AJ84" s="80">
        <v>44065</v>
      </c>
      <c r="AK84">
        <v>410</v>
      </c>
      <c r="AL84">
        <f t="shared" si="28"/>
        <v>23.054030465982123</v>
      </c>
    </row>
    <row r="85" spans="1:38" ht="29.25" customHeight="1" x14ac:dyDescent="0.2">
      <c r="A85" s="30">
        <f t="shared" si="144"/>
        <v>548</v>
      </c>
      <c r="B85" s="31">
        <f t="shared" si="145"/>
        <v>44203</v>
      </c>
      <c r="C85" s="49">
        <f t="shared" si="146"/>
        <v>-8.4793366098381284</v>
      </c>
      <c r="D85" s="49">
        <f t="shared" si="147"/>
        <v>-2.5195880471060583</v>
      </c>
      <c r="E85" s="49">
        <f t="shared" si="148"/>
        <v>-9.1500000000053205</v>
      </c>
      <c r="F85" s="49">
        <f t="shared" si="161"/>
        <v>12.726742445345481</v>
      </c>
      <c r="G85" s="50"/>
      <c r="H85" s="50"/>
      <c r="I85" s="50"/>
      <c r="J85" s="49"/>
      <c r="K85" s="49">
        <f t="shared" si="149"/>
        <v>-7.4667762714284436</v>
      </c>
      <c r="L85" s="49">
        <f t="shared" si="150"/>
        <v>-1.0064588304940503</v>
      </c>
      <c r="M85" s="50">
        <f t="shared" si="151"/>
        <v>-20.899999999997476</v>
      </c>
      <c r="N85" s="49">
        <f t="shared" si="162"/>
        <v>22.216563804174147</v>
      </c>
      <c r="O85" s="50">
        <f t="shared" si="153"/>
        <v>-7.8666924781600756</v>
      </c>
      <c r="P85" s="50">
        <f t="shared" si="154"/>
        <v>2.0869801477936267</v>
      </c>
      <c r="Q85" s="50">
        <f t="shared" si="155"/>
        <v>-17.250000000004206</v>
      </c>
      <c r="R85" s="49">
        <f t="shared" si="163"/>
        <v>19.073616245572577</v>
      </c>
      <c r="S85" s="50">
        <f t="shared" si="64"/>
        <v>-1.6348246870450112</v>
      </c>
      <c r="T85" s="50">
        <f t="shared" si="65"/>
        <v>-5.7668814799347601</v>
      </c>
      <c r="U85" s="50">
        <f t="shared" si="156"/>
        <v>-1.6500000000121418</v>
      </c>
      <c r="V85" s="49">
        <f t="shared" si="164"/>
        <v>6.2170791985486575</v>
      </c>
      <c r="W85" s="25"/>
      <c r="AJ85" s="80">
        <v>44075</v>
      </c>
      <c r="AK85">
        <v>420</v>
      </c>
      <c r="AL85">
        <f t="shared" si="28"/>
        <v>23.23163670727903</v>
      </c>
    </row>
    <row r="86" spans="1:38" ht="29.25" customHeight="1" x14ac:dyDescent="0.2">
      <c r="A86" s="30">
        <f t="shared" si="144"/>
        <v>574</v>
      </c>
      <c r="B86" s="31">
        <f t="shared" si="145"/>
        <v>44229</v>
      </c>
      <c r="C86" s="49">
        <f t="shared" si="146"/>
        <v>-8.6514487496174297</v>
      </c>
      <c r="D86" s="49">
        <f t="shared" si="147"/>
        <v>-1.9751855467933233</v>
      </c>
      <c r="E86" s="49">
        <f t="shared" si="148"/>
        <v>-9.1500000000053205</v>
      </c>
      <c r="F86" s="49">
        <f t="shared" si="161"/>
        <v>12.746427868686018</v>
      </c>
      <c r="G86" s="50"/>
      <c r="H86" s="50"/>
      <c r="I86" s="50"/>
      <c r="J86" s="49"/>
      <c r="K86" s="49">
        <f t="shared" si="149"/>
        <v>-7.3174308174657199</v>
      </c>
      <c r="L86" s="49">
        <f t="shared" si="150"/>
        <v>-0.47758617875476306</v>
      </c>
      <c r="M86" s="50">
        <f t="shared" si="151"/>
        <v>-21.799999999998931</v>
      </c>
      <c r="N86" s="49">
        <f t="shared" si="162"/>
        <v>23.000280048870884</v>
      </c>
      <c r="O86" s="50">
        <f t="shared" si="153"/>
        <v>-7.6738488475882605</v>
      </c>
      <c r="P86" s="50">
        <f t="shared" si="154"/>
        <v>2.3768767607723618</v>
      </c>
      <c r="Q86" s="50">
        <f t="shared" si="155"/>
        <v>-18.550000000004729</v>
      </c>
      <c r="R86" s="49">
        <f t="shared" si="163"/>
        <v>20.214846011575425</v>
      </c>
      <c r="S86" s="50">
        <f t="shared" si="64"/>
        <v>-1.8598891266492501</v>
      </c>
      <c r="T86" s="50">
        <f t="shared" si="65"/>
        <v>-6.1860853571698016</v>
      </c>
      <c r="U86" s="50">
        <f t="shared" si="156"/>
        <v>-2.6500000000169166</v>
      </c>
      <c r="V86" s="49">
        <f t="shared" si="164"/>
        <v>6.9820727301932628</v>
      </c>
      <c r="W86" s="25"/>
      <c r="AJ86" s="80">
        <v>44085</v>
      </c>
      <c r="AK86">
        <v>430</v>
      </c>
      <c r="AL86">
        <f t="shared" si="28"/>
        <v>23.404557816056926</v>
      </c>
    </row>
    <row r="87" spans="1:38" ht="29.25" customHeight="1" x14ac:dyDescent="0.2">
      <c r="A87" s="30">
        <f t="shared" si="144"/>
        <v>590</v>
      </c>
      <c r="B87" s="31">
        <f t="shared" si="145"/>
        <v>44245</v>
      </c>
      <c r="C87" s="49">
        <f t="shared" si="146"/>
        <v>-7.9839254872240417</v>
      </c>
      <c r="D87" s="49">
        <f t="shared" si="147"/>
        <v>-2.3988911076155972</v>
      </c>
      <c r="E87" s="49">
        <f t="shared" si="148"/>
        <v>-9.1500000000053205</v>
      </c>
      <c r="F87" s="49">
        <f t="shared" ref="F87" si="165">SQRT(C87*C87+D87*D87+E87*E87)</f>
        <v>12.378216540836576</v>
      </c>
      <c r="G87" s="50"/>
      <c r="H87" s="50"/>
      <c r="I87" s="50"/>
      <c r="J87" s="49"/>
      <c r="K87" s="49">
        <f t="shared" si="149"/>
        <v>-7.188789791371164</v>
      </c>
      <c r="L87" s="49">
        <f t="shared" si="150"/>
        <v>-0.65613970550487677</v>
      </c>
      <c r="M87" s="50">
        <f t="shared" si="151"/>
        <v>-20.800000000008367</v>
      </c>
      <c r="N87" s="49">
        <f t="shared" ref="N87" si="166">SQRT(K87*K87+L87*L87+M87*M87)</f>
        <v>22.017021096824394</v>
      </c>
      <c r="O87" s="50">
        <f t="shared" si="153"/>
        <v>-7.5464408759842172</v>
      </c>
      <c r="P87" s="50">
        <f t="shared" si="154"/>
        <v>2.3466699616141451</v>
      </c>
      <c r="Q87" s="50">
        <f t="shared" si="155"/>
        <v>-17.449999999996635</v>
      </c>
      <c r="R87" s="49">
        <f t="shared" ref="R87" si="167">SQRT(O87*O87+P87*P87+Q87*Q87)</f>
        <v>19.156151226260199</v>
      </c>
      <c r="S87" s="50">
        <f t="shared" si="64"/>
        <v>-1.6831886158854559</v>
      </c>
      <c r="T87" s="50">
        <f t="shared" si="65"/>
        <v>-5.899775920315431</v>
      </c>
      <c r="U87" s="50">
        <f t="shared" si="156"/>
        <v>-1.1500000000097543</v>
      </c>
      <c r="V87" s="49">
        <f t="shared" ref="V87" si="168">SQRT(S87*S87+T87*T87+U87*U87)</f>
        <v>6.2420333086745563</v>
      </c>
      <c r="W87" s="25"/>
      <c r="AJ87" s="80">
        <v>44095</v>
      </c>
      <c r="AK87">
        <v>440</v>
      </c>
      <c r="AL87">
        <f t="shared" si="28"/>
        <v>23.573008108834987</v>
      </c>
    </row>
    <row r="88" spans="1:38" ht="29.25" customHeight="1" x14ac:dyDescent="0.2">
      <c r="A88" s="30">
        <f t="shared" si="144"/>
        <v>618</v>
      </c>
      <c r="B88" s="31">
        <f t="shared" si="145"/>
        <v>44273</v>
      </c>
      <c r="C88" s="49">
        <f t="shared" si="146"/>
        <v>-6.9926765486627573</v>
      </c>
      <c r="D88" s="49">
        <f t="shared" si="147"/>
        <v>-0.50220311931203909</v>
      </c>
      <c r="E88" s="49">
        <f t="shared" si="148"/>
        <v>-9.8500000000143473</v>
      </c>
      <c r="F88" s="49">
        <f t="shared" ref="F88:F89" si="169">SQRT(C88*C88+D88*D88+E88*E88)</f>
        <v>12.090170937068983</v>
      </c>
      <c r="G88" s="50"/>
      <c r="H88" s="50"/>
      <c r="I88" s="50"/>
      <c r="J88" s="49"/>
      <c r="K88" s="49">
        <f t="shared" si="149"/>
        <v>-7.8288667171477755</v>
      </c>
      <c r="L88" s="49">
        <f t="shared" si="150"/>
        <v>0.47977483949507294</v>
      </c>
      <c r="M88" s="50">
        <f t="shared" si="151"/>
        <v>-21.699999999995612</v>
      </c>
      <c r="N88" s="49">
        <f t="shared" ref="N88:N89" si="170">SQRT(K88*K88+L88*L88+M88*M88)</f>
        <v>23.074040347786649</v>
      </c>
      <c r="O88" s="50">
        <f t="shared" si="153"/>
        <v>-8.7603604744401764</v>
      </c>
      <c r="P88" s="50">
        <f t="shared" si="154"/>
        <v>3.7666696316056569</v>
      </c>
      <c r="Q88" s="50">
        <f t="shared" si="155"/>
        <v>-18.34999999999809</v>
      </c>
      <c r="R88" s="49">
        <f t="shared" ref="R88:R89" si="171">SQRT(O88*O88+P88*P88+Q88*Q88)</f>
        <v>20.679802120806762</v>
      </c>
      <c r="S88" s="50">
        <f t="shared" si="64"/>
        <v>-2.7764115350237262</v>
      </c>
      <c r="T88" s="50">
        <f t="shared" si="65"/>
        <v>-4.9751873657788437</v>
      </c>
      <c r="U88" s="50">
        <f t="shared" si="156"/>
        <v>-2.0500000000112095</v>
      </c>
      <c r="V88" s="49">
        <f t="shared" ref="V88:V89" si="172">SQRT(S88*S88+T88*T88+U88*U88)</f>
        <v>6.0550351226449708</v>
      </c>
      <c r="W88" s="25"/>
      <c r="AJ88" s="80">
        <v>44105</v>
      </c>
      <c r="AK88">
        <v>450</v>
      </c>
      <c r="AL88">
        <f t="shared" si="28"/>
        <v>23.73718810996948</v>
      </c>
    </row>
    <row r="89" spans="1:38" ht="29.25" customHeight="1" x14ac:dyDescent="0.2">
      <c r="A89" s="30">
        <f t="shared" si="144"/>
        <v>632</v>
      </c>
      <c r="B89" s="31">
        <f t="shared" si="145"/>
        <v>44287</v>
      </c>
      <c r="C89" s="49">
        <f t="shared" si="146"/>
        <v>-8.6841373532138277</v>
      </c>
      <c r="D89" s="49">
        <f t="shared" si="147"/>
        <v>-0.18762392563376196</v>
      </c>
      <c r="E89" s="49">
        <f t="shared" si="148"/>
        <v>-8.9500000000128921</v>
      </c>
      <c r="F89" s="49">
        <f t="shared" si="169"/>
        <v>12.472046516397567</v>
      </c>
      <c r="G89" s="50"/>
      <c r="H89" s="50"/>
      <c r="I89" s="50"/>
      <c r="J89" s="49"/>
      <c r="K89" s="49">
        <f t="shared" si="149"/>
        <v>-8.3125066244633672</v>
      </c>
      <c r="L89" s="49">
        <f t="shared" si="150"/>
        <v>-0.84916933918555149</v>
      </c>
      <c r="M89" s="50">
        <f t="shared" si="151"/>
        <v>-21.399999999999864</v>
      </c>
      <c r="N89" s="49">
        <f t="shared" si="170"/>
        <v>22.973438030655192</v>
      </c>
      <c r="O89" s="50">
        <f t="shared" si="153"/>
        <v>-8.1747464810462134</v>
      </c>
      <c r="P89" s="50">
        <f t="shared" si="154"/>
        <v>2.2743373166536074</v>
      </c>
      <c r="Q89" s="50">
        <f t="shared" si="155"/>
        <v>-17.849999999995703</v>
      </c>
      <c r="R89" s="49">
        <f t="shared" si="171"/>
        <v>19.764149115485523</v>
      </c>
      <c r="S89" s="50">
        <f t="shared" si="64"/>
        <v>-1.6892875210317015</v>
      </c>
      <c r="T89" s="50">
        <f t="shared" si="65"/>
        <v>-6.1232994608619862</v>
      </c>
      <c r="U89" s="50">
        <f t="shared" si="156"/>
        <v>-1.3500000000163936</v>
      </c>
      <c r="V89" s="49">
        <f t="shared" si="172"/>
        <v>6.4939193570716895</v>
      </c>
      <c r="W89" s="25"/>
      <c r="AJ89" s="80">
        <v>44115</v>
      </c>
      <c r="AK89">
        <v>460</v>
      </c>
      <c r="AL89">
        <f t="shared" ref="AL89:AL152" si="173">$AG$12*(1-($AG$13/(AK89+$AG$13))^$AG$14)</f>
        <v>23.897285686103132</v>
      </c>
    </row>
    <row r="90" spans="1:38" ht="29.25" customHeight="1" x14ac:dyDescent="0.2">
      <c r="A90" s="30">
        <f t="shared" si="144"/>
        <v>653</v>
      </c>
      <c r="B90" s="31">
        <f t="shared" si="145"/>
        <v>44308</v>
      </c>
      <c r="C90" s="49">
        <f t="shared" si="146"/>
        <v>-7.5970133392218031</v>
      </c>
      <c r="D90" s="49">
        <f t="shared" si="147"/>
        <v>-1.3357360207169044</v>
      </c>
      <c r="E90" s="49">
        <f t="shared" si="148"/>
        <v>-9.2500000000086402</v>
      </c>
      <c r="F90" s="49">
        <f t="shared" ref="F90:F91" si="174">SQRT(C90*C90+D90*D90+E90*E90)</f>
        <v>12.044139753154415</v>
      </c>
      <c r="G90" s="50"/>
      <c r="H90" s="50"/>
      <c r="I90" s="50"/>
      <c r="J90" s="49"/>
      <c r="K90" s="49">
        <f t="shared" si="149"/>
        <v>-7.2127586129511201</v>
      </c>
      <c r="L90" s="49">
        <f t="shared" si="150"/>
        <v>0.10506029074897061</v>
      </c>
      <c r="M90" s="50">
        <f t="shared" si="151"/>
        <v>-21.900000000002251</v>
      </c>
      <c r="N90" s="49">
        <f t="shared" ref="N90:N91" si="175">SQRT(K90*K90+L90*L90+M90*M90)</f>
        <v>23.057426666336628</v>
      </c>
      <c r="O90" s="50">
        <f t="shared" si="153"/>
        <v>-7.5159468565288989</v>
      </c>
      <c r="P90" s="50">
        <f t="shared" si="154"/>
        <v>3.4642881989839225</v>
      </c>
      <c r="Q90" s="50">
        <f t="shared" si="155"/>
        <v>-18.24999999999477</v>
      </c>
      <c r="R90" s="49">
        <f t="shared" ref="R90:R91" si="176">SQRT(O90*O90+P90*P90+Q90*Q90)</f>
        <v>20.038793623259735</v>
      </c>
      <c r="S90" s="50">
        <f t="shared" si="64"/>
        <v>-1.8339531203537263</v>
      </c>
      <c r="T90" s="50">
        <f t="shared" si="65"/>
        <v>-4.8666881381334015</v>
      </c>
      <c r="U90" s="50">
        <f t="shared" si="156"/>
        <v>-1.5500000000088221</v>
      </c>
      <c r="V90" s="49">
        <f t="shared" ref="V90:V91" si="177">SQRT(S90*S90+T90*T90+U90*U90)</f>
        <v>5.4268349414304904</v>
      </c>
      <c r="W90" s="25"/>
      <c r="AJ90" s="80">
        <v>44125</v>
      </c>
      <c r="AK90">
        <v>470</v>
      </c>
      <c r="AL90">
        <f t="shared" si="173"/>
        <v>24.053477067758372</v>
      </c>
    </row>
    <row r="91" spans="1:38" ht="29.25" customHeight="1" x14ac:dyDescent="0.2">
      <c r="A91" s="30">
        <f t="shared" si="144"/>
        <v>667</v>
      </c>
      <c r="B91" s="31">
        <f t="shared" si="145"/>
        <v>44322</v>
      </c>
      <c r="C91" s="49">
        <f t="shared" si="146"/>
        <v>-7.3434221703223557</v>
      </c>
      <c r="D91" s="49">
        <f t="shared" si="147"/>
        <v>-1.8795111705265377</v>
      </c>
      <c r="E91" s="49">
        <f t="shared" si="148"/>
        <v>-9.7500000000110276</v>
      </c>
      <c r="F91" s="49">
        <f t="shared" si="174"/>
        <v>12.349935684526093</v>
      </c>
      <c r="G91" s="50"/>
      <c r="H91" s="50"/>
      <c r="I91" s="50"/>
      <c r="J91" s="49"/>
      <c r="K91" s="49">
        <f t="shared" si="149"/>
        <v>-7.0436978008672213</v>
      </c>
      <c r="L91" s="49">
        <f t="shared" si="150"/>
        <v>-0.25745654611347701</v>
      </c>
      <c r="M91" s="50">
        <f t="shared" si="151"/>
        <v>-22.300000000001319</v>
      </c>
      <c r="N91" s="49">
        <f t="shared" si="175"/>
        <v>23.387388964635132</v>
      </c>
      <c r="O91" s="50">
        <f t="shared" si="153"/>
        <v>-7.7033040817013898</v>
      </c>
      <c r="P91" s="50">
        <f t="shared" si="154"/>
        <v>3.1562340413830992</v>
      </c>
      <c r="Q91" s="50">
        <f t="shared" si="155"/>
        <v>-18.950000000003797</v>
      </c>
      <c r="R91" s="49">
        <f t="shared" si="176"/>
        <v>20.697951760966269</v>
      </c>
      <c r="S91" s="50">
        <f t="shared" si="64"/>
        <v>-1.121117052974796</v>
      </c>
      <c r="T91" s="50">
        <f t="shared" si="65"/>
        <v>-4.9756137569088033</v>
      </c>
      <c r="U91" s="50">
        <f t="shared" si="156"/>
        <v>-1.8500000000187811</v>
      </c>
      <c r="V91" s="49">
        <f t="shared" si="177"/>
        <v>5.4255078752574422</v>
      </c>
      <c r="W91" s="25"/>
      <c r="AJ91" s="80">
        <v>44135</v>
      </c>
      <c r="AK91">
        <v>480</v>
      </c>
      <c r="AL91">
        <f t="shared" si="173"/>
        <v>24.205927771174149</v>
      </c>
    </row>
    <row r="92" spans="1:38" ht="29.25" customHeight="1" x14ac:dyDescent="0.2">
      <c r="A92" s="30">
        <f t="shared" si="144"/>
        <v>682</v>
      </c>
      <c r="B92" s="31">
        <f t="shared" si="145"/>
        <v>44337</v>
      </c>
      <c r="C92" s="49">
        <f t="shared" si="146"/>
        <v>-7.9834990960989671</v>
      </c>
      <c r="D92" s="49">
        <f t="shared" si="147"/>
        <v>-0.74359662554579486</v>
      </c>
      <c r="E92" s="49">
        <f t="shared" si="148"/>
        <v>-9.9500000000176669</v>
      </c>
      <c r="F92" s="49">
        <f t="shared" ref="F92:F95" si="178">SQRT(C92*C92+D92*D92+E92*E92)</f>
        <v>12.778563837900082</v>
      </c>
      <c r="G92" s="50"/>
      <c r="H92" s="50"/>
      <c r="I92" s="50"/>
      <c r="J92" s="49"/>
      <c r="K92" s="49">
        <f t="shared" si="149"/>
        <v>-7.9133970739917459</v>
      </c>
      <c r="L92" s="49">
        <f t="shared" si="150"/>
        <v>0.66103315243176697</v>
      </c>
      <c r="M92" s="50">
        <f t="shared" si="151"/>
        <v>-22.999999999996135</v>
      </c>
      <c r="N92" s="49">
        <f t="shared" ref="N92:N95" si="179">SQRT(K92*K92+L92*L92+M92*M92)</f>
        <v>24.332258795251569</v>
      </c>
      <c r="O92" s="50">
        <f t="shared" si="153"/>
        <v>-8.5730033547974926</v>
      </c>
      <c r="P92" s="50">
        <f t="shared" si="154"/>
        <v>4.0747237399949565</v>
      </c>
      <c r="Q92" s="50">
        <f t="shared" si="155"/>
        <v>-19.450000000006185</v>
      </c>
      <c r="R92" s="49">
        <f t="shared" ref="R92:R95" si="180">SQRT(O92*O92+P92*P92+Q92*Q92)</f>
        <v>21.642602895190034</v>
      </c>
      <c r="S92" s="50">
        <f t="shared" si="64"/>
        <v>-2.3533330645193473</v>
      </c>
      <c r="T92" s="50">
        <f t="shared" si="65"/>
        <v>-4.2261850814222512</v>
      </c>
      <c r="U92" s="50">
        <f t="shared" si="156"/>
        <v>-2.2500000000178488</v>
      </c>
      <c r="V92" s="49">
        <f t="shared" ref="V92:V95" si="181">SQRT(S92*S92+T92*T92+U92*U92)</f>
        <v>5.3349148873319754</v>
      </c>
      <c r="W92" s="25"/>
      <c r="AJ92" s="80"/>
    </row>
    <row r="93" spans="1:38" ht="29.25" customHeight="1" x14ac:dyDescent="0.2">
      <c r="A93" s="30">
        <f t="shared" si="144"/>
        <v>696</v>
      </c>
      <c r="B93" s="31">
        <f t="shared" si="145"/>
        <v>44351</v>
      </c>
      <c r="C93" s="49">
        <f t="shared" si="146"/>
        <v>-8.0318630249394118</v>
      </c>
      <c r="D93" s="49">
        <f t="shared" si="147"/>
        <v>-0.87649106590959036</v>
      </c>
      <c r="E93" s="49">
        <f t="shared" si="148"/>
        <v>-8.9500000000128921</v>
      </c>
      <c r="F93" s="49">
        <f t="shared" si="178"/>
        <v>12.057427596309212</v>
      </c>
      <c r="G93" s="50"/>
      <c r="H93" s="50"/>
      <c r="I93" s="50"/>
      <c r="J93" s="49"/>
      <c r="K93" s="49">
        <f t="shared" si="149"/>
        <v>-7.4301834522714216</v>
      </c>
      <c r="L93" s="49">
        <f t="shared" si="150"/>
        <v>0.33468289826155129</v>
      </c>
      <c r="M93" s="50">
        <f t="shared" si="151"/>
        <v>-21.799999999998931</v>
      </c>
      <c r="N93" s="49">
        <f t="shared" si="179"/>
        <v>23.033880237093147</v>
      </c>
      <c r="O93" s="50">
        <f t="shared" si="153"/>
        <v>-8.5791020560179732</v>
      </c>
      <c r="P93" s="50">
        <f t="shared" si="154"/>
        <v>3.8512000376129674</v>
      </c>
      <c r="Q93" s="50">
        <f t="shared" si="155"/>
        <v>-18.34999999999809</v>
      </c>
      <c r="R93" s="49">
        <f t="shared" si="180"/>
        <v>20.619292757444708</v>
      </c>
      <c r="S93" s="50">
        <f t="shared" si="64"/>
        <v>-2.6735847721965911</v>
      </c>
      <c r="T93" s="50">
        <f t="shared" si="65"/>
        <v>-4.4858749444416368</v>
      </c>
      <c r="U93" s="50">
        <f t="shared" si="156"/>
        <v>-1.250000000013074</v>
      </c>
      <c r="V93" s="49">
        <f t="shared" si="181"/>
        <v>5.3696954803157544</v>
      </c>
      <c r="W93" s="25"/>
      <c r="AJ93" s="80">
        <v>44155</v>
      </c>
      <c r="AK93">
        <v>500</v>
      </c>
      <c r="AL93">
        <f t="shared" si="173"/>
        <v>24.500220559034432</v>
      </c>
    </row>
    <row r="94" spans="1:38" ht="29.25" customHeight="1" x14ac:dyDescent="0.2">
      <c r="A94" s="30">
        <f t="shared" si="144"/>
        <v>702</v>
      </c>
      <c r="B94" s="31">
        <f t="shared" si="145"/>
        <v>44357</v>
      </c>
      <c r="C94" s="49">
        <f t="shared" si="146"/>
        <v>-7.971301489732241</v>
      </c>
      <c r="D94" s="49">
        <f t="shared" si="147"/>
        <v>-0.29654938263012909</v>
      </c>
      <c r="E94" s="49">
        <f t="shared" si="148"/>
        <v>-9.1500000000053205</v>
      </c>
      <c r="F94" s="49">
        <f t="shared" si="178"/>
        <v>12.138866873668363</v>
      </c>
      <c r="G94" s="50"/>
      <c r="H94" s="50"/>
      <c r="I94" s="50"/>
      <c r="J94" s="49"/>
      <c r="K94" s="49">
        <f t="shared" si="149"/>
        <v>-8.0279950520605325</v>
      </c>
      <c r="L94" s="49">
        <f t="shared" si="150"/>
        <v>1.3799679702833356</v>
      </c>
      <c r="M94" s="50">
        <f t="shared" si="151"/>
        <v>-22.199999999997999</v>
      </c>
      <c r="N94" s="49">
        <f t="shared" si="179"/>
        <v>23.647262339535786</v>
      </c>
      <c r="O94" s="50">
        <f t="shared" si="153"/>
        <v>-8.6392372984960275</v>
      </c>
      <c r="P94" s="50">
        <f t="shared" si="154"/>
        <v>4.9265530473994179</v>
      </c>
      <c r="Q94" s="50">
        <f t="shared" si="155"/>
        <v>-18.749999999997158</v>
      </c>
      <c r="R94" s="49">
        <f t="shared" si="180"/>
        <v>21.224274923503483</v>
      </c>
      <c r="S94" s="50">
        <f t="shared" si="64"/>
        <v>-2.3350367569037189</v>
      </c>
      <c r="T94" s="50">
        <f t="shared" si="65"/>
        <v>-3.5556141361419158</v>
      </c>
      <c r="U94" s="50">
        <f t="shared" si="156"/>
        <v>-1.3500000000163936</v>
      </c>
      <c r="V94" s="49">
        <f t="shared" si="181"/>
        <v>4.4628789521191274</v>
      </c>
      <c r="W94" s="25"/>
      <c r="AJ94" s="80">
        <v>44165</v>
      </c>
      <c r="AK94">
        <v>510</v>
      </c>
      <c r="AL94">
        <f t="shared" si="173"/>
        <v>24.642347221764219</v>
      </c>
    </row>
    <row r="95" spans="1:38" ht="29.25" customHeight="1" x14ac:dyDescent="0.2">
      <c r="A95" s="30">
        <f t="shared" si="144"/>
        <v>707</v>
      </c>
      <c r="B95" s="31">
        <f t="shared" si="145"/>
        <v>44362</v>
      </c>
      <c r="C95" s="49">
        <f t="shared" si="146"/>
        <v>-7.790043071281616</v>
      </c>
      <c r="D95" s="49">
        <f t="shared" si="147"/>
        <v>-0.21201897657352475</v>
      </c>
      <c r="E95" s="49">
        <f t="shared" si="148"/>
        <v>-9.5500000000043883</v>
      </c>
      <c r="F95" s="49">
        <f t="shared" si="178"/>
        <v>12.326078983153312</v>
      </c>
      <c r="G95" s="50"/>
      <c r="H95" s="50"/>
      <c r="I95" s="50"/>
      <c r="J95" s="49"/>
      <c r="K95" s="49">
        <f t="shared" si="149"/>
        <v>-7.8044715044143231</v>
      </c>
      <c r="L95" s="49">
        <f t="shared" si="150"/>
        <v>1.3738693253533274</v>
      </c>
      <c r="M95" s="50">
        <f t="shared" si="151"/>
        <v>-22.800000000003706</v>
      </c>
      <c r="N95" s="49">
        <f t="shared" si="179"/>
        <v>24.137880859481658</v>
      </c>
      <c r="O95" s="50">
        <f t="shared" si="153"/>
        <v>-8.3250844959366077</v>
      </c>
      <c r="P95" s="50">
        <f t="shared" si="154"/>
        <v>4.9627193698622563</v>
      </c>
      <c r="Q95" s="50">
        <f t="shared" si="155"/>
        <v>-19.249999999999545</v>
      </c>
      <c r="R95" s="49">
        <f t="shared" si="180"/>
        <v>21.552218340775795</v>
      </c>
      <c r="S95" s="50">
        <f t="shared" si="64"/>
        <v>-2.3350367569037189</v>
      </c>
      <c r="T95" s="50">
        <f t="shared" si="65"/>
        <v>-3.5556141361419158</v>
      </c>
      <c r="U95" s="50">
        <f t="shared" si="156"/>
        <v>-1.9500000000078899</v>
      </c>
      <c r="V95" s="49">
        <f t="shared" si="181"/>
        <v>4.6794538721152517</v>
      </c>
      <c r="W95" s="25"/>
      <c r="AJ95" s="80">
        <v>44175</v>
      </c>
      <c r="AK95">
        <v>520</v>
      </c>
      <c r="AL95">
        <f t="shared" si="173"/>
        <v>24.781303670718565</v>
      </c>
    </row>
    <row r="96" spans="1:38" ht="29.25" customHeight="1" x14ac:dyDescent="0.2">
      <c r="A96" s="30">
        <f t="shared" si="144"/>
        <v>709</v>
      </c>
      <c r="B96" s="31">
        <f t="shared" si="145"/>
        <v>44364</v>
      </c>
      <c r="C96" s="49">
        <f t="shared" si="146"/>
        <v>-8.6841373532138277</v>
      </c>
      <c r="D96" s="49">
        <f t="shared" si="147"/>
        <v>-0.18762392563376196</v>
      </c>
      <c r="E96" s="49">
        <f t="shared" si="148"/>
        <v>-10.650000000012483</v>
      </c>
      <c r="F96" s="49">
        <f t="shared" ref="F96" si="182">SQRT(C96*C96+D96*D96+E96*E96)</f>
        <v>13.743068955194097</v>
      </c>
      <c r="G96" s="50"/>
      <c r="H96" s="50"/>
      <c r="I96" s="50"/>
      <c r="J96" s="49"/>
      <c r="K96" s="49">
        <f t="shared" si="149"/>
        <v>-8.5234062730137339</v>
      </c>
      <c r="L96" s="49">
        <f t="shared" si="150"/>
        <v>1.259271241764004</v>
      </c>
      <c r="M96" s="50">
        <f t="shared" si="151"/>
        <v>-23.700000000005161</v>
      </c>
      <c r="N96" s="49">
        <f t="shared" ref="N96" si="183">SQRT(K96*K96+L96*L96+M96*M96)</f>
        <v>25.217537916208798</v>
      </c>
      <c r="O96" s="50">
        <f t="shared" si="153"/>
        <v>-8.7782304892982665</v>
      </c>
      <c r="P96" s="50">
        <f t="shared" si="154"/>
        <v>4.7513933793954521</v>
      </c>
      <c r="Q96" s="50">
        <f t="shared" si="155"/>
        <v>-19.949999999994361</v>
      </c>
      <c r="R96" s="49">
        <f t="shared" ref="R96" si="184">SQRT(O96*O96+P96*P96+Q96*Q96)</f>
        <v>22.30774685101083</v>
      </c>
      <c r="S96" s="50">
        <f t="shared" si="64"/>
        <v>-3.0239040026742714</v>
      </c>
      <c r="T96" s="50">
        <f t="shared" si="65"/>
        <v>-4.2078885136032085</v>
      </c>
      <c r="U96" s="50">
        <f t="shared" si="156"/>
        <v>-2.6500000000169166</v>
      </c>
      <c r="V96" s="49">
        <f t="shared" ref="V96" si="185">SQRT(S96*S96+T96*T96+U96*U96)</f>
        <v>5.820036182051874</v>
      </c>
      <c r="W96" s="25"/>
      <c r="AJ96" s="80">
        <v>44185</v>
      </c>
      <c r="AK96">
        <v>530</v>
      </c>
      <c r="AL96">
        <f t="shared" si="173"/>
        <v>24.917212905798301</v>
      </c>
    </row>
    <row r="97" spans="1:38" ht="29.25" customHeight="1" x14ac:dyDescent="0.2">
      <c r="A97" s="30">
        <f t="shared" si="144"/>
        <v>714</v>
      </c>
      <c r="B97" s="31">
        <f t="shared" si="145"/>
        <v>44369</v>
      </c>
      <c r="C97" s="49">
        <f t="shared" si="146"/>
        <v>-8.3699846490787877</v>
      </c>
      <c r="D97" s="49">
        <f t="shared" si="147"/>
        <v>-0.15145739216748666</v>
      </c>
      <c r="E97" s="49">
        <f t="shared" si="148"/>
        <v>-9.3500000000119599</v>
      </c>
      <c r="F97" s="49">
        <f t="shared" ref="F97:F101" si="186">SQRT(C97*C97+D97*D97+E97*E97)</f>
        <v>12.549983361251137</v>
      </c>
      <c r="G97" s="50"/>
      <c r="H97" s="50"/>
      <c r="I97" s="50"/>
      <c r="J97" s="49"/>
      <c r="K97" s="49">
        <f t="shared" si="149"/>
        <v>-7.9072982672414582</v>
      </c>
      <c r="L97" s="49">
        <f t="shared" si="150"/>
        <v>0.88455690402089449</v>
      </c>
      <c r="M97" s="50">
        <f t="shared" si="151"/>
        <v>-22.599999999997067</v>
      </c>
      <c r="N97" s="49">
        <f t="shared" ref="N97:N101" si="187">SQRT(K97*K97+L97*L97+M97*M97)</f>
        <v>23.959712160279352</v>
      </c>
      <c r="O97" s="50">
        <f t="shared" si="153"/>
        <v>-8.7420641668529697</v>
      </c>
      <c r="P97" s="50">
        <f t="shared" si="154"/>
        <v>4.4372405768697831</v>
      </c>
      <c r="Q97" s="50">
        <f t="shared" si="155"/>
        <v>-18.950000000003797</v>
      </c>
      <c r="R97" s="49">
        <f t="shared" ref="R97:R101" si="188">SQRT(O97*O97+P97*P97+Q97*Q97)</f>
        <v>21.33577488244892</v>
      </c>
      <c r="S97" s="50">
        <f t="shared" si="64"/>
        <v>-2.4923263537459661</v>
      </c>
      <c r="T97" s="50">
        <f t="shared" si="65"/>
        <v>-4.4013445384365468</v>
      </c>
      <c r="U97" s="50">
        <f t="shared" si="156"/>
        <v>-1.5500000000088221</v>
      </c>
      <c r="V97" s="49">
        <f t="shared" ref="V97:V101" si="189">SQRT(S97*S97+T97*T97+U97*U97)</f>
        <v>5.2901818871971908</v>
      </c>
      <c r="W97" s="25"/>
      <c r="AJ97" s="80">
        <v>44195</v>
      </c>
      <c r="AK97">
        <v>540</v>
      </c>
      <c r="AL97">
        <f t="shared" si="173"/>
        <v>25.050191193277236</v>
      </c>
    </row>
    <row r="98" spans="1:38" ht="29.25" customHeight="1" x14ac:dyDescent="0.2">
      <c r="A98" s="30">
        <f t="shared" si="144"/>
        <v>721</v>
      </c>
      <c r="B98" s="31">
        <f t="shared" si="145"/>
        <v>44376</v>
      </c>
      <c r="C98" s="49">
        <f t="shared" si="146"/>
        <v>-8.6357734243449613</v>
      </c>
      <c r="D98" s="49">
        <f t="shared" si="147"/>
        <v>-5.4729485252202892E-2</v>
      </c>
      <c r="E98" s="49">
        <f t="shared" si="148"/>
        <v>-9.650000000007708</v>
      </c>
      <c r="F98" s="49">
        <f t="shared" si="186"/>
        <v>12.949983704751425</v>
      </c>
      <c r="G98" s="50"/>
      <c r="H98" s="50"/>
      <c r="I98" s="50"/>
      <c r="J98" s="49"/>
      <c r="K98" s="49">
        <f t="shared" si="149"/>
        <v>-7.9495633964654644</v>
      </c>
      <c r="L98" s="49">
        <f t="shared" si="150"/>
        <v>0.97518595497514404</v>
      </c>
      <c r="M98" s="50">
        <f t="shared" si="151"/>
        <v>-22.999999999996135</v>
      </c>
      <c r="N98" s="49">
        <f t="shared" si="187"/>
        <v>24.354600096101485</v>
      </c>
      <c r="O98" s="50">
        <f t="shared" si="153"/>
        <v>-8.4762752931624163</v>
      </c>
      <c r="P98" s="50">
        <f t="shared" si="154"/>
        <v>4.3405124589577238</v>
      </c>
      <c r="Q98" s="50">
        <f t="shared" si="155"/>
        <v>-19.350000000002865</v>
      </c>
      <c r="R98" s="49">
        <f t="shared" si="188"/>
        <v>21.566404226294974</v>
      </c>
      <c r="S98" s="50">
        <f t="shared" si="64"/>
        <v>-2.2204386733335468</v>
      </c>
      <c r="T98" s="50">
        <f t="shared" si="65"/>
        <v>-4.2745489047808505</v>
      </c>
      <c r="U98" s="50">
        <f t="shared" si="156"/>
        <v>-1.8500000000187811</v>
      </c>
      <c r="V98" s="49">
        <f t="shared" si="189"/>
        <v>5.1599046736803089</v>
      </c>
      <c r="W98" s="25"/>
      <c r="AJ98" s="80">
        <v>44205</v>
      </c>
      <c r="AK98">
        <v>550</v>
      </c>
      <c r="AL98">
        <f t="shared" si="173"/>
        <v>25.180348538310039</v>
      </c>
    </row>
    <row r="99" spans="1:38" ht="29.25" customHeight="1" x14ac:dyDescent="0.2">
      <c r="A99" s="30">
        <f t="shared" si="144"/>
        <v>723</v>
      </c>
      <c r="B99" s="31">
        <f t="shared" si="145"/>
        <v>44378</v>
      </c>
      <c r="C99" s="49">
        <f t="shared" si="146"/>
        <v>-8.3216206218423849</v>
      </c>
      <c r="D99" s="49">
        <f t="shared" si="147"/>
        <v>-1.8563162762941232E-2</v>
      </c>
      <c r="E99" s="49">
        <f t="shared" si="148"/>
        <v>-9.650000000007708</v>
      </c>
      <c r="F99" s="49">
        <f t="shared" si="186"/>
        <v>12.742535633265184</v>
      </c>
      <c r="G99" s="50"/>
      <c r="H99" s="50"/>
      <c r="I99" s="50"/>
      <c r="J99" s="49"/>
      <c r="K99" s="49">
        <f t="shared" si="149"/>
        <v>-8.070260279652075</v>
      </c>
      <c r="L99" s="49">
        <f t="shared" si="150"/>
        <v>1.4705972322309746</v>
      </c>
      <c r="M99" s="50">
        <f t="shared" si="151"/>
        <v>-22.800000000003706</v>
      </c>
      <c r="N99" s="49">
        <f t="shared" si="187"/>
        <v>24.230801827445667</v>
      </c>
      <c r="O99" s="50">
        <f t="shared" si="153"/>
        <v>-8.2344552339748134</v>
      </c>
      <c r="P99" s="50">
        <f t="shared" si="154"/>
        <v>5.0049845974633467</v>
      </c>
      <c r="Q99" s="50">
        <f t="shared" si="155"/>
        <v>-19.249999999999545</v>
      </c>
      <c r="R99" s="49">
        <f t="shared" si="188"/>
        <v>21.527160142972019</v>
      </c>
      <c r="S99" s="50">
        <f t="shared" si="64"/>
        <v>-2.6613871658298649</v>
      </c>
      <c r="T99" s="50">
        <f t="shared" si="65"/>
        <v>-4.0388277015210861</v>
      </c>
      <c r="U99" s="50">
        <f t="shared" si="156"/>
        <v>-1.9500000000078899</v>
      </c>
      <c r="V99" s="49">
        <f t="shared" si="189"/>
        <v>5.2151328697405965</v>
      </c>
      <c r="W99" s="25"/>
      <c r="AJ99" s="80">
        <v>44215</v>
      </c>
      <c r="AK99">
        <v>560</v>
      </c>
      <c r="AL99">
        <f t="shared" si="173"/>
        <v>25.307789117228346</v>
      </c>
    </row>
    <row r="100" spans="1:38" ht="29.25" customHeight="1" x14ac:dyDescent="0.2">
      <c r="A100" s="30">
        <f t="shared" si="144"/>
        <v>737</v>
      </c>
      <c r="B100" s="31">
        <f t="shared" si="145"/>
        <v>44392</v>
      </c>
      <c r="C100" s="49">
        <f t="shared" si="146"/>
        <v>-8.5451442679129741</v>
      </c>
      <c r="D100" s="49">
        <f t="shared" si="147"/>
        <v>-1.246430683510269E-2</v>
      </c>
      <c r="E100" s="49">
        <f t="shared" si="148"/>
        <v>-9.7500000000110276</v>
      </c>
      <c r="F100" s="49">
        <f t="shared" si="186"/>
        <v>12.964649857154102</v>
      </c>
      <c r="G100" s="50"/>
      <c r="H100" s="50"/>
      <c r="I100" s="50"/>
      <c r="J100" s="49"/>
      <c r="K100" s="49">
        <f t="shared" si="149"/>
        <v>-7.9979275292032526</v>
      </c>
      <c r="L100" s="49">
        <f t="shared" si="150"/>
        <v>0.84229167640342828</v>
      </c>
      <c r="M100" s="50">
        <f t="shared" si="151"/>
        <v>-23.499999999998522</v>
      </c>
      <c r="N100" s="49">
        <f t="shared" si="187"/>
        <v>24.838001127918009</v>
      </c>
      <c r="O100" s="50">
        <f t="shared" si="153"/>
        <v>-7.8963336098354375</v>
      </c>
      <c r="P100" s="50">
        <f t="shared" si="154"/>
        <v>4.2799509237194666</v>
      </c>
      <c r="Q100" s="50">
        <f t="shared" si="155"/>
        <v>-19.549999999995293</v>
      </c>
      <c r="R100" s="49">
        <f t="shared" si="188"/>
        <v>21.51447336996841</v>
      </c>
      <c r="S100" s="50">
        <f t="shared" si="64"/>
        <v>-1.7794902863386142</v>
      </c>
      <c r="T100" s="50">
        <f t="shared" si="65"/>
        <v>-4.5102701571861914</v>
      </c>
      <c r="U100" s="50">
        <f t="shared" si="156"/>
        <v>-1.8500000000187811</v>
      </c>
      <c r="V100" s="49">
        <f t="shared" si="189"/>
        <v>5.189568630440041</v>
      </c>
      <c r="W100" s="25"/>
      <c r="AJ100" s="80">
        <v>44225</v>
      </c>
      <c r="AK100">
        <v>570</v>
      </c>
      <c r="AL100">
        <f t="shared" si="173"/>
        <v>25.43261167362872</v>
      </c>
    </row>
    <row r="101" spans="1:38" ht="29.25" customHeight="1" x14ac:dyDescent="0.2">
      <c r="A101" s="30">
        <f t="shared" si="144"/>
        <v>745</v>
      </c>
      <c r="B101" s="31">
        <f t="shared" si="145"/>
        <v>44400</v>
      </c>
      <c r="C101" s="49">
        <f t="shared" si="146"/>
        <v>-9.2035173957754068</v>
      </c>
      <c r="D101" s="49">
        <f t="shared" si="147"/>
        <v>0.45287934209525815</v>
      </c>
      <c r="E101" s="49">
        <f t="shared" si="148"/>
        <v>-9.7500000000110276</v>
      </c>
      <c r="F101" s="49">
        <f t="shared" si="186"/>
        <v>13.415376705596165</v>
      </c>
      <c r="G101" s="50"/>
      <c r="H101" s="50"/>
      <c r="I101" s="50"/>
      <c r="J101" s="49"/>
      <c r="K101" s="49">
        <f t="shared" si="149"/>
        <v>-8.5173074733688736</v>
      </c>
      <c r="L101" s="49">
        <f t="shared" si="150"/>
        <v>1.4827947331300662</v>
      </c>
      <c r="M101" s="50">
        <f t="shared" si="151"/>
        <v>-23.399999999995202</v>
      </c>
      <c r="N101" s="49">
        <f t="shared" si="187"/>
        <v>24.946005828915357</v>
      </c>
      <c r="O101" s="50">
        <f t="shared" si="153"/>
        <v>-9.35817206712386</v>
      </c>
      <c r="P101" s="50">
        <f t="shared" si="154"/>
        <v>4.8119549638230286</v>
      </c>
      <c r="Q101" s="50">
        <f t="shared" si="155"/>
        <v>-19.750000000001933</v>
      </c>
      <c r="R101" s="49">
        <f t="shared" si="188"/>
        <v>22.37840018883912</v>
      </c>
      <c r="S101" s="50">
        <f t="shared" si="64"/>
        <v>-2.7520163222618521</v>
      </c>
      <c r="T101" s="50">
        <f t="shared" si="65"/>
        <v>-4.0810928799399626</v>
      </c>
      <c r="U101" s="50">
        <f t="shared" si="156"/>
        <v>-1.8500000000187811</v>
      </c>
      <c r="V101" s="49">
        <f t="shared" si="189"/>
        <v>5.2584610802745129</v>
      </c>
      <c r="W101" s="25"/>
      <c r="AJ101" s="80">
        <v>44235</v>
      </c>
      <c r="AK101">
        <v>580</v>
      </c>
      <c r="AL101">
        <f t="shared" si="173"/>
        <v>25.55490988180135</v>
      </c>
    </row>
    <row r="102" spans="1:38" ht="29.25" customHeight="1" x14ac:dyDescent="0.2">
      <c r="A102" s="30">
        <f t="shared" si="144"/>
        <v>755</v>
      </c>
      <c r="B102" s="31">
        <f t="shared" si="145"/>
        <v>44410</v>
      </c>
      <c r="C102" s="49"/>
      <c r="D102" s="49"/>
      <c r="E102" s="49"/>
      <c r="F102" s="49"/>
      <c r="G102" s="50"/>
      <c r="H102" s="50"/>
      <c r="I102" s="50"/>
      <c r="J102" s="49"/>
      <c r="K102" s="49">
        <f t="shared" si="149"/>
        <v>-7.7683049780148394</v>
      </c>
      <c r="L102" s="49">
        <f t="shared" si="150"/>
        <v>1.0597163610214233</v>
      </c>
      <c r="M102" s="50">
        <f t="shared" si="151"/>
        <v>-23.499999999998522</v>
      </c>
      <c r="N102" s="49">
        <f t="shared" ref="N102:N104" si="190">SQRT(K102*K102+L102*L102+M102*M102)</f>
        <v>24.773363941887204</v>
      </c>
      <c r="O102" s="50">
        <f t="shared" si="153"/>
        <v>-8.0592957206988558</v>
      </c>
      <c r="P102" s="50">
        <f t="shared" si="154"/>
        <v>4.8659914629560763</v>
      </c>
      <c r="Q102" s="50">
        <f t="shared" si="155"/>
        <v>-19.750000000001933</v>
      </c>
      <c r="R102" s="49">
        <f t="shared" ref="R102:R104" si="191">SQRT(O102*O102+P102*P102+Q102*Q102)</f>
        <v>21.879045235825824</v>
      </c>
      <c r="S102" s="50">
        <f t="shared" si="64"/>
        <v>-2.2082411724682061</v>
      </c>
      <c r="T102" s="50">
        <f t="shared" si="65"/>
        <v>-3.8275017110476206</v>
      </c>
      <c r="U102" s="50">
        <f t="shared" si="156"/>
        <v>-1.8500000000187811</v>
      </c>
      <c r="V102" s="49">
        <f t="shared" ref="V102:V104" si="192">SQRT(S102*S102+T102*T102+U102*U102)</f>
        <v>4.7904695410706575</v>
      </c>
      <c r="W102" s="25"/>
      <c r="AJ102" s="80">
        <v>44245</v>
      </c>
      <c r="AK102">
        <v>590</v>
      </c>
      <c r="AL102">
        <f t="shared" si="173"/>
        <v>25.674772680651451</v>
      </c>
    </row>
    <row r="103" spans="1:38" ht="29.25" customHeight="1" x14ac:dyDescent="0.2">
      <c r="A103" s="30">
        <f t="shared" si="144"/>
        <v>798</v>
      </c>
      <c r="B103" s="31">
        <f t="shared" si="145"/>
        <v>44453</v>
      </c>
      <c r="C103" s="49">
        <f t="shared" si="146"/>
        <v>-9.3725782078308839</v>
      </c>
      <c r="D103" s="49">
        <f t="shared" si="147"/>
        <v>0.81539617897607997</v>
      </c>
      <c r="E103" s="49">
        <f t="shared" si="148"/>
        <v>-9.9500000000176669</v>
      </c>
      <c r="F103" s="49">
        <f t="shared" ref="F103:F104" si="193">SQRT(C103*C103+D103*D103+E103*E103)</f>
        <v>13.693523768225136</v>
      </c>
      <c r="G103" s="50"/>
      <c r="H103" s="50"/>
      <c r="I103" s="50"/>
      <c r="J103" s="49"/>
      <c r="K103" s="49">
        <f t="shared" si="149"/>
        <v>-9.0549839219420392</v>
      </c>
      <c r="L103" s="49">
        <f t="shared" si="150"/>
        <v>1.4527272665605384</v>
      </c>
      <c r="M103" s="50">
        <f t="shared" si="151"/>
        <v>-24.399999999999977</v>
      </c>
      <c r="N103" s="49">
        <f t="shared" si="190"/>
        <v>26.06651396596093</v>
      </c>
      <c r="O103" s="50">
        <f t="shared" si="153"/>
        <v>-8.8928284673954749</v>
      </c>
      <c r="P103" s="50">
        <f t="shared" si="154"/>
        <v>5.4703281971875128</v>
      </c>
      <c r="Q103" s="50">
        <f t="shared" si="155"/>
        <v>-20.449999999996749</v>
      </c>
      <c r="R103" s="49">
        <f t="shared" si="191"/>
        <v>22.96104067187137</v>
      </c>
      <c r="S103" s="50">
        <f t="shared" si="64"/>
        <v>-3.2835938728226211</v>
      </c>
      <c r="T103" s="50">
        <f t="shared" si="65"/>
        <v>-3.8876370661529158</v>
      </c>
      <c r="U103" s="50">
        <f t="shared" si="156"/>
        <v>-2.0500000000112095</v>
      </c>
      <c r="V103" s="49">
        <f t="shared" si="192"/>
        <v>5.4861836170338183</v>
      </c>
      <c r="W103" s="25"/>
      <c r="AJ103" s="80">
        <v>44255</v>
      </c>
      <c r="AK103">
        <v>600</v>
      </c>
      <c r="AL103">
        <f t="shared" si="173"/>
        <v>25.792284580918317</v>
      </c>
    </row>
    <row r="104" spans="1:38" ht="29.25" customHeight="1" x14ac:dyDescent="0.2">
      <c r="A104" s="30">
        <f t="shared" si="144"/>
        <v>815</v>
      </c>
      <c r="B104" s="31">
        <f t="shared" si="145"/>
        <v>44470</v>
      </c>
      <c r="C104" s="49">
        <f t="shared" si="146"/>
        <v>-9.7712614727072378</v>
      </c>
      <c r="D104" s="49">
        <f t="shared" si="147"/>
        <v>0.96048812024829289</v>
      </c>
      <c r="E104" s="49">
        <f t="shared" si="148"/>
        <v>-10.250000000013415</v>
      </c>
      <c r="F104" s="49">
        <f t="shared" si="193"/>
        <v>14.193751730864744</v>
      </c>
      <c r="G104" s="50"/>
      <c r="H104" s="50"/>
      <c r="I104" s="50"/>
      <c r="J104" s="49"/>
      <c r="K104" s="49">
        <f t="shared" si="149"/>
        <v>-8.462844737806563</v>
      </c>
      <c r="L104" s="49">
        <f t="shared" si="150"/>
        <v>1.8392129250497935</v>
      </c>
      <c r="M104" s="50">
        <f t="shared" si="151"/>
        <v>-24.399999999999977</v>
      </c>
      <c r="N104" s="49">
        <f t="shared" si="190"/>
        <v>25.891358505105316</v>
      </c>
      <c r="O104" s="50">
        <f t="shared" si="153"/>
        <v>-8.6632061200759836</v>
      </c>
      <c r="P104" s="50">
        <f t="shared" si="154"/>
        <v>5.6877530436254542</v>
      </c>
      <c r="Q104" s="50">
        <f t="shared" si="155"/>
        <v>-20.449999999996749</v>
      </c>
      <c r="R104" s="49">
        <f t="shared" si="191"/>
        <v>22.926058862439913</v>
      </c>
      <c r="S104" s="50">
        <f t="shared" si="64"/>
        <v>-3.1929647163622121</v>
      </c>
      <c r="T104" s="50">
        <f t="shared" si="65"/>
        <v>-3.8453718877180521</v>
      </c>
      <c r="U104" s="50">
        <f t="shared" si="156"/>
        <v>-1.9500000000078899</v>
      </c>
      <c r="V104" s="49">
        <f t="shared" si="192"/>
        <v>5.3651103096597259</v>
      </c>
      <c r="W104" s="25"/>
      <c r="AJ104" s="80">
        <v>44265</v>
      </c>
      <c r="AK104">
        <v>610</v>
      </c>
      <c r="AL104">
        <f t="shared" si="173"/>
        <v>25.907525948192344</v>
      </c>
    </row>
    <row r="105" spans="1:38" ht="29.25" customHeight="1" x14ac:dyDescent="0.2">
      <c r="A105" s="30">
        <f t="shared" si="144"/>
        <v>834</v>
      </c>
      <c r="B105" s="31">
        <f t="shared" si="145"/>
        <v>44489</v>
      </c>
      <c r="C105" s="49">
        <f t="shared" si="146"/>
        <v>-9.5599355314277545</v>
      </c>
      <c r="D105" s="49">
        <f t="shared" si="147"/>
        <v>0.50734223236226228</v>
      </c>
      <c r="E105" s="49">
        <f t="shared" si="148"/>
        <v>-10.650000000012483</v>
      </c>
      <c r="F105" s="49">
        <f t="shared" ref="F105" si="194">SQRT(C105*C105+D105*D105+E105*E105)</f>
        <v>14.320344392020015</v>
      </c>
      <c r="G105" s="50"/>
      <c r="H105" s="50"/>
      <c r="I105" s="50"/>
      <c r="J105" s="49"/>
      <c r="K105" s="49">
        <f t="shared" si="149"/>
        <v>-8.7830963470310053</v>
      </c>
      <c r="L105" s="49">
        <f t="shared" si="150"/>
        <v>1.579522851019366</v>
      </c>
      <c r="M105" s="50">
        <f t="shared" si="151"/>
        <v>-25.300000000001432</v>
      </c>
      <c r="N105" s="49">
        <f t="shared" ref="N105" si="195">SQRT(K105*K105+L105*L105+M105*M105)</f>
        <v>26.827740752403923</v>
      </c>
      <c r="O105" s="50">
        <f t="shared" si="153"/>
        <v>-9.1102533138212038</v>
      </c>
      <c r="P105" s="50">
        <f t="shared" si="154"/>
        <v>5.6999505444943477</v>
      </c>
      <c r="Q105" s="50">
        <f t="shared" si="155"/>
        <v>-21.249999999994884</v>
      </c>
      <c r="R105" s="49">
        <f t="shared" ref="R105" si="196">SQRT(O105*O105+P105*P105+Q105*Q105)</f>
        <v>23.812783366323522</v>
      </c>
      <c r="S105" s="50">
        <f t="shared" si="64"/>
        <v>-3.1628971935333539</v>
      </c>
      <c r="T105" s="50">
        <f t="shared" si="65"/>
        <v>-4.3830481816149458</v>
      </c>
      <c r="U105" s="50">
        <f t="shared" si="156"/>
        <v>-2.4500000000102773</v>
      </c>
      <c r="V105" s="49">
        <f t="shared" ref="V105" si="197">SQRT(S105*S105+T105*T105+U105*U105)</f>
        <v>5.9344359478613979</v>
      </c>
      <c r="W105" s="25"/>
      <c r="AJ105" s="80">
        <v>44275</v>
      </c>
      <c r="AK105">
        <v>620</v>
      </c>
      <c r="AL105">
        <f t="shared" si="173"/>
        <v>26.02057326396331</v>
      </c>
    </row>
    <row r="106" spans="1:38" ht="29.25" customHeight="1" x14ac:dyDescent="0.2">
      <c r="A106" s="30">
        <f t="shared" si="144"/>
        <v>847</v>
      </c>
      <c r="B106" s="31">
        <f t="shared" si="145"/>
        <v>44502</v>
      </c>
      <c r="C106" s="49">
        <f t="shared" si="146"/>
        <v>-8.9738950484843372</v>
      </c>
      <c r="D106" s="49">
        <f t="shared" si="147"/>
        <v>0.67030418851121709</v>
      </c>
      <c r="E106" s="49">
        <f t="shared" si="148"/>
        <v>-9.7500000000110276</v>
      </c>
      <c r="F106" s="49">
        <f t="shared" ref="F106" si="198">SQRT(C106*C106+D106*D106+E106*E106)</f>
        <v>13.268104613944013</v>
      </c>
      <c r="G106" s="50"/>
      <c r="H106" s="50"/>
      <c r="I106" s="50"/>
      <c r="J106" s="49"/>
      <c r="K106" s="49">
        <f t="shared" si="149"/>
        <v>-8.9159907311398001</v>
      </c>
      <c r="L106" s="49">
        <f t="shared" si="150"/>
        <v>1.6278869345703328</v>
      </c>
      <c r="M106" s="50">
        <f t="shared" si="151"/>
        <v>-24.799999999999045</v>
      </c>
      <c r="N106" s="49">
        <f t="shared" ref="N106" si="199">SQRT(K106*K106+L106*L106+M106*M106)</f>
        <v>26.404259250913825</v>
      </c>
      <c r="O106" s="50">
        <f t="shared" si="153"/>
        <v>-8.8021993109066443</v>
      </c>
      <c r="P106" s="50">
        <f t="shared" si="154"/>
        <v>5.5125933756206003</v>
      </c>
      <c r="Q106" s="50">
        <f t="shared" si="155"/>
        <v>-20.550000000000068</v>
      </c>
      <c r="R106" s="49">
        <f t="shared" ref="R106" si="200">SQRT(O106*O106+P106*P106+Q106*Q106)</f>
        <v>23.02541852896195</v>
      </c>
      <c r="S106" s="50">
        <f t="shared" si="64"/>
        <v>-3.0661691319266993</v>
      </c>
      <c r="T106" s="50">
        <f t="shared" si="65"/>
        <v>-4.1172594626370795</v>
      </c>
      <c r="U106" s="50">
        <f t="shared" si="156"/>
        <v>-1.5500000000088221</v>
      </c>
      <c r="V106" s="49">
        <f t="shared" ref="V106" si="201">SQRT(S106*S106+T106*T106+U106*U106)</f>
        <v>5.3624358857036274</v>
      </c>
      <c r="W106" s="25"/>
      <c r="AJ106" s="80">
        <v>44285</v>
      </c>
      <c r="AK106">
        <v>630</v>
      </c>
      <c r="AL106">
        <f t="shared" si="173"/>
        <v>26.131499366697575</v>
      </c>
    </row>
    <row r="107" spans="1:38" ht="29.25" customHeight="1" x14ac:dyDescent="0.2">
      <c r="A107" s="30">
        <f t="shared" si="144"/>
        <v>1260</v>
      </c>
      <c r="B107" s="31">
        <f t="shared" si="145"/>
        <v>44915</v>
      </c>
      <c r="C107" s="49">
        <f t="shared" si="146"/>
        <v>-10.925472318206175</v>
      </c>
      <c r="D107" s="49">
        <f t="shared" si="147"/>
        <v>-0.35015949062433549</v>
      </c>
      <c r="E107" s="49">
        <f t="shared" si="148"/>
        <v>-10.850000000004911</v>
      </c>
      <c r="F107" s="49">
        <f t="shared" ref="F107" si="202">SQRT(C107*C107+D107*D107+E107*E107)</f>
        <v>15.401657607052245</v>
      </c>
      <c r="G107" s="50"/>
      <c r="H107" s="50"/>
      <c r="I107" s="50"/>
      <c r="J107" s="49"/>
      <c r="K107" s="49">
        <f t="shared" si="149"/>
        <v>-10.251459995089363</v>
      </c>
      <c r="L107" s="49">
        <f t="shared" si="150"/>
        <v>0.232708917675295</v>
      </c>
      <c r="M107" s="50">
        <f t="shared" si="151"/>
        <v>-30.000000000001137</v>
      </c>
      <c r="N107" s="49">
        <f t="shared" ref="N107" si="203">SQRT(K107*K107+L107*L107+M107*M107)</f>
        <v>31.704046831143675</v>
      </c>
      <c r="O107" s="50">
        <f t="shared" si="153"/>
        <v>-9.7629541316166524</v>
      </c>
      <c r="P107" s="50">
        <f t="shared" si="154"/>
        <v>4.7335234136991478</v>
      </c>
      <c r="Q107" s="50">
        <f t="shared" si="155"/>
        <v>-25.249999999999773</v>
      </c>
      <c r="R107" s="49">
        <f t="shared" ref="R107" si="204">SQRT(O107*O107+P107*P107+Q107*Q107)</f>
        <v>27.482431065756849</v>
      </c>
      <c r="S107" s="50">
        <f t="shared" si="64"/>
        <v>-3.4713775875445663</v>
      </c>
      <c r="T107" s="50">
        <f t="shared" si="65"/>
        <v>-5.8509854947921269</v>
      </c>
      <c r="U107" s="50">
        <f t="shared" si="156"/>
        <v>-1.9500000000078899</v>
      </c>
      <c r="V107" s="49">
        <f t="shared" ref="V107" si="205">SQRT(S107*S107+T107*T107+U107*U107)</f>
        <v>7.0772165160891731</v>
      </c>
      <c r="W107" s="25"/>
      <c r="AJ107" s="80">
        <v>44295</v>
      </c>
      <c r="AK107">
        <v>640</v>
      </c>
      <c r="AL107">
        <f t="shared" si="173"/>
        <v>26.240373674734705</v>
      </c>
    </row>
    <row r="108" spans="1:38" ht="29.25" customHeight="1" x14ac:dyDescent="0.2">
      <c r="A108" s="30"/>
      <c r="B108" s="31"/>
      <c r="C108" s="49"/>
      <c r="D108" s="49"/>
      <c r="E108" s="49"/>
      <c r="F108" s="49"/>
      <c r="G108" s="50"/>
      <c r="H108" s="50"/>
      <c r="I108" s="50"/>
      <c r="J108" s="49"/>
      <c r="K108" s="49"/>
      <c r="L108" s="49"/>
      <c r="M108" s="50"/>
      <c r="N108" s="49"/>
      <c r="O108" s="50"/>
      <c r="P108" s="50"/>
      <c r="Q108" s="50"/>
      <c r="R108" s="49"/>
      <c r="S108" s="50"/>
      <c r="T108" s="50"/>
      <c r="U108" s="50"/>
      <c r="V108" s="49"/>
      <c r="W108" s="25"/>
      <c r="AJ108" s="80">
        <v>44305</v>
      </c>
      <c r="AK108">
        <v>650</v>
      </c>
      <c r="AL108">
        <f t="shared" si="173"/>
        <v>26.347262392610197</v>
      </c>
    </row>
    <row r="109" spans="1:38" ht="29.25" customHeight="1" x14ac:dyDescent="0.2">
      <c r="A109" s="30"/>
      <c r="B109" s="31"/>
      <c r="C109" s="49"/>
      <c r="D109" s="49"/>
      <c r="E109" s="49"/>
      <c r="F109" s="49"/>
      <c r="G109" s="50"/>
      <c r="H109" s="50"/>
      <c r="I109" s="50"/>
      <c r="J109" s="49"/>
      <c r="K109" s="49"/>
      <c r="L109" s="49"/>
      <c r="M109" s="50"/>
      <c r="N109" s="49"/>
      <c r="O109" s="50"/>
      <c r="P109" s="50"/>
      <c r="Q109" s="50"/>
      <c r="R109" s="49"/>
      <c r="S109" s="50"/>
      <c r="T109" s="50"/>
      <c r="U109" s="50"/>
      <c r="V109" s="49"/>
      <c r="W109" s="25"/>
      <c r="AJ109" s="80">
        <v>44315</v>
      </c>
      <c r="AK109">
        <v>660</v>
      </c>
      <c r="AL109">
        <f t="shared" si="173"/>
        <v>26.452228702249187</v>
      </c>
    </row>
    <row r="110" spans="1:38" ht="29.25" customHeight="1" x14ac:dyDescent="0.2">
      <c r="A110" s="30"/>
      <c r="B110" s="31"/>
      <c r="C110" s="49"/>
      <c r="D110" s="49"/>
      <c r="E110" s="49"/>
      <c r="F110" s="49"/>
      <c r="G110" s="50"/>
      <c r="H110" s="50"/>
      <c r="I110" s="50"/>
      <c r="J110" s="49"/>
      <c r="K110" s="49"/>
      <c r="L110" s="49"/>
      <c r="M110" s="50"/>
      <c r="N110" s="49"/>
      <c r="O110" s="50"/>
      <c r="P110" s="50"/>
      <c r="Q110" s="50"/>
      <c r="R110" s="49"/>
      <c r="S110" s="50"/>
      <c r="T110" s="50"/>
      <c r="U110" s="50"/>
      <c r="V110" s="49"/>
      <c r="W110" s="25"/>
      <c r="AJ110" s="80">
        <v>44325</v>
      </c>
      <c r="AK110">
        <v>670</v>
      </c>
      <c r="AL110">
        <f t="shared" si="173"/>
        <v>26.555332940331681</v>
      </c>
    </row>
    <row r="111" spans="1:38" x14ac:dyDescent="0.2">
      <c r="AJ111" s="80">
        <v>44335</v>
      </c>
      <c r="AK111">
        <v>680</v>
      </c>
      <c r="AL111">
        <f t="shared" si="173"/>
        <v>26.656632763002253</v>
      </c>
    </row>
    <row r="112" spans="1:38" x14ac:dyDescent="0.2">
      <c r="AJ112" s="80">
        <v>44345</v>
      </c>
      <c r="AK112">
        <v>690</v>
      </c>
      <c r="AL112">
        <f t="shared" si="173"/>
        <v>26.756183298983409</v>
      </c>
    </row>
    <row r="113" spans="36:38" x14ac:dyDescent="0.2">
      <c r="AJ113" s="80">
        <v>44355</v>
      </c>
      <c r="AK113">
        <v>700</v>
      </c>
      <c r="AL113">
        <f t="shared" si="173"/>
        <v>26.854037292050261</v>
      </c>
    </row>
    <row r="114" spans="36:38" x14ac:dyDescent="0.2">
      <c r="AJ114" s="80">
        <v>44365</v>
      </c>
      <c r="AK114">
        <v>710</v>
      </c>
      <c r="AL114">
        <f t="shared" si="173"/>
        <v>26.950245233733913</v>
      </c>
    </row>
    <row r="115" spans="36:38" x14ac:dyDescent="0.2">
      <c r="AJ115" s="80">
        <v>44375</v>
      </c>
      <c r="AK115">
        <v>720</v>
      </c>
      <c r="AL115">
        <f t="shared" si="173"/>
        <v>27.044855487040024</v>
      </c>
    </row>
    <row r="116" spans="36:38" x14ac:dyDescent="0.2">
      <c r="AJ116" s="80">
        <v>44385</v>
      </c>
      <c r="AK116">
        <v>730</v>
      </c>
      <c r="AL116">
        <f t="shared" si="173"/>
        <v>27.137914401896328</v>
      </c>
    </row>
    <row r="117" spans="36:38" x14ac:dyDescent="0.2">
      <c r="AJ117" s="80">
        <v>44395</v>
      </c>
      <c r="AK117">
        <v>740</v>
      </c>
      <c r="AL117">
        <f t="shared" si="173"/>
        <v>27.229466422978486</v>
      </c>
    </row>
    <row r="118" spans="36:38" x14ac:dyDescent="0.2">
      <c r="AJ118" s="80">
        <v>44405</v>
      </c>
      <c r="AK118">
        <v>750</v>
      </c>
      <c r="AL118">
        <f t="shared" si="173"/>
        <v>27.319554190504793</v>
      </c>
    </row>
    <row r="119" spans="36:38" x14ac:dyDescent="0.2">
      <c r="AJ119" s="80">
        <v>44415</v>
      </c>
      <c r="AK119">
        <v>760</v>
      </c>
      <c r="AL119">
        <f t="shared" si="173"/>
        <v>27.408218634538265</v>
      </c>
    </row>
    <row r="120" spans="36:38" x14ac:dyDescent="0.2">
      <c r="AJ120" s="80">
        <v>44425</v>
      </c>
      <c r="AK120">
        <v>770</v>
      </c>
      <c r="AL120">
        <f t="shared" si="173"/>
        <v>27.495499063287181</v>
      </c>
    </row>
    <row r="121" spans="36:38" x14ac:dyDescent="0.2">
      <c r="AJ121" s="80">
        <v>44435</v>
      </c>
      <c r="AK121">
        <v>780</v>
      </c>
      <c r="AL121">
        <f t="shared" si="173"/>
        <v>27.581433245852789</v>
      </c>
    </row>
    <row r="122" spans="36:38" x14ac:dyDescent="0.2">
      <c r="AJ122" s="80">
        <v>44445</v>
      </c>
      <c r="AK122">
        <v>790</v>
      </c>
      <c r="AL122">
        <f t="shared" si="173"/>
        <v>27.666057489834273</v>
      </c>
    </row>
    <row r="123" spans="36:38" x14ac:dyDescent="0.2">
      <c r="AJ123" s="80">
        <v>44455</v>
      </c>
      <c r="AK123">
        <v>800</v>
      </c>
      <c r="AL123">
        <f t="shared" si="173"/>
        <v>27.749406714166682</v>
      </c>
    </row>
    <row r="124" spans="36:38" x14ac:dyDescent="0.2">
      <c r="AJ124" s="80">
        <v>44465</v>
      </c>
      <c r="AK124">
        <v>810</v>
      </c>
      <c r="AL124">
        <f t="shared" si="173"/>
        <v>27.831514517535677</v>
      </c>
    </row>
    <row r="125" spans="36:38" x14ac:dyDescent="0.2">
      <c r="AJ125" s="80">
        <v>44475</v>
      </c>
      <c r="AK125">
        <v>820</v>
      </c>
      <c r="AL125">
        <f t="shared" si="173"/>
        <v>27.912413242685037</v>
      </c>
    </row>
    <row r="126" spans="36:38" x14ac:dyDescent="0.2">
      <c r="AJ126" s="80">
        <v>44485</v>
      </c>
      <c r="AK126">
        <v>830</v>
      </c>
      <c r="AL126">
        <f t="shared" si="173"/>
        <v>27.992134036906496</v>
      </c>
    </row>
    <row r="127" spans="36:38" x14ac:dyDescent="0.2">
      <c r="AJ127" s="80">
        <v>44495</v>
      </c>
      <c r="AK127">
        <v>840</v>
      </c>
      <c r="AL127">
        <f t="shared" si="173"/>
        <v>28.070706908978469</v>
      </c>
    </row>
    <row r="128" spans="36:38" x14ac:dyDescent="0.2">
      <c r="AJ128" s="80">
        <v>44505</v>
      </c>
      <c r="AK128">
        <v>850</v>
      </c>
      <c r="AL128">
        <f t="shared" si="173"/>
        <v>28.148160782798751</v>
      </c>
    </row>
    <row r="129" spans="36:38" x14ac:dyDescent="0.2">
      <c r="AJ129" s="80">
        <v>44515</v>
      </c>
      <c r="AK129">
        <v>860</v>
      </c>
      <c r="AL129">
        <f t="shared" si="173"/>
        <v>28.224523547936816</v>
      </c>
    </row>
    <row r="130" spans="36:38" x14ac:dyDescent="0.2">
      <c r="AJ130" s="80">
        <v>44525</v>
      </c>
      <c r="AK130">
        <v>870</v>
      </c>
      <c r="AL130">
        <f t="shared" si="173"/>
        <v>28.299822107313876</v>
      </c>
    </row>
    <row r="131" spans="36:38" x14ac:dyDescent="0.2">
      <c r="AJ131" s="80">
        <v>44535</v>
      </c>
      <c r="AK131">
        <v>880</v>
      </c>
      <c r="AL131">
        <f t="shared" si="173"/>
        <v>28.374082422202537</v>
      </c>
    </row>
    <row r="132" spans="36:38" x14ac:dyDescent="0.2">
      <c r="AJ132" s="80">
        <v>44545</v>
      </c>
      <c r="AK132">
        <v>890</v>
      </c>
      <c r="AL132">
        <f t="shared" si="173"/>
        <v>28.447329554723321</v>
      </c>
    </row>
    <row r="133" spans="36:38" x14ac:dyDescent="0.2">
      <c r="AJ133" s="80">
        <v>44555</v>
      </c>
      <c r="AK133">
        <v>900</v>
      </c>
      <c r="AL133">
        <f t="shared" si="173"/>
        <v>28.519587708001854</v>
      </c>
    </row>
    <row r="134" spans="36:38" x14ac:dyDescent="0.2">
      <c r="AJ134" s="80">
        <v>44565</v>
      </c>
      <c r="AK134">
        <v>910</v>
      </c>
      <c r="AL134">
        <f t="shared" si="173"/>
        <v>28.590880264138242</v>
      </c>
    </row>
    <row r="135" spans="36:38" x14ac:dyDescent="0.2">
      <c r="AJ135" s="80">
        <v>44575</v>
      </c>
      <c r="AK135">
        <v>920</v>
      </c>
      <c r="AL135">
        <f t="shared" si="173"/>
        <v>28.661229820128781</v>
      </c>
    </row>
    <row r="136" spans="36:38" x14ac:dyDescent="0.2">
      <c r="AJ136" s="80">
        <v>44585</v>
      </c>
      <c r="AK136">
        <v>930</v>
      </c>
      <c r="AL136">
        <f t="shared" si="173"/>
        <v>28.730658221870062</v>
      </c>
    </row>
    <row r="137" spans="36:38" x14ac:dyDescent="0.2">
      <c r="AJ137" s="80">
        <v>44595</v>
      </c>
      <c r="AK137">
        <v>940</v>
      </c>
      <c r="AL137">
        <f t="shared" si="173"/>
        <v>28.799186596365903</v>
      </c>
    </row>
    <row r="138" spans="36:38" x14ac:dyDescent="0.2">
      <c r="AJ138" s="80">
        <v>44605</v>
      </c>
      <c r="AK138">
        <v>950</v>
      </c>
      <c r="AL138">
        <f t="shared" si="173"/>
        <v>28.866835382248798</v>
      </c>
    </row>
    <row r="139" spans="36:38" x14ac:dyDescent="0.2">
      <c r="AJ139" s="80">
        <v>44615</v>
      </c>
      <c r="AK139">
        <v>960</v>
      </c>
      <c r="AL139">
        <f t="shared" si="173"/>
        <v>28.933624358719918</v>
      </c>
    </row>
    <row r="140" spans="36:38" x14ac:dyDescent="0.2">
      <c r="AJ140" s="80">
        <v>44625</v>
      </c>
      <c r="AK140">
        <v>970</v>
      </c>
      <c r="AL140">
        <f t="shared" si="173"/>
        <v>28.999572673003911</v>
      </c>
    </row>
    <row r="141" spans="36:38" x14ac:dyDescent="0.2">
      <c r="AJ141" s="80">
        <v>44635</v>
      </c>
      <c r="AK141">
        <v>980</v>
      </c>
      <c r="AL141">
        <f t="shared" si="173"/>
        <v>29.064698866408353</v>
      </c>
    </row>
    <row r="142" spans="36:38" x14ac:dyDescent="0.2">
      <c r="AJ142" s="80">
        <v>44645</v>
      </c>
      <c r="AK142">
        <v>990</v>
      </c>
      <c r="AL142">
        <f t="shared" si="173"/>
        <v>29.129020899071307</v>
      </c>
    </row>
    <row r="143" spans="36:38" x14ac:dyDescent="0.2">
      <c r="AJ143" s="80">
        <v>44655</v>
      </c>
      <c r="AK143">
        <v>1000</v>
      </c>
      <c r="AL143">
        <f t="shared" si="173"/>
        <v>29.19255617347482</v>
      </c>
    </row>
    <row r="144" spans="36:38" x14ac:dyDescent="0.2">
      <c r="AJ144" s="80">
        <v>44665</v>
      </c>
      <c r="AK144">
        <v>1010</v>
      </c>
      <c r="AL144">
        <f t="shared" si="173"/>
        <v>29.255321556796673</v>
      </c>
    </row>
    <row r="145" spans="36:38" x14ac:dyDescent="0.2">
      <c r="AJ145" s="80">
        <v>44675</v>
      </c>
      <c r="AK145">
        <v>1020</v>
      </c>
      <c r="AL145">
        <f t="shared" si="173"/>
        <v>29.317333402168174</v>
      </c>
    </row>
    <row r="146" spans="36:38" x14ac:dyDescent="0.2">
      <c r="AJ146" s="80">
        <v>44685</v>
      </c>
      <c r="AK146">
        <v>1030</v>
      </c>
      <c r="AL146">
        <f t="shared" si="173"/>
        <v>29.378607568900936</v>
      </c>
    </row>
    <row r="147" spans="36:38" x14ac:dyDescent="0.2">
      <c r="AJ147" s="80">
        <v>44695</v>
      </c>
      <c r="AK147">
        <v>1040</v>
      </c>
      <c r="AL147">
        <f t="shared" si="173"/>
        <v>29.439159441741541</v>
      </c>
    </row>
    <row r="148" spans="36:38" x14ac:dyDescent="0.2">
      <c r="AJ148" s="80">
        <v>44705</v>
      </c>
      <c r="AK148">
        <v>1050</v>
      </c>
      <c r="AL148">
        <f t="shared" si="173"/>
        <v>29.499003949209197</v>
      </c>
    </row>
    <row r="149" spans="36:38" x14ac:dyDescent="0.2">
      <c r="AJ149" s="80">
        <v>44715</v>
      </c>
      <c r="AK149">
        <v>1060</v>
      </c>
      <c r="AL149">
        <f t="shared" si="173"/>
        <v>29.558155581067744</v>
      </c>
    </row>
    <row r="150" spans="36:38" x14ac:dyDescent="0.2">
      <c r="AJ150" s="80">
        <v>44725</v>
      </c>
      <c r="AK150">
        <v>1070</v>
      </c>
      <c r="AL150">
        <f t="shared" si="173"/>
        <v>29.616628404980304</v>
      </c>
    </row>
    <row r="151" spans="36:38" x14ac:dyDescent="0.2">
      <c r="AJ151" s="80">
        <v>44855</v>
      </c>
      <c r="AK151">
        <v>1200</v>
      </c>
      <c r="AL151">
        <f t="shared" si="173"/>
        <v>30.32072611185605</v>
      </c>
    </row>
    <row r="152" spans="36:38" x14ac:dyDescent="0.2">
      <c r="AJ152" s="80">
        <v>44915</v>
      </c>
      <c r="AK152">
        <v>1260</v>
      </c>
      <c r="AL152">
        <f t="shared" si="173"/>
        <v>30.614730203296421</v>
      </c>
    </row>
    <row r="153" spans="36:38" x14ac:dyDescent="0.2">
      <c r="AJ153" s="80">
        <v>44975</v>
      </c>
      <c r="AK153">
        <v>1320</v>
      </c>
      <c r="AL153">
        <f t="shared" ref="AL153:AL202" si="206">$AG$12*(1-($AG$13/(AK153+$AG$13))^$AG$14)</f>
        <v>30.891933733612269</v>
      </c>
    </row>
    <row r="154" spans="36:38" x14ac:dyDescent="0.2">
      <c r="AJ154" s="80">
        <v>45035</v>
      </c>
      <c r="AK154">
        <v>1380</v>
      </c>
      <c r="AL154">
        <f t="shared" si="206"/>
        <v>31.153963903009739</v>
      </c>
    </row>
    <row r="155" spans="36:38" x14ac:dyDescent="0.2">
      <c r="AJ155" s="80">
        <v>45095</v>
      </c>
      <c r="AK155">
        <v>1440</v>
      </c>
      <c r="AL155">
        <f t="shared" si="206"/>
        <v>31.402230905630205</v>
      </c>
    </row>
    <row r="156" spans="36:38" x14ac:dyDescent="0.2">
      <c r="AJ156" s="80">
        <v>45155</v>
      </c>
      <c r="AK156">
        <v>1500</v>
      </c>
      <c r="AL156">
        <f t="shared" si="206"/>
        <v>31.637964178029613</v>
      </c>
    </row>
    <row r="157" spans="36:38" x14ac:dyDescent="0.2">
      <c r="AJ157" s="80">
        <v>45215</v>
      </c>
      <c r="AK157">
        <v>1560</v>
      </c>
      <c r="AL157">
        <f t="shared" si="206"/>
        <v>31.862241463114991</v>
      </c>
    </row>
    <row r="158" spans="36:38" x14ac:dyDescent="0.2">
      <c r="AJ158" s="80">
        <v>45275</v>
      </c>
      <c r="AK158">
        <v>1620</v>
      </c>
      <c r="AL158">
        <f t="shared" si="206"/>
        <v>32.076012321315943</v>
      </c>
    </row>
    <row r="159" spans="36:38" x14ac:dyDescent="0.2">
      <c r="AJ159" s="80">
        <v>45335</v>
      </c>
      <c r="AK159">
        <v>1680</v>
      </c>
      <c r="AL159">
        <f t="shared" si="206"/>
        <v>32.280117306240619</v>
      </c>
    </row>
    <row r="160" spans="36:38" x14ac:dyDescent="0.2">
      <c r="AJ160" s="80">
        <v>45395</v>
      </c>
      <c r="AK160">
        <v>1740</v>
      </c>
      <c r="AL160">
        <f t="shared" si="206"/>
        <v>32.475303723248167</v>
      </c>
    </row>
    <row r="161" spans="36:38" x14ac:dyDescent="0.2">
      <c r="AJ161" s="80">
        <v>45455</v>
      </c>
      <c r="AK161">
        <v>1800</v>
      </c>
      <c r="AL161">
        <f t="shared" si="206"/>
        <v>32.662238671247856</v>
      </c>
    </row>
    <row r="162" spans="36:38" x14ac:dyDescent="0.2">
      <c r="AJ162" s="80">
        <v>45515</v>
      </c>
      <c r="AK162">
        <v>1860</v>
      </c>
      <c r="AL162">
        <f t="shared" si="206"/>
        <v>32.841519906959292</v>
      </c>
    </row>
    <row r="163" spans="36:38" x14ac:dyDescent="0.2">
      <c r="AJ163" s="80">
        <v>45575</v>
      </c>
      <c r="AK163">
        <v>1920</v>
      </c>
      <c r="AL163">
        <f t="shared" si="206"/>
        <v>33.013684950632026</v>
      </c>
    </row>
    <row r="164" spans="36:38" x14ac:dyDescent="0.2">
      <c r="AJ164" s="80">
        <v>45635</v>
      </c>
      <c r="AK164">
        <v>1980</v>
      </c>
      <c r="AL164">
        <f t="shared" si="206"/>
        <v>33.179218761566453</v>
      </c>
    </row>
    <row r="165" spans="36:38" x14ac:dyDescent="0.2">
      <c r="AJ165" s="80">
        <v>45695</v>
      </c>
      <c r="AK165">
        <v>2040</v>
      </c>
      <c r="AL165">
        <f t="shared" si="206"/>
        <v>33.338560242782734</v>
      </c>
    </row>
    <row r="166" spans="36:38" x14ac:dyDescent="0.2">
      <c r="AJ166" s="80">
        <v>45815</v>
      </c>
      <c r="AK166">
        <v>2160</v>
      </c>
      <c r="AL166">
        <f t="shared" si="206"/>
        <v>33.640223988786737</v>
      </c>
    </row>
    <row r="167" spans="36:38" x14ac:dyDescent="0.2">
      <c r="AJ167" s="80">
        <v>45935</v>
      </c>
      <c r="AK167">
        <v>2280</v>
      </c>
      <c r="AL167">
        <f t="shared" si="206"/>
        <v>33.921457878789717</v>
      </c>
    </row>
    <row r="168" spans="36:38" x14ac:dyDescent="0.2">
      <c r="AJ168" s="80">
        <v>46055</v>
      </c>
      <c r="AK168">
        <v>2400</v>
      </c>
      <c r="AL168">
        <f t="shared" si="206"/>
        <v>34.1845889263763</v>
      </c>
    </row>
    <row r="169" spans="36:38" x14ac:dyDescent="0.2">
      <c r="AJ169" s="80">
        <v>46175</v>
      </c>
      <c r="AK169">
        <v>2520</v>
      </c>
      <c r="AL169">
        <f t="shared" si="206"/>
        <v>34.431581749447901</v>
      </c>
    </row>
    <row r="170" spans="36:38" x14ac:dyDescent="0.2">
      <c r="AJ170" s="80">
        <v>46295</v>
      </c>
      <c r="AK170">
        <v>2640</v>
      </c>
      <c r="AL170">
        <f t="shared" si="206"/>
        <v>34.664108804079383</v>
      </c>
    </row>
    <row r="171" spans="36:38" x14ac:dyDescent="0.2">
      <c r="AJ171" s="80">
        <v>46415</v>
      </c>
      <c r="AK171">
        <v>2760</v>
      </c>
      <c r="AL171">
        <f t="shared" si="206"/>
        <v>34.883604563067905</v>
      </c>
    </row>
    <row r="172" spans="36:38" x14ac:dyDescent="0.2">
      <c r="AJ172" s="80">
        <v>46535</v>
      </c>
      <c r="AK172">
        <v>2880</v>
      </c>
      <c r="AL172">
        <f t="shared" si="206"/>
        <v>35.091307821899377</v>
      </c>
    </row>
    <row r="173" spans="36:38" x14ac:dyDescent="0.2">
      <c r="AJ173" s="80">
        <v>46655</v>
      </c>
      <c r="AK173">
        <v>3000</v>
      </c>
      <c r="AL173">
        <f t="shared" si="206"/>
        <v>35.288295102239253</v>
      </c>
    </row>
    <row r="174" spans="36:38" x14ac:dyDescent="0.2">
      <c r="AJ174" s="80">
        <v>46775</v>
      </c>
      <c r="AK174">
        <v>3120</v>
      </c>
      <c r="AL174">
        <f t="shared" si="206"/>
        <v>35.475507294909391</v>
      </c>
    </row>
    <row r="175" spans="36:38" x14ac:dyDescent="0.2">
      <c r="AJ175" s="80">
        <v>46895</v>
      </c>
      <c r="AK175">
        <v>3240</v>
      </c>
      <c r="AL175">
        <f t="shared" si="206"/>
        <v>35.653771109069403</v>
      </c>
    </row>
    <row r="176" spans="36:38" x14ac:dyDescent="0.2">
      <c r="AJ176" s="80">
        <v>47015</v>
      </c>
      <c r="AK176">
        <v>3360</v>
      </c>
      <c r="AL176">
        <f t="shared" si="206"/>
        <v>35.823816488506239</v>
      </c>
    </row>
    <row r="177" spans="36:38" x14ac:dyDescent="0.2">
      <c r="AJ177" s="80">
        <v>47135</v>
      </c>
      <c r="AK177">
        <v>3480</v>
      </c>
      <c r="AL177">
        <f t="shared" si="206"/>
        <v>35.98629086554832</v>
      </c>
    </row>
    <row r="178" spans="36:38" x14ac:dyDescent="0.2">
      <c r="AJ178" s="80">
        <v>47255</v>
      </c>
      <c r="AK178">
        <v>3600</v>
      </c>
      <c r="AL178">
        <f t="shared" si="206"/>
        <v>36.141770912588996</v>
      </c>
    </row>
    <row r="179" spans="36:38" x14ac:dyDescent="0.2">
      <c r="AJ179" s="80">
        <v>47375</v>
      </c>
      <c r="AK179">
        <v>3720</v>
      </c>
      <c r="AL179">
        <f t="shared" si="206"/>
        <v>36.290772296711467</v>
      </c>
    </row>
    <row r="180" spans="36:38" x14ac:dyDescent="0.2">
      <c r="AJ180" s="80">
        <v>47495</v>
      </c>
      <c r="AK180">
        <v>3840</v>
      </c>
      <c r="AL180">
        <f t="shared" si="206"/>
        <v>36.433757828256915</v>
      </c>
    </row>
    <row r="181" spans="36:38" x14ac:dyDescent="0.2">
      <c r="AJ181" s="80">
        <v>47615</v>
      </c>
      <c r="AK181">
        <v>3960</v>
      </c>
      <c r="AL181">
        <f t="shared" si="206"/>
        <v>36.571144308204723</v>
      </c>
    </row>
    <row r="182" spans="36:38" x14ac:dyDescent="0.2">
      <c r="AJ182" s="80">
        <v>47735</v>
      </c>
      <c r="AK182">
        <v>4080</v>
      </c>
      <c r="AL182">
        <f t="shared" si="206"/>
        <v>36.703308314133785</v>
      </c>
    </row>
    <row r="183" spans="36:38" x14ac:dyDescent="0.2">
      <c r="AJ183" s="80">
        <v>47855</v>
      </c>
      <c r="AK183">
        <v>4200</v>
      </c>
      <c r="AL183">
        <f t="shared" si="206"/>
        <v>36.830591114791723</v>
      </c>
    </row>
    <row r="184" spans="36:38" x14ac:dyDescent="0.2">
      <c r="AJ184" s="80">
        <v>47975</v>
      </c>
      <c r="AK184">
        <v>4320</v>
      </c>
      <c r="AL184">
        <f t="shared" si="206"/>
        <v>36.953302864965373</v>
      </c>
    </row>
    <row r="185" spans="36:38" x14ac:dyDescent="0.2">
      <c r="AJ185" s="80">
        <v>48095</v>
      </c>
      <c r="AK185">
        <v>4440</v>
      </c>
      <c r="AL185">
        <f t="shared" si="206"/>
        <v>37.071726202568968</v>
      </c>
    </row>
    <row r="186" spans="36:38" x14ac:dyDescent="0.2">
      <c r="AJ186" s="80">
        <v>48215</v>
      </c>
      <c r="AK186">
        <v>4560</v>
      </c>
      <c r="AL186">
        <f t="shared" si="206"/>
        <v>37.186119346561327</v>
      </c>
    </row>
    <row r="187" spans="36:38" x14ac:dyDescent="0.2">
      <c r="AJ187" s="80">
        <v>48335</v>
      </c>
      <c r="AK187">
        <v>4680</v>
      </c>
      <c r="AL187">
        <f t="shared" si="206"/>
        <v>37.296718775934337</v>
      </c>
    </row>
    <row r="188" spans="36:38" x14ac:dyDescent="0.2">
      <c r="AJ188" s="80">
        <v>48455</v>
      </c>
      <c r="AK188">
        <v>4800</v>
      </c>
      <c r="AL188">
        <f t="shared" si="206"/>
        <v>37.403741555440121</v>
      </c>
    </row>
    <row r="189" spans="36:38" x14ac:dyDescent="0.2">
      <c r="AJ189" s="80">
        <v>48575</v>
      </c>
      <c r="AK189">
        <v>4920</v>
      </c>
      <c r="AL189">
        <f t="shared" si="206"/>
        <v>37.507387362085943</v>
      </c>
    </row>
    <row r="190" spans="36:38" x14ac:dyDescent="0.2">
      <c r="AJ190" s="80">
        <v>48695</v>
      </c>
      <c r="AK190">
        <v>5040</v>
      </c>
      <c r="AL190">
        <f t="shared" si="206"/>
        <v>37.607840257077477</v>
      </c>
    </row>
    <row r="191" spans="36:38" x14ac:dyDescent="0.2">
      <c r="AJ191" s="80">
        <v>48815</v>
      </c>
      <c r="AK191">
        <v>5160</v>
      </c>
      <c r="AL191">
        <f t="shared" si="206"/>
        <v>37.705270240339466</v>
      </c>
    </row>
    <row r="192" spans="36:38" x14ac:dyDescent="0.2">
      <c r="AJ192" s="80">
        <v>48935</v>
      </c>
      <c r="AK192">
        <v>5280</v>
      </c>
      <c r="AL192">
        <f t="shared" si="206"/>
        <v>37.799834618609047</v>
      </c>
    </row>
    <row r="193" spans="36:38" x14ac:dyDescent="0.2">
      <c r="AJ193" s="80">
        <v>49055</v>
      </c>
      <c r="AK193">
        <v>5400</v>
      </c>
      <c r="AL193">
        <f t="shared" si="206"/>
        <v>37.891679213090377</v>
      </c>
    </row>
    <row r="194" spans="36:38" x14ac:dyDescent="0.2">
      <c r="AJ194" s="80">
        <v>49175</v>
      </c>
      <c r="AK194">
        <v>5520</v>
      </c>
      <c r="AL194">
        <f t="shared" si="206"/>
        <v>37.980939428551828</v>
      </c>
    </row>
    <row r="195" spans="36:38" x14ac:dyDescent="0.2">
      <c r="AJ195" s="80">
        <v>49295</v>
      </c>
      <c r="AK195">
        <v>5640</v>
      </c>
      <c r="AL195">
        <f t="shared" si="206"/>
        <v>38.067741202362484</v>
      </c>
    </row>
    <row r="196" spans="36:38" x14ac:dyDescent="0.2">
      <c r="AJ196" s="80">
        <v>49415</v>
      </c>
      <c r="AK196">
        <v>5760</v>
      </c>
      <c r="AL196">
        <f t="shared" si="206"/>
        <v>38.152201849162559</v>
      </c>
    </row>
    <row r="197" spans="36:38" x14ac:dyDescent="0.2">
      <c r="AJ197" s="80">
        <v>49535</v>
      </c>
      <c r="AK197">
        <v>5880</v>
      </c>
      <c r="AL197">
        <f t="shared" si="206"/>
        <v>38.234430814533496</v>
      </c>
    </row>
    <row r="198" spans="36:38" x14ac:dyDescent="0.2">
      <c r="AJ198" s="80">
        <v>49655</v>
      </c>
      <c r="AK198">
        <v>6000</v>
      </c>
      <c r="AL198">
        <f t="shared" si="206"/>
        <v>38.31453034908953</v>
      </c>
    </row>
    <row r="199" spans="36:38" x14ac:dyDescent="0.2">
      <c r="AJ199" s="80">
        <v>49775</v>
      </c>
      <c r="AK199">
        <v>6120</v>
      </c>
      <c r="AL199">
        <f t="shared" si="206"/>
        <v>38.392596112783686</v>
      </c>
    </row>
    <row r="200" spans="36:38" x14ac:dyDescent="0.2">
      <c r="AJ200" s="80">
        <v>49895</v>
      </c>
      <c r="AK200">
        <v>6240</v>
      </c>
      <c r="AL200">
        <f t="shared" si="206"/>
        <v>38.468717717851732</v>
      </c>
    </row>
    <row r="201" spans="36:38" x14ac:dyDescent="0.2">
      <c r="AJ201" s="80">
        <v>50015</v>
      </c>
      <c r="AK201">
        <v>6360</v>
      </c>
      <c r="AL201">
        <f t="shared" si="206"/>
        <v>38.542979217661198</v>
      </c>
    </row>
    <row r="202" spans="36:38" x14ac:dyDescent="0.2">
      <c r="AJ202" s="80">
        <v>50135</v>
      </c>
      <c r="AK202">
        <v>6480</v>
      </c>
      <c r="AL202">
        <f t="shared" si="206"/>
        <v>38.615459547754085</v>
      </c>
    </row>
  </sheetData>
  <mergeCells count="9">
    <mergeCell ref="Q1:T1"/>
    <mergeCell ref="Q2:T2"/>
    <mergeCell ref="C7:U7"/>
    <mergeCell ref="A5:U5"/>
    <mergeCell ref="C8:F8"/>
    <mergeCell ref="G8:J8"/>
    <mergeCell ref="K8:N8"/>
    <mergeCell ref="O8:R8"/>
    <mergeCell ref="S8:V8"/>
  </mergeCells>
  <phoneticPr fontId="0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55" fitToHeight="0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Feuil8"/>
  <dimension ref="A1:AE81"/>
  <sheetViews>
    <sheetView topLeftCell="A22" zoomScale="70" zoomScaleNormal="70" workbookViewId="0">
      <selection activeCell="AC57" sqref="AC57"/>
    </sheetView>
  </sheetViews>
  <sheetFormatPr baseColWidth="10" defaultColWidth="11.42578125" defaultRowHeight="12.75" x14ac:dyDescent="0.2"/>
  <cols>
    <col min="1" max="1" width="3.85546875" style="2" customWidth="1"/>
    <col min="2" max="12" width="10.28515625" style="2" customWidth="1"/>
    <col min="13" max="13" width="7.140625" style="2" customWidth="1"/>
    <col min="14" max="24" width="10.28515625" style="2" customWidth="1"/>
    <col min="25" max="25" width="7.5703125" style="2" customWidth="1"/>
    <col min="26" max="16384" width="11.42578125" style="2"/>
  </cols>
  <sheetData>
    <row r="1" spans="1:31" x14ac:dyDescent="0.2">
      <c r="A1" s="96"/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  <c r="U1" s="96"/>
      <c r="V1" s="96"/>
      <c r="W1" s="96"/>
      <c r="X1" s="96"/>
      <c r="Y1" s="96"/>
    </row>
    <row r="2" spans="1:31" ht="15.75" x14ac:dyDescent="0.2">
      <c r="A2" s="96"/>
      <c r="B2" s="60"/>
      <c r="C2" s="61"/>
      <c r="D2" s="61"/>
      <c r="E2" s="61"/>
      <c r="F2" s="61"/>
      <c r="G2" s="61"/>
      <c r="H2" s="61"/>
      <c r="I2" s="145" t="s">
        <v>6</v>
      </c>
      <c r="J2" s="145"/>
      <c r="K2" s="145"/>
      <c r="L2" s="146"/>
      <c r="M2" s="97"/>
      <c r="N2" s="60"/>
      <c r="O2" s="61"/>
      <c r="P2" s="61"/>
      <c r="Q2" s="61"/>
      <c r="R2" s="61"/>
      <c r="S2" s="61"/>
      <c r="T2" s="61"/>
      <c r="U2" s="145" t="s">
        <v>6</v>
      </c>
      <c r="V2" s="145"/>
      <c r="W2" s="145"/>
      <c r="X2" s="146"/>
      <c r="Y2" s="96"/>
    </row>
    <row r="3" spans="1:31" ht="15.75" x14ac:dyDescent="0.2">
      <c r="A3" s="96"/>
      <c r="B3" s="62"/>
      <c r="I3" s="132" t="s">
        <v>39</v>
      </c>
      <c r="J3" s="132"/>
      <c r="K3" s="132"/>
      <c r="L3" s="147"/>
      <c r="M3" s="98"/>
      <c r="N3" s="62"/>
      <c r="U3" s="132" t="s">
        <v>39</v>
      </c>
      <c r="V3" s="132"/>
      <c r="W3" s="132"/>
      <c r="X3" s="147"/>
      <c r="Y3" s="96"/>
    </row>
    <row r="4" spans="1:31" ht="15" x14ac:dyDescent="0.2">
      <c r="A4" s="96"/>
      <c r="B4" s="62"/>
      <c r="I4" s="63"/>
      <c r="J4" s="63"/>
      <c r="K4" s="63"/>
      <c r="L4" s="64"/>
      <c r="M4" s="96"/>
      <c r="N4" s="62"/>
      <c r="U4" s="63"/>
      <c r="V4" s="63"/>
      <c r="W4" s="63"/>
      <c r="X4" s="64"/>
      <c r="Y4" s="96"/>
    </row>
    <row r="5" spans="1:31" x14ac:dyDescent="0.2">
      <c r="A5" s="96"/>
      <c r="B5" s="62"/>
      <c r="J5" s="140"/>
      <c r="K5" s="140"/>
      <c r="L5" s="141"/>
      <c r="M5" s="99"/>
      <c r="N5" s="62"/>
      <c r="V5" s="140"/>
      <c r="W5" s="140"/>
      <c r="X5" s="141"/>
      <c r="Y5" s="96"/>
    </row>
    <row r="6" spans="1:31" x14ac:dyDescent="0.2">
      <c r="A6" s="96"/>
      <c r="B6" s="142" t="str">
        <f>"Carrefour GCR2 - GVA2 - GVA3 Norme des déplacements ( PM170.4 ) - Mesures au " &amp; TEXT( MAX('Résultats observations'!A10:A133),"jj/mm/aa")</f>
        <v>Carrefour GCR2 - GVA2 - GVA3 Norme des déplacements ( PM170.4 ) - Mesures au 20/12/22</v>
      </c>
      <c r="C6" s="143"/>
      <c r="D6" s="143"/>
      <c r="E6" s="143"/>
      <c r="F6" s="143"/>
      <c r="G6" s="143"/>
      <c r="H6" s="143"/>
      <c r="I6" s="143"/>
      <c r="J6" s="143"/>
      <c r="K6" s="143"/>
      <c r="L6" s="144"/>
      <c r="M6" s="100"/>
      <c r="N6" s="142" t="str">
        <f>"Déplacements altimétriques des cibles - ( PM170.4 ) - Mesures "&amp; TEXT( MAX('Résultats observations'!A10:A133),"jj/mm/aa")</f>
        <v>Déplacements altimétriques des cibles - ( PM170.4 ) - Mesures 20/12/22</v>
      </c>
      <c r="O6" s="143"/>
      <c r="P6" s="143"/>
      <c r="Q6" s="143"/>
      <c r="R6" s="143"/>
      <c r="S6" s="143"/>
      <c r="T6" s="143"/>
      <c r="U6" s="143"/>
      <c r="V6" s="143"/>
      <c r="W6" s="143"/>
      <c r="X6" s="144"/>
      <c r="Y6" s="96"/>
    </row>
    <row r="7" spans="1:31" ht="7.5" customHeight="1" x14ac:dyDescent="0.2">
      <c r="A7" s="96"/>
      <c r="B7" s="62"/>
      <c r="L7" s="64"/>
      <c r="M7" s="96"/>
      <c r="N7"/>
      <c r="O7"/>
      <c r="P7"/>
      <c r="Q7"/>
      <c r="R7"/>
      <c r="S7"/>
      <c r="T7"/>
      <c r="U7"/>
      <c r="V7"/>
      <c r="W7"/>
      <c r="X7"/>
      <c r="Y7" s="96"/>
    </row>
    <row r="8" spans="1:31" s="32" customFormat="1" x14ac:dyDescent="0.2">
      <c r="A8" s="96"/>
      <c r="B8" s="65"/>
      <c r="C8"/>
      <c r="D8"/>
      <c r="E8"/>
      <c r="F8"/>
      <c r="G8"/>
      <c r="H8"/>
      <c r="I8"/>
      <c r="J8"/>
      <c r="K8"/>
      <c r="L8" s="66"/>
      <c r="M8" s="101"/>
      <c r="N8" s="65"/>
      <c r="O8"/>
      <c r="P8"/>
      <c r="Q8"/>
      <c r="R8"/>
      <c r="S8"/>
      <c r="T8"/>
      <c r="U8"/>
      <c r="V8"/>
      <c r="W8"/>
      <c r="X8" s="66"/>
      <c r="Y8" s="96"/>
    </row>
    <row r="9" spans="1:31" x14ac:dyDescent="0.2">
      <c r="A9" s="96"/>
      <c r="B9" s="65"/>
      <c r="C9"/>
      <c r="D9"/>
      <c r="E9"/>
      <c r="F9"/>
      <c r="G9"/>
      <c r="H9"/>
      <c r="I9"/>
      <c r="J9"/>
      <c r="K9"/>
      <c r="L9" s="66"/>
      <c r="M9" s="101"/>
      <c r="N9" s="65"/>
      <c r="O9"/>
      <c r="P9"/>
      <c r="Q9"/>
      <c r="R9"/>
      <c r="S9"/>
      <c r="T9"/>
      <c r="U9"/>
      <c r="V9"/>
      <c r="W9"/>
      <c r="X9" s="66"/>
      <c r="Y9" s="96"/>
    </row>
    <row r="10" spans="1:31" customFormat="1" ht="35.25" customHeight="1" x14ac:dyDescent="0.2">
      <c r="A10" s="101"/>
      <c r="B10" s="65"/>
      <c r="L10" s="66"/>
      <c r="M10" s="101"/>
      <c r="N10" s="65"/>
      <c r="X10" s="66"/>
      <c r="Y10" s="101"/>
    </row>
    <row r="11" spans="1:31" customFormat="1" ht="13.5" customHeight="1" x14ac:dyDescent="0.2">
      <c r="A11" s="101"/>
      <c r="B11" s="65"/>
      <c r="L11" s="66"/>
      <c r="M11" s="101"/>
      <c r="N11" s="65"/>
      <c r="X11" s="66"/>
      <c r="Y11" s="101"/>
      <c r="Z11" s="75"/>
      <c r="AA11" t="s">
        <v>52</v>
      </c>
    </row>
    <row r="12" spans="1:31" customFormat="1" ht="13.5" customHeight="1" x14ac:dyDescent="0.2">
      <c r="A12" s="101"/>
      <c r="B12" s="65"/>
      <c r="L12" s="66"/>
      <c r="M12" s="101"/>
      <c r="N12" s="65"/>
      <c r="X12" s="66"/>
      <c r="Y12" s="101"/>
      <c r="Z12" s="75"/>
    </row>
    <row r="13" spans="1:31" customFormat="1" ht="13.5" customHeight="1" x14ac:dyDescent="0.2">
      <c r="A13" s="101"/>
      <c r="B13" s="65"/>
      <c r="L13" s="66"/>
      <c r="M13" s="101"/>
      <c r="N13" s="65"/>
      <c r="X13" s="66"/>
      <c r="Y13" s="101"/>
      <c r="AA13" s="2"/>
      <c r="AB13" s="76" t="s">
        <v>53</v>
      </c>
    </row>
    <row r="14" spans="1:31" customFormat="1" ht="13.5" customHeight="1" x14ac:dyDescent="0.2">
      <c r="A14" s="101"/>
      <c r="B14" s="65"/>
      <c r="L14" s="66"/>
      <c r="M14" s="101"/>
      <c r="N14" s="65"/>
      <c r="X14" s="66"/>
      <c r="Y14" s="101"/>
      <c r="AA14" s="2"/>
      <c r="AC14" s="76" t="s">
        <v>54</v>
      </c>
      <c r="AD14">
        <v>-15</v>
      </c>
      <c r="AE14" s="80">
        <v>43655</v>
      </c>
    </row>
    <row r="15" spans="1:31" customFormat="1" ht="13.5" customHeight="1" x14ac:dyDescent="0.2">
      <c r="A15" s="101"/>
      <c r="B15" s="65"/>
      <c r="L15" s="66"/>
      <c r="M15" s="101"/>
      <c r="N15" s="65"/>
      <c r="X15" s="66"/>
      <c r="Y15" s="101"/>
      <c r="AD15">
        <v>-15</v>
      </c>
      <c r="AE15" s="80">
        <v>44197</v>
      </c>
    </row>
    <row r="16" spans="1:31" customFormat="1" ht="13.5" customHeight="1" x14ac:dyDescent="0.2">
      <c r="A16" s="101"/>
      <c r="B16" s="65"/>
      <c r="L16" s="66"/>
      <c r="M16" s="101"/>
      <c r="N16" s="65"/>
      <c r="X16" s="66"/>
      <c r="Y16" s="101"/>
      <c r="AC16" s="76" t="s">
        <v>55</v>
      </c>
      <c r="AD16">
        <v>-30</v>
      </c>
      <c r="AE16" s="80">
        <f>+AE14</f>
        <v>43655</v>
      </c>
    </row>
    <row r="17" spans="1:31" customFormat="1" ht="13.5" customHeight="1" x14ac:dyDescent="0.2">
      <c r="A17" s="101"/>
      <c r="B17" s="65"/>
      <c r="L17" s="66"/>
      <c r="M17" s="101"/>
      <c r="N17" s="65"/>
      <c r="X17" s="66"/>
      <c r="Y17" s="101"/>
      <c r="AD17">
        <v>-30</v>
      </c>
      <c r="AE17" s="80">
        <f>+AE15</f>
        <v>44197</v>
      </c>
    </row>
    <row r="18" spans="1:31" customFormat="1" ht="13.5" customHeight="1" x14ac:dyDescent="0.2">
      <c r="A18" s="101"/>
      <c r="B18" s="65"/>
      <c r="L18" s="66"/>
      <c r="M18" s="101"/>
      <c r="N18" s="65"/>
      <c r="X18" s="66"/>
      <c r="Y18" s="101"/>
      <c r="AC18" s="76" t="s">
        <v>54</v>
      </c>
      <c r="AD18">
        <f>-AD14</f>
        <v>15</v>
      </c>
      <c r="AE18" s="80">
        <f>+AE14</f>
        <v>43655</v>
      </c>
    </row>
    <row r="19" spans="1:31" customFormat="1" x14ac:dyDescent="0.2">
      <c r="A19" s="101"/>
      <c r="B19" s="65"/>
      <c r="L19" s="66"/>
      <c r="M19" s="101"/>
      <c r="N19" s="65"/>
      <c r="X19" s="66"/>
      <c r="Y19" s="101"/>
      <c r="AD19">
        <f>AD18</f>
        <v>15</v>
      </c>
      <c r="AE19" s="80">
        <f>+AE15</f>
        <v>44197</v>
      </c>
    </row>
    <row r="20" spans="1:31" customFormat="1" x14ac:dyDescent="0.2">
      <c r="A20" s="101"/>
      <c r="B20" s="65"/>
      <c r="L20" s="66"/>
      <c r="M20" s="101"/>
      <c r="N20" s="65"/>
      <c r="X20" s="66"/>
      <c r="Y20" s="101"/>
      <c r="AC20" s="76" t="s">
        <v>55</v>
      </c>
      <c r="AD20">
        <f>-AD16</f>
        <v>30</v>
      </c>
      <c r="AE20" s="80">
        <f>+AE18</f>
        <v>43655</v>
      </c>
    </row>
    <row r="21" spans="1:31" customFormat="1" x14ac:dyDescent="0.2">
      <c r="A21" s="101"/>
      <c r="B21" s="65"/>
      <c r="L21" s="66"/>
      <c r="M21" s="101"/>
      <c r="N21" s="65"/>
      <c r="X21" s="66"/>
      <c r="Y21" s="101"/>
      <c r="AD21">
        <f>AD20</f>
        <v>30</v>
      </c>
      <c r="AE21" s="80">
        <f>+AE19</f>
        <v>44197</v>
      </c>
    </row>
    <row r="22" spans="1:31" customFormat="1" x14ac:dyDescent="0.2">
      <c r="A22" s="101"/>
      <c r="B22" s="65"/>
      <c r="L22" s="66"/>
      <c r="M22" s="101"/>
      <c r="N22" s="65"/>
      <c r="X22" s="66"/>
      <c r="Y22" s="101"/>
      <c r="AE22" s="80"/>
    </row>
    <row r="23" spans="1:31" customFormat="1" x14ac:dyDescent="0.2">
      <c r="A23" s="101"/>
      <c r="B23" s="65"/>
      <c r="L23" s="66"/>
      <c r="M23" s="101"/>
      <c r="N23" s="65"/>
      <c r="X23" s="66"/>
      <c r="Y23" s="101"/>
      <c r="AE23" s="80"/>
    </row>
    <row r="24" spans="1:31" customFormat="1" x14ac:dyDescent="0.2">
      <c r="A24" s="101"/>
      <c r="B24" s="65"/>
      <c r="L24" s="66"/>
      <c r="M24" s="101"/>
      <c r="N24" s="65"/>
      <c r="X24" s="66"/>
      <c r="Y24" s="101"/>
      <c r="AE24" s="80"/>
    </row>
    <row r="25" spans="1:31" customFormat="1" x14ac:dyDescent="0.2">
      <c r="A25" s="101"/>
      <c r="B25" s="65"/>
      <c r="L25" s="66"/>
      <c r="M25" s="101"/>
      <c r="N25" s="65"/>
      <c r="X25" s="66"/>
      <c r="Y25" s="101"/>
      <c r="AE25" s="80"/>
    </row>
    <row r="26" spans="1:31" customFormat="1" x14ac:dyDescent="0.2">
      <c r="A26" s="101"/>
      <c r="B26" s="65"/>
      <c r="L26" s="66"/>
      <c r="M26" s="101"/>
      <c r="N26" s="65"/>
      <c r="X26" s="66"/>
      <c r="Y26" s="101"/>
      <c r="AE26" s="80"/>
    </row>
    <row r="27" spans="1:31" customFormat="1" x14ac:dyDescent="0.2">
      <c r="A27" s="101"/>
      <c r="B27" s="65"/>
      <c r="L27" s="66"/>
      <c r="M27" s="101"/>
      <c r="N27" s="65"/>
      <c r="X27" s="66"/>
      <c r="Y27" s="101"/>
      <c r="AE27" s="80"/>
    </row>
    <row r="28" spans="1:31" customFormat="1" x14ac:dyDescent="0.2">
      <c r="A28" s="101"/>
      <c r="B28" s="65"/>
      <c r="L28" s="66"/>
      <c r="M28" s="101"/>
      <c r="N28" s="65"/>
      <c r="X28" s="66"/>
      <c r="Y28" s="101"/>
    </row>
    <row r="29" spans="1:31" customFormat="1" x14ac:dyDescent="0.2">
      <c r="A29" s="101"/>
      <c r="B29" s="65"/>
      <c r="L29" s="66"/>
      <c r="M29" s="101"/>
      <c r="N29" s="65"/>
      <c r="X29" s="66"/>
      <c r="Y29" s="101"/>
      <c r="AD29" s="109"/>
    </row>
    <row r="30" spans="1:31" customFormat="1" x14ac:dyDescent="0.2">
      <c r="A30" s="101"/>
      <c r="B30" s="65"/>
      <c r="L30" s="66"/>
      <c r="M30" s="101"/>
      <c r="N30" s="65"/>
      <c r="X30" s="66"/>
      <c r="Y30" s="101"/>
    </row>
    <row r="31" spans="1:31" customFormat="1" x14ac:dyDescent="0.2">
      <c r="A31" s="101"/>
      <c r="B31" s="65"/>
      <c r="L31" s="66"/>
      <c r="M31" s="101"/>
      <c r="N31" s="65"/>
      <c r="X31" s="66"/>
      <c r="Y31" s="101"/>
    </row>
    <row r="32" spans="1:31" customFormat="1" x14ac:dyDescent="0.2">
      <c r="A32" s="101"/>
      <c r="B32" s="65"/>
      <c r="L32" s="66"/>
      <c r="M32" s="101"/>
      <c r="N32" s="65"/>
      <c r="X32" s="66"/>
      <c r="Y32" s="101"/>
    </row>
    <row r="33" spans="1:31" customFormat="1" x14ac:dyDescent="0.2">
      <c r="A33" s="101"/>
      <c r="B33" s="67"/>
      <c r="C33" s="68"/>
      <c r="D33" s="68"/>
      <c r="E33" s="68"/>
      <c r="F33" s="68"/>
      <c r="G33" s="68"/>
      <c r="H33" s="68"/>
      <c r="I33" s="68"/>
      <c r="J33" s="68"/>
      <c r="K33" s="68"/>
      <c r="L33" s="69"/>
      <c r="M33" s="102"/>
      <c r="N33" s="67"/>
      <c r="O33" s="68"/>
      <c r="P33" s="68"/>
      <c r="Q33" s="68"/>
      <c r="R33" s="68"/>
      <c r="S33" s="68"/>
      <c r="T33" s="68"/>
      <c r="U33" s="68"/>
      <c r="V33" s="68"/>
      <c r="W33" s="68"/>
      <c r="X33" s="69"/>
      <c r="Y33" s="101"/>
    </row>
    <row r="34" spans="1:31" customFormat="1" x14ac:dyDescent="0.2">
      <c r="A34" s="101"/>
      <c r="B34" s="104"/>
      <c r="C34" s="101"/>
      <c r="D34" s="101"/>
      <c r="E34" s="101"/>
      <c r="F34" s="101"/>
      <c r="G34" s="101"/>
      <c r="H34" s="101"/>
      <c r="I34" s="101"/>
      <c r="J34" s="101"/>
      <c r="K34" s="101"/>
      <c r="L34" s="105"/>
      <c r="M34" s="101"/>
      <c r="N34" s="104"/>
      <c r="O34" s="101"/>
      <c r="P34" s="101"/>
      <c r="Q34" s="101"/>
      <c r="R34" s="101"/>
      <c r="S34" s="101"/>
      <c r="T34" s="101"/>
      <c r="U34" s="101"/>
      <c r="V34" s="101"/>
      <c r="W34" s="101"/>
      <c r="X34" s="105"/>
      <c r="Y34" s="101"/>
    </row>
    <row r="35" spans="1:31" ht="15.75" x14ac:dyDescent="0.2">
      <c r="A35" s="96"/>
      <c r="B35" s="60"/>
      <c r="C35" s="61"/>
      <c r="D35" s="61"/>
      <c r="E35" s="61"/>
      <c r="F35" s="61"/>
      <c r="G35" s="61"/>
      <c r="H35" s="61"/>
      <c r="I35" s="145" t="s">
        <v>6</v>
      </c>
      <c r="J35" s="145"/>
      <c r="K35" s="145"/>
      <c r="L35" s="146"/>
      <c r="M35" s="97"/>
      <c r="N35" s="60"/>
      <c r="O35" s="61"/>
      <c r="P35" s="61"/>
      <c r="Q35" s="61"/>
      <c r="R35" s="61"/>
      <c r="S35" s="61"/>
      <c r="T35" s="61"/>
      <c r="U35" s="145" t="s">
        <v>6</v>
      </c>
      <c r="V35" s="145"/>
      <c r="W35" s="145"/>
      <c r="X35" s="146"/>
      <c r="Y35" s="96"/>
      <c r="AB35" s="81"/>
      <c r="AC35" s="82"/>
      <c r="AD35" s="82"/>
      <c r="AE35" s="81"/>
    </row>
    <row r="36" spans="1:31" ht="15.75" x14ac:dyDescent="0.2">
      <c r="A36" s="96"/>
      <c r="B36" s="62"/>
      <c r="I36" s="132" t="s">
        <v>39</v>
      </c>
      <c r="J36" s="132"/>
      <c r="K36" s="132"/>
      <c r="L36" s="147"/>
      <c r="M36" s="98"/>
      <c r="N36" s="62"/>
      <c r="U36" s="132" t="s">
        <v>39</v>
      </c>
      <c r="V36" s="132"/>
      <c r="W36" s="132"/>
      <c r="X36" s="147"/>
      <c r="Y36" s="96"/>
      <c r="AB36" s="81"/>
      <c r="AC36" s="82"/>
      <c r="AD36" s="82"/>
      <c r="AE36" s="81"/>
    </row>
    <row r="37" spans="1:31" ht="15" x14ac:dyDescent="0.2">
      <c r="A37" s="96"/>
      <c r="B37" s="62"/>
      <c r="I37" s="63"/>
      <c r="J37" s="63"/>
      <c r="K37" s="63"/>
      <c r="L37" s="64"/>
      <c r="M37" s="96"/>
      <c r="N37" s="62"/>
      <c r="U37" s="63"/>
      <c r="V37" s="63"/>
      <c r="W37" s="63"/>
      <c r="X37" s="64"/>
      <c r="Y37" s="96"/>
    </row>
    <row r="38" spans="1:31" x14ac:dyDescent="0.2">
      <c r="A38" s="96"/>
      <c r="B38" s="62"/>
      <c r="J38" s="140"/>
      <c r="K38" s="140"/>
      <c r="L38" s="141"/>
      <c r="M38" s="99"/>
      <c r="N38" s="62"/>
      <c r="X38" s="64"/>
      <c r="Y38" s="96"/>
    </row>
    <row r="39" spans="1:31" x14ac:dyDescent="0.2">
      <c r="A39" s="96"/>
      <c r="B39" s="142" t="str">
        <f xml:space="preserve"> "Déplacements en PM des cibles - ( PM170.4 ) - Mesures au "&amp; TEXT( MAX('Résultats observations'!A10:A133),"jj/mm/aa")</f>
        <v>Déplacements en PM des cibles - ( PM170.4 ) - Mesures au 20/12/22</v>
      </c>
      <c r="C39" s="143"/>
      <c r="D39" s="143"/>
      <c r="E39" s="143"/>
      <c r="F39" s="143"/>
      <c r="G39" s="143"/>
      <c r="H39" s="143"/>
      <c r="I39" s="143"/>
      <c r="J39" s="143"/>
      <c r="K39" s="143"/>
      <c r="L39" s="144"/>
      <c r="M39" s="100"/>
      <c r="N39" s="142" t="str">
        <f>"Déplacements en déport des cibles - ( PM170.4 ) - Mesures au "&amp; TEXT( MAX('Résultats observations'!A10:A133),"jj/mm/aa")</f>
        <v>Déplacements en déport des cibles - ( PM170.4 ) - Mesures au 20/12/22</v>
      </c>
      <c r="O39" s="143"/>
      <c r="P39" s="143"/>
      <c r="Q39" s="143"/>
      <c r="R39" s="143"/>
      <c r="S39" s="143"/>
      <c r="T39" s="143"/>
      <c r="U39" s="143"/>
      <c r="V39" s="143"/>
      <c r="W39" s="143"/>
      <c r="X39" s="144"/>
      <c r="Y39" s="96"/>
    </row>
    <row r="40" spans="1:31" x14ac:dyDescent="0.2">
      <c r="A40" s="96"/>
      <c r="B40" s="62"/>
      <c r="L40" s="64"/>
      <c r="M40" s="96"/>
      <c r="N40" s="62"/>
      <c r="X40" s="64"/>
      <c r="Y40" s="96"/>
    </row>
    <row r="41" spans="1:31" x14ac:dyDescent="0.2">
      <c r="A41" s="96"/>
      <c r="B41" s="62"/>
      <c r="L41" s="64"/>
      <c r="M41" s="96"/>
      <c r="N41" s="62"/>
      <c r="X41" s="64"/>
      <c r="Y41" s="96"/>
    </row>
    <row r="42" spans="1:31" x14ac:dyDescent="0.2">
      <c r="A42" s="96"/>
      <c r="B42" s="62"/>
      <c r="L42" s="64"/>
      <c r="M42" s="96"/>
      <c r="N42" s="62"/>
      <c r="X42" s="64"/>
      <c r="Y42" s="96"/>
    </row>
    <row r="43" spans="1:31" x14ac:dyDescent="0.2">
      <c r="A43" s="96"/>
      <c r="B43" s="62"/>
      <c r="L43" s="64"/>
      <c r="M43" s="96"/>
      <c r="N43" s="62"/>
      <c r="X43" s="64"/>
      <c r="Y43" s="96"/>
    </row>
    <row r="44" spans="1:31" x14ac:dyDescent="0.2">
      <c r="A44" s="96"/>
      <c r="B44" s="62"/>
      <c r="L44" s="64"/>
      <c r="M44" s="96"/>
      <c r="N44" s="62"/>
      <c r="X44" s="64"/>
      <c r="Y44" s="96"/>
    </row>
    <row r="45" spans="1:31" x14ac:dyDescent="0.2">
      <c r="A45" s="96"/>
      <c r="B45" s="62"/>
      <c r="L45" s="64"/>
      <c r="M45" s="96"/>
      <c r="N45" s="62"/>
      <c r="X45" s="64"/>
      <c r="Y45" s="96"/>
    </row>
    <row r="46" spans="1:31" x14ac:dyDescent="0.2">
      <c r="A46" s="96"/>
      <c r="B46" s="62"/>
      <c r="L46" s="64"/>
      <c r="M46" s="96"/>
      <c r="N46" s="62"/>
      <c r="X46" s="64"/>
      <c r="Y46" s="96"/>
    </row>
    <row r="47" spans="1:31" x14ac:dyDescent="0.2">
      <c r="A47" s="96"/>
      <c r="B47" s="62"/>
      <c r="L47" s="64"/>
      <c r="M47" s="96"/>
      <c r="N47" s="62"/>
      <c r="X47" s="64"/>
      <c r="Y47" s="96"/>
    </row>
    <row r="48" spans="1:31" x14ac:dyDescent="0.2">
      <c r="A48" s="96"/>
      <c r="B48" s="62"/>
      <c r="L48" s="64"/>
      <c r="M48" s="96"/>
      <c r="N48" s="62"/>
      <c r="X48" s="64"/>
      <c r="Y48" s="96"/>
    </row>
    <row r="49" spans="1:25" x14ac:dyDescent="0.2">
      <c r="A49" s="96"/>
      <c r="B49" s="62"/>
      <c r="L49" s="64"/>
      <c r="M49" s="96"/>
      <c r="N49" s="62"/>
      <c r="X49" s="64"/>
      <c r="Y49" s="96"/>
    </row>
    <row r="50" spans="1:25" x14ac:dyDescent="0.2">
      <c r="A50" s="96"/>
      <c r="B50" s="62"/>
      <c r="L50" s="64"/>
      <c r="M50" s="96"/>
      <c r="N50" s="62"/>
      <c r="X50" s="64"/>
      <c r="Y50" s="96"/>
    </row>
    <row r="51" spans="1:25" x14ac:dyDescent="0.2">
      <c r="A51" s="96"/>
      <c r="B51" s="62"/>
      <c r="L51" s="64"/>
      <c r="M51" s="96"/>
      <c r="N51" s="62"/>
      <c r="X51" s="64"/>
      <c r="Y51" s="96"/>
    </row>
    <row r="52" spans="1:25" x14ac:dyDescent="0.2">
      <c r="A52" s="96"/>
      <c r="B52" s="62"/>
      <c r="L52" s="64"/>
      <c r="M52" s="96"/>
      <c r="N52" s="62"/>
      <c r="X52" s="64"/>
      <c r="Y52" s="96"/>
    </row>
    <row r="53" spans="1:25" x14ac:dyDescent="0.2">
      <c r="A53" s="96"/>
      <c r="B53" s="62"/>
      <c r="L53" s="64"/>
      <c r="M53" s="96"/>
      <c r="N53" s="62"/>
      <c r="X53" s="64"/>
      <c r="Y53" s="96"/>
    </row>
    <row r="54" spans="1:25" x14ac:dyDescent="0.2">
      <c r="A54" s="96"/>
      <c r="B54" s="62"/>
      <c r="L54" s="64"/>
      <c r="M54" s="96"/>
      <c r="N54" s="62"/>
      <c r="X54" s="64"/>
      <c r="Y54" s="96"/>
    </row>
    <row r="55" spans="1:25" x14ac:dyDescent="0.2">
      <c r="A55" s="96"/>
      <c r="B55" s="62"/>
      <c r="L55" s="64"/>
      <c r="M55" s="96"/>
      <c r="N55" s="62"/>
      <c r="X55" s="64"/>
      <c r="Y55" s="96"/>
    </row>
    <row r="56" spans="1:25" x14ac:dyDescent="0.2">
      <c r="A56" s="96"/>
      <c r="B56" s="62"/>
      <c r="L56" s="64"/>
      <c r="M56" s="96"/>
      <c r="N56" s="62"/>
      <c r="X56" s="64"/>
      <c r="Y56" s="96"/>
    </row>
    <row r="57" spans="1:25" x14ac:dyDescent="0.2">
      <c r="A57" s="96"/>
      <c r="B57" s="62"/>
      <c r="L57" s="64"/>
      <c r="M57" s="96"/>
      <c r="N57" s="62"/>
      <c r="X57" s="64"/>
      <c r="Y57" s="96"/>
    </row>
    <row r="58" spans="1:25" x14ac:dyDescent="0.2">
      <c r="A58" s="96"/>
      <c r="B58" s="62"/>
      <c r="L58" s="64"/>
      <c r="M58" s="96"/>
      <c r="N58" s="62"/>
      <c r="X58" s="64"/>
      <c r="Y58" s="96"/>
    </row>
    <row r="59" spans="1:25" x14ac:dyDescent="0.2">
      <c r="A59" s="96"/>
      <c r="B59" s="62"/>
      <c r="L59" s="64"/>
      <c r="M59" s="96"/>
      <c r="N59" s="62"/>
      <c r="X59" s="64"/>
      <c r="Y59" s="96"/>
    </row>
    <row r="60" spans="1:25" x14ac:dyDescent="0.2">
      <c r="A60" s="96"/>
      <c r="B60" s="62"/>
      <c r="L60" s="64"/>
      <c r="M60" s="96"/>
      <c r="N60" s="62"/>
      <c r="X60" s="64"/>
      <c r="Y60" s="96"/>
    </row>
    <row r="61" spans="1:25" x14ac:dyDescent="0.2">
      <c r="A61" s="96"/>
      <c r="B61" s="62"/>
      <c r="L61" s="64"/>
      <c r="M61" s="96"/>
      <c r="N61" s="62"/>
      <c r="X61" s="64"/>
      <c r="Y61" s="96"/>
    </row>
    <row r="62" spans="1:25" x14ac:dyDescent="0.2">
      <c r="A62" s="96"/>
      <c r="B62" s="62"/>
      <c r="L62" s="64"/>
      <c r="M62" s="96"/>
      <c r="N62" s="62"/>
      <c r="X62" s="64"/>
      <c r="Y62" s="96"/>
    </row>
    <row r="63" spans="1:25" x14ac:dyDescent="0.2">
      <c r="A63" s="96"/>
      <c r="B63" s="62"/>
      <c r="L63" s="64"/>
      <c r="M63" s="96"/>
      <c r="N63" s="62"/>
      <c r="X63" s="64"/>
      <c r="Y63" s="96"/>
    </row>
    <row r="64" spans="1:25" x14ac:dyDescent="0.2">
      <c r="A64" s="96"/>
      <c r="B64" s="62"/>
      <c r="L64" s="64"/>
      <c r="M64" s="96"/>
      <c r="N64" s="62"/>
      <c r="X64" s="64"/>
      <c r="Y64" s="96"/>
    </row>
    <row r="65" spans="1:25" x14ac:dyDescent="0.2">
      <c r="A65" s="96"/>
      <c r="B65" s="62"/>
      <c r="L65" s="64"/>
      <c r="M65" s="96"/>
      <c r="N65" s="62"/>
      <c r="X65" s="64"/>
      <c r="Y65" s="96"/>
    </row>
    <row r="66" spans="1:25" x14ac:dyDescent="0.2">
      <c r="A66" s="96"/>
      <c r="B66" s="62"/>
      <c r="L66" s="64"/>
      <c r="M66" s="96"/>
      <c r="N66" s="62"/>
      <c r="X66" s="64"/>
      <c r="Y66" s="96"/>
    </row>
    <row r="67" spans="1:25" x14ac:dyDescent="0.2">
      <c r="A67" s="96"/>
      <c r="B67" s="62"/>
      <c r="L67" s="64"/>
      <c r="M67" s="96"/>
      <c r="N67" s="62"/>
      <c r="X67" s="64"/>
      <c r="Y67" s="96"/>
    </row>
    <row r="68" spans="1:25" x14ac:dyDescent="0.2">
      <c r="A68" s="96"/>
      <c r="B68" s="106"/>
      <c r="C68" s="107"/>
      <c r="D68" s="107"/>
      <c r="E68" s="107"/>
      <c r="F68" s="107"/>
      <c r="G68" s="107"/>
      <c r="H68" s="107"/>
      <c r="I68" s="107"/>
      <c r="J68" s="107"/>
      <c r="K68" s="107"/>
      <c r="L68" s="108"/>
      <c r="M68" s="103"/>
      <c r="N68" s="106"/>
      <c r="O68" s="107"/>
      <c r="P68" s="107"/>
      <c r="Q68" s="107"/>
      <c r="R68" s="107"/>
      <c r="S68" s="107"/>
      <c r="T68" s="107"/>
      <c r="U68" s="107"/>
      <c r="V68" s="107"/>
      <c r="W68" s="107"/>
      <c r="X68" s="108"/>
      <c r="Y68" s="96"/>
    </row>
    <row r="69" spans="1:25" x14ac:dyDescent="0.2">
      <c r="A69" s="96"/>
      <c r="B69" s="96"/>
      <c r="C69" s="96"/>
      <c r="D69" s="96"/>
      <c r="E69" s="96"/>
      <c r="F69" s="96"/>
      <c r="G69" s="96"/>
      <c r="H69" s="96"/>
      <c r="I69" s="96"/>
      <c r="J69" s="96"/>
      <c r="K69" s="96"/>
      <c r="L69" s="96"/>
      <c r="M69" s="96"/>
      <c r="N69" s="96"/>
      <c r="O69" s="96"/>
      <c r="P69" s="96"/>
      <c r="Q69" s="96"/>
      <c r="R69" s="96"/>
      <c r="S69" s="96"/>
      <c r="T69" s="96"/>
      <c r="U69" s="96"/>
      <c r="V69" s="96"/>
      <c r="W69" s="96"/>
      <c r="X69" s="96"/>
      <c r="Y69" s="96"/>
    </row>
    <row r="81" spans="21:21" x14ac:dyDescent="0.2">
      <c r="U81" s="95"/>
    </row>
  </sheetData>
  <mergeCells count="15">
    <mergeCell ref="I2:L2"/>
    <mergeCell ref="U2:X2"/>
    <mergeCell ref="I3:L3"/>
    <mergeCell ref="U3:X3"/>
    <mergeCell ref="J5:L5"/>
    <mergeCell ref="V5:X5"/>
    <mergeCell ref="J38:L38"/>
    <mergeCell ref="B39:L39"/>
    <mergeCell ref="N39:X39"/>
    <mergeCell ref="B6:L6"/>
    <mergeCell ref="N6:X6"/>
    <mergeCell ref="I35:L35"/>
    <mergeCell ref="U35:X35"/>
    <mergeCell ref="I36:L36"/>
    <mergeCell ref="U36:X36"/>
  </mergeCells>
  <printOptions horizontalCentered="1"/>
  <pageMargins left="0.39370078740157483" right="0.39370078740157483" top="0.19685039370078741" bottom="0.19685039370078741" header="0.51181102362204722" footer="0.51181102362204722"/>
  <pageSetup paperSize="9" scale="130" orientation="landscape" r:id="rId1"/>
  <headerFooter alignWithMargins="0"/>
  <colBreaks count="1" manualBreakCount="1">
    <brk id="13" max="1048575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7" r:id="rId4" name="Button 1">
              <controlPr defaultSize="0" print="0" autoFill="0" autoPict="0" macro="[0]!changerDateDerniereMesure">
                <anchor moveWithCells="1" sizeWithCells="1">
                  <from>
                    <xdr:col>27</xdr:col>
                    <xdr:colOff>66675</xdr:colOff>
                    <xdr:row>3</xdr:row>
                    <xdr:rowOff>95250</xdr:rowOff>
                  </from>
                  <to>
                    <xdr:col>28</xdr:col>
                    <xdr:colOff>200025</xdr:colOff>
                    <xdr:row>5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Feuil3"/>
  <dimension ref="A1:AE81"/>
  <sheetViews>
    <sheetView topLeftCell="A55" zoomScale="70" zoomScaleNormal="70" workbookViewId="0">
      <selection activeCell="AC36" sqref="AC36"/>
    </sheetView>
  </sheetViews>
  <sheetFormatPr baseColWidth="10" defaultColWidth="11.42578125" defaultRowHeight="12.75" x14ac:dyDescent="0.2"/>
  <cols>
    <col min="1" max="1" width="3.85546875" style="2" customWidth="1"/>
    <col min="2" max="12" width="10.28515625" style="2" customWidth="1"/>
    <col min="13" max="13" width="7.140625" style="2" customWidth="1"/>
    <col min="14" max="24" width="10.28515625" style="2" customWidth="1"/>
    <col min="25" max="25" width="7.5703125" style="2" customWidth="1"/>
    <col min="26" max="16384" width="11.42578125" style="2"/>
  </cols>
  <sheetData>
    <row r="1" spans="1:31" x14ac:dyDescent="0.2">
      <c r="A1" s="96"/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  <c r="U1" s="96"/>
      <c r="V1" s="96"/>
      <c r="W1" s="96"/>
      <c r="X1" s="96"/>
      <c r="Y1" s="96"/>
    </row>
    <row r="2" spans="1:31" ht="15.75" x14ac:dyDescent="0.2">
      <c r="A2" s="96"/>
      <c r="B2" s="60"/>
      <c r="C2" s="61"/>
      <c r="D2" s="61"/>
      <c r="E2" s="61"/>
      <c r="F2" s="61"/>
      <c r="G2" s="61"/>
      <c r="H2" s="61"/>
      <c r="I2" s="145" t="s">
        <v>6</v>
      </c>
      <c r="J2" s="145"/>
      <c r="K2" s="145"/>
      <c r="L2" s="146"/>
      <c r="M2" s="97"/>
      <c r="N2" s="60"/>
      <c r="O2" s="61"/>
      <c r="P2" s="61"/>
      <c r="Q2" s="61"/>
      <c r="R2" s="61"/>
      <c r="S2" s="61"/>
      <c r="T2" s="61"/>
      <c r="U2" s="145" t="s">
        <v>6</v>
      </c>
      <c r="V2" s="145"/>
      <c r="W2" s="145"/>
      <c r="X2" s="146"/>
      <c r="Y2" s="96"/>
    </row>
    <row r="3" spans="1:31" ht="15.75" x14ac:dyDescent="0.2">
      <c r="A3" s="96"/>
      <c r="B3" s="62"/>
      <c r="I3" s="132" t="s">
        <v>39</v>
      </c>
      <c r="J3" s="132"/>
      <c r="K3" s="132"/>
      <c r="L3" s="147"/>
      <c r="M3" s="98"/>
      <c r="N3" s="62"/>
      <c r="U3" s="132" t="s">
        <v>39</v>
      </c>
      <c r="V3" s="132"/>
      <c r="W3" s="132"/>
      <c r="X3" s="147"/>
      <c r="Y3" s="96"/>
    </row>
    <row r="4" spans="1:31" ht="15" x14ac:dyDescent="0.2">
      <c r="A4" s="96"/>
      <c r="B4" s="62"/>
      <c r="I4" s="63"/>
      <c r="J4" s="63"/>
      <c r="K4" s="63"/>
      <c r="L4" s="64"/>
      <c r="M4" s="96"/>
      <c r="N4" s="62"/>
      <c r="U4" s="63"/>
      <c r="V4" s="63"/>
      <c r="W4" s="63"/>
      <c r="X4" s="64"/>
      <c r="Y4" s="96"/>
    </row>
    <row r="5" spans="1:31" x14ac:dyDescent="0.2">
      <c r="A5" s="96"/>
      <c r="B5" s="62"/>
      <c r="J5" s="140"/>
      <c r="K5" s="140"/>
      <c r="L5" s="141"/>
      <c r="M5" s="99"/>
      <c r="N5" s="62"/>
      <c r="V5" s="140"/>
      <c r="W5" s="140"/>
      <c r="X5" s="141"/>
      <c r="Y5" s="96"/>
    </row>
    <row r="6" spans="1:31" x14ac:dyDescent="0.2">
      <c r="A6" s="96"/>
      <c r="B6" s="142" t="str">
        <f>"Carrefour GCR2 - GVA2 - GVA3 Norme des déplacements ( PM170.4 ) - Mesures au " &amp; TEXT( MAX('Résultats observations'!A10:A133),"jj/mm/aa")</f>
        <v>Carrefour GCR2 - GVA2 - GVA3 Norme des déplacements ( PM170.4 ) - Mesures au 20/12/22</v>
      </c>
      <c r="C6" s="143"/>
      <c r="D6" s="143"/>
      <c r="E6" s="143"/>
      <c r="F6" s="143"/>
      <c r="G6" s="143"/>
      <c r="H6" s="143"/>
      <c r="I6" s="143"/>
      <c r="J6" s="143"/>
      <c r="K6" s="143"/>
      <c r="L6" s="144"/>
      <c r="M6" s="100"/>
      <c r="N6" s="142" t="str">
        <f>"Déplacements altimétriques des cibles - ( PM170.4 ) - Mesures "&amp; TEXT( MAX('Résultats observations'!A10:A133),"jj/mm/aa")</f>
        <v>Déplacements altimétriques des cibles - ( PM170.4 ) - Mesures 20/12/22</v>
      </c>
      <c r="O6" s="143"/>
      <c r="P6" s="143"/>
      <c r="Q6" s="143"/>
      <c r="R6" s="143"/>
      <c r="S6" s="143"/>
      <c r="T6" s="143"/>
      <c r="U6" s="143"/>
      <c r="V6" s="143"/>
      <c r="W6" s="143"/>
      <c r="X6" s="144"/>
      <c r="Y6" s="96"/>
    </row>
    <row r="7" spans="1:31" ht="7.5" customHeight="1" x14ac:dyDescent="0.2">
      <c r="A7" s="96"/>
      <c r="B7" s="62"/>
      <c r="L7" s="64"/>
      <c r="M7" s="96"/>
      <c r="N7"/>
      <c r="O7"/>
      <c r="P7"/>
      <c r="Q7"/>
      <c r="R7"/>
      <c r="S7"/>
      <c r="T7"/>
      <c r="U7"/>
      <c r="V7"/>
      <c r="W7"/>
      <c r="X7"/>
      <c r="Y7" s="96"/>
    </row>
    <row r="8" spans="1:31" s="32" customFormat="1" x14ac:dyDescent="0.2">
      <c r="A8" s="96"/>
      <c r="B8" s="65"/>
      <c r="C8"/>
      <c r="D8"/>
      <c r="E8"/>
      <c r="F8"/>
      <c r="G8"/>
      <c r="H8"/>
      <c r="I8"/>
      <c r="J8"/>
      <c r="K8"/>
      <c r="L8" s="66"/>
      <c r="M8" s="101"/>
      <c r="N8" s="65"/>
      <c r="O8"/>
      <c r="P8"/>
      <c r="Q8"/>
      <c r="R8"/>
      <c r="S8"/>
      <c r="T8"/>
      <c r="U8"/>
      <c r="V8"/>
      <c r="W8"/>
      <c r="X8" s="66"/>
      <c r="Y8" s="96"/>
    </row>
    <row r="9" spans="1:31" x14ac:dyDescent="0.2">
      <c r="A9" s="96"/>
      <c r="B9" s="65"/>
      <c r="C9"/>
      <c r="D9"/>
      <c r="E9"/>
      <c r="F9"/>
      <c r="G9"/>
      <c r="H9"/>
      <c r="I9"/>
      <c r="J9"/>
      <c r="K9"/>
      <c r="L9" s="66"/>
      <c r="M9" s="101"/>
      <c r="N9" s="65"/>
      <c r="O9"/>
      <c r="P9"/>
      <c r="Q9"/>
      <c r="R9"/>
      <c r="S9"/>
      <c r="T9"/>
      <c r="U9"/>
      <c r="V9"/>
      <c r="W9"/>
      <c r="X9" s="66"/>
      <c r="Y9" s="96"/>
    </row>
    <row r="10" spans="1:31" customFormat="1" ht="35.25" customHeight="1" x14ac:dyDescent="0.2">
      <c r="A10" s="101"/>
      <c r="B10" s="65"/>
      <c r="L10" s="66"/>
      <c r="M10" s="101"/>
      <c r="N10" s="65"/>
      <c r="X10" s="66"/>
      <c r="Y10" s="101"/>
    </row>
    <row r="11" spans="1:31" customFormat="1" ht="13.5" customHeight="1" x14ac:dyDescent="0.2">
      <c r="A11" s="101"/>
      <c r="B11" s="65"/>
      <c r="L11" s="66"/>
      <c r="M11" s="101"/>
      <c r="N11" s="65"/>
      <c r="X11" s="66"/>
      <c r="Y11" s="101"/>
      <c r="Z11" s="75"/>
      <c r="AA11" t="s">
        <v>52</v>
      </c>
    </row>
    <row r="12" spans="1:31" customFormat="1" ht="13.5" customHeight="1" x14ac:dyDescent="0.2">
      <c r="A12" s="101"/>
      <c r="B12" s="65"/>
      <c r="L12" s="66"/>
      <c r="M12" s="101"/>
      <c r="N12" s="65"/>
      <c r="X12" s="66"/>
      <c r="Y12" s="101"/>
      <c r="Z12" s="75"/>
    </row>
    <row r="13" spans="1:31" customFormat="1" ht="13.5" customHeight="1" x14ac:dyDescent="0.2">
      <c r="A13" s="101"/>
      <c r="B13" s="65"/>
      <c r="L13" s="66"/>
      <c r="M13" s="101"/>
      <c r="N13" s="65"/>
      <c r="X13" s="66"/>
      <c r="Y13" s="101"/>
      <c r="AA13" s="2"/>
      <c r="AB13" s="76" t="s">
        <v>53</v>
      </c>
    </row>
    <row r="14" spans="1:31" customFormat="1" ht="13.5" customHeight="1" x14ac:dyDescent="0.2">
      <c r="A14" s="101"/>
      <c r="B14" s="65"/>
      <c r="L14" s="66"/>
      <c r="M14" s="101"/>
      <c r="N14" s="65"/>
      <c r="X14" s="66"/>
      <c r="Y14" s="101"/>
      <c r="AA14" s="2"/>
      <c r="AC14" s="76" t="s">
        <v>54</v>
      </c>
      <c r="AD14">
        <v>-15</v>
      </c>
      <c r="AE14" s="80">
        <v>43655</v>
      </c>
    </row>
    <row r="15" spans="1:31" customFormat="1" ht="13.5" customHeight="1" x14ac:dyDescent="0.2">
      <c r="A15" s="101"/>
      <c r="B15" s="65"/>
      <c r="L15" s="66"/>
      <c r="M15" s="101"/>
      <c r="N15" s="65"/>
      <c r="X15" s="66"/>
      <c r="Y15" s="101"/>
      <c r="AD15">
        <v>-15</v>
      </c>
      <c r="AE15" s="80">
        <v>44197</v>
      </c>
    </row>
    <row r="16" spans="1:31" customFormat="1" ht="13.5" customHeight="1" x14ac:dyDescent="0.2">
      <c r="A16" s="101"/>
      <c r="B16" s="65"/>
      <c r="L16" s="66"/>
      <c r="M16" s="101"/>
      <c r="N16" s="65"/>
      <c r="X16" s="66"/>
      <c r="Y16" s="101"/>
      <c r="AC16" s="76" t="s">
        <v>55</v>
      </c>
      <c r="AD16">
        <v>-30</v>
      </c>
      <c r="AE16" s="80">
        <f>+AE14</f>
        <v>43655</v>
      </c>
    </row>
    <row r="17" spans="1:31" customFormat="1" ht="13.5" customHeight="1" x14ac:dyDescent="0.2">
      <c r="A17" s="101"/>
      <c r="B17" s="65"/>
      <c r="L17" s="66"/>
      <c r="M17" s="101"/>
      <c r="N17" s="65"/>
      <c r="X17" s="66"/>
      <c r="Y17" s="101"/>
      <c r="AD17">
        <v>-30</v>
      </c>
      <c r="AE17" s="80">
        <f>+AE15</f>
        <v>44197</v>
      </c>
    </row>
    <row r="18" spans="1:31" customFormat="1" ht="13.5" customHeight="1" x14ac:dyDescent="0.2">
      <c r="A18" s="101"/>
      <c r="B18" s="65"/>
      <c r="L18" s="66"/>
      <c r="M18" s="101"/>
      <c r="N18" s="65"/>
      <c r="X18" s="66"/>
      <c r="Y18" s="101"/>
      <c r="AC18" s="76" t="s">
        <v>54</v>
      </c>
      <c r="AD18">
        <f>-AD14</f>
        <v>15</v>
      </c>
      <c r="AE18" s="80">
        <f>+AE14</f>
        <v>43655</v>
      </c>
    </row>
    <row r="19" spans="1:31" customFormat="1" x14ac:dyDescent="0.2">
      <c r="A19" s="101"/>
      <c r="B19" s="65"/>
      <c r="L19" s="66"/>
      <c r="M19" s="101"/>
      <c r="N19" s="65"/>
      <c r="X19" s="66"/>
      <c r="Y19" s="101"/>
      <c r="AD19">
        <f>AD18</f>
        <v>15</v>
      </c>
      <c r="AE19" s="80">
        <f>+AE15</f>
        <v>44197</v>
      </c>
    </row>
    <row r="20" spans="1:31" customFormat="1" x14ac:dyDescent="0.2">
      <c r="A20" s="101"/>
      <c r="B20" s="65"/>
      <c r="L20" s="66"/>
      <c r="M20" s="101"/>
      <c r="N20" s="65"/>
      <c r="X20" s="66"/>
      <c r="Y20" s="101"/>
      <c r="AC20" s="76" t="s">
        <v>55</v>
      </c>
      <c r="AD20">
        <f>-AD16</f>
        <v>30</v>
      </c>
      <c r="AE20" s="80">
        <f>+AE18</f>
        <v>43655</v>
      </c>
    </row>
    <row r="21" spans="1:31" customFormat="1" x14ac:dyDescent="0.2">
      <c r="A21" s="101"/>
      <c r="B21" s="65"/>
      <c r="L21" s="66"/>
      <c r="M21" s="101"/>
      <c r="N21" s="65"/>
      <c r="X21" s="66"/>
      <c r="Y21" s="101"/>
      <c r="AD21">
        <f>AD20</f>
        <v>30</v>
      </c>
      <c r="AE21" s="80">
        <f>+AE19</f>
        <v>44197</v>
      </c>
    </row>
    <row r="22" spans="1:31" customFormat="1" x14ac:dyDescent="0.2">
      <c r="A22" s="101"/>
      <c r="B22" s="65"/>
      <c r="L22" s="66"/>
      <c r="M22" s="101"/>
      <c r="N22" s="65"/>
      <c r="X22" s="66"/>
      <c r="Y22" s="101"/>
      <c r="AE22" s="80"/>
    </row>
    <row r="23" spans="1:31" customFormat="1" x14ac:dyDescent="0.2">
      <c r="A23" s="101"/>
      <c r="B23" s="65"/>
      <c r="L23" s="66"/>
      <c r="M23" s="101"/>
      <c r="N23" s="65"/>
      <c r="X23" s="66"/>
      <c r="Y23" s="101"/>
      <c r="AE23" s="80"/>
    </row>
    <row r="24" spans="1:31" customFormat="1" x14ac:dyDescent="0.2">
      <c r="A24" s="101"/>
      <c r="B24" s="65"/>
      <c r="L24" s="66"/>
      <c r="M24" s="101"/>
      <c r="N24" s="65"/>
      <c r="X24" s="66"/>
      <c r="Y24" s="101"/>
      <c r="AE24" s="80"/>
    </row>
    <row r="25" spans="1:31" customFormat="1" x14ac:dyDescent="0.2">
      <c r="A25" s="101"/>
      <c r="B25" s="65"/>
      <c r="L25" s="66"/>
      <c r="M25" s="101"/>
      <c r="N25" s="65"/>
      <c r="X25" s="66"/>
      <c r="Y25" s="101"/>
      <c r="AE25" s="80"/>
    </row>
    <row r="26" spans="1:31" customFormat="1" x14ac:dyDescent="0.2">
      <c r="A26" s="101"/>
      <c r="B26" s="65"/>
      <c r="L26" s="66"/>
      <c r="M26" s="101"/>
      <c r="N26" s="65"/>
      <c r="X26" s="66"/>
      <c r="Y26" s="101"/>
      <c r="AE26" s="80"/>
    </row>
    <row r="27" spans="1:31" customFormat="1" x14ac:dyDescent="0.2">
      <c r="A27" s="101"/>
      <c r="B27" s="65"/>
      <c r="L27" s="66"/>
      <c r="M27" s="101"/>
      <c r="N27" s="65"/>
      <c r="X27" s="66"/>
      <c r="Y27" s="101"/>
      <c r="AE27" s="80"/>
    </row>
    <row r="28" spans="1:31" customFormat="1" x14ac:dyDescent="0.2">
      <c r="A28" s="101"/>
      <c r="B28" s="65"/>
      <c r="L28" s="66"/>
      <c r="M28" s="101"/>
      <c r="N28" s="65"/>
      <c r="X28" s="66"/>
      <c r="Y28" s="101"/>
    </row>
    <row r="29" spans="1:31" customFormat="1" x14ac:dyDescent="0.2">
      <c r="A29" s="101"/>
      <c r="B29" s="65"/>
      <c r="L29" s="66"/>
      <c r="M29" s="101"/>
      <c r="N29" s="65"/>
      <c r="X29" s="66"/>
      <c r="Y29" s="101"/>
    </row>
    <row r="30" spans="1:31" customFormat="1" x14ac:dyDescent="0.2">
      <c r="A30" s="101"/>
      <c r="B30" s="65"/>
      <c r="L30" s="66"/>
      <c r="M30" s="101"/>
      <c r="N30" s="65"/>
      <c r="X30" s="66"/>
      <c r="Y30" s="101"/>
    </row>
    <row r="31" spans="1:31" customFormat="1" x14ac:dyDescent="0.2">
      <c r="A31" s="101"/>
      <c r="B31" s="65"/>
      <c r="L31" s="66"/>
      <c r="M31" s="101"/>
      <c r="N31" s="65"/>
      <c r="X31" s="66"/>
      <c r="Y31" s="101"/>
    </row>
    <row r="32" spans="1:31" customFormat="1" x14ac:dyDescent="0.2">
      <c r="A32" s="101"/>
      <c r="B32" s="65"/>
      <c r="L32" s="66"/>
      <c r="M32" s="101"/>
      <c r="N32" s="65"/>
      <c r="X32" s="66"/>
      <c r="Y32" s="101"/>
    </row>
    <row r="33" spans="1:31" customFormat="1" x14ac:dyDescent="0.2">
      <c r="A33" s="101"/>
      <c r="B33" s="67"/>
      <c r="C33" s="68"/>
      <c r="D33" s="68"/>
      <c r="E33" s="68"/>
      <c r="F33" s="68"/>
      <c r="G33" s="68"/>
      <c r="H33" s="68"/>
      <c r="I33" s="68"/>
      <c r="J33" s="68"/>
      <c r="K33" s="68"/>
      <c r="L33" s="69"/>
      <c r="M33" s="102"/>
      <c r="N33" s="67"/>
      <c r="O33" s="68"/>
      <c r="P33" s="68"/>
      <c r="Q33" s="68"/>
      <c r="R33" s="68"/>
      <c r="S33" s="68"/>
      <c r="T33" s="68"/>
      <c r="U33" s="68"/>
      <c r="V33" s="68"/>
      <c r="W33" s="68"/>
      <c r="X33" s="69"/>
      <c r="Y33" s="101"/>
    </row>
    <row r="34" spans="1:31" customFormat="1" x14ac:dyDescent="0.2">
      <c r="A34" s="101"/>
      <c r="B34" s="104"/>
      <c r="C34" s="101"/>
      <c r="D34" s="101"/>
      <c r="E34" s="101"/>
      <c r="F34" s="101"/>
      <c r="G34" s="101"/>
      <c r="H34" s="101"/>
      <c r="I34" s="101"/>
      <c r="J34" s="101"/>
      <c r="K34" s="101"/>
      <c r="L34" s="105"/>
      <c r="M34" s="101"/>
      <c r="N34" s="104"/>
      <c r="O34" s="101"/>
      <c r="P34" s="101"/>
      <c r="Q34" s="101"/>
      <c r="R34" s="101"/>
      <c r="S34" s="101"/>
      <c r="T34" s="101"/>
      <c r="U34" s="101"/>
      <c r="V34" s="101"/>
      <c r="W34" s="101"/>
      <c r="X34" s="105"/>
      <c r="Y34" s="101"/>
    </row>
    <row r="35" spans="1:31" ht="15.75" x14ac:dyDescent="0.2">
      <c r="A35" s="96"/>
      <c r="B35" s="60"/>
      <c r="C35" s="61"/>
      <c r="D35" s="61"/>
      <c r="E35" s="61"/>
      <c r="F35" s="61"/>
      <c r="G35" s="61"/>
      <c r="H35" s="61"/>
      <c r="I35" s="145" t="s">
        <v>6</v>
      </c>
      <c r="J35" s="145"/>
      <c r="K35" s="145"/>
      <c r="L35" s="146"/>
      <c r="M35" s="97"/>
      <c r="N35" s="60"/>
      <c r="O35" s="61"/>
      <c r="P35" s="61"/>
      <c r="Q35" s="61"/>
      <c r="R35" s="61"/>
      <c r="S35" s="61"/>
      <c r="T35" s="61"/>
      <c r="U35" s="145" t="s">
        <v>6</v>
      </c>
      <c r="V35" s="145"/>
      <c r="W35" s="145"/>
      <c r="X35" s="146"/>
      <c r="Y35" s="96"/>
      <c r="AB35" s="81"/>
      <c r="AC35" s="82"/>
      <c r="AD35" s="82"/>
      <c r="AE35" s="81"/>
    </row>
    <row r="36" spans="1:31" ht="15.75" x14ac:dyDescent="0.2">
      <c r="A36" s="96"/>
      <c r="B36" s="62"/>
      <c r="I36" s="132" t="s">
        <v>39</v>
      </c>
      <c r="J36" s="132"/>
      <c r="K36" s="132"/>
      <c r="L36" s="147"/>
      <c r="M36" s="98"/>
      <c r="N36" s="62"/>
      <c r="U36" s="132" t="s">
        <v>39</v>
      </c>
      <c r="V36" s="132"/>
      <c r="W36" s="132"/>
      <c r="X36" s="147"/>
      <c r="Y36" s="96"/>
      <c r="AB36" s="81"/>
      <c r="AC36" s="82"/>
      <c r="AD36" s="82"/>
      <c r="AE36" s="81"/>
    </row>
    <row r="37" spans="1:31" ht="15" x14ac:dyDescent="0.2">
      <c r="A37" s="96"/>
      <c r="B37" s="62"/>
      <c r="I37" s="63"/>
      <c r="J37" s="63"/>
      <c r="K37" s="63"/>
      <c r="L37" s="64"/>
      <c r="M37" s="96"/>
      <c r="N37" s="62"/>
      <c r="U37" s="63"/>
      <c r="V37" s="63"/>
      <c r="W37" s="63"/>
      <c r="X37" s="64"/>
      <c r="Y37" s="96"/>
    </row>
    <row r="38" spans="1:31" x14ac:dyDescent="0.2">
      <c r="A38" s="96"/>
      <c r="B38" s="62"/>
      <c r="J38" s="140"/>
      <c r="K38" s="140"/>
      <c r="L38" s="141"/>
      <c r="M38" s="99"/>
      <c r="N38" s="62"/>
      <c r="X38" s="64"/>
      <c r="Y38" s="96"/>
    </row>
    <row r="39" spans="1:31" x14ac:dyDescent="0.2">
      <c r="A39" s="96"/>
      <c r="B39" s="142" t="str">
        <f xml:space="preserve"> "Déplacements en PM des cibles - ( PM170.4 ) - Mesures au "&amp; TEXT( MAX('Résultats observations'!A10:A133),"jj/mm/aa")</f>
        <v>Déplacements en PM des cibles - ( PM170.4 ) - Mesures au 20/12/22</v>
      </c>
      <c r="C39" s="143"/>
      <c r="D39" s="143"/>
      <c r="E39" s="143"/>
      <c r="F39" s="143"/>
      <c r="G39" s="143"/>
      <c r="H39" s="143"/>
      <c r="I39" s="143"/>
      <c r="J39" s="143"/>
      <c r="K39" s="143"/>
      <c r="L39" s="144"/>
      <c r="M39" s="100"/>
      <c r="N39" s="142" t="str">
        <f>"Déplacements en déport des cibles - ( PM170.4 ) - Mesures au "&amp; TEXT( MAX('Résultats observations'!A10:A133),"jj/mm/aa")</f>
        <v>Déplacements en déport des cibles - ( PM170.4 ) - Mesures au 20/12/22</v>
      </c>
      <c r="O39" s="143"/>
      <c r="P39" s="143"/>
      <c r="Q39" s="143"/>
      <c r="R39" s="143"/>
      <c r="S39" s="143"/>
      <c r="T39" s="143"/>
      <c r="U39" s="143"/>
      <c r="V39" s="143"/>
      <c r="W39" s="143"/>
      <c r="X39" s="144"/>
      <c r="Y39" s="96"/>
    </row>
    <row r="40" spans="1:31" x14ac:dyDescent="0.2">
      <c r="A40" s="96"/>
      <c r="B40" s="62"/>
      <c r="L40" s="64"/>
      <c r="M40" s="96"/>
      <c r="N40" s="62"/>
      <c r="X40" s="64"/>
      <c r="Y40" s="96"/>
    </row>
    <row r="41" spans="1:31" x14ac:dyDescent="0.2">
      <c r="A41" s="96"/>
      <c r="B41" s="62"/>
      <c r="L41" s="64"/>
      <c r="M41" s="96"/>
      <c r="N41" s="62"/>
      <c r="X41" s="64"/>
      <c r="Y41" s="96"/>
    </row>
    <row r="42" spans="1:31" x14ac:dyDescent="0.2">
      <c r="A42" s="96"/>
      <c r="B42" s="62"/>
      <c r="L42" s="64"/>
      <c r="M42" s="96"/>
      <c r="N42" s="62"/>
      <c r="X42" s="64"/>
      <c r="Y42" s="96"/>
    </row>
    <row r="43" spans="1:31" x14ac:dyDescent="0.2">
      <c r="A43" s="96"/>
      <c r="B43" s="62"/>
      <c r="L43" s="64"/>
      <c r="M43" s="96"/>
      <c r="N43" s="62"/>
      <c r="X43" s="64"/>
      <c r="Y43" s="96"/>
    </row>
    <row r="44" spans="1:31" x14ac:dyDescent="0.2">
      <c r="A44" s="96"/>
      <c r="B44" s="62"/>
      <c r="L44" s="64"/>
      <c r="M44" s="96"/>
      <c r="N44" s="62"/>
      <c r="X44" s="64"/>
      <c r="Y44" s="96"/>
    </row>
    <row r="45" spans="1:31" x14ac:dyDescent="0.2">
      <c r="A45" s="96"/>
      <c r="B45" s="62"/>
      <c r="L45" s="64"/>
      <c r="M45" s="96"/>
      <c r="N45" s="62"/>
      <c r="X45" s="64"/>
      <c r="Y45" s="96"/>
    </row>
    <row r="46" spans="1:31" x14ac:dyDescent="0.2">
      <c r="A46" s="96"/>
      <c r="B46" s="62"/>
      <c r="L46" s="64"/>
      <c r="M46" s="96"/>
      <c r="N46" s="62"/>
      <c r="X46" s="64"/>
      <c r="Y46" s="96"/>
    </row>
    <row r="47" spans="1:31" x14ac:dyDescent="0.2">
      <c r="A47" s="96"/>
      <c r="B47" s="62"/>
      <c r="L47" s="64"/>
      <c r="M47" s="96"/>
      <c r="N47" s="62"/>
      <c r="X47" s="64"/>
      <c r="Y47" s="96"/>
    </row>
    <row r="48" spans="1:31" x14ac:dyDescent="0.2">
      <c r="A48" s="96"/>
      <c r="B48" s="62"/>
      <c r="L48" s="64"/>
      <c r="M48" s="96"/>
      <c r="N48" s="62"/>
      <c r="X48" s="64"/>
      <c r="Y48" s="96"/>
    </row>
    <row r="49" spans="1:25" x14ac:dyDescent="0.2">
      <c r="A49" s="96"/>
      <c r="B49" s="62"/>
      <c r="L49" s="64"/>
      <c r="M49" s="96"/>
      <c r="N49" s="62"/>
      <c r="X49" s="64"/>
      <c r="Y49" s="96"/>
    </row>
    <row r="50" spans="1:25" x14ac:dyDescent="0.2">
      <c r="A50" s="96"/>
      <c r="B50" s="62"/>
      <c r="L50" s="64"/>
      <c r="M50" s="96"/>
      <c r="N50" s="62"/>
      <c r="X50" s="64"/>
      <c r="Y50" s="96"/>
    </row>
    <row r="51" spans="1:25" x14ac:dyDescent="0.2">
      <c r="A51" s="96"/>
      <c r="B51" s="62"/>
      <c r="L51" s="64"/>
      <c r="M51" s="96"/>
      <c r="N51" s="62"/>
      <c r="X51" s="64"/>
      <c r="Y51" s="96"/>
    </row>
    <row r="52" spans="1:25" x14ac:dyDescent="0.2">
      <c r="A52" s="96"/>
      <c r="B52" s="62"/>
      <c r="L52" s="64"/>
      <c r="M52" s="96"/>
      <c r="N52" s="62"/>
      <c r="X52" s="64"/>
      <c r="Y52" s="96"/>
    </row>
    <row r="53" spans="1:25" x14ac:dyDescent="0.2">
      <c r="A53" s="96"/>
      <c r="B53" s="62"/>
      <c r="L53" s="64"/>
      <c r="M53" s="96"/>
      <c r="N53" s="62"/>
      <c r="X53" s="64"/>
      <c r="Y53" s="96"/>
    </row>
    <row r="54" spans="1:25" x14ac:dyDescent="0.2">
      <c r="A54" s="96"/>
      <c r="B54" s="62"/>
      <c r="L54" s="64"/>
      <c r="M54" s="96"/>
      <c r="N54" s="62"/>
      <c r="X54" s="64"/>
      <c r="Y54" s="96"/>
    </row>
    <row r="55" spans="1:25" x14ac:dyDescent="0.2">
      <c r="A55" s="96"/>
      <c r="B55" s="62"/>
      <c r="L55" s="64"/>
      <c r="M55" s="96"/>
      <c r="N55" s="62"/>
      <c r="X55" s="64"/>
      <c r="Y55" s="96"/>
    </row>
    <row r="56" spans="1:25" x14ac:dyDescent="0.2">
      <c r="A56" s="96"/>
      <c r="B56" s="62"/>
      <c r="L56" s="64"/>
      <c r="M56" s="96"/>
      <c r="N56" s="62"/>
      <c r="X56" s="64"/>
      <c r="Y56" s="96"/>
    </row>
    <row r="57" spans="1:25" x14ac:dyDescent="0.2">
      <c r="A57" s="96"/>
      <c r="B57" s="62"/>
      <c r="L57" s="64"/>
      <c r="M57" s="96"/>
      <c r="N57" s="62"/>
      <c r="X57" s="64"/>
      <c r="Y57" s="96"/>
    </row>
    <row r="58" spans="1:25" x14ac:dyDescent="0.2">
      <c r="A58" s="96"/>
      <c r="B58" s="62"/>
      <c r="L58" s="64"/>
      <c r="M58" s="96"/>
      <c r="N58" s="62"/>
      <c r="X58" s="64"/>
      <c r="Y58" s="96"/>
    </row>
    <row r="59" spans="1:25" x14ac:dyDescent="0.2">
      <c r="A59" s="96"/>
      <c r="B59" s="62"/>
      <c r="L59" s="64"/>
      <c r="M59" s="96"/>
      <c r="N59" s="62"/>
      <c r="X59" s="64"/>
      <c r="Y59" s="96"/>
    </row>
    <row r="60" spans="1:25" x14ac:dyDescent="0.2">
      <c r="A60" s="96"/>
      <c r="B60" s="62"/>
      <c r="L60" s="64"/>
      <c r="M60" s="96"/>
      <c r="N60" s="62"/>
      <c r="X60" s="64"/>
      <c r="Y60" s="96"/>
    </row>
    <row r="61" spans="1:25" x14ac:dyDescent="0.2">
      <c r="A61" s="96"/>
      <c r="B61" s="62"/>
      <c r="L61" s="64"/>
      <c r="M61" s="96"/>
      <c r="N61" s="62"/>
      <c r="X61" s="64"/>
      <c r="Y61" s="96"/>
    </row>
    <row r="62" spans="1:25" x14ac:dyDescent="0.2">
      <c r="A62" s="96"/>
      <c r="B62" s="62"/>
      <c r="L62" s="64"/>
      <c r="M62" s="96"/>
      <c r="N62" s="62"/>
      <c r="X62" s="64"/>
      <c r="Y62" s="96"/>
    </row>
    <row r="63" spans="1:25" x14ac:dyDescent="0.2">
      <c r="A63" s="96"/>
      <c r="B63" s="62"/>
      <c r="L63" s="64"/>
      <c r="M63" s="96"/>
      <c r="N63" s="62"/>
      <c r="X63" s="64"/>
      <c r="Y63" s="96"/>
    </row>
    <row r="64" spans="1:25" x14ac:dyDescent="0.2">
      <c r="A64" s="96"/>
      <c r="B64" s="62"/>
      <c r="L64" s="64"/>
      <c r="M64" s="96"/>
      <c r="N64" s="62"/>
      <c r="X64" s="64"/>
      <c r="Y64" s="96"/>
    </row>
    <row r="65" spans="1:25" x14ac:dyDescent="0.2">
      <c r="A65" s="96"/>
      <c r="B65" s="62"/>
      <c r="L65" s="64"/>
      <c r="M65" s="96"/>
      <c r="N65" s="62"/>
      <c r="X65" s="64"/>
      <c r="Y65" s="96"/>
    </row>
    <row r="66" spans="1:25" x14ac:dyDescent="0.2">
      <c r="A66" s="96"/>
      <c r="B66" s="62"/>
      <c r="L66" s="64"/>
      <c r="M66" s="96"/>
      <c r="N66" s="62"/>
      <c r="X66" s="64"/>
      <c r="Y66" s="96"/>
    </row>
    <row r="67" spans="1:25" x14ac:dyDescent="0.2">
      <c r="A67" s="96"/>
      <c r="B67" s="62"/>
      <c r="L67" s="64"/>
      <c r="M67" s="96"/>
      <c r="N67" s="62"/>
      <c r="X67" s="64"/>
      <c r="Y67" s="96"/>
    </row>
    <row r="68" spans="1:25" x14ac:dyDescent="0.2">
      <c r="A68" s="96"/>
      <c r="B68" s="106"/>
      <c r="C68" s="107"/>
      <c r="D68" s="107"/>
      <c r="E68" s="107"/>
      <c r="F68" s="107"/>
      <c r="G68" s="107"/>
      <c r="H68" s="107"/>
      <c r="I68" s="107"/>
      <c r="J68" s="107"/>
      <c r="K68" s="107"/>
      <c r="L68" s="108"/>
      <c r="M68" s="103"/>
      <c r="N68" s="106"/>
      <c r="O68" s="107"/>
      <c r="P68" s="107"/>
      <c r="Q68" s="107"/>
      <c r="R68" s="107"/>
      <c r="S68" s="107"/>
      <c r="T68" s="107"/>
      <c r="U68" s="107"/>
      <c r="V68" s="107"/>
      <c r="W68" s="107"/>
      <c r="X68" s="108"/>
      <c r="Y68" s="96"/>
    </row>
    <row r="69" spans="1:25" x14ac:dyDescent="0.2">
      <c r="A69" s="96"/>
      <c r="B69" s="96"/>
      <c r="C69" s="96"/>
      <c r="D69" s="96"/>
      <c r="E69" s="96"/>
      <c r="F69" s="96"/>
      <c r="G69" s="96"/>
      <c r="H69" s="96"/>
      <c r="I69" s="96"/>
      <c r="J69" s="96"/>
      <c r="K69" s="96"/>
      <c r="L69" s="96"/>
      <c r="M69" s="96"/>
      <c r="N69" s="96"/>
      <c r="O69" s="96"/>
      <c r="P69" s="96"/>
      <c r="Q69" s="96"/>
      <c r="R69" s="96"/>
      <c r="S69" s="96"/>
      <c r="T69" s="96"/>
      <c r="U69" s="96"/>
      <c r="V69" s="96"/>
      <c r="W69" s="96"/>
      <c r="X69" s="96"/>
      <c r="Y69" s="96"/>
    </row>
    <row r="81" spans="21:21" x14ac:dyDescent="0.2">
      <c r="U81" s="95"/>
    </row>
  </sheetData>
  <mergeCells count="15">
    <mergeCell ref="I35:L35"/>
    <mergeCell ref="I36:L36"/>
    <mergeCell ref="J38:L38"/>
    <mergeCell ref="B39:L39"/>
    <mergeCell ref="U35:X35"/>
    <mergeCell ref="U36:X36"/>
    <mergeCell ref="N39:X39"/>
    <mergeCell ref="B6:L6"/>
    <mergeCell ref="I2:L2"/>
    <mergeCell ref="U2:X2"/>
    <mergeCell ref="I3:L3"/>
    <mergeCell ref="U3:X3"/>
    <mergeCell ref="J5:L5"/>
    <mergeCell ref="V5:X5"/>
    <mergeCell ref="N6:X6"/>
  </mergeCells>
  <phoneticPr fontId="31" type="noConversion"/>
  <printOptions horizontalCentered="1"/>
  <pageMargins left="0.39370078740157483" right="0.39370078740157483" top="0.19685039370078741" bottom="0.19685039370078741" header="0.51181102362204722" footer="0.51181102362204722"/>
  <pageSetup paperSize="9" scale="130" orientation="landscape" r:id="rId1"/>
  <headerFooter alignWithMargins="0"/>
  <colBreaks count="1" manualBreakCount="1">
    <brk id="13" max="1048575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Feuil5"/>
  <dimension ref="A1:V64"/>
  <sheetViews>
    <sheetView zoomScaleNormal="100" workbookViewId="0">
      <selection activeCell="X26" sqref="X26"/>
    </sheetView>
  </sheetViews>
  <sheetFormatPr baseColWidth="10" defaultColWidth="11.42578125" defaultRowHeight="12.75" x14ac:dyDescent="0.2"/>
  <cols>
    <col min="1" max="1" width="7.140625" style="2" customWidth="1"/>
    <col min="2" max="2" width="9.42578125" style="2" customWidth="1"/>
    <col min="3" max="7" width="8.42578125" style="2" customWidth="1"/>
    <col min="8" max="8" width="9.85546875" style="2" bestFit="1" customWidth="1"/>
    <col min="9" max="10" width="8.42578125" style="2" customWidth="1"/>
    <col min="11" max="12" width="7.140625" style="2" customWidth="1"/>
    <col min="13" max="13" width="9.42578125" style="2" customWidth="1"/>
    <col min="14" max="18" width="8.42578125" style="2" customWidth="1"/>
    <col min="19" max="19" width="9.85546875" style="2" bestFit="1" customWidth="1"/>
    <col min="20" max="21" width="8.42578125" style="2" customWidth="1"/>
    <col min="22" max="22" width="7.140625" style="2" customWidth="1"/>
    <col min="23" max="16384" width="11.42578125" style="2"/>
  </cols>
  <sheetData>
    <row r="1" spans="1:22" ht="15.75" x14ac:dyDescent="0.2">
      <c r="A1" s="60"/>
      <c r="B1" s="61"/>
      <c r="C1" s="61"/>
      <c r="D1" s="61"/>
      <c r="E1" s="61"/>
      <c r="F1" s="61"/>
      <c r="G1" s="61"/>
      <c r="H1" s="145" t="s">
        <v>6</v>
      </c>
      <c r="I1" s="145"/>
      <c r="J1" s="145"/>
      <c r="K1" s="146"/>
      <c r="L1" s="60"/>
      <c r="M1" s="61"/>
      <c r="N1" s="61"/>
      <c r="O1" s="61"/>
      <c r="P1" s="61"/>
      <c r="Q1" s="61"/>
      <c r="R1" s="61"/>
      <c r="S1" s="145" t="s">
        <v>6</v>
      </c>
      <c r="T1" s="145"/>
      <c r="U1" s="145"/>
      <c r="V1" s="146"/>
    </row>
    <row r="2" spans="1:22" ht="15.75" x14ac:dyDescent="0.2">
      <c r="A2" s="62"/>
      <c r="H2" s="132" t="s">
        <v>39</v>
      </c>
      <c r="I2" s="132"/>
      <c r="J2" s="132"/>
      <c r="K2" s="147"/>
      <c r="L2" s="62"/>
      <c r="S2" s="132" t="s">
        <v>39</v>
      </c>
      <c r="T2" s="132"/>
      <c r="U2" s="132"/>
      <c r="V2" s="147"/>
    </row>
    <row r="3" spans="1:22" ht="15" x14ac:dyDescent="0.2">
      <c r="A3" s="62"/>
      <c r="H3" s="63"/>
      <c r="I3" s="63"/>
      <c r="J3" s="63"/>
      <c r="K3" s="64"/>
      <c r="L3" s="62"/>
      <c r="S3" s="63"/>
      <c r="T3" s="63"/>
      <c r="U3" s="63"/>
      <c r="V3" s="64"/>
    </row>
    <row r="4" spans="1:22" x14ac:dyDescent="0.2">
      <c r="A4" s="62"/>
      <c r="I4" s="140"/>
      <c r="J4" s="140"/>
      <c r="K4" s="141"/>
      <c r="L4" s="62"/>
      <c r="T4" s="140"/>
      <c r="U4" s="140"/>
      <c r="V4" s="141"/>
    </row>
    <row r="5" spans="1:22" x14ac:dyDescent="0.2">
      <c r="A5" s="142" t="str">
        <f>Graphiques!$B$6</f>
        <v>Carrefour GCR2 - GVA2 - GVA3 Norme des déplacements ( PM170.4 ) - Mesures au 20/12/22</v>
      </c>
      <c r="B5" s="143"/>
      <c r="C5" s="143"/>
      <c r="D5" s="143"/>
      <c r="E5" s="143"/>
      <c r="F5" s="143"/>
      <c r="G5" s="143"/>
      <c r="H5" s="143"/>
      <c r="I5" s="143"/>
      <c r="J5" s="143"/>
      <c r="K5" s="144"/>
      <c r="L5" s="142" t="str">
        <f>Graphiques!$N$6</f>
        <v>Déplacements altimétriques des cibles - ( PM170.4 ) - Mesures 20/12/22</v>
      </c>
      <c r="M5" s="143"/>
      <c r="N5" s="143"/>
      <c r="O5" s="143"/>
      <c r="P5" s="143"/>
      <c r="Q5" s="143"/>
      <c r="R5" s="143"/>
      <c r="S5" s="143"/>
      <c r="T5" s="143"/>
      <c r="U5" s="143"/>
      <c r="V5" s="144"/>
    </row>
    <row r="6" spans="1:22" ht="7.5" customHeight="1" x14ac:dyDescent="0.2">
      <c r="A6" s="62"/>
      <c r="K6" s="64"/>
      <c r="L6" s="62"/>
      <c r="V6" s="64"/>
    </row>
    <row r="7" spans="1:22" s="32" customFormat="1" x14ac:dyDescent="0.2">
      <c r="A7" s="65"/>
      <c r="B7"/>
      <c r="C7"/>
      <c r="D7"/>
      <c r="E7"/>
      <c r="F7"/>
      <c r="G7"/>
      <c r="H7"/>
      <c r="I7"/>
      <c r="J7"/>
      <c r="K7" s="66"/>
      <c r="L7" s="65"/>
      <c r="M7"/>
      <c r="N7"/>
      <c r="O7"/>
      <c r="P7"/>
      <c r="Q7"/>
      <c r="R7"/>
      <c r="S7"/>
      <c r="T7"/>
      <c r="U7"/>
      <c r="V7" s="66"/>
    </row>
    <row r="8" spans="1:22" x14ac:dyDescent="0.2">
      <c r="A8" s="65"/>
      <c r="B8"/>
      <c r="C8"/>
      <c r="D8"/>
      <c r="E8"/>
      <c r="F8"/>
      <c r="G8"/>
      <c r="H8"/>
      <c r="I8"/>
      <c r="J8"/>
      <c r="K8" s="66"/>
      <c r="L8" s="65"/>
      <c r="M8"/>
      <c r="N8"/>
      <c r="O8"/>
      <c r="P8"/>
      <c r="Q8"/>
      <c r="R8"/>
      <c r="S8"/>
      <c r="T8"/>
      <c r="U8"/>
      <c r="V8" s="66"/>
    </row>
    <row r="9" spans="1:22" customFormat="1" ht="35.25" customHeight="1" x14ac:dyDescent="0.2">
      <c r="A9" s="65"/>
      <c r="K9" s="66"/>
      <c r="L9" s="65"/>
      <c r="V9" s="66"/>
    </row>
    <row r="10" spans="1:22" customFormat="1" ht="13.5" customHeight="1" x14ac:dyDescent="0.2">
      <c r="A10" s="65"/>
      <c r="K10" s="66"/>
      <c r="L10" s="65"/>
      <c r="V10" s="66"/>
    </row>
    <row r="11" spans="1:22" customFormat="1" ht="13.5" customHeight="1" x14ac:dyDescent="0.2">
      <c r="A11" s="65"/>
      <c r="K11" s="66"/>
      <c r="L11" s="65"/>
      <c r="V11" s="66"/>
    </row>
    <row r="12" spans="1:22" customFormat="1" ht="13.5" customHeight="1" x14ac:dyDescent="0.2">
      <c r="A12" s="65"/>
      <c r="K12" s="66"/>
      <c r="L12" s="65"/>
      <c r="V12" s="66"/>
    </row>
    <row r="13" spans="1:22" customFormat="1" ht="13.5" customHeight="1" x14ac:dyDescent="0.2">
      <c r="A13" s="65"/>
      <c r="K13" s="66"/>
      <c r="L13" s="65"/>
      <c r="V13" s="66"/>
    </row>
    <row r="14" spans="1:22" customFormat="1" ht="13.5" customHeight="1" x14ac:dyDescent="0.2">
      <c r="A14" s="65"/>
      <c r="K14" s="66"/>
      <c r="L14" s="65"/>
      <c r="V14" s="66"/>
    </row>
    <row r="15" spans="1:22" customFormat="1" ht="13.5" customHeight="1" x14ac:dyDescent="0.2">
      <c r="A15" s="65"/>
      <c r="K15" s="66"/>
      <c r="L15" s="65"/>
      <c r="V15" s="66"/>
    </row>
    <row r="16" spans="1:22" customFormat="1" ht="13.5" customHeight="1" x14ac:dyDescent="0.2">
      <c r="A16" s="65"/>
      <c r="K16" s="66"/>
      <c r="L16" s="65"/>
      <c r="V16" s="66"/>
    </row>
    <row r="17" spans="1:22" customFormat="1" ht="13.5" customHeight="1" x14ac:dyDescent="0.2">
      <c r="A17" s="65"/>
      <c r="K17" s="66"/>
      <c r="L17" s="65"/>
      <c r="V17" s="66"/>
    </row>
    <row r="18" spans="1:22" customFormat="1" x14ac:dyDescent="0.2">
      <c r="A18" s="65"/>
      <c r="K18" s="66"/>
      <c r="L18" s="65"/>
      <c r="V18" s="66"/>
    </row>
    <row r="19" spans="1:22" customFormat="1" x14ac:dyDescent="0.2">
      <c r="A19" s="65"/>
      <c r="K19" s="66"/>
      <c r="L19" s="65"/>
      <c r="V19" s="66"/>
    </row>
    <row r="20" spans="1:22" customFormat="1" x14ac:dyDescent="0.2">
      <c r="A20" s="65"/>
      <c r="K20" s="66"/>
      <c r="L20" s="65"/>
      <c r="V20" s="66"/>
    </row>
    <row r="21" spans="1:22" customFormat="1" x14ac:dyDescent="0.2">
      <c r="A21" s="65"/>
      <c r="K21" s="66"/>
      <c r="L21" s="65"/>
      <c r="V21" s="66"/>
    </row>
    <row r="22" spans="1:22" customFormat="1" x14ac:dyDescent="0.2">
      <c r="A22" s="65"/>
      <c r="K22" s="66"/>
      <c r="L22" s="65"/>
      <c r="V22" s="66"/>
    </row>
    <row r="23" spans="1:22" customFormat="1" x14ac:dyDescent="0.2">
      <c r="A23" s="65"/>
      <c r="K23" s="66"/>
      <c r="L23" s="65"/>
      <c r="V23" s="66"/>
    </row>
    <row r="24" spans="1:22" customFormat="1" x14ac:dyDescent="0.2">
      <c r="A24" s="65"/>
      <c r="K24" s="66"/>
      <c r="L24" s="65"/>
      <c r="V24" s="66"/>
    </row>
    <row r="25" spans="1:22" customFormat="1" x14ac:dyDescent="0.2">
      <c r="A25" s="65"/>
      <c r="K25" s="66"/>
      <c r="L25" s="65"/>
      <c r="V25" s="66"/>
    </row>
    <row r="26" spans="1:22" customFormat="1" x14ac:dyDescent="0.2">
      <c r="A26" s="65"/>
      <c r="K26" s="66"/>
      <c r="L26" s="65"/>
      <c r="V26" s="66"/>
    </row>
    <row r="27" spans="1:22" customFormat="1" x14ac:dyDescent="0.2">
      <c r="A27" s="65"/>
      <c r="K27" s="66"/>
      <c r="L27" s="65"/>
      <c r="V27" s="66"/>
    </row>
    <row r="28" spans="1:22" customFormat="1" x14ac:dyDescent="0.2">
      <c r="A28" s="65"/>
      <c r="K28" s="66"/>
      <c r="L28" s="65"/>
      <c r="V28" s="66"/>
    </row>
    <row r="29" spans="1:22" customFormat="1" x14ac:dyDescent="0.2">
      <c r="A29" s="65"/>
      <c r="K29" s="66"/>
      <c r="L29" s="65"/>
      <c r="V29" s="66"/>
    </row>
    <row r="30" spans="1:22" customFormat="1" x14ac:dyDescent="0.2">
      <c r="A30" s="65"/>
      <c r="K30" s="66"/>
      <c r="L30" s="65"/>
      <c r="V30" s="66"/>
    </row>
    <row r="31" spans="1:22" customFormat="1" x14ac:dyDescent="0.2">
      <c r="A31" s="65"/>
      <c r="K31" s="66"/>
      <c r="L31" s="65"/>
      <c r="V31" s="66"/>
    </row>
    <row r="32" spans="1:22" customFormat="1" x14ac:dyDescent="0.2">
      <c r="A32" s="67"/>
      <c r="B32" s="68"/>
      <c r="C32" s="68"/>
      <c r="D32" s="68"/>
      <c r="E32" s="68"/>
      <c r="F32" s="68"/>
      <c r="G32" s="68"/>
      <c r="H32" s="68"/>
      <c r="I32" s="68"/>
      <c r="J32" s="68"/>
      <c r="K32" s="69"/>
      <c r="L32" s="67"/>
      <c r="M32" s="68"/>
      <c r="N32" s="68"/>
      <c r="O32" s="68"/>
      <c r="P32" s="68"/>
      <c r="Q32" s="68"/>
      <c r="R32" s="68"/>
      <c r="S32" s="68"/>
      <c r="T32" s="68"/>
      <c r="U32" s="68"/>
      <c r="V32" s="69"/>
    </row>
    <row r="33" spans="1:22" ht="15.75" x14ac:dyDescent="0.2">
      <c r="A33" s="60"/>
      <c r="B33" s="61"/>
      <c r="C33" s="61"/>
      <c r="D33" s="61"/>
      <c r="E33" s="61"/>
      <c r="F33" s="61"/>
      <c r="G33" s="61"/>
      <c r="H33" s="145" t="s">
        <v>6</v>
      </c>
      <c r="I33" s="145"/>
      <c r="J33" s="145"/>
      <c r="K33" s="146"/>
      <c r="L33" s="60"/>
      <c r="M33" s="61"/>
      <c r="N33" s="61"/>
      <c r="O33" s="61"/>
      <c r="P33" s="61"/>
      <c r="Q33" s="61"/>
      <c r="R33" s="61"/>
      <c r="S33" s="145" t="s">
        <v>6</v>
      </c>
      <c r="T33" s="145"/>
      <c r="U33" s="145"/>
      <c r="V33" s="146"/>
    </row>
    <row r="34" spans="1:22" ht="15.75" x14ac:dyDescent="0.2">
      <c r="A34" s="62"/>
      <c r="H34" s="132" t="s">
        <v>39</v>
      </c>
      <c r="I34" s="132"/>
      <c r="J34" s="132"/>
      <c r="K34" s="147"/>
      <c r="L34" s="62"/>
      <c r="S34" s="132" t="s">
        <v>39</v>
      </c>
      <c r="T34" s="132"/>
      <c r="U34" s="132"/>
      <c r="V34" s="147"/>
    </row>
    <row r="35" spans="1:22" ht="15" x14ac:dyDescent="0.2">
      <c r="A35" s="62"/>
      <c r="H35" s="63"/>
      <c r="I35" s="63"/>
      <c r="J35" s="63"/>
      <c r="K35" s="64"/>
      <c r="L35" s="62"/>
      <c r="S35" s="63"/>
      <c r="T35" s="63"/>
      <c r="U35" s="63"/>
      <c r="V35" s="64"/>
    </row>
    <row r="36" spans="1:22" x14ac:dyDescent="0.2">
      <c r="A36" s="62"/>
      <c r="I36" s="140"/>
      <c r="J36" s="140"/>
      <c r="K36" s="141"/>
      <c r="L36" s="62"/>
      <c r="V36" s="64"/>
    </row>
    <row r="37" spans="1:22" x14ac:dyDescent="0.2">
      <c r="A37" s="142" t="str">
        <f>Graphiques!B39</f>
        <v>Déplacements en PM des cibles - ( PM170.4 ) - Mesures au 20/12/22</v>
      </c>
      <c r="B37" s="143"/>
      <c r="C37" s="143"/>
      <c r="D37" s="143"/>
      <c r="E37" s="143"/>
      <c r="F37" s="143"/>
      <c r="G37" s="143"/>
      <c r="H37" s="143"/>
      <c r="I37" s="143"/>
      <c r="J37" s="143"/>
      <c r="K37" s="144"/>
      <c r="L37" s="142" t="str">
        <f>Graphiques!N39</f>
        <v>Déplacements en déport des cibles - ( PM170.4 ) - Mesures au 20/12/22</v>
      </c>
      <c r="M37" s="143"/>
      <c r="N37" s="143"/>
      <c r="O37" s="143"/>
      <c r="P37" s="143"/>
      <c r="Q37" s="143"/>
      <c r="R37" s="143"/>
      <c r="S37" s="143"/>
      <c r="T37" s="143"/>
      <c r="U37" s="143"/>
      <c r="V37" s="144"/>
    </row>
    <row r="38" spans="1:22" x14ac:dyDescent="0.2">
      <c r="A38" s="62"/>
      <c r="K38" s="64"/>
      <c r="L38" s="62"/>
      <c r="V38" s="64"/>
    </row>
    <row r="39" spans="1:22" x14ac:dyDescent="0.2">
      <c r="A39" s="62"/>
      <c r="K39" s="64"/>
      <c r="L39" s="62"/>
      <c r="V39" s="64"/>
    </row>
    <row r="40" spans="1:22" x14ac:dyDescent="0.2">
      <c r="A40" s="62"/>
      <c r="K40" s="64"/>
      <c r="L40" s="62"/>
      <c r="V40" s="64"/>
    </row>
    <row r="41" spans="1:22" x14ac:dyDescent="0.2">
      <c r="A41" s="62"/>
      <c r="K41" s="64"/>
      <c r="L41" s="62"/>
      <c r="V41" s="64"/>
    </row>
    <row r="42" spans="1:22" x14ac:dyDescent="0.2">
      <c r="A42" s="62"/>
      <c r="K42" s="64"/>
      <c r="L42" s="62"/>
      <c r="V42" s="64"/>
    </row>
    <row r="43" spans="1:22" x14ac:dyDescent="0.2">
      <c r="A43" s="62"/>
      <c r="K43" s="64"/>
      <c r="L43" s="62"/>
      <c r="V43" s="64"/>
    </row>
    <row r="44" spans="1:22" x14ac:dyDescent="0.2">
      <c r="A44" s="62"/>
      <c r="K44" s="64"/>
      <c r="L44" s="62"/>
      <c r="V44" s="64"/>
    </row>
    <row r="45" spans="1:22" x14ac:dyDescent="0.2">
      <c r="A45" s="62"/>
      <c r="K45" s="64"/>
      <c r="L45" s="62"/>
      <c r="V45" s="64"/>
    </row>
    <row r="46" spans="1:22" x14ac:dyDescent="0.2">
      <c r="A46" s="62"/>
      <c r="K46" s="64"/>
      <c r="L46" s="62"/>
      <c r="V46" s="64"/>
    </row>
    <row r="47" spans="1:22" x14ac:dyDescent="0.2">
      <c r="A47" s="62"/>
      <c r="K47" s="64"/>
      <c r="L47" s="62"/>
      <c r="V47" s="64"/>
    </row>
    <row r="48" spans="1:22" x14ac:dyDescent="0.2">
      <c r="A48" s="62"/>
      <c r="K48" s="64"/>
      <c r="L48" s="62"/>
      <c r="V48" s="64"/>
    </row>
    <row r="49" spans="1:22" x14ac:dyDescent="0.2">
      <c r="A49" s="62"/>
      <c r="K49" s="64"/>
      <c r="L49" s="62"/>
      <c r="V49" s="64"/>
    </row>
    <row r="50" spans="1:22" x14ac:dyDescent="0.2">
      <c r="A50" s="62"/>
      <c r="K50" s="64"/>
      <c r="L50" s="62"/>
      <c r="V50" s="64"/>
    </row>
    <row r="51" spans="1:22" x14ac:dyDescent="0.2">
      <c r="A51" s="62"/>
      <c r="K51" s="64"/>
      <c r="L51" s="62"/>
      <c r="V51" s="64"/>
    </row>
    <row r="52" spans="1:22" x14ac:dyDescent="0.2">
      <c r="A52" s="62"/>
      <c r="K52" s="64"/>
      <c r="L52" s="62"/>
      <c r="V52" s="64"/>
    </row>
    <row r="53" spans="1:22" x14ac:dyDescent="0.2">
      <c r="A53" s="62"/>
      <c r="K53" s="64"/>
      <c r="L53" s="62"/>
      <c r="V53" s="64"/>
    </row>
    <row r="54" spans="1:22" x14ac:dyDescent="0.2">
      <c r="A54" s="62"/>
      <c r="K54" s="64"/>
      <c r="L54" s="62"/>
      <c r="V54" s="64"/>
    </row>
    <row r="55" spans="1:22" x14ac:dyDescent="0.2">
      <c r="A55" s="62"/>
      <c r="K55" s="64"/>
      <c r="L55" s="62"/>
      <c r="V55" s="64"/>
    </row>
    <row r="56" spans="1:22" x14ac:dyDescent="0.2">
      <c r="A56" s="62"/>
      <c r="K56" s="64"/>
      <c r="L56" s="62"/>
      <c r="V56" s="64"/>
    </row>
    <row r="57" spans="1:22" x14ac:dyDescent="0.2">
      <c r="A57" s="62"/>
      <c r="K57" s="64"/>
      <c r="L57" s="62"/>
      <c r="V57" s="64"/>
    </row>
    <row r="58" spans="1:22" x14ac:dyDescent="0.2">
      <c r="A58" s="62"/>
      <c r="K58" s="64"/>
      <c r="L58" s="62"/>
      <c r="V58" s="64"/>
    </row>
    <row r="59" spans="1:22" x14ac:dyDescent="0.2">
      <c r="A59" s="62"/>
      <c r="K59" s="64"/>
      <c r="L59" s="62"/>
      <c r="V59" s="64"/>
    </row>
    <row r="60" spans="1:22" x14ac:dyDescent="0.2">
      <c r="A60" s="62"/>
      <c r="K60" s="64"/>
      <c r="L60" s="62"/>
      <c r="V60" s="64"/>
    </row>
    <row r="61" spans="1:22" x14ac:dyDescent="0.2">
      <c r="A61" s="62"/>
      <c r="K61" s="64"/>
      <c r="L61" s="62"/>
      <c r="V61" s="64"/>
    </row>
    <row r="62" spans="1:22" x14ac:dyDescent="0.2">
      <c r="A62" s="62"/>
      <c r="K62" s="64"/>
      <c r="L62" s="62"/>
      <c r="V62" s="64"/>
    </row>
    <row r="63" spans="1:22" x14ac:dyDescent="0.2">
      <c r="A63" s="62"/>
      <c r="K63" s="64"/>
      <c r="L63" s="62"/>
      <c r="V63" s="64"/>
    </row>
    <row r="64" spans="1:22" x14ac:dyDescent="0.2">
      <c r="A64" s="70"/>
      <c r="B64" s="71"/>
      <c r="C64" s="71"/>
      <c r="D64" s="71"/>
      <c r="E64" s="71"/>
      <c r="F64" s="71"/>
      <c r="G64" s="71"/>
      <c r="H64" s="71"/>
      <c r="I64" s="71"/>
      <c r="J64" s="71"/>
      <c r="K64" s="72"/>
      <c r="L64" s="70"/>
      <c r="M64" s="71"/>
      <c r="N64" s="71"/>
      <c r="O64" s="71"/>
      <c r="P64" s="71"/>
      <c r="Q64" s="71"/>
      <c r="R64" s="71"/>
      <c r="S64" s="71"/>
      <c r="T64" s="71"/>
      <c r="U64" s="71"/>
      <c r="V64" s="72"/>
    </row>
  </sheetData>
  <mergeCells count="15">
    <mergeCell ref="H1:K1"/>
    <mergeCell ref="S1:V1"/>
    <mergeCell ref="H2:K2"/>
    <mergeCell ref="S2:V2"/>
    <mergeCell ref="I4:K4"/>
    <mergeCell ref="T4:V4"/>
    <mergeCell ref="I36:K36"/>
    <mergeCell ref="A37:K37"/>
    <mergeCell ref="L37:V37"/>
    <mergeCell ref="A5:K5"/>
    <mergeCell ref="L5:V5"/>
    <mergeCell ref="H33:K33"/>
    <mergeCell ref="S33:V33"/>
    <mergeCell ref="H34:K34"/>
    <mergeCell ref="S34:V34"/>
  </mergeCells>
  <printOptions horizontalCentered="1"/>
  <pageMargins left="0.39370078740157483" right="0.39370078740157483" top="0.19685039370078741" bottom="0.19685039370078741" header="0.51181102362204722" footer="0.51181102362204722"/>
  <pageSetup paperSize="9" scale="130" orientation="landscape" r:id="rId1"/>
  <headerFooter alignWithMargins="0"/>
  <colBreaks count="1" manualBreakCount="1">
    <brk id="11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6</vt:i4>
      </vt:variant>
      <vt:variant>
        <vt:lpstr>Plages nommées</vt:lpstr>
      </vt:variant>
      <vt:variant>
        <vt:i4>45</vt:i4>
      </vt:variant>
    </vt:vector>
  </HeadingPairs>
  <TitlesOfParts>
    <vt:vector size="51" baseType="lpstr">
      <vt:lpstr>Résultats observations</vt:lpstr>
      <vt:lpstr>Convergences</vt:lpstr>
      <vt:lpstr>Déplacements</vt:lpstr>
      <vt:lpstr>Graphiques (100j)</vt:lpstr>
      <vt:lpstr>Graphiques</vt:lpstr>
      <vt:lpstr>Graph avancement</vt:lpstr>
      <vt:lpstr>date</vt:lpstr>
      <vt:lpstr>DH_HD</vt:lpstr>
      <vt:lpstr>DH_HG</vt:lpstr>
      <vt:lpstr>DH_ID</vt:lpstr>
      <vt:lpstr>DH_IG</vt:lpstr>
      <vt:lpstr>DHhaut</vt:lpstr>
      <vt:lpstr>dist</vt:lpstr>
      <vt:lpstr>DPM_HD</vt:lpstr>
      <vt:lpstr>DPM_HG</vt:lpstr>
      <vt:lpstr>DPM_ID</vt:lpstr>
      <vt:lpstr>DPM_IG</vt:lpstr>
      <vt:lpstr>DPMhaut</vt:lpstr>
      <vt:lpstr>DZ_HD</vt:lpstr>
      <vt:lpstr>DZ_HG</vt:lpstr>
      <vt:lpstr>DZ_ID</vt:lpstr>
      <vt:lpstr>DZ_IG</vt:lpstr>
      <vt:lpstr>DZhaut</vt:lpstr>
      <vt:lpstr>Ecart_HD</vt:lpstr>
      <vt:lpstr>Ecart_HG</vt:lpstr>
      <vt:lpstr>Ecart_ID</vt:lpstr>
      <vt:lpstr>Ecart_IG</vt:lpstr>
      <vt:lpstr>Ecart_LH</vt:lpstr>
      <vt:lpstr>Ecart_LI</vt:lpstr>
      <vt:lpstr>excav</vt:lpstr>
      <vt:lpstr>front</vt:lpstr>
      <vt:lpstr>'Résultats observations'!Impression_des_titres</vt:lpstr>
      <vt:lpstr>jours</vt:lpstr>
      <vt:lpstr>PM</vt:lpstr>
      <vt:lpstr>Xhaut</vt:lpstr>
      <vt:lpstr>Xhautdroit</vt:lpstr>
      <vt:lpstr>Xhautgauche</vt:lpstr>
      <vt:lpstr>Xinterdroit</vt:lpstr>
      <vt:lpstr>Xintergauche</vt:lpstr>
      <vt:lpstr>Yhaut</vt:lpstr>
      <vt:lpstr>Yhautdroit</vt:lpstr>
      <vt:lpstr>Yhautgauche</vt:lpstr>
      <vt:lpstr>Yinterdroit</vt:lpstr>
      <vt:lpstr>Yintergauche</vt:lpstr>
      <vt:lpstr>Zhaut</vt:lpstr>
      <vt:lpstr>Zhautdroit</vt:lpstr>
      <vt:lpstr>Zhautgauche</vt:lpstr>
      <vt:lpstr>Zinterdroit</vt:lpstr>
      <vt:lpstr>Zintergauche</vt:lpstr>
      <vt:lpstr>Déplacements!Zone_d_impression</vt:lpstr>
      <vt:lpstr>'Résultats observations'!Zone_d_impression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utilisateur</dc:creator>
  <cp:lastModifiedBy>olivier boissard</cp:lastModifiedBy>
  <cp:lastPrinted>2019-06-27T13:58:11Z</cp:lastPrinted>
  <dcterms:created xsi:type="dcterms:W3CDTF">2008-07-29T13:58:19Z</dcterms:created>
  <dcterms:modified xsi:type="dcterms:W3CDTF">2025-11-06T18:33:13Z</dcterms:modified>
</cp:coreProperties>
</file>