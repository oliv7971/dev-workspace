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ml.chartshape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029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ata\11-CHANTIERS\BURE\22-AUSCULTATION\GGS\06-SMC Galerie S4 - GGS 07\"/>
    </mc:Choice>
  </mc:AlternateContent>
  <xr:revisionPtr revIDLastSave="0" documentId="13_ncr:1_{8F023B5F-D68E-4E03-9C72-FBD43A7B39DF}" xr6:coauthVersionLast="47" xr6:coauthVersionMax="47" xr10:uidLastSave="{00000000-0000-0000-0000-000000000000}"/>
  <bookViews>
    <workbookView xWindow="28680" yWindow="-120" windowWidth="29040" windowHeight="15840" tabRatio="858" activeTab="3" xr2:uid="{00000000-000D-0000-FFFF-FFFF00000000}"/>
  </bookViews>
  <sheets>
    <sheet name="Résultats observations" sheetId="1" r:id="rId1"/>
    <sheet name="DATABASE" sheetId="7" r:id="rId2"/>
    <sheet name="Convergences" sheetId="2" r:id="rId3"/>
    <sheet name="Déplacements" sheetId="3" r:id="rId4"/>
    <sheet name="Graphiques" sheetId="4" r:id="rId5"/>
    <sheet name="Graph avancement" sheetId="5" r:id="rId6"/>
    <sheet name="commentaires" sheetId="6" r:id="rId7"/>
  </sheets>
  <definedNames>
    <definedName name="cintre">'Résultats observations'!#REF!</definedName>
    <definedName name="date">'Résultats observations'!$A:$A</definedName>
    <definedName name="DH_BD">'Résultats observations'!#REF!</definedName>
    <definedName name="DH_BG">'Résultats observations'!#REF!</definedName>
    <definedName name="DH_HD">'Résultats observations'!$BW:$BW</definedName>
    <definedName name="DH_HG">'Résultats observations'!$BQ:$BQ</definedName>
    <definedName name="DH_ID">'Résultats observations'!$BZ:$BZ</definedName>
    <definedName name="DH_IG">'Résultats observations'!$BN:$BN</definedName>
    <definedName name="DHhaut">'Résultats observations'!$BT:$BT</definedName>
    <definedName name="dist">'Résultats observations'!$D:$D</definedName>
    <definedName name="DPM_BD">Déplacements!$O$10:$O$259</definedName>
    <definedName name="DPM_BG">'Résultats observations'!$BM$10:$BM$13</definedName>
    <definedName name="DPM_HD">'Résultats observations'!$BV:$BV</definedName>
    <definedName name="DPM_HG">'Résultats observations'!$BP:$BP</definedName>
    <definedName name="DPM_ID">'Résultats observations'!$BY:$BY</definedName>
    <definedName name="DPM_IG">'Résultats observations'!$BM:$BM</definedName>
    <definedName name="DPMhaut">'Résultats observations'!$BS:$BS</definedName>
    <definedName name="DZ_BD">'Résultats observations'!#REF!</definedName>
    <definedName name="DZ_BG">'Résultats observations'!#REF!</definedName>
    <definedName name="DZ_HD">'Résultats observations'!$AR:$AR</definedName>
    <definedName name="DZ_HG">'Résultats observations'!$AL:$AL</definedName>
    <definedName name="DZ_ID">'Résultats observations'!$AU:$AU</definedName>
    <definedName name="DZ_IG">'Résultats observations'!$AI:$AI</definedName>
    <definedName name="DZhaut">'Résultats observations'!$AO:$AO</definedName>
    <definedName name="Ecart_BD">'Résultats observations'!#REF!</definedName>
    <definedName name="Ecart_BG">'Résultats observations'!#REF!</definedName>
    <definedName name="Ecart_HD">'Résultats observations'!$AB:$AB</definedName>
    <definedName name="Ecart_HG">'Résultats observations'!$AA:$AA</definedName>
    <definedName name="Ecart_ID">'Résultats observations'!$AC:$AC</definedName>
    <definedName name="Ecart_IG">'Résultats observations'!$Z:$Z</definedName>
    <definedName name="Ecart_LB">'Résultats observations'!#REF!</definedName>
    <definedName name="Ecart_LH">'Résultats observations'!$AD:$AD</definedName>
    <definedName name="Ecart_LI">'Résultats observations'!$AE:$AE</definedName>
    <definedName name="excav">'Résultats observations'!$A$7</definedName>
    <definedName name="front">'Résultats observations'!$C:$C</definedName>
    <definedName name="galerie">'Résultats observations'!#REF!</definedName>
    <definedName name="_xlnm.Print_Titles" localSheetId="2">Convergences!$1:$9</definedName>
    <definedName name="_xlnm.Print_Titles" localSheetId="3">Déplacements!$1:$9</definedName>
    <definedName name="_xlnm.Print_Titles" localSheetId="0">'Résultats observations'!$1:$9</definedName>
    <definedName name="jours">'Résultats observations'!$B:$B</definedName>
    <definedName name="PM">'Résultats observations'!$P$6</definedName>
    <definedName name="Xbasdroit">'Résultats observations'!#REF!</definedName>
    <definedName name="Xbasgauche">'Résultats observations'!#REF!</definedName>
    <definedName name="Xhaut">'Résultats observations'!$K:$K</definedName>
    <definedName name="Xhautdroit">'Résultats observations'!$N:$N</definedName>
    <definedName name="Xhautgauche">'Résultats observations'!$H:$H</definedName>
    <definedName name="Xinterdroit">'Résultats observations'!$Q:$Q</definedName>
    <definedName name="Xintergauche">'Résultats observations'!$E:$E</definedName>
    <definedName name="Ybasdroit">'Résultats observations'!#REF!</definedName>
    <definedName name="Ybasgauche">'Résultats observations'!#REF!</definedName>
    <definedName name="Yhaut">'Résultats observations'!$L:$L</definedName>
    <definedName name="Yhautdroit">'Résultats observations'!$O:$O</definedName>
    <definedName name="Yhautgauche">'Résultats observations'!$I:$I</definedName>
    <definedName name="Yinterdroit">'Résultats observations'!$R:$R</definedName>
    <definedName name="Yintergauche">'Résultats observations'!$F:$F</definedName>
    <definedName name="Zbasdroit">'Résultats observations'!#REF!</definedName>
    <definedName name="Zbasgauche">'Résultats observations'!#REF!</definedName>
    <definedName name="Zhaut">'Résultats observations'!$M:$M</definedName>
    <definedName name="Zhautdroit">'Résultats observations'!$P:$P</definedName>
    <definedName name="Zhautgauche">'Résultats observations'!$J:$J</definedName>
    <definedName name="Zinterdroit">'Résultats observations'!$S:$S</definedName>
    <definedName name="Zintergauche">'Résultats observations'!$G:$G</definedName>
    <definedName name="_xlnm.Print_Area" localSheetId="2">Convergences!$A$1:$T$12</definedName>
    <definedName name="_xlnm.Print_Area" localSheetId="3">Déplacements!$A$1:$Q$12</definedName>
    <definedName name="_xlnm.Print_Area" localSheetId="4">Graphiques!$B$2:$L$33,Graphiques!$N$2:$X$33,Graphiques!$B$35:$L$66,Graphiques!$N$35:$X$66,Graphiques!$B$68:$L$99,Graphiques!$N$68:$X$99</definedName>
    <definedName name="_xlnm.Print_Area" localSheetId="0">'Résultats observations'!$A$1:$Y$10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57" i="3" l="1"/>
  <c r="Q57" i="3"/>
  <c r="P57" i="3"/>
  <c r="O57" i="3"/>
  <c r="K57" i="3"/>
  <c r="S57" i="3" s="1"/>
  <c r="J57" i="3"/>
  <c r="I57" i="3"/>
  <c r="H57" i="3"/>
  <c r="G57" i="3"/>
  <c r="F57" i="3"/>
  <c r="E57" i="3"/>
  <c r="D57" i="3"/>
  <c r="C57" i="3"/>
  <c r="B57" i="3"/>
  <c r="A57" i="3"/>
  <c r="S57" i="2"/>
  <c r="Q57" i="2"/>
  <c r="I57" i="2"/>
  <c r="T57" i="2" s="1"/>
  <c r="G57" i="2"/>
  <c r="R57" i="2" s="1"/>
  <c r="E57" i="2"/>
  <c r="P57" i="2" s="1"/>
  <c r="D57" i="2"/>
  <c r="O57" i="2" s="1"/>
  <c r="B57" i="2"/>
  <c r="A57" i="2"/>
  <c r="BK57" i="1" a="1"/>
  <c r="BK57" i="1" s="1"/>
  <c r="CA57" i="1" s="1"/>
  <c r="BJ57" i="1" a="1"/>
  <c r="BJ57" i="1" s="1"/>
  <c r="BZ57" i="1" s="1"/>
  <c r="BI57" i="1" a="1"/>
  <c r="BI57" i="1" s="1"/>
  <c r="BY57" i="1" s="1"/>
  <c r="BH57" i="1" a="1"/>
  <c r="BH57" i="1" s="1"/>
  <c r="BX57" i="1" s="1"/>
  <c r="BG57" i="1" a="1"/>
  <c r="BG57" i="1" s="1"/>
  <c r="BW57" i="1" s="1"/>
  <c r="BF57" i="1" a="1"/>
  <c r="BF57" i="1" s="1"/>
  <c r="BV57" i="1" s="1"/>
  <c r="BE57" i="1" a="1"/>
  <c r="BE57" i="1" s="1"/>
  <c r="BU57" i="1" s="1"/>
  <c r="BD57" i="1" a="1"/>
  <c r="BD57" i="1" s="1"/>
  <c r="BT57" i="1" s="1"/>
  <c r="BC57" i="1" a="1"/>
  <c r="BC57" i="1" s="1"/>
  <c r="BS57" i="1" s="1"/>
  <c r="BB57" i="1" a="1"/>
  <c r="BB57" i="1" s="1"/>
  <c r="BR57" i="1" s="1"/>
  <c r="BA57" i="1" a="1"/>
  <c r="BA57" i="1" s="1"/>
  <c r="BQ57" i="1" s="1"/>
  <c r="AZ57" i="1" a="1"/>
  <c r="AZ57" i="1" s="1"/>
  <c r="BP57" i="1" s="1"/>
  <c r="AY57" i="1" a="1"/>
  <c r="AY57" i="1" s="1"/>
  <c r="BO57" i="1" s="1"/>
  <c r="AX57" i="1" a="1"/>
  <c r="AX57" i="1" s="1"/>
  <c r="BN57" i="1" s="1"/>
  <c r="AW57" i="1" a="1"/>
  <c r="AW57" i="1" s="1"/>
  <c r="BM57" i="1" s="1"/>
  <c r="S57" i="1" a="1"/>
  <c r="S57" i="1" s="1"/>
  <c r="AU57" i="1" s="1"/>
  <c r="R57" i="1" a="1"/>
  <c r="R57" i="1" s="1"/>
  <c r="AT57" i="1" s="1"/>
  <c r="Q57" i="1" a="1"/>
  <c r="Q57" i="1" s="1"/>
  <c r="P57" i="1" a="1"/>
  <c r="P57" i="1" s="1"/>
  <c r="AR57" i="1" s="1"/>
  <c r="O57" i="1" a="1"/>
  <c r="O57" i="1" s="1"/>
  <c r="AQ57" i="1" s="1"/>
  <c r="N57" i="1" a="1"/>
  <c r="N57" i="1" s="1"/>
  <c r="AP57" i="1" s="1"/>
  <c r="M57" i="1" a="1"/>
  <c r="M57" i="1" s="1"/>
  <c r="AO57" i="1" s="1"/>
  <c r="L57" i="1" a="1"/>
  <c r="L57" i="1" s="1"/>
  <c r="AN57" i="1" s="1"/>
  <c r="K57" i="1" a="1"/>
  <c r="K57" i="1" s="1"/>
  <c r="J57" i="1" a="1"/>
  <c r="J57" i="1" s="1"/>
  <c r="AL57" i="1" s="1"/>
  <c r="I57" i="1" a="1"/>
  <c r="I57" i="1" s="1"/>
  <c r="AK57" i="1" s="1"/>
  <c r="H57" i="1" a="1"/>
  <c r="H57" i="1" s="1"/>
  <c r="AJ57" i="1" s="1"/>
  <c r="G57" i="1" a="1"/>
  <c r="G57" i="1" s="1"/>
  <c r="AI57" i="1" s="1"/>
  <c r="F57" i="1" a="1"/>
  <c r="F57" i="1" s="1"/>
  <c r="AH57" i="1" s="1"/>
  <c r="E57" i="1" a="1"/>
  <c r="E57" i="1" s="1"/>
  <c r="AG57" i="1" s="1"/>
  <c r="D57" i="1"/>
  <c r="C57" i="2" s="1"/>
  <c r="B57" i="1"/>
  <c r="AZ226" i="7"/>
  <c r="AY226" i="7"/>
  <c r="AX226" i="7"/>
  <c r="AW226" i="7"/>
  <c r="AV226" i="7"/>
  <c r="AM226" i="7"/>
  <c r="BB226" i="7" s="1"/>
  <c r="AL226" i="7"/>
  <c r="BA226" i="7" s="1"/>
  <c r="AZ225" i="7"/>
  <c r="AY225" i="7"/>
  <c r="AX225" i="7"/>
  <c r="AW225" i="7"/>
  <c r="AV225" i="7"/>
  <c r="AM225" i="7"/>
  <c r="BB225" i="7" s="1"/>
  <c r="AL225" i="7"/>
  <c r="BA225" i="7" s="1"/>
  <c r="AZ224" i="7"/>
  <c r="AY224" i="7"/>
  <c r="AX224" i="7"/>
  <c r="AW224" i="7"/>
  <c r="AV224" i="7"/>
  <c r="AM224" i="7"/>
  <c r="BB224" i="7" s="1"/>
  <c r="AL224" i="7"/>
  <c r="BA224" i="7" s="1"/>
  <c r="AZ223" i="7"/>
  <c r="AY223" i="7"/>
  <c r="AX223" i="7"/>
  <c r="AW223" i="7"/>
  <c r="AV223" i="7"/>
  <c r="AM223" i="7"/>
  <c r="BB223" i="7" s="1"/>
  <c r="AL223" i="7"/>
  <c r="BA223" i="7" s="1"/>
  <c r="R56" i="3"/>
  <c r="B56" i="3"/>
  <c r="A56" i="3"/>
  <c r="S56" i="2"/>
  <c r="Q56" i="2"/>
  <c r="B56" i="2"/>
  <c r="A56" i="2"/>
  <c r="S56" i="1" a="1"/>
  <c r="S56" i="1" s="1"/>
  <c r="R56" i="1" a="1"/>
  <c r="R56" i="1" s="1"/>
  <c r="Q56" i="1" a="1"/>
  <c r="Q56" i="1" s="1"/>
  <c r="P56" i="1" a="1"/>
  <c r="P56" i="1" s="1"/>
  <c r="O56" i="1" a="1"/>
  <c r="O56" i="1" s="1"/>
  <c r="AQ56" i="1" s="1"/>
  <c r="N56" i="1" a="1"/>
  <c r="N56" i="1" s="1"/>
  <c r="AP56" i="1" s="1"/>
  <c r="D56" i="1"/>
  <c r="C56" i="2" s="1"/>
  <c r="B56" i="1"/>
  <c r="AZ222" i="7"/>
  <c r="AY222" i="7"/>
  <c r="AX222" i="7"/>
  <c r="AW222" i="7"/>
  <c r="AV222" i="7"/>
  <c r="AM222" i="7"/>
  <c r="BB222" i="7" s="1"/>
  <c r="AL222" i="7"/>
  <c r="BA222" i="7" s="1"/>
  <c r="AZ221" i="7"/>
  <c r="AY221" i="7"/>
  <c r="AX221" i="7"/>
  <c r="AW221" i="7"/>
  <c r="AV221" i="7"/>
  <c r="AM221" i="7"/>
  <c r="BB221" i="7" s="1"/>
  <c r="AL221" i="7"/>
  <c r="BA221" i="7" s="1"/>
  <c r="AZ220" i="7"/>
  <c r="AY220" i="7"/>
  <c r="AX220" i="7"/>
  <c r="AW220" i="7"/>
  <c r="AV220" i="7"/>
  <c r="AM220" i="7"/>
  <c r="BB220" i="7" s="1"/>
  <c r="AL220" i="7"/>
  <c r="BA220" i="7" s="1"/>
  <c r="AZ219" i="7"/>
  <c r="AY219" i="7"/>
  <c r="AX219" i="7"/>
  <c r="AW219" i="7"/>
  <c r="AV219" i="7"/>
  <c r="AM219" i="7"/>
  <c r="BB219" i="7" s="1"/>
  <c r="AL219" i="7"/>
  <c r="BA219" i="7" s="1"/>
  <c r="R55" i="3"/>
  <c r="B55" i="3"/>
  <c r="A55" i="3"/>
  <c r="S55" i="2"/>
  <c r="Q55" i="2"/>
  <c r="B55" i="2"/>
  <c r="A55" i="2"/>
  <c r="D55" i="1"/>
  <c r="C55" i="2" s="1"/>
  <c r="B55" i="1"/>
  <c r="AZ218" i="7"/>
  <c r="AY218" i="7"/>
  <c r="AX218" i="7"/>
  <c r="AW218" i="7"/>
  <c r="AV218" i="7"/>
  <c r="AZ217" i="7"/>
  <c r="AY217" i="7"/>
  <c r="AX217" i="7"/>
  <c r="AW217" i="7"/>
  <c r="AV217" i="7"/>
  <c r="AZ216" i="7"/>
  <c r="AY216" i="7"/>
  <c r="AX216" i="7"/>
  <c r="AW216" i="7"/>
  <c r="AV216" i="7"/>
  <c r="AZ215" i="7"/>
  <c r="AY215" i="7"/>
  <c r="AX215" i="7"/>
  <c r="AW215" i="7"/>
  <c r="AV215" i="7"/>
  <c r="A45" i="6"/>
  <c r="A46" i="6"/>
  <c r="A38" i="6"/>
  <c r="A39" i="6"/>
  <c r="A40" i="6"/>
  <c r="A41" i="6"/>
  <c r="A42" i="6"/>
  <c r="A43" i="6"/>
  <c r="A44" i="6"/>
  <c r="R54" i="3"/>
  <c r="B54" i="3"/>
  <c r="A54" i="3"/>
  <c r="S54" i="2"/>
  <c r="Q54" i="2"/>
  <c r="B54" i="2"/>
  <c r="A54" i="2"/>
  <c r="D54" i="1"/>
  <c r="C54" i="2" s="1"/>
  <c r="B54" i="1"/>
  <c r="AZ214" i="7"/>
  <c r="AY214" i="7"/>
  <c r="AX214" i="7"/>
  <c r="AW214" i="7"/>
  <c r="AV214" i="7"/>
  <c r="AZ213" i="7"/>
  <c r="AY213" i="7"/>
  <c r="AX213" i="7"/>
  <c r="AW213" i="7"/>
  <c r="AV213" i="7"/>
  <c r="AZ212" i="7"/>
  <c r="AY212" i="7"/>
  <c r="AX212" i="7"/>
  <c r="AW212" i="7"/>
  <c r="AV212" i="7"/>
  <c r="AZ211" i="7"/>
  <c r="AY211" i="7"/>
  <c r="AX211" i="7"/>
  <c r="AW211" i="7"/>
  <c r="AV211" i="7"/>
  <c r="R53" i="3"/>
  <c r="B53" i="3"/>
  <c r="A53" i="3"/>
  <c r="S53" i="2"/>
  <c r="Q53" i="2"/>
  <c r="B53" i="2"/>
  <c r="A53" i="2"/>
  <c r="D53" i="1"/>
  <c r="C53" i="2" s="1"/>
  <c r="B53" i="1"/>
  <c r="AZ210" i="7"/>
  <c r="AY210" i="7"/>
  <c r="AX210" i="7"/>
  <c r="AW210" i="7"/>
  <c r="AV210" i="7"/>
  <c r="AZ209" i="7"/>
  <c r="AY209" i="7"/>
  <c r="AX209" i="7"/>
  <c r="AW209" i="7"/>
  <c r="AV209" i="7"/>
  <c r="AZ208" i="7"/>
  <c r="AY208" i="7"/>
  <c r="AX208" i="7"/>
  <c r="AW208" i="7"/>
  <c r="AV208" i="7"/>
  <c r="AZ207" i="7"/>
  <c r="AY207" i="7"/>
  <c r="AX207" i="7"/>
  <c r="AW207" i="7"/>
  <c r="AV207" i="7"/>
  <c r="A31" i="6"/>
  <c r="A32" i="6"/>
  <c r="A33" i="6"/>
  <c r="A34" i="6"/>
  <c r="A35" i="6"/>
  <c r="A36" i="6"/>
  <c r="A37" i="6"/>
  <c r="A28" i="6"/>
  <c r="A29" i="6"/>
  <c r="A30" i="6"/>
  <c r="A26" i="6"/>
  <c r="A27" i="6"/>
  <c r="R52" i="3"/>
  <c r="B52" i="3"/>
  <c r="A52" i="3"/>
  <c r="S52" i="2"/>
  <c r="Q52" i="2"/>
  <c r="B52" i="2"/>
  <c r="A52" i="2"/>
  <c r="D52" i="1"/>
  <c r="C52" i="2" s="1"/>
  <c r="B52" i="1"/>
  <c r="AZ206" i="7"/>
  <c r="AY206" i="7"/>
  <c r="AX206" i="7"/>
  <c r="AW206" i="7"/>
  <c r="AV206" i="7"/>
  <c r="AZ205" i="7"/>
  <c r="AY205" i="7"/>
  <c r="AX205" i="7"/>
  <c r="AW205" i="7"/>
  <c r="AV205" i="7"/>
  <c r="AZ204" i="7"/>
  <c r="AY204" i="7"/>
  <c r="AX204" i="7"/>
  <c r="AW204" i="7"/>
  <c r="AV204" i="7"/>
  <c r="AZ203" i="7"/>
  <c r="AY203" i="7"/>
  <c r="AX203" i="7"/>
  <c r="AW203" i="7"/>
  <c r="AV203" i="7"/>
  <c r="R51" i="3"/>
  <c r="B51" i="3"/>
  <c r="A51" i="3"/>
  <c r="S51" i="2"/>
  <c r="Q51" i="2"/>
  <c r="B51" i="2"/>
  <c r="A51" i="2"/>
  <c r="D51" i="1"/>
  <c r="C51" i="2" s="1"/>
  <c r="B51" i="1"/>
  <c r="AZ202" i="7"/>
  <c r="AY202" i="7"/>
  <c r="AX202" i="7"/>
  <c r="AW202" i="7"/>
  <c r="AV202" i="7"/>
  <c r="AZ201" i="7"/>
  <c r="AY201" i="7"/>
  <c r="AX201" i="7"/>
  <c r="AW201" i="7"/>
  <c r="AV201" i="7"/>
  <c r="AZ200" i="7"/>
  <c r="AY200" i="7"/>
  <c r="AX200" i="7"/>
  <c r="AW200" i="7"/>
  <c r="AV200" i="7"/>
  <c r="AZ199" i="7"/>
  <c r="AY199" i="7"/>
  <c r="AX199" i="7"/>
  <c r="AW199" i="7"/>
  <c r="AV199" i="7"/>
  <c r="R50" i="3"/>
  <c r="B50" i="3"/>
  <c r="A50" i="3"/>
  <c r="S50" i="2"/>
  <c r="Q50" i="2"/>
  <c r="B50" i="2"/>
  <c r="A50" i="2"/>
  <c r="D50" i="1"/>
  <c r="C50" i="2" s="1"/>
  <c r="B50" i="1"/>
  <c r="AZ198" i="7"/>
  <c r="AY198" i="7"/>
  <c r="AX198" i="7"/>
  <c r="AW198" i="7"/>
  <c r="AV198" i="7"/>
  <c r="AZ197" i="7"/>
  <c r="AY197" i="7"/>
  <c r="AX197" i="7"/>
  <c r="AW197" i="7"/>
  <c r="AV197" i="7"/>
  <c r="AZ196" i="7"/>
  <c r="AY196" i="7"/>
  <c r="AX196" i="7"/>
  <c r="AW196" i="7"/>
  <c r="AV196" i="7"/>
  <c r="AZ195" i="7"/>
  <c r="AY195" i="7"/>
  <c r="AX195" i="7"/>
  <c r="AW195" i="7"/>
  <c r="AV195" i="7"/>
  <c r="R49" i="3"/>
  <c r="B49" i="3"/>
  <c r="A49" i="3"/>
  <c r="S49" i="2"/>
  <c r="Q49" i="2"/>
  <c r="B49" i="2"/>
  <c r="A49" i="2"/>
  <c r="D49" i="1"/>
  <c r="C49" i="2" s="1"/>
  <c r="B49" i="1"/>
  <c r="AZ194" i="7"/>
  <c r="AY194" i="7"/>
  <c r="AX194" i="7"/>
  <c r="AW194" i="7"/>
  <c r="AV194" i="7"/>
  <c r="AZ193" i="7"/>
  <c r="AY193" i="7"/>
  <c r="AX193" i="7"/>
  <c r="AW193" i="7"/>
  <c r="AV193" i="7"/>
  <c r="AZ192" i="7"/>
  <c r="AY192" i="7"/>
  <c r="AX192" i="7"/>
  <c r="AW192" i="7"/>
  <c r="AV192" i="7"/>
  <c r="AZ191" i="7"/>
  <c r="AY191" i="7"/>
  <c r="AX191" i="7"/>
  <c r="AW191" i="7"/>
  <c r="AV191" i="7"/>
  <c r="R48" i="3"/>
  <c r="B48" i="3"/>
  <c r="A48" i="3"/>
  <c r="S48" i="2"/>
  <c r="Q48" i="2"/>
  <c r="B48" i="2"/>
  <c r="A48" i="2"/>
  <c r="D48" i="1"/>
  <c r="C48" i="2" s="1"/>
  <c r="B48" i="1"/>
  <c r="AZ190" i="7"/>
  <c r="AY190" i="7"/>
  <c r="AX190" i="7"/>
  <c r="AW190" i="7"/>
  <c r="AV190" i="7"/>
  <c r="AZ189" i="7"/>
  <c r="AY189" i="7"/>
  <c r="AX189" i="7"/>
  <c r="AW189" i="7"/>
  <c r="AV189" i="7"/>
  <c r="AZ188" i="7"/>
  <c r="AY188" i="7"/>
  <c r="AX188" i="7"/>
  <c r="AW188" i="7"/>
  <c r="AV188" i="7"/>
  <c r="AZ187" i="7"/>
  <c r="AY187" i="7"/>
  <c r="AX187" i="7"/>
  <c r="AW187" i="7"/>
  <c r="AV187" i="7"/>
  <c r="R47" i="3"/>
  <c r="B47" i="3"/>
  <c r="A47" i="3"/>
  <c r="S47" i="2"/>
  <c r="Q47" i="2"/>
  <c r="B47" i="2"/>
  <c r="A47" i="2"/>
  <c r="D47" i="1"/>
  <c r="C47" i="2" s="1"/>
  <c r="B47" i="1"/>
  <c r="AZ186" i="7"/>
  <c r="AY186" i="7"/>
  <c r="AX186" i="7"/>
  <c r="AW186" i="7"/>
  <c r="AV186" i="7"/>
  <c r="AZ185" i="7"/>
  <c r="AY185" i="7"/>
  <c r="AX185" i="7"/>
  <c r="AW185" i="7"/>
  <c r="AV185" i="7"/>
  <c r="AZ184" i="7"/>
  <c r="AY184" i="7"/>
  <c r="AX184" i="7"/>
  <c r="AW184" i="7"/>
  <c r="AV184" i="7"/>
  <c r="AZ183" i="7"/>
  <c r="AY183" i="7"/>
  <c r="AX183" i="7"/>
  <c r="AW183" i="7"/>
  <c r="AV183" i="7"/>
  <c r="R46" i="3"/>
  <c r="B46" i="3"/>
  <c r="A46" i="3"/>
  <c r="S46" i="2"/>
  <c r="Q46" i="2"/>
  <c r="C46" i="2"/>
  <c r="B46" i="2"/>
  <c r="A46" i="2"/>
  <c r="D46" i="1"/>
  <c r="B46" i="1"/>
  <c r="AZ182" i="7"/>
  <c r="AY182" i="7"/>
  <c r="AX182" i="7"/>
  <c r="AW182" i="7"/>
  <c r="AV182" i="7"/>
  <c r="AZ181" i="7"/>
  <c r="AY181" i="7"/>
  <c r="AX181" i="7"/>
  <c r="AW181" i="7"/>
  <c r="AV181" i="7"/>
  <c r="AZ180" i="7"/>
  <c r="AY180" i="7"/>
  <c r="AX180" i="7"/>
  <c r="AW180" i="7"/>
  <c r="AV180" i="7"/>
  <c r="AZ179" i="7"/>
  <c r="AY179" i="7"/>
  <c r="AX179" i="7"/>
  <c r="AW179" i="7"/>
  <c r="AV179" i="7"/>
  <c r="R45" i="3"/>
  <c r="B45" i="3"/>
  <c r="A45" i="3"/>
  <c r="S45" i="2"/>
  <c r="Q45" i="2"/>
  <c r="C45" i="2"/>
  <c r="B45" i="2"/>
  <c r="A45" i="2"/>
  <c r="D45" i="1"/>
  <c r="B45" i="1"/>
  <c r="AZ178" i="7"/>
  <c r="AY178" i="7"/>
  <c r="AX178" i="7"/>
  <c r="AW178" i="7"/>
  <c r="AV178" i="7"/>
  <c r="AZ177" i="7"/>
  <c r="AY177" i="7"/>
  <c r="AX177" i="7"/>
  <c r="AW177" i="7"/>
  <c r="AV177" i="7"/>
  <c r="AZ176" i="7"/>
  <c r="AY176" i="7"/>
  <c r="AX176" i="7"/>
  <c r="AW176" i="7"/>
  <c r="AV176" i="7"/>
  <c r="AZ175" i="7"/>
  <c r="AY175" i="7"/>
  <c r="AX175" i="7"/>
  <c r="AW175" i="7"/>
  <c r="AV175" i="7"/>
  <c r="R44" i="3"/>
  <c r="B44" i="3"/>
  <c r="A44" i="3"/>
  <c r="S44" i="2"/>
  <c r="Q44" i="2"/>
  <c r="B44" i="2"/>
  <c r="A44" i="2"/>
  <c r="D44" i="1"/>
  <c r="C44" i="2" s="1"/>
  <c r="B44" i="1"/>
  <c r="AZ174" i="7"/>
  <c r="AY174" i="7"/>
  <c r="AX174" i="7"/>
  <c r="AW174" i="7"/>
  <c r="AV174" i="7"/>
  <c r="AZ173" i="7"/>
  <c r="AY173" i="7"/>
  <c r="AX173" i="7"/>
  <c r="AW173" i="7"/>
  <c r="AV173" i="7"/>
  <c r="AZ172" i="7"/>
  <c r="AY172" i="7"/>
  <c r="AX172" i="7"/>
  <c r="AW172" i="7"/>
  <c r="AV172" i="7"/>
  <c r="AZ171" i="7"/>
  <c r="AY171" i="7"/>
  <c r="AX171" i="7"/>
  <c r="AW171" i="7"/>
  <c r="AV171" i="7"/>
  <c r="R43" i="3"/>
  <c r="B43" i="3"/>
  <c r="A43" i="3"/>
  <c r="S43" i="2"/>
  <c r="Q43" i="2"/>
  <c r="C43" i="2"/>
  <c r="B43" i="2"/>
  <c r="A43" i="2"/>
  <c r="D43" i="1"/>
  <c r="B43" i="1"/>
  <c r="AZ170" i="7"/>
  <c r="AY170" i="7"/>
  <c r="AX170" i="7"/>
  <c r="AW170" i="7"/>
  <c r="AV170" i="7"/>
  <c r="AZ169" i="7"/>
  <c r="AY169" i="7"/>
  <c r="AX169" i="7"/>
  <c r="AW169" i="7"/>
  <c r="AV169" i="7"/>
  <c r="AZ168" i="7"/>
  <c r="AY168" i="7"/>
  <c r="AX168" i="7"/>
  <c r="AW168" i="7"/>
  <c r="AV168" i="7"/>
  <c r="AZ167" i="7"/>
  <c r="AY167" i="7"/>
  <c r="AX167" i="7"/>
  <c r="AW167" i="7"/>
  <c r="AV167" i="7"/>
  <c r="R42" i="3"/>
  <c r="B42" i="3"/>
  <c r="A42" i="3"/>
  <c r="S42" i="2"/>
  <c r="Q42" i="2"/>
  <c r="B42" i="2"/>
  <c r="A42" i="2"/>
  <c r="D42" i="1"/>
  <c r="C42" i="2" s="1"/>
  <c r="B42" i="1"/>
  <c r="AZ166" i="7"/>
  <c r="AY166" i="7"/>
  <c r="AX166" i="7"/>
  <c r="AW166" i="7"/>
  <c r="AV166" i="7"/>
  <c r="AZ165" i="7"/>
  <c r="AY165" i="7"/>
  <c r="AX165" i="7"/>
  <c r="AW165" i="7"/>
  <c r="AV165" i="7"/>
  <c r="AZ164" i="7"/>
  <c r="AY164" i="7"/>
  <c r="AX164" i="7"/>
  <c r="AW164" i="7"/>
  <c r="AV164" i="7"/>
  <c r="AZ163" i="7"/>
  <c r="AY163" i="7"/>
  <c r="AX163" i="7"/>
  <c r="AW163" i="7"/>
  <c r="AV163" i="7"/>
  <c r="R41" i="3"/>
  <c r="B41" i="3"/>
  <c r="A41" i="3"/>
  <c r="S41" i="2"/>
  <c r="Q41" i="2"/>
  <c r="C41" i="2"/>
  <c r="B41" i="2"/>
  <c r="A41" i="2"/>
  <c r="D41" i="1"/>
  <c r="B41" i="1"/>
  <c r="AZ162" i="7"/>
  <c r="AY162" i="7"/>
  <c r="AX162" i="7"/>
  <c r="AW162" i="7"/>
  <c r="AV162" i="7"/>
  <c r="AZ161" i="7"/>
  <c r="AY161" i="7"/>
  <c r="AX161" i="7"/>
  <c r="AW161" i="7"/>
  <c r="AV161" i="7"/>
  <c r="AZ160" i="7"/>
  <c r="AY160" i="7"/>
  <c r="AX160" i="7"/>
  <c r="AW160" i="7"/>
  <c r="AV160" i="7"/>
  <c r="R40" i="3"/>
  <c r="B40" i="3"/>
  <c r="A40" i="3"/>
  <c r="S40" i="2"/>
  <c r="Q40" i="2"/>
  <c r="B40" i="2"/>
  <c r="A40" i="2"/>
  <c r="D40" i="1"/>
  <c r="C40" i="2" s="1"/>
  <c r="B40" i="1"/>
  <c r="AZ159" i="7"/>
  <c r="AY159" i="7"/>
  <c r="AX159" i="7"/>
  <c r="AW159" i="7"/>
  <c r="AV159" i="7"/>
  <c r="AZ158" i="7"/>
  <c r="AY158" i="7"/>
  <c r="AX158" i="7"/>
  <c r="AW158" i="7"/>
  <c r="AV158" i="7"/>
  <c r="AZ157" i="7"/>
  <c r="AY157" i="7"/>
  <c r="AX157" i="7"/>
  <c r="AW157" i="7"/>
  <c r="AV157" i="7"/>
  <c r="AZ156" i="7"/>
  <c r="AY156" i="7"/>
  <c r="AX156" i="7"/>
  <c r="AW156" i="7"/>
  <c r="AV156" i="7"/>
  <c r="R39" i="3"/>
  <c r="B39" i="3"/>
  <c r="A39" i="3"/>
  <c r="S39" i="2"/>
  <c r="Q39" i="2"/>
  <c r="B39" i="2"/>
  <c r="A39" i="2"/>
  <c r="D39" i="1"/>
  <c r="C39" i="2" s="1"/>
  <c r="B39" i="1"/>
  <c r="AZ155" i="7"/>
  <c r="AY155" i="7"/>
  <c r="AX155" i="7"/>
  <c r="AW155" i="7"/>
  <c r="AV155" i="7"/>
  <c r="AZ154" i="7"/>
  <c r="AY154" i="7"/>
  <c r="AX154" i="7"/>
  <c r="AW154" i="7"/>
  <c r="AV154" i="7"/>
  <c r="AZ153" i="7"/>
  <c r="AY153" i="7"/>
  <c r="AX153" i="7"/>
  <c r="AW153" i="7"/>
  <c r="AV153" i="7"/>
  <c r="AZ152" i="7"/>
  <c r="AY152" i="7"/>
  <c r="AX152" i="7"/>
  <c r="AW152" i="7"/>
  <c r="AV152" i="7"/>
  <c r="R38" i="3"/>
  <c r="B38" i="3"/>
  <c r="A38" i="3"/>
  <c r="S38" i="2"/>
  <c r="Q38" i="2"/>
  <c r="C38" i="2"/>
  <c r="B38" i="2"/>
  <c r="A38" i="2"/>
  <c r="D38" i="1"/>
  <c r="B38" i="1"/>
  <c r="AZ151" i="7"/>
  <c r="AY151" i="7"/>
  <c r="AX151" i="7"/>
  <c r="AW151" i="7"/>
  <c r="AV151" i="7"/>
  <c r="AZ150" i="7"/>
  <c r="AY150" i="7"/>
  <c r="AX150" i="7"/>
  <c r="AW150" i="7"/>
  <c r="AV150" i="7"/>
  <c r="AZ149" i="7"/>
  <c r="AY149" i="7"/>
  <c r="AX149" i="7"/>
  <c r="AW149" i="7"/>
  <c r="AV149" i="7"/>
  <c r="AZ148" i="7"/>
  <c r="AY148" i="7"/>
  <c r="AX148" i="7"/>
  <c r="AW148" i="7"/>
  <c r="AV148" i="7"/>
  <c r="R37" i="3"/>
  <c r="B37" i="3"/>
  <c r="A37" i="3"/>
  <c r="S37" i="2"/>
  <c r="Q37" i="2"/>
  <c r="B37" i="2"/>
  <c r="A37" i="2"/>
  <c r="D37" i="1"/>
  <c r="C37" i="2" s="1"/>
  <c r="B37" i="1"/>
  <c r="AZ147" i="7"/>
  <c r="AY147" i="7"/>
  <c r="AX147" i="7"/>
  <c r="AW147" i="7"/>
  <c r="AV147" i="7"/>
  <c r="AZ146" i="7"/>
  <c r="AY146" i="7"/>
  <c r="AX146" i="7"/>
  <c r="AW146" i="7"/>
  <c r="AV146" i="7"/>
  <c r="AZ145" i="7"/>
  <c r="AY145" i="7"/>
  <c r="AX145" i="7"/>
  <c r="AW145" i="7"/>
  <c r="AV145" i="7"/>
  <c r="AZ144" i="7"/>
  <c r="AY144" i="7"/>
  <c r="AX144" i="7"/>
  <c r="AW144" i="7"/>
  <c r="AV144" i="7"/>
  <c r="R36" i="3"/>
  <c r="B36" i="3"/>
  <c r="A36" i="3"/>
  <c r="S36" i="2"/>
  <c r="Q36" i="2"/>
  <c r="C36" i="2"/>
  <c r="B36" i="2"/>
  <c r="A36" i="2"/>
  <c r="D36" i="1"/>
  <c r="B36" i="1"/>
  <c r="AZ143" i="7"/>
  <c r="AY143" i="7"/>
  <c r="AX143" i="7"/>
  <c r="AW143" i="7"/>
  <c r="AV143" i="7"/>
  <c r="AZ142" i="7"/>
  <c r="AY142" i="7"/>
  <c r="AX142" i="7"/>
  <c r="AW142" i="7"/>
  <c r="AV142" i="7"/>
  <c r="AZ141" i="7"/>
  <c r="AY141" i="7"/>
  <c r="AX141" i="7"/>
  <c r="AW141" i="7"/>
  <c r="AV141" i="7"/>
  <c r="AZ140" i="7"/>
  <c r="AY140" i="7"/>
  <c r="AX140" i="7"/>
  <c r="AW140" i="7"/>
  <c r="AV140" i="7"/>
  <c r="R35" i="3"/>
  <c r="B35" i="3"/>
  <c r="A35" i="3"/>
  <c r="S35" i="2"/>
  <c r="Q35" i="2"/>
  <c r="B35" i="2"/>
  <c r="A35" i="2"/>
  <c r="D35" i="1"/>
  <c r="C35" i="2" s="1"/>
  <c r="B35" i="1"/>
  <c r="AZ139" i="7"/>
  <c r="AY139" i="7"/>
  <c r="AX139" i="7"/>
  <c r="AW139" i="7"/>
  <c r="AV139" i="7"/>
  <c r="AZ138" i="7"/>
  <c r="AY138" i="7"/>
  <c r="AX138" i="7"/>
  <c r="AW138" i="7"/>
  <c r="AV138" i="7"/>
  <c r="AZ137" i="7"/>
  <c r="AY137" i="7"/>
  <c r="AX137" i="7"/>
  <c r="AW137" i="7"/>
  <c r="AV137" i="7"/>
  <c r="AZ136" i="7"/>
  <c r="AY136" i="7"/>
  <c r="AX136" i="7"/>
  <c r="AW136" i="7"/>
  <c r="AV136" i="7"/>
  <c r="S34" i="2"/>
  <c r="Q34" i="2"/>
  <c r="R34" i="3"/>
  <c r="B34" i="3"/>
  <c r="A34" i="3"/>
  <c r="C34" i="2"/>
  <c r="B34" i="2"/>
  <c r="A34" i="2"/>
  <c r="D34" i="1"/>
  <c r="B34" i="1"/>
  <c r="AZ135" i="7"/>
  <c r="AY135" i="7"/>
  <c r="AX135" i="7"/>
  <c r="AW135" i="7"/>
  <c r="AV135" i="7"/>
  <c r="AZ134" i="7"/>
  <c r="AY134" i="7"/>
  <c r="AX134" i="7"/>
  <c r="AW134" i="7"/>
  <c r="AV134" i="7"/>
  <c r="AZ133" i="7"/>
  <c r="AY133" i="7"/>
  <c r="AX133" i="7"/>
  <c r="AW133" i="7"/>
  <c r="AV133" i="7"/>
  <c r="AZ132" i="7"/>
  <c r="AY132" i="7"/>
  <c r="AX132" i="7"/>
  <c r="AW132" i="7"/>
  <c r="AV132" i="7"/>
  <c r="W57" i="1" l="1"/>
  <c r="AC57" i="1" s="1"/>
  <c r="Y57" i="1"/>
  <c r="AE57" i="1" s="1"/>
  <c r="AS57" i="1"/>
  <c r="T57" i="1"/>
  <c r="Z57" i="1" s="1"/>
  <c r="U57" i="1"/>
  <c r="AA57" i="1" s="1"/>
  <c r="V57" i="1"/>
  <c r="AB57" i="1" s="1"/>
  <c r="AM57" i="1"/>
  <c r="X57" i="1"/>
  <c r="AD57" i="1" s="1"/>
  <c r="AO226" i="7"/>
  <c r="AN226" i="7" s="1"/>
  <c r="BC226" i="7" s="1"/>
  <c r="AO225" i="7"/>
  <c r="AN225" i="7" s="1"/>
  <c r="BC225" i="7" s="1"/>
  <c r="AO224" i="7"/>
  <c r="AN224" i="7" s="1"/>
  <c r="BC224" i="7" s="1"/>
  <c r="AO223" i="7"/>
  <c r="M56" i="1" s="1" a="1"/>
  <c r="M56" i="1" s="1"/>
  <c r="X56" i="1"/>
  <c r="AD56" i="1" s="1"/>
  <c r="AO222" i="7"/>
  <c r="AN222" i="7" s="1"/>
  <c r="BC222" i="7" s="1"/>
  <c r="AO221" i="7"/>
  <c r="AN221" i="7" s="1"/>
  <c r="BC221" i="7" s="1"/>
  <c r="AO220" i="7"/>
  <c r="AN220" i="7" s="1"/>
  <c r="BC220" i="7" s="1"/>
  <c r="AO219" i="7"/>
  <c r="AN219" i="7" s="1"/>
  <c r="BC219" i="7" s="1"/>
  <c r="A25" i="6"/>
  <c r="R33" i="3"/>
  <c r="B33" i="3"/>
  <c r="A33" i="3"/>
  <c r="B33" i="2"/>
  <c r="A33" i="2"/>
  <c r="D33" i="1"/>
  <c r="C33" i="2" s="1"/>
  <c r="B33" i="1"/>
  <c r="AZ131" i="7"/>
  <c r="AY131" i="7"/>
  <c r="AX131" i="7"/>
  <c r="AW131" i="7"/>
  <c r="AV131" i="7"/>
  <c r="AZ130" i="7"/>
  <c r="AY130" i="7"/>
  <c r="AX130" i="7"/>
  <c r="AW130" i="7"/>
  <c r="AV130" i="7"/>
  <c r="AZ129" i="7"/>
  <c r="AY129" i="7"/>
  <c r="AX129" i="7"/>
  <c r="AW129" i="7"/>
  <c r="AV129" i="7"/>
  <c r="A3" i="6"/>
  <c r="A4" i="6"/>
  <c r="A5" i="6"/>
  <c r="A6" i="6"/>
  <c r="A7" i="6"/>
  <c r="A8" i="6"/>
  <c r="A9" i="6"/>
  <c r="A10" i="6"/>
  <c r="A11" i="6"/>
  <c r="A12" i="6"/>
  <c r="A13" i="6"/>
  <c r="A14" i="6"/>
  <c r="A15" i="6"/>
  <c r="A16" i="6"/>
  <c r="A17" i="6"/>
  <c r="A18" i="6"/>
  <c r="A19" i="6"/>
  <c r="A20" i="6"/>
  <c r="A21" i="6"/>
  <c r="A22" i="6"/>
  <c r="A23" i="6"/>
  <c r="A24" i="6"/>
  <c r="A2" i="6"/>
  <c r="R32" i="3"/>
  <c r="B32" i="3"/>
  <c r="A32" i="3"/>
  <c r="C32" i="2"/>
  <c r="B32" i="2"/>
  <c r="A32" i="2"/>
  <c r="D32" i="1"/>
  <c r="B32" i="1"/>
  <c r="AZ128" i="7"/>
  <c r="AY128" i="7"/>
  <c r="AX128" i="7"/>
  <c r="AW128" i="7"/>
  <c r="AV128" i="7"/>
  <c r="AZ127" i="7"/>
  <c r="AY127" i="7"/>
  <c r="AX127" i="7"/>
  <c r="AW127" i="7"/>
  <c r="AV127" i="7"/>
  <c r="AZ126" i="7"/>
  <c r="AY126" i="7"/>
  <c r="AX126" i="7"/>
  <c r="AW126" i="7"/>
  <c r="AV126" i="7"/>
  <c r="AZ125" i="7"/>
  <c r="AY125" i="7"/>
  <c r="AX125" i="7"/>
  <c r="AW125" i="7"/>
  <c r="AV125" i="7"/>
  <c r="AZ124" i="7"/>
  <c r="AY124" i="7"/>
  <c r="AX124" i="7"/>
  <c r="AW124" i="7"/>
  <c r="AV124" i="7"/>
  <c r="AN223" i="7" l="1"/>
  <c r="AV70" i="7"/>
  <c r="AW70" i="7"/>
  <c r="AX70" i="7"/>
  <c r="AY70" i="7"/>
  <c r="AZ70" i="7"/>
  <c r="AV71" i="7"/>
  <c r="AW71" i="7"/>
  <c r="AX71" i="7"/>
  <c r="AY71" i="7"/>
  <c r="AZ71" i="7"/>
  <c r="AV72" i="7"/>
  <c r="AW72" i="7"/>
  <c r="AX72" i="7"/>
  <c r="AY72" i="7"/>
  <c r="AZ72" i="7"/>
  <c r="AV73" i="7"/>
  <c r="AW73" i="7"/>
  <c r="AX73" i="7"/>
  <c r="AY73" i="7"/>
  <c r="AZ73" i="7"/>
  <c r="AV74" i="7"/>
  <c r="AW74" i="7"/>
  <c r="AX74" i="7"/>
  <c r="AY74" i="7"/>
  <c r="AZ74" i="7"/>
  <c r="AV75" i="7"/>
  <c r="AW75" i="7"/>
  <c r="AX75" i="7"/>
  <c r="AY75" i="7"/>
  <c r="AZ75" i="7"/>
  <c r="AV76" i="7"/>
  <c r="AW76" i="7"/>
  <c r="AX76" i="7"/>
  <c r="AY76" i="7"/>
  <c r="AZ76" i="7"/>
  <c r="AV77" i="7"/>
  <c r="AW77" i="7"/>
  <c r="AX77" i="7"/>
  <c r="AY77" i="7"/>
  <c r="AZ77" i="7"/>
  <c r="AV78" i="7"/>
  <c r="AW78" i="7"/>
  <c r="AX78" i="7"/>
  <c r="AY78" i="7"/>
  <c r="AZ78" i="7"/>
  <c r="AV79" i="7"/>
  <c r="AW79" i="7"/>
  <c r="AX79" i="7"/>
  <c r="AY79" i="7"/>
  <c r="AZ79" i="7"/>
  <c r="AV80" i="7"/>
  <c r="AW80" i="7"/>
  <c r="AX80" i="7"/>
  <c r="AY80" i="7"/>
  <c r="AZ80" i="7"/>
  <c r="AV81" i="7"/>
  <c r="AW81" i="7"/>
  <c r="AX81" i="7"/>
  <c r="AY81" i="7"/>
  <c r="AZ81" i="7"/>
  <c r="AV82" i="7"/>
  <c r="AW82" i="7"/>
  <c r="AX82" i="7"/>
  <c r="AY82" i="7"/>
  <c r="AZ82" i="7"/>
  <c r="AV83" i="7"/>
  <c r="AW83" i="7"/>
  <c r="AX83" i="7"/>
  <c r="AY83" i="7"/>
  <c r="AZ83" i="7"/>
  <c r="AV84" i="7"/>
  <c r="AW84" i="7"/>
  <c r="AX84" i="7"/>
  <c r="AY84" i="7"/>
  <c r="AZ84" i="7"/>
  <c r="AV85" i="7"/>
  <c r="AW85" i="7"/>
  <c r="AX85" i="7"/>
  <c r="AY85" i="7"/>
  <c r="AZ85" i="7"/>
  <c r="AV86" i="7"/>
  <c r="AW86" i="7"/>
  <c r="AX86" i="7"/>
  <c r="AY86" i="7"/>
  <c r="AZ86" i="7"/>
  <c r="AV87" i="7"/>
  <c r="AW87" i="7"/>
  <c r="AX87" i="7"/>
  <c r="AY87" i="7"/>
  <c r="AZ87" i="7"/>
  <c r="AV88" i="7"/>
  <c r="AW88" i="7"/>
  <c r="AX88" i="7"/>
  <c r="AY88" i="7"/>
  <c r="AZ88" i="7"/>
  <c r="AV89" i="7"/>
  <c r="AW89" i="7"/>
  <c r="AX89" i="7"/>
  <c r="AY89" i="7"/>
  <c r="AZ89" i="7"/>
  <c r="AV90" i="7"/>
  <c r="AW90" i="7"/>
  <c r="AX90" i="7"/>
  <c r="AY90" i="7"/>
  <c r="AZ90" i="7"/>
  <c r="AV91" i="7"/>
  <c r="AW91" i="7"/>
  <c r="AX91" i="7"/>
  <c r="AY91" i="7"/>
  <c r="AZ91" i="7"/>
  <c r="AV92" i="7"/>
  <c r="AW92" i="7"/>
  <c r="AX92" i="7"/>
  <c r="AY92" i="7"/>
  <c r="AZ92" i="7"/>
  <c r="AV93" i="7"/>
  <c r="AW93" i="7"/>
  <c r="AX93" i="7"/>
  <c r="AY93" i="7"/>
  <c r="AZ93" i="7"/>
  <c r="AV94" i="7"/>
  <c r="AW94" i="7"/>
  <c r="AX94" i="7"/>
  <c r="AY94" i="7"/>
  <c r="AZ94" i="7"/>
  <c r="AV95" i="7"/>
  <c r="AW95" i="7"/>
  <c r="AX95" i="7"/>
  <c r="AY95" i="7"/>
  <c r="AZ95" i="7"/>
  <c r="AV96" i="7"/>
  <c r="AW96" i="7"/>
  <c r="AX96" i="7"/>
  <c r="AY96" i="7"/>
  <c r="AZ96" i="7"/>
  <c r="AV97" i="7"/>
  <c r="AW97" i="7"/>
  <c r="AX97" i="7"/>
  <c r="AY97" i="7"/>
  <c r="AZ97" i="7"/>
  <c r="AV98" i="7"/>
  <c r="AW98" i="7"/>
  <c r="AX98" i="7"/>
  <c r="AY98" i="7"/>
  <c r="AZ98" i="7"/>
  <c r="AV99" i="7"/>
  <c r="AW99" i="7"/>
  <c r="AX99" i="7"/>
  <c r="AY99" i="7"/>
  <c r="AZ99" i="7"/>
  <c r="AV100" i="7"/>
  <c r="AW100" i="7"/>
  <c r="AX100" i="7"/>
  <c r="AY100" i="7"/>
  <c r="AZ100" i="7"/>
  <c r="AV101" i="7"/>
  <c r="AW101" i="7"/>
  <c r="AX101" i="7"/>
  <c r="AY101" i="7"/>
  <c r="AZ101" i="7"/>
  <c r="AV102" i="7"/>
  <c r="AW102" i="7"/>
  <c r="AX102" i="7"/>
  <c r="AY102" i="7"/>
  <c r="AZ102" i="7"/>
  <c r="AV103" i="7"/>
  <c r="AW103" i="7"/>
  <c r="AX103" i="7"/>
  <c r="AY103" i="7"/>
  <c r="AZ103" i="7"/>
  <c r="AV104" i="7"/>
  <c r="AW104" i="7"/>
  <c r="AX104" i="7"/>
  <c r="AY104" i="7"/>
  <c r="AZ104" i="7"/>
  <c r="AV105" i="7"/>
  <c r="AW105" i="7"/>
  <c r="AX105" i="7"/>
  <c r="AY105" i="7"/>
  <c r="AZ105" i="7"/>
  <c r="AV106" i="7"/>
  <c r="AW106" i="7"/>
  <c r="AX106" i="7"/>
  <c r="AY106" i="7"/>
  <c r="AZ106" i="7"/>
  <c r="AV107" i="7"/>
  <c r="AW107" i="7"/>
  <c r="AX107" i="7"/>
  <c r="AY107" i="7"/>
  <c r="AZ107" i="7"/>
  <c r="AV108" i="7"/>
  <c r="AW108" i="7"/>
  <c r="AX108" i="7"/>
  <c r="AY108" i="7"/>
  <c r="AZ108" i="7"/>
  <c r="AV109" i="7"/>
  <c r="AW109" i="7"/>
  <c r="AX109" i="7"/>
  <c r="AY109" i="7"/>
  <c r="AZ109" i="7"/>
  <c r="AV110" i="7"/>
  <c r="AW110" i="7"/>
  <c r="AX110" i="7"/>
  <c r="AY110" i="7"/>
  <c r="AZ110" i="7"/>
  <c r="AV111" i="7"/>
  <c r="AW111" i="7"/>
  <c r="AX111" i="7"/>
  <c r="AY111" i="7"/>
  <c r="AZ111" i="7"/>
  <c r="AV112" i="7"/>
  <c r="AW112" i="7"/>
  <c r="AX112" i="7"/>
  <c r="AY112" i="7"/>
  <c r="AZ112" i="7"/>
  <c r="AV113" i="7"/>
  <c r="AW113" i="7"/>
  <c r="AX113" i="7"/>
  <c r="AY113" i="7"/>
  <c r="AZ113" i="7"/>
  <c r="AV114" i="7"/>
  <c r="AW114" i="7"/>
  <c r="AX114" i="7"/>
  <c r="AY114" i="7"/>
  <c r="AZ114" i="7"/>
  <c r="AV115" i="7"/>
  <c r="AW115" i="7"/>
  <c r="AX115" i="7"/>
  <c r="AY115" i="7"/>
  <c r="AZ115" i="7"/>
  <c r="AV116" i="7"/>
  <c r="AW116" i="7"/>
  <c r="AX116" i="7"/>
  <c r="AY116" i="7"/>
  <c r="AZ116" i="7"/>
  <c r="AV117" i="7"/>
  <c r="AW117" i="7"/>
  <c r="AX117" i="7"/>
  <c r="AY117" i="7"/>
  <c r="AZ117" i="7"/>
  <c r="AV118" i="7"/>
  <c r="AW118" i="7"/>
  <c r="AX118" i="7"/>
  <c r="AY118" i="7"/>
  <c r="AZ118" i="7"/>
  <c r="AV119" i="7"/>
  <c r="AW119" i="7"/>
  <c r="AX119" i="7"/>
  <c r="AY119" i="7"/>
  <c r="AZ119" i="7"/>
  <c r="AV120" i="7"/>
  <c r="AW120" i="7"/>
  <c r="AX120" i="7"/>
  <c r="AY120" i="7"/>
  <c r="AZ120" i="7"/>
  <c r="AV121" i="7"/>
  <c r="AW121" i="7"/>
  <c r="AX121" i="7"/>
  <c r="AY121" i="7"/>
  <c r="AZ121" i="7"/>
  <c r="AV122" i="7"/>
  <c r="AW122" i="7"/>
  <c r="AX122" i="7"/>
  <c r="AY122" i="7"/>
  <c r="AZ122" i="7"/>
  <c r="AV123" i="7"/>
  <c r="AW123" i="7"/>
  <c r="AX123" i="7"/>
  <c r="AY123" i="7"/>
  <c r="AZ123" i="7"/>
  <c r="AZ69" i="7"/>
  <c r="AY69" i="7"/>
  <c r="AX69" i="7"/>
  <c r="AW69" i="7"/>
  <c r="AV69" i="7"/>
  <c r="AZ68" i="7"/>
  <c r="AY68" i="7"/>
  <c r="AX68" i="7"/>
  <c r="AW68" i="7"/>
  <c r="AV68" i="7"/>
  <c r="AZ67" i="7"/>
  <c r="AY67" i="7"/>
  <c r="AX67" i="7"/>
  <c r="AW67" i="7"/>
  <c r="AV67" i="7"/>
  <c r="AZ66" i="7"/>
  <c r="AY66" i="7"/>
  <c r="AX66" i="7"/>
  <c r="AW66" i="7"/>
  <c r="AV66" i="7"/>
  <c r="AZ65" i="7"/>
  <c r="AY65" i="7"/>
  <c r="AX65" i="7"/>
  <c r="AW65" i="7"/>
  <c r="AV65" i="7"/>
  <c r="AZ64" i="7"/>
  <c r="AY64" i="7"/>
  <c r="AX64" i="7"/>
  <c r="AW64" i="7"/>
  <c r="AV64" i="7"/>
  <c r="AZ63" i="7"/>
  <c r="AY63" i="7"/>
  <c r="AX63" i="7"/>
  <c r="AW63" i="7"/>
  <c r="AV63" i="7"/>
  <c r="AZ62" i="7"/>
  <c r="AY62" i="7"/>
  <c r="AX62" i="7"/>
  <c r="AW62" i="7"/>
  <c r="AV62" i="7"/>
  <c r="AZ61" i="7"/>
  <c r="AY61" i="7"/>
  <c r="AX61" i="7"/>
  <c r="AW61" i="7"/>
  <c r="AV61" i="7"/>
  <c r="AZ60" i="7"/>
  <c r="AY60" i="7"/>
  <c r="AX60" i="7"/>
  <c r="AW60" i="7"/>
  <c r="AV60" i="7"/>
  <c r="AZ59" i="7"/>
  <c r="AY59" i="7"/>
  <c r="AX59" i="7"/>
  <c r="AW59" i="7"/>
  <c r="AV59" i="7"/>
  <c r="AZ58" i="7"/>
  <c r="AY58" i="7"/>
  <c r="AX58" i="7"/>
  <c r="AW58" i="7"/>
  <c r="AV58" i="7"/>
  <c r="AZ57" i="7"/>
  <c r="AY57" i="7"/>
  <c r="AX57" i="7"/>
  <c r="AW57" i="7"/>
  <c r="AV57" i="7"/>
  <c r="AZ56" i="7"/>
  <c r="AY56" i="7"/>
  <c r="AX56" i="7"/>
  <c r="AW56" i="7"/>
  <c r="AV56" i="7"/>
  <c r="AZ55" i="7"/>
  <c r="AY55" i="7"/>
  <c r="AX55" i="7"/>
  <c r="AW55" i="7"/>
  <c r="AV55" i="7"/>
  <c r="AZ54" i="7"/>
  <c r="AY54" i="7"/>
  <c r="AX54" i="7"/>
  <c r="AW54" i="7"/>
  <c r="AV54" i="7"/>
  <c r="AZ53" i="7"/>
  <c r="AY53" i="7"/>
  <c r="AX53" i="7"/>
  <c r="AW53" i="7"/>
  <c r="AV53" i="7"/>
  <c r="AZ52" i="7"/>
  <c r="AY52" i="7"/>
  <c r="AX52" i="7"/>
  <c r="AW52" i="7"/>
  <c r="AV52" i="7"/>
  <c r="AZ51" i="7"/>
  <c r="AY51" i="7"/>
  <c r="AX51" i="7"/>
  <c r="AW51" i="7"/>
  <c r="AV51" i="7"/>
  <c r="AZ50" i="7"/>
  <c r="AY50" i="7"/>
  <c r="AX50" i="7"/>
  <c r="AW50" i="7"/>
  <c r="AV50" i="7"/>
  <c r="AZ49" i="7"/>
  <c r="AY49" i="7"/>
  <c r="AX49" i="7"/>
  <c r="AW49" i="7"/>
  <c r="AV49" i="7"/>
  <c r="AZ48" i="7"/>
  <c r="AY48" i="7"/>
  <c r="AX48" i="7"/>
  <c r="AW48" i="7"/>
  <c r="AV48" i="7"/>
  <c r="AZ47" i="7"/>
  <c r="AY47" i="7"/>
  <c r="AX47" i="7"/>
  <c r="AW47" i="7"/>
  <c r="AV47" i="7"/>
  <c r="AZ46" i="7"/>
  <c r="AY46" i="7"/>
  <c r="AX46" i="7"/>
  <c r="AW46" i="7"/>
  <c r="AV46" i="7"/>
  <c r="AZ45" i="7"/>
  <c r="AY45" i="7"/>
  <c r="AX45" i="7"/>
  <c r="AW45" i="7"/>
  <c r="AV45" i="7"/>
  <c r="AZ44" i="7"/>
  <c r="AY44" i="7"/>
  <c r="AX44" i="7"/>
  <c r="AW44" i="7"/>
  <c r="AV44" i="7"/>
  <c r="AZ43" i="7"/>
  <c r="AY43" i="7"/>
  <c r="AX43" i="7"/>
  <c r="AW43" i="7"/>
  <c r="AV43" i="7"/>
  <c r="AZ42" i="7"/>
  <c r="AY42" i="7"/>
  <c r="AX42" i="7"/>
  <c r="AW42" i="7"/>
  <c r="AV42" i="7"/>
  <c r="AZ41" i="7"/>
  <c r="AY41" i="7"/>
  <c r="AX41" i="7"/>
  <c r="AW41" i="7"/>
  <c r="AV41" i="7"/>
  <c r="AZ40" i="7"/>
  <c r="AY40" i="7"/>
  <c r="AX40" i="7"/>
  <c r="AW40" i="7"/>
  <c r="AV40" i="7"/>
  <c r="AZ39" i="7"/>
  <c r="AY39" i="7"/>
  <c r="AX39" i="7"/>
  <c r="AW39" i="7"/>
  <c r="AV39" i="7"/>
  <c r="AZ38" i="7"/>
  <c r="AY38" i="7"/>
  <c r="AX38" i="7"/>
  <c r="AW38" i="7"/>
  <c r="AV38" i="7"/>
  <c r="AZ37" i="7"/>
  <c r="AY37" i="7"/>
  <c r="AX37" i="7"/>
  <c r="AW37" i="7"/>
  <c r="AV37" i="7"/>
  <c r="AZ36" i="7"/>
  <c r="AY36" i="7"/>
  <c r="AX36" i="7"/>
  <c r="AW36" i="7"/>
  <c r="AV36" i="7"/>
  <c r="AZ35" i="7"/>
  <c r="AY35" i="7"/>
  <c r="AX35" i="7"/>
  <c r="AW35" i="7"/>
  <c r="AV35" i="7"/>
  <c r="AZ34" i="7"/>
  <c r="AY34" i="7"/>
  <c r="AX34" i="7"/>
  <c r="AW34" i="7"/>
  <c r="AV34" i="7"/>
  <c r="AZ33" i="7"/>
  <c r="AY33" i="7"/>
  <c r="AX33" i="7"/>
  <c r="AW33" i="7"/>
  <c r="AV33" i="7"/>
  <c r="AZ32" i="7"/>
  <c r="AY32" i="7"/>
  <c r="AX32" i="7"/>
  <c r="AW32" i="7"/>
  <c r="AV32" i="7"/>
  <c r="AZ31" i="7"/>
  <c r="AY31" i="7"/>
  <c r="AX31" i="7"/>
  <c r="AW31" i="7"/>
  <c r="AV31" i="7"/>
  <c r="AZ30" i="7"/>
  <c r="AY30" i="7"/>
  <c r="AX30" i="7"/>
  <c r="AW30" i="7"/>
  <c r="AV30" i="7"/>
  <c r="AZ29" i="7"/>
  <c r="AY29" i="7"/>
  <c r="AX29" i="7"/>
  <c r="AW29" i="7"/>
  <c r="AV29" i="7"/>
  <c r="AZ28" i="7"/>
  <c r="AY28" i="7"/>
  <c r="AX28" i="7"/>
  <c r="AW28" i="7"/>
  <c r="AV28" i="7"/>
  <c r="AZ27" i="7"/>
  <c r="AY27" i="7"/>
  <c r="AX27" i="7"/>
  <c r="AW27" i="7"/>
  <c r="AV27" i="7"/>
  <c r="AZ26" i="7"/>
  <c r="AY26" i="7"/>
  <c r="AX26" i="7"/>
  <c r="AW26" i="7"/>
  <c r="AV26" i="7"/>
  <c r="AZ25" i="7"/>
  <c r="AY25" i="7"/>
  <c r="AX25" i="7"/>
  <c r="AW25" i="7"/>
  <c r="AV25" i="7"/>
  <c r="AZ24" i="7"/>
  <c r="AY24" i="7"/>
  <c r="AX24" i="7"/>
  <c r="AW24" i="7"/>
  <c r="AV24" i="7"/>
  <c r="AZ23" i="7"/>
  <c r="AY23" i="7"/>
  <c r="AX23" i="7"/>
  <c r="AW23" i="7"/>
  <c r="AV23" i="7"/>
  <c r="AZ22" i="7"/>
  <c r="AY22" i="7"/>
  <c r="AX22" i="7"/>
  <c r="AW22" i="7"/>
  <c r="AV22" i="7"/>
  <c r="AZ21" i="7"/>
  <c r="AY21" i="7"/>
  <c r="AX21" i="7"/>
  <c r="AW21" i="7"/>
  <c r="AV21" i="7"/>
  <c r="AZ20" i="7"/>
  <c r="AY20" i="7"/>
  <c r="AX20" i="7"/>
  <c r="AW20" i="7"/>
  <c r="AV20" i="7"/>
  <c r="AZ19" i="7"/>
  <c r="AY19" i="7"/>
  <c r="AX19" i="7"/>
  <c r="AW19" i="7"/>
  <c r="AV19" i="7"/>
  <c r="AZ18" i="7"/>
  <c r="AY18" i="7"/>
  <c r="AX18" i="7"/>
  <c r="AW18" i="7"/>
  <c r="AV18" i="7"/>
  <c r="AZ17" i="7"/>
  <c r="AY17" i="7"/>
  <c r="AX17" i="7"/>
  <c r="AW17" i="7"/>
  <c r="AV17" i="7"/>
  <c r="AZ16" i="7"/>
  <c r="AY16" i="7"/>
  <c r="AX16" i="7"/>
  <c r="AW16" i="7"/>
  <c r="AV16" i="7"/>
  <c r="AZ15" i="7"/>
  <c r="AY15" i="7"/>
  <c r="AX15" i="7"/>
  <c r="AW15" i="7"/>
  <c r="AV15" i="7"/>
  <c r="AZ14" i="7"/>
  <c r="AY14" i="7"/>
  <c r="AX14" i="7"/>
  <c r="AW14" i="7"/>
  <c r="AV14" i="7"/>
  <c r="AW12" i="7"/>
  <c r="AR10" i="7"/>
  <c r="AQ10" i="7"/>
  <c r="AO5" i="7" s="1"/>
  <c r="AO4" i="7"/>
  <c r="AO3" i="7"/>
  <c r="AT1" i="7"/>
  <c r="D31" i="1"/>
  <c r="C31" i="2" s="1"/>
  <c r="R31" i="3"/>
  <c r="B31" i="3"/>
  <c r="B31" i="2"/>
  <c r="B31" i="1"/>
  <c r="A31" i="3" s="1"/>
  <c r="R30" i="3"/>
  <c r="B30" i="3"/>
  <c r="B30" i="2"/>
  <c r="D30" i="1"/>
  <c r="C30" i="2" s="1"/>
  <c r="B30" i="1"/>
  <c r="A30" i="2" s="1"/>
  <c r="R29" i="3"/>
  <c r="B29" i="3"/>
  <c r="B29" i="2"/>
  <c r="A29" i="2"/>
  <c r="D29" i="1"/>
  <c r="C29" i="2" s="1"/>
  <c r="B29" i="1"/>
  <c r="A29" i="3" s="1"/>
  <c r="R28" i="3"/>
  <c r="B28" i="3"/>
  <c r="B28" i="2"/>
  <c r="D28" i="1"/>
  <c r="C28" i="2" s="1"/>
  <c r="B28" i="1"/>
  <c r="A28" i="2" s="1"/>
  <c r="R27" i="3"/>
  <c r="B27" i="3"/>
  <c r="B27" i="2"/>
  <c r="D27" i="1"/>
  <c r="C27" i="2" s="1"/>
  <c r="B27" i="1"/>
  <c r="A27" i="3" s="1"/>
  <c r="R26" i="3"/>
  <c r="B26" i="3"/>
  <c r="B26" i="2"/>
  <c r="B20" i="1"/>
  <c r="A20" i="2" s="1"/>
  <c r="B21" i="1"/>
  <c r="A21" i="3" s="1"/>
  <c r="B22" i="1"/>
  <c r="A22" i="2" s="1"/>
  <c r="B23" i="1"/>
  <c r="A23" i="3" s="1"/>
  <c r="B24" i="1"/>
  <c r="A24" i="2" s="1"/>
  <c r="B25" i="1"/>
  <c r="A25" i="3" s="1"/>
  <c r="B26" i="1"/>
  <c r="A26" i="3" s="1"/>
  <c r="D26" i="1"/>
  <c r="C26" i="2" s="1"/>
  <c r="B25" i="3"/>
  <c r="R25" i="3"/>
  <c r="B25" i="2"/>
  <c r="D25" i="1"/>
  <c r="C25" i="2" s="1"/>
  <c r="R24" i="3"/>
  <c r="B24" i="3"/>
  <c r="B24" i="2"/>
  <c r="D24" i="1"/>
  <c r="C24" i="2" s="1"/>
  <c r="R23" i="3"/>
  <c r="B23" i="3"/>
  <c r="B23" i="2"/>
  <c r="D18" i="1"/>
  <c r="C18" i="2" s="1"/>
  <c r="D19" i="1"/>
  <c r="C19" i="2" s="1"/>
  <c r="D20" i="1"/>
  <c r="C20" i="2" s="1"/>
  <c r="D21" i="1"/>
  <c r="C21" i="2" s="1"/>
  <c r="D22" i="1"/>
  <c r="C22" i="2" s="1"/>
  <c r="D23" i="1"/>
  <c r="C23" i="2" s="1"/>
  <c r="R22" i="3"/>
  <c r="B22" i="3"/>
  <c r="A22" i="3"/>
  <c r="B22" i="2"/>
  <c r="B21" i="3"/>
  <c r="R21" i="3"/>
  <c r="B21" i="2"/>
  <c r="R20" i="3"/>
  <c r="B20" i="3"/>
  <c r="A20" i="3"/>
  <c r="B20" i="2"/>
  <c r="R19" i="3"/>
  <c r="B19" i="3"/>
  <c r="B19" i="2"/>
  <c r="B19" i="1"/>
  <c r="A19" i="3" s="1"/>
  <c r="B18" i="3"/>
  <c r="R18" i="3"/>
  <c r="B18" i="2"/>
  <c r="B18" i="1"/>
  <c r="A18" i="2" s="1"/>
  <c r="R17" i="3"/>
  <c r="B17" i="3"/>
  <c r="B17" i="2"/>
  <c r="A17" i="2"/>
  <c r="D17" i="1"/>
  <c r="C17" i="2" s="1"/>
  <c r="B17" i="1"/>
  <c r="A17" i="3" s="1"/>
  <c r="R16" i="3"/>
  <c r="B16" i="3"/>
  <c r="B16" i="2"/>
  <c r="D16" i="1"/>
  <c r="C16" i="2" s="1"/>
  <c r="B16" i="1"/>
  <c r="A16" i="3" s="1"/>
  <c r="R15" i="3"/>
  <c r="B15" i="3"/>
  <c r="B15" i="2"/>
  <c r="D15" i="1"/>
  <c r="C15" i="2" s="1"/>
  <c r="B15" i="1"/>
  <c r="A15" i="3" s="1"/>
  <c r="B14" i="3"/>
  <c r="R14" i="3"/>
  <c r="B14" i="2"/>
  <c r="D14" i="1"/>
  <c r="C14" i="2" s="1"/>
  <c r="B14" i="1"/>
  <c r="A14" i="2" s="1"/>
  <c r="R13" i="3"/>
  <c r="B13" i="3"/>
  <c r="B13" i="2"/>
  <c r="D13" i="1"/>
  <c r="C13" i="2" s="1"/>
  <c r="B13" i="1"/>
  <c r="A13" i="3" s="1"/>
  <c r="BC223" i="7" l="1"/>
  <c r="L56" i="1" a="1"/>
  <c r="L56" i="1" s="1"/>
  <c r="K56" i="1" a="1"/>
  <c r="K56" i="1" s="1"/>
  <c r="J56" i="1" a="1"/>
  <c r="J56" i="1" s="1"/>
  <c r="I56" i="1" a="1"/>
  <c r="I56" i="1" s="1"/>
  <c r="H56" i="1" a="1"/>
  <c r="H56" i="1" s="1"/>
  <c r="G56" i="1" a="1"/>
  <c r="G56" i="1" s="1"/>
  <c r="F56" i="1" a="1"/>
  <c r="F56" i="1" s="1"/>
  <c r="E56" i="1" a="1"/>
  <c r="E56" i="1" s="1"/>
  <c r="Y56" i="1" s="1"/>
  <c r="O52" i="1" a="1"/>
  <c r="O52" i="1" s="1"/>
  <c r="AQ52" i="1" s="1"/>
  <c r="P49" i="1" a="1"/>
  <c r="P49" i="1" s="1"/>
  <c r="R46" i="1" a="1"/>
  <c r="R46" i="1" s="1"/>
  <c r="N45" i="1" a="1"/>
  <c r="N45" i="1" s="1"/>
  <c r="P42" i="1" a="1"/>
  <c r="P42" i="1" s="1"/>
  <c r="P40" i="1" a="1"/>
  <c r="P40" i="1" s="1"/>
  <c r="N52" i="1" a="1"/>
  <c r="N52" i="1" s="1"/>
  <c r="O49" i="1" a="1"/>
  <c r="O49" i="1" s="1"/>
  <c r="AQ49" i="1" s="1"/>
  <c r="Q46" i="1" a="1"/>
  <c r="Q46" i="1" s="1"/>
  <c r="O42" i="1" a="1"/>
  <c r="O42" i="1" s="1"/>
  <c r="AQ42" i="1" s="1"/>
  <c r="O40" i="1" a="1"/>
  <c r="O40" i="1" s="1"/>
  <c r="AQ40" i="1" s="1"/>
  <c r="P46" i="1" a="1"/>
  <c r="P46" i="1" s="1"/>
  <c r="S50" i="1" a="1"/>
  <c r="S50" i="1" s="1"/>
  <c r="N49" i="1" a="1"/>
  <c r="N49" i="1" s="1"/>
  <c r="N40" i="1" a="1"/>
  <c r="N40" i="1" s="1"/>
  <c r="R50" i="1" a="1"/>
  <c r="R50" i="1" s="1"/>
  <c r="S47" i="1" a="1"/>
  <c r="S47" i="1" s="1"/>
  <c r="O46" i="1" a="1"/>
  <c r="O46" i="1" s="1"/>
  <c r="AQ46" i="1" s="1"/>
  <c r="R43" i="1" a="1"/>
  <c r="R43" i="1" s="1"/>
  <c r="R38" i="1" a="1"/>
  <c r="R38" i="1" s="1"/>
  <c r="S44" i="1" a="1"/>
  <c r="S44" i="1" s="1"/>
  <c r="P38" i="1" a="1"/>
  <c r="P38" i="1" s="1"/>
  <c r="Q41" i="1" a="1"/>
  <c r="Q41" i="1" s="1"/>
  <c r="N42" i="1" a="1"/>
  <c r="N42" i="1" s="1"/>
  <c r="Q50" i="1" a="1"/>
  <c r="Q50" i="1" s="1"/>
  <c r="R47" i="1" a="1"/>
  <c r="R47" i="1" s="1"/>
  <c r="N46" i="1" a="1"/>
  <c r="N46" i="1" s="1"/>
  <c r="Q43" i="1" a="1"/>
  <c r="Q43" i="1" s="1"/>
  <c r="O43" i="1" a="1"/>
  <c r="O43" i="1" s="1"/>
  <c r="AQ43" i="1" s="1"/>
  <c r="N38" i="1" a="1"/>
  <c r="N38" i="1" s="1"/>
  <c r="S53" i="1" a="1"/>
  <c r="S53" i="1" s="1"/>
  <c r="P50" i="1" a="1"/>
  <c r="P50" i="1" s="1"/>
  <c r="Q47" i="1" a="1"/>
  <c r="Q47" i="1" s="1"/>
  <c r="P43" i="1" a="1"/>
  <c r="P43" i="1" s="1"/>
  <c r="Q38" i="1" a="1"/>
  <c r="Q38" i="1" s="1"/>
  <c r="N43" i="1" a="1"/>
  <c r="N43" i="1" s="1"/>
  <c r="R53" i="1" a="1"/>
  <c r="R53" i="1" s="1"/>
  <c r="O50" i="1" a="1"/>
  <c r="O50" i="1" s="1"/>
  <c r="AQ50" i="1" s="1"/>
  <c r="P47" i="1" a="1"/>
  <c r="P47" i="1" s="1"/>
  <c r="S39" i="1" a="1"/>
  <c r="S39" i="1" s="1"/>
  <c r="Q39" i="1" a="1"/>
  <c r="Q39" i="1" s="1"/>
  <c r="Q40" i="1" a="1"/>
  <c r="Q40" i="1" s="1"/>
  <c r="Q53" i="1" a="1"/>
  <c r="Q53" i="1" s="1"/>
  <c r="S51" i="1" a="1"/>
  <c r="S51" i="1" s="1"/>
  <c r="N50" i="1" a="1"/>
  <c r="N50" i="1" s="1"/>
  <c r="O47" i="1" a="1"/>
  <c r="O47" i="1" s="1"/>
  <c r="AQ47" i="1" s="1"/>
  <c r="R44" i="1" a="1"/>
  <c r="R44" i="1" s="1"/>
  <c r="O38" i="1" a="1"/>
  <c r="O38" i="1" s="1"/>
  <c r="AQ38" i="1" s="1"/>
  <c r="O39" i="1" a="1"/>
  <c r="O39" i="1" s="1"/>
  <c r="AQ39" i="1" s="1"/>
  <c r="R55" i="1" a="1"/>
  <c r="R55" i="1" s="1"/>
  <c r="P53" i="1" a="1"/>
  <c r="P53" i="1" s="1"/>
  <c r="R51" i="1" a="1"/>
  <c r="R51" i="1" s="1"/>
  <c r="S48" i="1" a="1"/>
  <c r="S48" i="1" s="1"/>
  <c r="N47" i="1" a="1"/>
  <c r="N47" i="1" s="1"/>
  <c r="Q44" i="1" a="1"/>
  <c r="Q44" i="1" s="1"/>
  <c r="R41" i="1" a="1"/>
  <c r="R41" i="1" s="1"/>
  <c r="S40" i="1" a="1"/>
  <c r="S40" i="1" s="1"/>
  <c r="Q55" i="1" a="1"/>
  <c r="Q55" i="1" s="1"/>
  <c r="O53" i="1" a="1"/>
  <c r="O53" i="1" s="1"/>
  <c r="AQ53" i="1" s="1"/>
  <c r="Q51" i="1" a="1"/>
  <c r="Q51" i="1" s="1"/>
  <c r="R48" i="1" a="1"/>
  <c r="R48" i="1" s="1"/>
  <c r="P44" i="1" a="1"/>
  <c r="P44" i="1" s="1"/>
  <c r="S41" i="1" a="1"/>
  <c r="S41" i="1" s="1"/>
  <c r="R39" i="1" a="1"/>
  <c r="R39" i="1" s="1"/>
  <c r="P41" i="1" a="1"/>
  <c r="P41" i="1" s="1"/>
  <c r="P55" i="1" a="1"/>
  <c r="P55" i="1" s="1"/>
  <c r="N53" i="1" a="1"/>
  <c r="N53" i="1" s="1"/>
  <c r="P51" i="1" a="1"/>
  <c r="P51" i="1" s="1"/>
  <c r="Q48" i="1" a="1"/>
  <c r="Q48" i="1" s="1"/>
  <c r="O44" i="1" a="1"/>
  <c r="O44" i="1" s="1"/>
  <c r="AQ44" i="1" s="1"/>
  <c r="P39" i="1" a="1"/>
  <c r="P39" i="1" s="1"/>
  <c r="O55" i="1" a="1"/>
  <c r="O55" i="1" s="1"/>
  <c r="AQ55" i="1" s="1"/>
  <c r="R54" i="1" a="1"/>
  <c r="R54" i="1" s="1"/>
  <c r="O51" i="1" a="1"/>
  <c r="O51" i="1" s="1"/>
  <c r="AQ51" i="1" s="1"/>
  <c r="P48" i="1" a="1"/>
  <c r="P48" i="1" s="1"/>
  <c r="S45" i="1" a="1"/>
  <c r="S45" i="1" s="1"/>
  <c r="N44" i="1" a="1"/>
  <c r="N44" i="1" s="1"/>
  <c r="N39" i="1" a="1"/>
  <c r="N39" i="1" s="1"/>
  <c r="N55" i="1" a="1"/>
  <c r="N55" i="1" s="1"/>
  <c r="Q54" i="1" a="1"/>
  <c r="Q54" i="1" s="1"/>
  <c r="S52" i="1" a="1"/>
  <c r="S52" i="1" s="1"/>
  <c r="N51" i="1" a="1"/>
  <c r="N51" i="1" s="1"/>
  <c r="O48" i="1" a="1"/>
  <c r="O48" i="1" s="1"/>
  <c r="AQ48" i="1" s="1"/>
  <c r="R45" i="1" a="1"/>
  <c r="R45" i="1" s="1"/>
  <c r="S43" i="1" a="1"/>
  <c r="S43" i="1" s="1"/>
  <c r="P54" i="1" a="1"/>
  <c r="P54" i="1" s="1"/>
  <c r="R52" i="1" a="1"/>
  <c r="R52" i="1" s="1"/>
  <c r="S49" i="1" a="1"/>
  <c r="S49" i="1" s="1"/>
  <c r="N48" i="1" a="1"/>
  <c r="N48" i="1" s="1"/>
  <c r="Q45" i="1" a="1"/>
  <c r="Q45" i="1" s="1"/>
  <c r="S42" i="1" a="1"/>
  <c r="S42" i="1" s="1"/>
  <c r="O41" i="1" a="1"/>
  <c r="O41" i="1" s="1"/>
  <c r="AQ41" i="1" s="1"/>
  <c r="O54" i="1" a="1"/>
  <c r="O54" i="1" s="1"/>
  <c r="AQ54" i="1" s="1"/>
  <c r="Q52" i="1" a="1"/>
  <c r="Q52" i="1" s="1"/>
  <c r="R49" i="1" a="1"/>
  <c r="R49" i="1" s="1"/>
  <c r="P45" i="1" a="1"/>
  <c r="P45" i="1" s="1"/>
  <c r="R42" i="1" a="1"/>
  <c r="R42" i="1" s="1"/>
  <c r="N41" i="1" a="1"/>
  <c r="N41" i="1" s="1"/>
  <c r="R40" i="1" a="1"/>
  <c r="R40" i="1" s="1"/>
  <c r="N54" i="1" a="1"/>
  <c r="N54" i="1" s="1"/>
  <c r="P52" i="1" a="1"/>
  <c r="P52" i="1" s="1"/>
  <c r="Q49" i="1" a="1"/>
  <c r="Q49" i="1" s="1"/>
  <c r="S46" i="1" a="1"/>
  <c r="S46" i="1" s="1"/>
  <c r="O45" i="1" a="1"/>
  <c r="O45" i="1" s="1"/>
  <c r="AQ45" i="1" s="1"/>
  <c r="Q42" i="1" a="1"/>
  <c r="Q42" i="1" s="1"/>
  <c r="S55" i="1" a="1"/>
  <c r="S55" i="1" s="1"/>
  <c r="S38" i="1" a="1"/>
  <c r="S38" i="1" s="1"/>
  <c r="S54" i="1" a="1"/>
  <c r="S54" i="1" s="1"/>
  <c r="N33" i="1" a="1"/>
  <c r="N33" i="1" s="1"/>
  <c r="R32" i="1" a="1"/>
  <c r="R32" i="1" s="1"/>
  <c r="Q32" i="1" a="1"/>
  <c r="Q32" i="1" s="1"/>
  <c r="P32" i="1" a="1"/>
  <c r="P32" i="1" s="1"/>
  <c r="S32" i="1" a="1"/>
  <c r="S32" i="1" s="1"/>
  <c r="O32" i="1" a="1"/>
  <c r="O32" i="1" s="1"/>
  <c r="O33" i="1" a="1"/>
  <c r="O33" i="1" s="1"/>
  <c r="AQ33" i="1" s="1"/>
  <c r="Q33" i="1" a="1"/>
  <c r="Q33" i="1" s="1"/>
  <c r="P33" i="1" a="1"/>
  <c r="P33" i="1" s="1"/>
  <c r="N32" i="1" a="1"/>
  <c r="N32" i="1" s="1"/>
  <c r="S33" i="1" a="1"/>
  <c r="S33" i="1" s="1"/>
  <c r="R33" i="1" a="1"/>
  <c r="R33" i="1" s="1"/>
  <c r="Q37" i="1" a="1"/>
  <c r="Q37" i="1" s="1"/>
  <c r="R34" i="1" a="1"/>
  <c r="R34" i="1" s="1"/>
  <c r="O37" i="1" a="1"/>
  <c r="O37" i="1" s="1"/>
  <c r="AQ37" i="1" s="1"/>
  <c r="O35" i="1" a="1"/>
  <c r="O35" i="1" s="1"/>
  <c r="AQ35" i="1" s="1"/>
  <c r="R36" i="1" a="1"/>
  <c r="R36" i="1" s="1"/>
  <c r="S36" i="1" a="1"/>
  <c r="S36" i="1" s="1"/>
  <c r="P34" i="1" a="1"/>
  <c r="P34" i="1" s="1"/>
  <c r="S37" i="1" a="1"/>
  <c r="S37" i="1" s="1"/>
  <c r="Q36" i="1" a="1"/>
  <c r="Q36" i="1" s="1"/>
  <c r="S35" i="1" a="1"/>
  <c r="S35" i="1" s="1"/>
  <c r="P36" i="1" a="1"/>
  <c r="P36" i="1" s="1"/>
  <c r="Q35" i="1" a="1"/>
  <c r="Q35" i="1" s="1"/>
  <c r="P35" i="1" a="1"/>
  <c r="P35" i="1" s="1"/>
  <c r="N36" i="1" a="1"/>
  <c r="N36" i="1" s="1"/>
  <c r="N37" i="1" a="1"/>
  <c r="N37" i="1" s="1"/>
  <c r="O34" i="1" a="1"/>
  <c r="O34" i="1" s="1"/>
  <c r="AQ34" i="1" s="1"/>
  <c r="O36" i="1" a="1"/>
  <c r="O36" i="1" s="1"/>
  <c r="AQ36" i="1" s="1"/>
  <c r="S34" i="1" a="1"/>
  <c r="S34" i="1" s="1"/>
  <c r="P37" i="1" a="1"/>
  <c r="P37" i="1" s="1"/>
  <c r="N35" i="1" a="1"/>
  <c r="N35" i="1" s="1"/>
  <c r="R37" i="1" a="1"/>
  <c r="R37" i="1" s="1"/>
  <c r="R35" i="1" a="1"/>
  <c r="R35" i="1" s="1"/>
  <c r="N34" i="1" a="1"/>
  <c r="N34" i="1" s="1"/>
  <c r="Q34" i="1" a="1"/>
  <c r="Q34" i="1" s="1"/>
  <c r="AM208" i="7"/>
  <c r="BB208" i="7" s="1"/>
  <c r="AM205" i="7"/>
  <c r="BB205" i="7" s="1"/>
  <c r="AL198" i="7"/>
  <c r="AL191" i="7"/>
  <c r="AM186" i="7"/>
  <c r="BB186" i="7" s="1"/>
  <c r="AL177" i="7"/>
  <c r="AL170" i="7"/>
  <c r="AL163" i="7"/>
  <c r="AL208" i="7"/>
  <c r="AL205" i="7"/>
  <c r="AM193" i="7"/>
  <c r="BB193" i="7" s="1"/>
  <c r="AL186" i="7"/>
  <c r="AM179" i="7"/>
  <c r="BB179" i="7" s="1"/>
  <c r="AM172" i="7"/>
  <c r="BB172" i="7" s="1"/>
  <c r="AM165" i="7"/>
  <c r="BB165" i="7" s="1"/>
  <c r="AM158" i="7"/>
  <c r="BB158" i="7" s="1"/>
  <c r="AL151" i="7"/>
  <c r="AL140" i="7"/>
  <c r="AL139" i="7"/>
  <c r="AL193" i="7"/>
  <c r="AM216" i="7"/>
  <c r="BB216" i="7" s="1"/>
  <c r="AM210" i="7"/>
  <c r="BB210" i="7" s="1"/>
  <c r="AM200" i="7"/>
  <c r="BB200" i="7" s="1"/>
  <c r="AL165" i="7"/>
  <c r="AL216" i="7"/>
  <c r="AL210" i="7"/>
  <c r="AL200" i="7"/>
  <c r="AM188" i="7"/>
  <c r="BB188" i="7" s="1"/>
  <c r="AM181" i="7"/>
  <c r="BB181" i="7" s="1"/>
  <c r="AM174" i="7"/>
  <c r="BB174" i="7" s="1"/>
  <c r="AM153" i="7"/>
  <c r="BB153" i="7" s="1"/>
  <c r="AM145" i="7"/>
  <c r="BB145" i="7" s="1"/>
  <c r="AL142" i="7"/>
  <c r="AM167" i="7"/>
  <c r="BB167" i="7" s="1"/>
  <c r="AM160" i="7"/>
  <c r="BB160" i="7" s="1"/>
  <c r="AL153" i="7"/>
  <c r="AL145" i="7"/>
  <c r="AM133" i="7"/>
  <c r="BB133" i="7" s="1"/>
  <c r="AM148" i="7"/>
  <c r="BB148" i="7" s="1"/>
  <c r="AM147" i="7"/>
  <c r="BB147" i="7" s="1"/>
  <c r="AM136" i="7"/>
  <c r="BB136" i="7" s="1"/>
  <c r="AL133" i="7"/>
  <c r="AL183" i="7"/>
  <c r="AM176" i="7"/>
  <c r="BB176" i="7" s="1"/>
  <c r="AM169" i="7"/>
  <c r="BB169" i="7" s="1"/>
  <c r="AM162" i="7"/>
  <c r="BB162" i="7" s="1"/>
  <c r="AL155" i="7"/>
  <c r="AM152" i="7"/>
  <c r="BB152" i="7" s="1"/>
  <c r="AM144" i="7"/>
  <c r="BB144" i="7" s="1"/>
  <c r="AL141" i="7"/>
  <c r="AL173" i="7"/>
  <c r="AL166" i="7"/>
  <c r="AM156" i="7"/>
  <c r="BB156" i="7" s="1"/>
  <c r="AL149" i="7"/>
  <c r="AL137" i="7"/>
  <c r="AL156" i="7"/>
  <c r="AM151" i="7"/>
  <c r="BB151" i="7" s="1"/>
  <c r="AM140" i="7"/>
  <c r="BB140" i="7" s="1"/>
  <c r="AM139" i="7"/>
  <c r="BB139" i="7" s="1"/>
  <c r="AL172" i="7"/>
  <c r="AM218" i="7"/>
  <c r="BB218" i="7" s="1"/>
  <c r="AM202" i="7"/>
  <c r="BB202" i="7" s="1"/>
  <c r="AM195" i="7"/>
  <c r="BB195" i="7" s="1"/>
  <c r="AL188" i="7"/>
  <c r="AL181" i="7"/>
  <c r="AL174" i="7"/>
  <c r="AL218" i="7"/>
  <c r="AM212" i="7"/>
  <c r="BB212" i="7" s="1"/>
  <c r="AL202" i="7"/>
  <c r="AL195" i="7"/>
  <c r="AM190" i="7"/>
  <c r="BB190" i="7" s="1"/>
  <c r="AM183" i="7"/>
  <c r="BB183" i="7" s="1"/>
  <c r="AL167" i="7"/>
  <c r="AL160" i="7"/>
  <c r="AM155" i="7"/>
  <c r="BB155" i="7" s="1"/>
  <c r="AL148" i="7"/>
  <c r="AL147" i="7"/>
  <c r="AL136" i="7"/>
  <c r="AM135" i="7"/>
  <c r="BB135" i="7" s="1"/>
  <c r="AL152" i="7"/>
  <c r="AL158" i="7"/>
  <c r="AM142" i="7"/>
  <c r="BB142" i="7" s="1"/>
  <c r="AL212" i="7"/>
  <c r="AM197" i="7"/>
  <c r="BB197" i="7" s="1"/>
  <c r="AL190" i="7"/>
  <c r="AM150" i="7"/>
  <c r="BB150" i="7" s="1"/>
  <c r="AM138" i="7"/>
  <c r="BB138" i="7" s="1"/>
  <c r="AL135" i="7"/>
  <c r="AM171" i="7"/>
  <c r="BB171" i="7" s="1"/>
  <c r="AM164" i="7"/>
  <c r="BB164" i="7" s="1"/>
  <c r="AM157" i="7"/>
  <c r="BB157" i="7" s="1"/>
  <c r="AM159" i="7"/>
  <c r="BB159" i="7" s="1"/>
  <c r="AL154" i="7"/>
  <c r="AL146" i="7"/>
  <c r="AM134" i="7"/>
  <c r="BB134" i="7" s="1"/>
  <c r="AM149" i="7"/>
  <c r="BB149" i="7" s="1"/>
  <c r="AM137" i="7"/>
  <c r="BB137" i="7" s="1"/>
  <c r="AL134" i="7"/>
  <c r="AM163" i="7"/>
  <c r="BB163" i="7" s="1"/>
  <c r="AM214" i="7"/>
  <c r="BB214" i="7" s="1"/>
  <c r="AM207" i="7"/>
  <c r="BB207" i="7" s="1"/>
  <c r="AM204" i="7"/>
  <c r="BB204" i="7" s="1"/>
  <c r="AL197" i="7"/>
  <c r="AM185" i="7"/>
  <c r="BB185" i="7" s="1"/>
  <c r="AL176" i="7"/>
  <c r="AL169" i="7"/>
  <c r="AL162" i="7"/>
  <c r="AL214" i="7"/>
  <c r="AL207" i="7"/>
  <c r="AL204" i="7"/>
  <c r="AM192" i="7"/>
  <c r="BB192" i="7" s="1"/>
  <c r="AL185" i="7"/>
  <c r="AM178" i="7"/>
  <c r="BB178" i="7" s="1"/>
  <c r="AL150" i="7"/>
  <c r="AL138" i="7"/>
  <c r="AM141" i="7"/>
  <c r="BB141" i="7" s="1"/>
  <c r="AM173" i="7"/>
  <c r="BB173" i="7" s="1"/>
  <c r="AM166" i="7"/>
  <c r="BB166" i="7" s="1"/>
  <c r="AM154" i="7"/>
  <c r="BB154" i="7" s="1"/>
  <c r="AM146" i="7"/>
  <c r="BB146" i="7" s="1"/>
  <c r="AL143" i="7"/>
  <c r="AL132" i="7"/>
  <c r="AM161" i="7"/>
  <c r="BB161" i="7" s="1"/>
  <c r="AM215" i="7"/>
  <c r="BB215" i="7" s="1"/>
  <c r="AM209" i="7"/>
  <c r="BB209" i="7" s="1"/>
  <c r="AM206" i="7"/>
  <c r="BB206" i="7" s="1"/>
  <c r="AM199" i="7"/>
  <c r="BB199" i="7" s="1"/>
  <c r="AL192" i="7"/>
  <c r="AL178" i="7"/>
  <c r="AL171" i="7"/>
  <c r="AL164" i="7"/>
  <c r="AL157" i="7"/>
  <c r="AL144" i="7"/>
  <c r="AM143" i="7"/>
  <c r="BB143" i="7" s="1"/>
  <c r="AM132" i="7"/>
  <c r="BB132" i="7" s="1"/>
  <c r="AL215" i="7"/>
  <c r="AL209" i="7"/>
  <c r="AL206" i="7"/>
  <c r="AL199" i="7"/>
  <c r="AM194" i="7"/>
  <c r="BB194" i="7" s="1"/>
  <c r="AM187" i="7"/>
  <c r="BB187" i="7" s="1"/>
  <c r="AM180" i="7"/>
  <c r="BB180" i="7" s="1"/>
  <c r="AL159" i="7"/>
  <c r="AM217" i="7"/>
  <c r="BB217" i="7" s="1"/>
  <c r="AM201" i="7"/>
  <c r="BB201" i="7" s="1"/>
  <c r="AL194" i="7"/>
  <c r="AL187" i="7"/>
  <c r="AL180" i="7"/>
  <c r="AL217" i="7"/>
  <c r="AM211" i="7"/>
  <c r="BB211" i="7" s="1"/>
  <c r="AL201" i="7"/>
  <c r="AM189" i="7"/>
  <c r="BB189" i="7" s="1"/>
  <c r="AM182" i="7"/>
  <c r="BB182" i="7" s="1"/>
  <c r="AL179" i="7"/>
  <c r="AL211" i="7"/>
  <c r="AM196" i="7"/>
  <c r="BB196" i="7" s="1"/>
  <c r="AL189" i="7"/>
  <c r="AL182" i="7"/>
  <c r="AM175" i="7"/>
  <c r="BB175" i="7" s="1"/>
  <c r="AM168" i="7"/>
  <c r="BB168" i="7" s="1"/>
  <c r="AM213" i="7"/>
  <c r="BB213" i="7" s="1"/>
  <c r="AM203" i="7"/>
  <c r="BB203" i="7" s="1"/>
  <c r="AL196" i="7"/>
  <c r="AM184" i="7"/>
  <c r="BB184" i="7" s="1"/>
  <c r="AL175" i="7"/>
  <c r="AL168" i="7"/>
  <c r="AL161" i="7"/>
  <c r="AL213" i="7"/>
  <c r="AL203" i="7"/>
  <c r="AM198" i="7"/>
  <c r="BB198" i="7" s="1"/>
  <c r="AM191" i="7"/>
  <c r="BB191" i="7" s="1"/>
  <c r="AL184" i="7"/>
  <c r="AM177" i="7"/>
  <c r="BB177" i="7" s="1"/>
  <c r="AM170" i="7"/>
  <c r="BB170" i="7" s="1"/>
  <c r="AL126" i="7"/>
  <c r="AM129" i="7"/>
  <c r="BB129" i="7" s="1"/>
  <c r="AM128" i="7"/>
  <c r="BB128" i="7" s="1"/>
  <c r="AL128" i="7"/>
  <c r="AL129" i="7"/>
  <c r="AM131" i="7"/>
  <c r="BB131" i="7" s="1"/>
  <c r="AM130" i="7"/>
  <c r="BB130" i="7" s="1"/>
  <c r="AL124" i="7"/>
  <c r="AL130" i="7"/>
  <c r="AM126" i="7"/>
  <c r="BB126" i="7" s="1"/>
  <c r="AM125" i="7"/>
  <c r="BB125" i="7" s="1"/>
  <c r="AL131" i="7"/>
  <c r="AL125" i="7"/>
  <c r="AM127" i="7"/>
  <c r="BB127" i="7" s="1"/>
  <c r="AM124" i="7"/>
  <c r="BB124" i="7" s="1"/>
  <c r="AL127" i="7"/>
  <c r="A24" i="3"/>
  <c r="A15" i="2"/>
  <c r="A13" i="2"/>
  <c r="A28" i="3"/>
  <c r="A14" i="3"/>
  <c r="Q14" i="1" a="1"/>
  <c r="Q14" i="1" s="1"/>
  <c r="S12" i="1" a="1"/>
  <c r="S12" i="1" s="1"/>
  <c r="A30" i="3"/>
  <c r="A21" i="2"/>
  <c r="A31" i="2"/>
  <c r="A18" i="3"/>
  <c r="A27" i="2"/>
  <c r="A23" i="2"/>
  <c r="A16" i="2"/>
  <c r="A25" i="2"/>
  <c r="A26" i="2"/>
  <c r="AL108" i="7"/>
  <c r="BA108" i="7" s="1"/>
  <c r="AM117" i="7"/>
  <c r="BB117" i="7" s="1"/>
  <c r="AL117" i="7"/>
  <c r="BA117" i="7" s="1"/>
  <c r="AM108" i="7"/>
  <c r="BB108" i="7" s="1"/>
  <c r="AM99" i="7"/>
  <c r="BB99" i="7" s="1"/>
  <c r="AL99" i="7"/>
  <c r="AM90" i="7"/>
  <c r="BB90" i="7" s="1"/>
  <c r="AM77" i="7"/>
  <c r="BB77" i="7" s="1"/>
  <c r="AL90" i="7"/>
  <c r="BA90" i="7" s="1"/>
  <c r="AM81" i="7"/>
  <c r="BB81" i="7" s="1"/>
  <c r="AM119" i="7"/>
  <c r="BB119" i="7" s="1"/>
  <c r="AM110" i="7"/>
  <c r="BB110" i="7" s="1"/>
  <c r="AL81" i="7"/>
  <c r="BA81" i="7" s="1"/>
  <c r="AL72" i="7"/>
  <c r="BA72" i="7" s="1"/>
  <c r="AM101" i="7"/>
  <c r="BB101" i="7" s="1"/>
  <c r="AM92" i="7"/>
  <c r="BB92" i="7" s="1"/>
  <c r="AM83" i="7"/>
  <c r="BB83" i="7" s="1"/>
  <c r="AL83" i="7"/>
  <c r="BA83" i="7" s="1"/>
  <c r="AM74" i="7"/>
  <c r="BB74" i="7" s="1"/>
  <c r="AL74" i="7"/>
  <c r="AL106" i="7"/>
  <c r="BA106" i="7" s="1"/>
  <c r="AL97" i="7"/>
  <c r="BA97" i="7" s="1"/>
  <c r="AL119" i="7"/>
  <c r="BA119" i="7" s="1"/>
  <c r="AM112" i="7"/>
  <c r="BB112" i="7" s="1"/>
  <c r="AL110" i="7"/>
  <c r="BA110" i="7" s="1"/>
  <c r="AL101" i="7"/>
  <c r="BA101" i="7" s="1"/>
  <c r="AL92" i="7"/>
  <c r="BA92" i="7" s="1"/>
  <c r="AM85" i="7"/>
  <c r="BB85" i="7" s="1"/>
  <c r="AM76" i="7"/>
  <c r="BB76" i="7" s="1"/>
  <c r="AM121" i="7"/>
  <c r="BB121" i="7" s="1"/>
  <c r="AL112" i="7"/>
  <c r="BA112" i="7" s="1"/>
  <c r="AM103" i="7"/>
  <c r="BB103" i="7" s="1"/>
  <c r="AM94" i="7"/>
  <c r="BB94" i="7" s="1"/>
  <c r="AL85" i="7"/>
  <c r="BA85" i="7" s="1"/>
  <c r="AL76" i="7"/>
  <c r="BA76" i="7" s="1"/>
  <c r="AL121" i="7"/>
  <c r="BA121" i="7" s="1"/>
  <c r="AM114" i="7"/>
  <c r="BB114" i="7" s="1"/>
  <c r="AL103" i="7"/>
  <c r="BA103" i="7" s="1"/>
  <c r="AL94" i="7"/>
  <c r="AM87" i="7"/>
  <c r="BB87" i="7" s="1"/>
  <c r="AM78" i="7"/>
  <c r="BB78" i="7" s="1"/>
  <c r="AM123" i="7"/>
  <c r="BB123" i="7" s="1"/>
  <c r="AL114" i="7"/>
  <c r="BA114" i="7" s="1"/>
  <c r="AM105" i="7"/>
  <c r="BB105" i="7" s="1"/>
  <c r="AM96" i="7"/>
  <c r="BB96" i="7" s="1"/>
  <c r="AL87" i="7"/>
  <c r="BA87" i="7" s="1"/>
  <c r="AL78" i="7"/>
  <c r="BA78" i="7" s="1"/>
  <c r="AM71" i="7"/>
  <c r="BB71" i="7" s="1"/>
  <c r="AL123" i="7"/>
  <c r="BA123" i="7" s="1"/>
  <c r="AM116" i="7"/>
  <c r="BB116" i="7" s="1"/>
  <c r="AM107" i="7"/>
  <c r="BB107" i="7" s="1"/>
  <c r="AL105" i="7"/>
  <c r="BA105" i="7" s="1"/>
  <c r="AL96" i="7"/>
  <c r="BA96" i="7" s="1"/>
  <c r="AM89" i="7"/>
  <c r="BB89" i="7" s="1"/>
  <c r="AM80" i="7"/>
  <c r="BB80" i="7" s="1"/>
  <c r="AL71" i="7"/>
  <c r="BA71" i="7" s="1"/>
  <c r="AL116" i="7"/>
  <c r="BA116" i="7" s="1"/>
  <c r="AL107" i="7"/>
  <c r="BA107" i="7" s="1"/>
  <c r="AM98" i="7"/>
  <c r="BB98" i="7" s="1"/>
  <c r="AL89" i="7"/>
  <c r="BA89" i="7" s="1"/>
  <c r="AL80" i="7"/>
  <c r="BA80" i="7" s="1"/>
  <c r="AM73" i="7"/>
  <c r="BB73" i="7" s="1"/>
  <c r="AM118" i="7"/>
  <c r="BB118" i="7" s="1"/>
  <c r="AM109" i="7"/>
  <c r="BB109" i="7" s="1"/>
  <c r="AM100" i="7"/>
  <c r="BB100" i="7" s="1"/>
  <c r="AL98" i="7"/>
  <c r="AM91" i="7"/>
  <c r="BB91" i="7" s="1"/>
  <c r="AM82" i="7"/>
  <c r="BB82" i="7" s="1"/>
  <c r="AL73" i="7"/>
  <c r="BA73" i="7" s="1"/>
  <c r="AL118" i="7"/>
  <c r="AO118" i="7" s="1"/>
  <c r="AN118" i="7" s="1"/>
  <c r="BC118" i="7" s="1"/>
  <c r="AL109" i="7"/>
  <c r="BA109" i="7" s="1"/>
  <c r="AL100" i="7"/>
  <c r="BA100" i="7" s="1"/>
  <c r="AL91" i="7"/>
  <c r="BA91" i="7" s="1"/>
  <c r="AM84" i="7"/>
  <c r="BB84" i="7" s="1"/>
  <c r="AL82" i="7"/>
  <c r="AM75" i="7"/>
  <c r="BB75" i="7" s="1"/>
  <c r="AM120" i="7"/>
  <c r="BB120" i="7" s="1"/>
  <c r="AM111" i="7"/>
  <c r="BB111" i="7" s="1"/>
  <c r="AM102" i="7"/>
  <c r="BB102" i="7" s="1"/>
  <c r="AM93" i="7"/>
  <c r="BB93" i="7" s="1"/>
  <c r="AL84" i="7"/>
  <c r="BA84" i="7" s="1"/>
  <c r="AL75" i="7"/>
  <c r="BA75" i="7" s="1"/>
  <c r="AL120" i="7"/>
  <c r="BA120" i="7" s="1"/>
  <c r="AM113" i="7"/>
  <c r="BB113" i="7" s="1"/>
  <c r="AL111" i="7"/>
  <c r="AL102" i="7"/>
  <c r="BA102" i="7" s="1"/>
  <c r="AL93" i="7"/>
  <c r="BA93" i="7" s="1"/>
  <c r="AM86" i="7"/>
  <c r="BB86" i="7" s="1"/>
  <c r="AM122" i="7"/>
  <c r="BB122" i="7" s="1"/>
  <c r="AL113" i="7"/>
  <c r="BA113" i="7" s="1"/>
  <c r="AM104" i="7"/>
  <c r="BB104" i="7" s="1"/>
  <c r="AM95" i="7"/>
  <c r="BB95" i="7" s="1"/>
  <c r="AL86" i="7"/>
  <c r="BA86" i="7" s="1"/>
  <c r="AL77" i="7"/>
  <c r="BA77" i="7" s="1"/>
  <c r="AL122" i="7"/>
  <c r="BA122" i="7" s="1"/>
  <c r="AM115" i="7"/>
  <c r="BB115" i="7" s="1"/>
  <c r="AL104" i="7"/>
  <c r="BA104" i="7" s="1"/>
  <c r="AL95" i="7"/>
  <c r="BA95" i="7" s="1"/>
  <c r="AM88" i="7"/>
  <c r="BB88" i="7" s="1"/>
  <c r="AM79" i="7"/>
  <c r="BB79" i="7" s="1"/>
  <c r="AM70" i="7"/>
  <c r="BB70" i="7" s="1"/>
  <c r="AL115" i="7"/>
  <c r="BA115" i="7" s="1"/>
  <c r="AM106" i="7"/>
  <c r="BB106" i="7" s="1"/>
  <c r="AM97" i="7"/>
  <c r="BB97" i="7" s="1"/>
  <c r="AL88" i="7"/>
  <c r="BA88" i="7" s="1"/>
  <c r="AL79" i="7"/>
  <c r="BA79" i="7" s="1"/>
  <c r="AM72" i="7"/>
  <c r="BB72" i="7" s="1"/>
  <c r="AL70" i="7"/>
  <c r="AO70" i="7" s="1"/>
  <c r="AN70" i="7" s="1"/>
  <c r="BC70" i="7" s="1"/>
  <c r="Q29" i="1" a="1"/>
  <c r="Q29" i="1" s="1"/>
  <c r="N11" i="1" a="1"/>
  <c r="N11" i="1" s="1"/>
  <c r="S16" i="1" a="1"/>
  <c r="S16" i="1" s="1"/>
  <c r="N31" i="1" a="1"/>
  <c r="N31" i="1" s="1"/>
  <c r="S30" i="1" a="1"/>
  <c r="S30" i="1" s="1"/>
  <c r="P27" i="1" a="1"/>
  <c r="P27" i="1" s="1"/>
  <c r="S23" i="1" a="1"/>
  <c r="S23" i="1" s="1"/>
  <c r="N22" i="1" a="1"/>
  <c r="N22" i="1" s="1"/>
  <c r="P16" i="1" a="1"/>
  <c r="P16" i="1" s="1"/>
  <c r="O31" i="1" a="1"/>
  <c r="O31" i="1" s="1"/>
  <c r="O22" i="1" a="1"/>
  <c r="O22" i="1" s="1"/>
  <c r="Q11" i="1" a="1"/>
  <c r="Q11" i="1" s="1"/>
  <c r="O11" i="1" a="1"/>
  <c r="O11" i="1" s="1"/>
  <c r="R30" i="1" a="1"/>
  <c r="R30" i="1" s="1"/>
  <c r="O27" i="1" a="1"/>
  <c r="O27" i="1" s="1"/>
  <c r="R23" i="1" a="1"/>
  <c r="R23" i="1" s="1"/>
  <c r="P18" i="1" a="1"/>
  <c r="P18" i="1" s="1"/>
  <c r="P11" i="1" a="1"/>
  <c r="P11" i="1" s="1"/>
  <c r="N13" i="1" a="1"/>
  <c r="N13" i="1" s="1"/>
  <c r="Q30" i="1" a="1"/>
  <c r="Q30" i="1" s="1"/>
  <c r="S28" i="1" a="1"/>
  <c r="S28" i="1" s="1"/>
  <c r="N27" i="1" a="1"/>
  <c r="N27" i="1" s="1"/>
  <c r="P25" i="1" a="1"/>
  <c r="P25" i="1" s="1"/>
  <c r="Q23" i="1" a="1"/>
  <c r="Q23" i="1" s="1"/>
  <c r="P21" i="1" a="1"/>
  <c r="P21" i="1" s="1"/>
  <c r="P10" i="1" a="1"/>
  <c r="P10" i="1" s="1"/>
  <c r="R14" i="1" a="1"/>
  <c r="R14" i="1" s="1"/>
  <c r="S14" i="1" a="1"/>
  <c r="S14" i="1" s="1"/>
  <c r="S11" i="1" a="1"/>
  <c r="S11" i="1" s="1"/>
  <c r="O13" i="1" a="1"/>
  <c r="O13" i="1" s="1"/>
  <c r="N19" i="1" a="1"/>
  <c r="N19" i="1" s="1"/>
  <c r="S31" i="1" a="1"/>
  <c r="S31" i="1" s="1"/>
  <c r="R28" i="1" a="1"/>
  <c r="R28" i="1" s="1"/>
  <c r="O25" i="1" a="1"/>
  <c r="O25" i="1" s="1"/>
  <c r="O21" i="1" a="1"/>
  <c r="O21" i="1" s="1"/>
  <c r="P17" i="1" a="1"/>
  <c r="P17" i="1" s="1"/>
  <c r="R18" i="1" a="1"/>
  <c r="R18" i="1" s="1"/>
  <c r="R20" i="1" a="1"/>
  <c r="R20" i="1" s="1"/>
  <c r="N15" i="1" a="1"/>
  <c r="N15" i="1" s="1"/>
  <c r="R31" i="1" a="1"/>
  <c r="R31" i="1" s="1"/>
  <c r="Q28" i="1" a="1"/>
  <c r="Q28" i="1" s="1"/>
  <c r="P26" i="1" a="1"/>
  <c r="P26" i="1" s="1"/>
  <c r="N25" i="1" a="1"/>
  <c r="N25" i="1" s="1"/>
  <c r="N21" i="1" a="1"/>
  <c r="N21" i="1" s="1"/>
  <c r="O17" i="1" a="1"/>
  <c r="O17" i="1" s="1"/>
  <c r="N16" i="1" a="1"/>
  <c r="N16" i="1" s="1"/>
  <c r="R16" i="1" a="1"/>
  <c r="R16" i="1" s="1"/>
  <c r="O19" i="1" a="1"/>
  <c r="O19" i="1" s="1"/>
  <c r="O15" i="1" a="1"/>
  <c r="O15" i="1" s="1"/>
  <c r="R19" i="1" a="1"/>
  <c r="R19" i="1" s="1"/>
  <c r="P19" i="1" a="1"/>
  <c r="P19" i="1" s="1"/>
  <c r="Q31" i="1" a="1"/>
  <c r="Q31" i="1" s="1"/>
  <c r="O26" i="1" a="1"/>
  <c r="O26" i="1" s="1"/>
  <c r="R22" i="1" a="1"/>
  <c r="R22" i="1" s="1"/>
  <c r="N17" i="1" a="1"/>
  <c r="N17" i="1" s="1"/>
  <c r="O16" i="1" a="1"/>
  <c r="O16" i="1" s="1"/>
  <c r="S20" i="1" a="1"/>
  <c r="S20" i="1" s="1"/>
  <c r="Q13" i="1" a="1"/>
  <c r="Q13" i="1" s="1"/>
  <c r="Q19" i="1" a="1"/>
  <c r="Q19" i="1" s="1"/>
  <c r="S13" i="1" a="1"/>
  <c r="S13" i="1" s="1"/>
  <c r="Q15" i="1" a="1"/>
  <c r="Q15" i="1" s="1"/>
  <c r="R15" i="1" a="1"/>
  <c r="R15" i="1" s="1"/>
  <c r="P15" i="1" a="1"/>
  <c r="P15" i="1" s="1"/>
  <c r="S19" i="1" a="1"/>
  <c r="S19" i="1" s="1"/>
  <c r="Q21" i="1" a="1"/>
  <c r="Q21" i="1" s="1"/>
  <c r="S27" i="1" a="1"/>
  <c r="S27" i="1" s="1"/>
  <c r="N26" i="1" a="1"/>
  <c r="N26" i="1" s="1"/>
  <c r="P24" i="1" a="1"/>
  <c r="P24" i="1" s="1"/>
  <c r="Q22" i="1" a="1"/>
  <c r="Q22" i="1" s="1"/>
  <c r="P20" i="1" a="1"/>
  <c r="P20" i="1" s="1"/>
  <c r="P13" i="1" a="1"/>
  <c r="P13" i="1" s="1"/>
  <c r="S15" i="1" a="1"/>
  <c r="S15" i="1" s="1"/>
  <c r="Q17" i="1" a="1"/>
  <c r="Q17" i="1" s="1"/>
  <c r="R21" i="1" a="1"/>
  <c r="R21" i="1" s="1"/>
  <c r="R27" i="1" a="1"/>
  <c r="R27" i="1" s="1"/>
  <c r="O24" i="1" a="1"/>
  <c r="O24" i="1" s="1"/>
  <c r="O14" i="1" a="1"/>
  <c r="O14" i="1" s="1"/>
  <c r="Q20" i="1" a="1"/>
  <c r="Q20" i="1" s="1"/>
  <c r="N10" i="1" a="1"/>
  <c r="N10" i="1" s="1"/>
  <c r="Q10" i="1" a="1"/>
  <c r="Q10" i="1" s="1"/>
  <c r="AS56" i="1" s="1"/>
  <c r="O10" i="1" a="1"/>
  <c r="O10" i="1" s="1"/>
  <c r="AQ32" i="1" s="1"/>
  <c r="R17" i="1" a="1"/>
  <c r="R17" i="1" s="1"/>
  <c r="S21" i="1" a="1"/>
  <c r="S21" i="1" s="1"/>
  <c r="P29" i="1" a="1"/>
  <c r="P29" i="1" s="1"/>
  <c r="Q27" i="1" a="1"/>
  <c r="Q27" i="1" s="1"/>
  <c r="S25" i="1" a="1"/>
  <c r="S25" i="1" s="1"/>
  <c r="N24" i="1" a="1"/>
  <c r="N24" i="1" s="1"/>
  <c r="R13" i="1" a="1"/>
  <c r="R13" i="1" s="1"/>
  <c r="R10" i="1" a="1"/>
  <c r="R10" i="1" s="1"/>
  <c r="AT56" i="1" s="1"/>
  <c r="N12" i="1" a="1"/>
  <c r="N12" i="1" s="1"/>
  <c r="S17" i="1" a="1"/>
  <c r="S17" i="1" s="1"/>
  <c r="O29" i="1" a="1"/>
  <c r="O29" i="1" s="1"/>
  <c r="R25" i="1" a="1"/>
  <c r="R25" i="1" s="1"/>
  <c r="S10" i="1" a="1"/>
  <c r="S10" i="1" s="1"/>
  <c r="AU56" i="1" s="1"/>
  <c r="Q56" i="3" s="1"/>
  <c r="O12" i="1" a="1"/>
  <c r="O12" i="1" s="1"/>
  <c r="N18" i="1" a="1"/>
  <c r="N18" i="1" s="1"/>
  <c r="N29" i="1" a="1"/>
  <c r="N29" i="1" s="1"/>
  <c r="Q25" i="1" a="1"/>
  <c r="Q25" i="1" s="1"/>
  <c r="P23" i="1" a="1"/>
  <c r="P23" i="1" s="1"/>
  <c r="Q16" i="1" a="1"/>
  <c r="Q16" i="1" s="1"/>
  <c r="R11" i="1" a="1"/>
  <c r="R11" i="1" s="1"/>
  <c r="Q12" i="1" a="1"/>
  <c r="Q12" i="1" s="1"/>
  <c r="R12" i="1" a="1"/>
  <c r="R12" i="1" s="1"/>
  <c r="AT12" i="1" s="1"/>
  <c r="P12" i="1" a="1"/>
  <c r="P12" i="1" s="1"/>
  <c r="N14" i="1" a="1"/>
  <c r="N14" i="1" s="1"/>
  <c r="Q18" i="1" a="1"/>
  <c r="Q18" i="1" s="1"/>
  <c r="O18" i="1" a="1"/>
  <c r="O18" i="1" s="1"/>
  <c r="P30" i="1" a="1"/>
  <c r="P30" i="1" s="1"/>
  <c r="S26" i="1" a="1"/>
  <c r="S26" i="1" s="1"/>
  <c r="S24" i="1" a="1"/>
  <c r="S24" i="1" s="1"/>
  <c r="O23" i="1" a="1"/>
  <c r="O23" i="1" s="1"/>
  <c r="N20" i="1" a="1"/>
  <c r="N20" i="1" s="1"/>
  <c r="O30" i="1" a="1"/>
  <c r="O30" i="1" s="1"/>
  <c r="P28" i="1" a="1"/>
  <c r="P28" i="1" s="1"/>
  <c r="R26" i="1" a="1"/>
  <c r="R26" i="1" s="1"/>
  <c r="R24" i="1" a="1"/>
  <c r="R24" i="1" s="1"/>
  <c r="N23" i="1" a="1"/>
  <c r="N23" i="1" s="1"/>
  <c r="S18" i="1" a="1"/>
  <c r="S18" i="1" s="1"/>
  <c r="O20" i="1" a="1"/>
  <c r="O20" i="1" s="1"/>
  <c r="N30" i="1" a="1"/>
  <c r="N30" i="1" s="1"/>
  <c r="S29" i="1" a="1"/>
  <c r="S29" i="1" s="1"/>
  <c r="O28" i="1" a="1"/>
  <c r="O28" i="1" s="1"/>
  <c r="Q26" i="1" a="1"/>
  <c r="Q26" i="1" s="1"/>
  <c r="Q24" i="1" a="1"/>
  <c r="Q24" i="1" s="1"/>
  <c r="R29" i="1" a="1"/>
  <c r="R29" i="1" s="1"/>
  <c r="P14" i="1" a="1"/>
  <c r="P14" i="1" s="1"/>
  <c r="P31" i="1" a="1"/>
  <c r="P31" i="1" s="1"/>
  <c r="N28" i="1" a="1"/>
  <c r="N28" i="1" s="1"/>
  <c r="P22" i="1" a="1"/>
  <c r="P22" i="1" s="1"/>
  <c r="S22" i="1" a="1"/>
  <c r="S22" i="1" s="1"/>
  <c r="AO103" i="7"/>
  <c r="AN103" i="7" s="1"/>
  <c r="BC103" i="7" s="1"/>
  <c r="AO75" i="7"/>
  <c r="AN75" i="7" s="1"/>
  <c r="BC75" i="7" s="1"/>
  <c r="AO83" i="7"/>
  <c r="AN83" i="7" s="1"/>
  <c r="BC83" i="7" s="1"/>
  <c r="AO120" i="7"/>
  <c r="AN120" i="7" s="1"/>
  <c r="BC120" i="7" s="1"/>
  <c r="AO100" i="7"/>
  <c r="AN100" i="7" s="1"/>
  <c r="BC100" i="7" s="1"/>
  <c r="AO92" i="7"/>
  <c r="AN92" i="7" s="1"/>
  <c r="BC92" i="7" s="1"/>
  <c r="AO88" i="7"/>
  <c r="AN88" i="7" s="1"/>
  <c r="BC88" i="7" s="1"/>
  <c r="AO76" i="7"/>
  <c r="AN76" i="7" s="1"/>
  <c r="BC76" i="7" s="1"/>
  <c r="AO72" i="7"/>
  <c r="AN72" i="7" s="1"/>
  <c r="BC72" i="7" s="1"/>
  <c r="BA98" i="7"/>
  <c r="BA94" i="7"/>
  <c r="BA82" i="7"/>
  <c r="BA74" i="7"/>
  <c r="BA70" i="7"/>
  <c r="AO121" i="7"/>
  <c r="AN121" i="7" s="1"/>
  <c r="BC121" i="7" s="1"/>
  <c r="AO117" i="7"/>
  <c r="AN117" i="7" s="1"/>
  <c r="BC117" i="7" s="1"/>
  <c r="AO113" i="7"/>
  <c r="AN113" i="7" s="1"/>
  <c r="BC113" i="7" s="1"/>
  <c r="AO109" i="7"/>
  <c r="AN109" i="7" s="1"/>
  <c r="BC109" i="7" s="1"/>
  <c r="AO105" i="7"/>
  <c r="AN105" i="7" s="1"/>
  <c r="BC105" i="7" s="1"/>
  <c r="AO93" i="7"/>
  <c r="AN93" i="7" s="1"/>
  <c r="BC93" i="7" s="1"/>
  <c r="AO73" i="7"/>
  <c r="AN73" i="7" s="1"/>
  <c r="BC73" i="7" s="1"/>
  <c r="AO110" i="7"/>
  <c r="AN110" i="7" s="1"/>
  <c r="BC110" i="7" s="1"/>
  <c r="AO106" i="7"/>
  <c r="AN106" i="7" s="1"/>
  <c r="BC106" i="7" s="1"/>
  <c r="AO102" i="7"/>
  <c r="AN102" i="7" s="1"/>
  <c r="BC102" i="7" s="1"/>
  <c r="AO98" i="7"/>
  <c r="AN98" i="7" s="1"/>
  <c r="BC98" i="7" s="1"/>
  <c r="AO94" i="7"/>
  <c r="AN94" i="7" s="1"/>
  <c r="BC94" i="7" s="1"/>
  <c r="AO90" i="7"/>
  <c r="AN90" i="7" s="1"/>
  <c r="BC90" i="7" s="1"/>
  <c r="AO82" i="7"/>
  <c r="AN82" i="7" s="1"/>
  <c r="BC82" i="7" s="1"/>
  <c r="AO74" i="7"/>
  <c r="AN74" i="7" s="1"/>
  <c r="BC74" i="7" s="1"/>
  <c r="AM69" i="7"/>
  <c r="BB69" i="7" s="1"/>
  <c r="AM65" i="7"/>
  <c r="BB65" i="7" s="1"/>
  <c r="AM61" i="7"/>
  <c r="BB61" i="7" s="1"/>
  <c r="AM57" i="7"/>
  <c r="BB57" i="7" s="1"/>
  <c r="AM53" i="7"/>
  <c r="BB53" i="7" s="1"/>
  <c r="AM49" i="7"/>
  <c r="BB49" i="7" s="1"/>
  <c r="AM45" i="7"/>
  <c r="BB45" i="7" s="1"/>
  <c r="AM41" i="7"/>
  <c r="BB41" i="7" s="1"/>
  <c r="AM37" i="7"/>
  <c r="BB37" i="7" s="1"/>
  <c r="AM33" i="7"/>
  <c r="BB33" i="7" s="1"/>
  <c r="AM29" i="7"/>
  <c r="BB29" i="7" s="1"/>
  <c r="AM25" i="7"/>
  <c r="BB25" i="7" s="1"/>
  <c r="AM21" i="7"/>
  <c r="BB21" i="7" s="1"/>
  <c r="AM17" i="7"/>
  <c r="BB17" i="7" s="1"/>
  <c r="AM16" i="7"/>
  <c r="BB16" i="7" s="1"/>
  <c r="AM28" i="7"/>
  <c r="BB28" i="7" s="1"/>
  <c r="AM66" i="7"/>
  <c r="BB66" i="7" s="1"/>
  <c r="AM62" i="7"/>
  <c r="BB62" i="7" s="1"/>
  <c r="AM58" i="7"/>
  <c r="BB58" i="7" s="1"/>
  <c r="AM54" i="7"/>
  <c r="BB54" i="7" s="1"/>
  <c r="AM50" i="7"/>
  <c r="BB50" i="7" s="1"/>
  <c r="AM46" i="7"/>
  <c r="BB46" i="7" s="1"/>
  <c r="AM42" i="7"/>
  <c r="BB42" i="7" s="1"/>
  <c r="AM38" i="7"/>
  <c r="BB38" i="7" s="1"/>
  <c r="AM34" i="7"/>
  <c r="BB34" i="7" s="1"/>
  <c r="AM30" i="7"/>
  <c r="BB30" i="7" s="1"/>
  <c r="AM26" i="7"/>
  <c r="BB26" i="7" s="1"/>
  <c r="AM22" i="7"/>
  <c r="BB22" i="7" s="1"/>
  <c r="AM18" i="7"/>
  <c r="BB18" i="7" s="1"/>
  <c r="AM14" i="7"/>
  <c r="AL18" i="7"/>
  <c r="AL14" i="7"/>
  <c r="AM68" i="7"/>
  <c r="BB68" i="7" s="1"/>
  <c r="AM52" i="7"/>
  <c r="BB52" i="7" s="1"/>
  <c r="AM32" i="7"/>
  <c r="BB32" i="7" s="1"/>
  <c r="AM36" i="7"/>
  <c r="BB36" i="7" s="1"/>
  <c r="AM51" i="7"/>
  <c r="BB51" i="7" s="1"/>
  <c r="AM47" i="7"/>
  <c r="BB47" i="7" s="1"/>
  <c r="AM43" i="7"/>
  <c r="BB43" i="7" s="1"/>
  <c r="AM39" i="7"/>
  <c r="BB39" i="7" s="1"/>
  <c r="AM35" i="7"/>
  <c r="BB35" i="7" s="1"/>
  <c r="AM31" i="7"/>
  <c r="BB31" i="7" s="1"/>
  <c r="AM27" i="7"/>
  <c r="BB27" i="7" s="1"/>
  <c r="AM23" i="7"/>
  <c r="BB23" i="7" s="1"/>
  <c r="AM19" i="7"/>
  <c r="BB19" i="7" s="1"/>
  <c r="AM15" i="7"/>
  <c r="BB15" i="7" s="1"/>
  <c r="AM64" i="7"/>
  <c r="BB64" i="7" s="1"/>
  <c r="AM56" i="7"/>
  <c r="BB56" i="7" s="1"/>
  <c r="AM44" i="7"/>
  <c r="BB44" i="7" s="1"/>
  <c r="AM24" i="7"/>
  <c r="BB24" i="7" s="1"/>
  <c r="AM20" i="7"/>
  <c r="BB20" i="7" s="1"/>
  <c r="AM60" i="7"/>
  <c r="BB60" i="7" s="1"/>
  <c r="AM48" i="7"/>
  <c r="BB48" i="7" s="1"/>
  <c r="AM40" i="7"/>
  <c r="BB40" i="7" s="1"/>
  <c r="AL52" i="7"/>
  <c r="AL48" i="7"/>
  <c r="AL44" i="7"/>
  <c r="AL40" i="7"/>
  <c r="AL36" i="7"/>
  <c r="AL32" i="7"/>
  <c r="AL28" i="7"/>
  <c r="AL24" i="7"/>
  <c r="AL20" i="7"/>
  <c r="AL16" i="7"/>
  <c r="AL56" i="7"/>
  <c r="AL60" i="7"/>
  <c r="AL64" i="7"/>
  <c r="AL68" i="7"/>
  <c r="AL15" i="7"/>
  <c r="AL19" i="7"/>
  <c r="AL23" i="7"/>
  <c r="AL27" i="7"/>
  <c r="AL31" i="7"/>
  <c r="AL35" i="7"/>
  <c r="AL39" i="7"/>
  <c r="AL43" i="7"/>
  <c r="AL47" i="7"/>
  <c r="AL51" i="7"/>
  <c r="AL55" i="7"/>
  <c r="AL59" i="7"/>
  <c r="AL63" i="7"/>
  <c r="AL67" i="7"/>
  <c r="AM55" i="7"/>
  <c r="BB55" i="7" s="1"/>
  <c r="AM59" i="7"/>
  <c r="BB59" i="7" s="1"/>
  <c r="AM63" i="7"/>
  <c r="BB63" i="7" s="1"/>
  <c r="AM67" i="7"/>
  <c r="BB67" i="7" s="1"/>
  <c r="AL22" i="7"/>
  <c r="AL26" i="7"/>
  <c r="AL30" i="7"/>
  <c r="AL34" i="7"/>
  <c r="AL38" i="7"/>
  <c r="AL42" i="7"/>
  <c r="AL46" i="7"/>
  <c r="AL50" i="7"/>
  <c r="AL54" i="7"/>
  <c r="AL58" i="7"/>
  <c r="AL62" i="7"/>
  <c r="AL66" i="7"/>
  <c r="AL17" i="7"/>
  <c r="AL21" i="7"/>
  <c r="AL25" i="7"/>
  <c r="AL29" i="7"/>
  <c r="AL33" i="7"/>
  <c r="AL37" i="7"/>
  <c r="AL41" i="7"/>
  <c r="AL45" i="7"/>
  <c r="AL49" i="7"/>
  <c r="AL53" i="7"/>
  <c r="AL57" i="7"/>
  <c r="AL61" i="7"/>
  <c r="AL65" i="7"/>
  <c r="AL69" i="7"/>
  <c r="A19" i="2"/>
  <c r="R12" i="3"/>
  <c r="B12" i="3"/>
  <c r="B12" i="2"/>
  <c r="D12" i="1"/>
  <c r="C12" i="2" s="1"/>
  <c r="B12" i="1"/>
  <c r="A12" i="2" s="1"/>
  <c r="W56" i="1" l="1"/>
  <c r="T56" i="1"/>
  <c r="U56" i="1"/>
  <c r="V56" i="1"/>
  <c r="AB56" i="1" s="1"/>
  <c r="AX56" i="1" a="1"/>
  <c r="AX56" i="1" s="1"/>
  <c r="AW56" i="1" a="1"/>
  <c r="AW56" i="1" s="1"/>
  <c r="BK56" i="1" a="1"/>
  <c r="BK56" i="1" s="1"/>
  <c r="BJ56" i="1" a="1"/>
  <c r="BJ56" i="1" s="1"/>
  <c r="BI56" i="1" a="1"/>
  <c r="BI56" i="1" s="1"/>
  <c r="BH56" i="1" a="1"/>
  <c r="BH56" i="1" s="1"/>
  <c r="BG56" i="1" a="1"/>
  <c r="BG56" i="1" s="1"/>
  <c r="BW56" i="1" s="1"/>
  <c r="BF56" i="1" a="1"/>
  <c r="BF56" i="1" s="1"/>
  <c r="BV56" i="1" s="1"/>
  <c r="BE56" i="1" a="1"/>
  <c r="BE56" i="1" s="1"/>
  <c r="BD56" i="1" a="1"/>
  <c r="BD56" i="1" s="1"/>
  <c r="BC56" i="1" a="1"/>
  <c r="BC56" i="1" s="1"/>
  <c r="BB56" i="1" a="1"/>
  <c r="BB56" i="1" s="1"/>
  <c r="BA56" i="1" a="1"/>
  <c r="BA56" i="1" s="1"/>
  <c r="AZ56" i="1" a="1"/>
  <c r="AZ56" i="1" s="1"/>
  <c r="AY56" i="1" a="1"/>
  <c r="AY56" i="1" s="1"/>
  <c r="AT21" i="1"/>
  <c r="AO91" i="7"/>
  <c r="AN91" i="7" s="1"/>
  <c r="BC91" i="7" s="1"/>
  <c r="AO81" i="7"/>
  <c r="AN81" i="7" s="1"/>
  <c r="BC81" i="7" s="1"/>
  <c r="AO108" i="7"/>
  <c r="AN108" i="7" s="1"/>
  <c r="BC108" i="7" s="1"/>
  <c r="AO89" i="7"/>
  <c r="AN89" i="7" s="1"/>
  <c r="BC89" i="7" s="1"/>
  <c r="AO78" i="7"/>
  <c r="AN78" i="7" s="1"/>
  <c r="BC78" i="7" s="1"/>
  <c r="AO97" i="7"/>
  <c r="AN97" i="7" s="1"/>
  <c r="BC97" i="7" s="1"/>
  <c r="AO123" i="7"/>
  <c r="AN123" i="7" s="1"/>
  <c r="BC123" i="7" s="1"/>
  <c r="AO101" i="7"/>
  <c r="AN101" i="7" s="1"/>
  <c r="BC101" i="7" s="1"/>
  <c r="AO86" i="7"/>
  <c r="AN86" i="7" s="1"/>
  <c r="BC86" i="7" s="1"/>
  <c r="BA118" i="7"/>
  <c r="AO115" i="7"/>
  <c r="AN115" i="7" s="1"/>
  <c r="BC115" i="7" s="1"/>
  <c r="AO80" i="7"/>
  <c r="AN80" i="7" s="1"/>
  <c r="BC80" i="7" s="1"/>
  <c r="AO96" i="7"/>
  <c r="AN96" i="7" s="1"/>
  <c r="BC96" i="7" s="1"/>
  <c r="AO85" i="7"/>
  <c r="AN85" i="7" s="1"/>
  <c r="BC85" i="7" s="1"/>
  <c r="AO116" i="7"/>
  <c r="AN116" i="7" s="1"/>
  <c r="BC116" i="7" s="1"/>
  <c r="AO84" i="7"/>
  <c r="AN84" i="7" s="1"/>
  <c r="BC84" i="7" s="1"/>
  <c r="AO77" i="7"/>
  <c r="AN77" i="7" s="1"/>
  <c r="BC77" i="7" s="1"/>
  <c r="AO104" i="7"/>
  <c r="AN104" i="7" s="1"/>
  <c r="BC104" i="7" s="1"/>
  <c r="AO79" i="7"/>
  <c r="AN79" i="7" s="1"/>
  <c r="BC79" i="7" s="1"/>
  <c r="BA127" i="7"/>
  <c r="AO127" i="7"/>
  <c r="AN127" i="7" s="1"/>
  <c r="BC127" i="7" s="1"/>
  <c r="AO125" i="7"/>
  <c r="AN125" i="7" s="1"/>
  <c r="BC125" i="7" s="1"/>
  <c r="BA125" i="7"/>
  <c r="AO131" i="7"/>
  <c r="AN131" i="7" s="1"/>
  <c r="BC131" i="7" s="1"/>
  <c r="BA131" i="7"/>
  <c r="BA130" i="7"/>
  <c r="AO130" i="7"/>
  <c r="AN130" i="7" s="1"/>
  <c r="BC130" i="7" s="1"/>
  <c r="BA124" i="7"/>
  <c r="AO124" i="7"/>
  <c r="AN124" i="7" s="1"/>
  <c r="BC124" i="7" s="1"/>
  <c r="BA129" i="7"/>
  <c r="AO129" i="7"/>
  <c r="AN129" i="7"/>
  <c r="BC129" i="7" s="1"/>
  <c r="BA128" i="7"/>
  <c r="AO128" i="7"/>
  <c r="AN128" i="7" s="1"/>
  <c r="BC128" i="7" s="1"/>
  <c r="BA126" i="7"/>
  <c r="AO126" i="7"/>
  <c r="AN126" i="7" s="1"/>
  <c r="BC126" i="7" s="1"/>
  <c r="BA184" i="7"/>
  <c r="AO184" i="7"/>
  <c r="AN184" i="7" s="1"/>
  <c r="BC184" i="7" s="1"/>
  <c r="BA203" i="7"/>
  <c r="AO203" i="7"/>
  <c r="AN203" i="7" s="1"/>
  <c r="BC203" i="7" s="1"/>
  <c r="BA213" i="7"/>
  <c r="AO213" i="7"/>
  <c r="AN213" i="7" s="1"/>
  <c r="BC213" i="7" s="1"/>
  <c r="BA161" i="7"/>
  <c r="AO161" i="7"/>
  <c r="AN161" i="7" s="1"/>
  <c r="BC161" i="7" s="1"/>
  <c r="BA168" i="7"/>
  <c r="AO168" i="7"/>
  <c r="AN168" i="7" s="1"/>
  <c r="BC168" i="7" s="1"/>
  <c r="BA175" i="7"/>
  <c r="AO175" i="7"/>
  <c r="AN175" i="7" s="1"/>
  <c r="BC175" i="7" s="1"/>
  <c r="BA196" i="7"/>
  <c r="AO196" i="7"/>
  <c r="AN196" i="7" s="1"/>
  <c r="BC196" i="7" s="1"/>
  <c r="BA182" i="7"/>
  <c r="AO182" i="7"/>
  <c r="AN182" i="7" s="1"/>
  <c r="BC182" i="7" s="1"/>
  <c r="BA189" i="7"/>
  <c r="AO189" i="7"/>
  <c r="AN189" i="7" s="1"/>
  <c r="BC189" i="7" s="1"/>
  <c r="BA211" i="7"/>
  <c r="AO211" i="7"/>
  <c r="AN211" i="7"/>
  <c r="BC211" i="7" s="1"/>
  <c r="BA179" i="7"/>
  <c r="AO179" i="7"/>
  <c r="AN179" i="7"/>
  <c r="BC179" i="7" s="1"/>
  <c r="BA201" i="7"/>
  <c r="AO201" i="7"/>
  <c r="AN201" i="7" s="1"/>
  <c r="BC201" i="7" s="1"/>
  <c r="BA217" i="7"/>
  <c r="AO217" i="7"/>
  <c r="AN217" i="7" s="1"/>
  <c r="BC217" i="7" s="1"/>
  <c r="BA180" i="7"/>
  <c r="AO180" i="7"/>
  <c r="AN180" i="7" s="1"/>
  <c r="BC180" i="7" s="1"/>
  <c r="BA187" i="7"/>
  <c r="AO187" i="7"/>
  <c r="AN187" i="7" s="1"/>
  <c r="BC187" i="7" s="1"/>
  <c r="BA194" i="7"/>
  <c r="AO194" i="7"/>
  <c r="AN194" i="7" s="1"/>
  <c r="BC194" i="7" s="1"/>
  <c r="BA159" i="7"/>
  <c r="AO159" i="7"/>
  <c r="AN159" i="7" s="1"/>
  <c r="BC159" i="7" s="1"/>
  <c r="BA199" i="7"/>
  <c r="AO199" i="7"/>
  <c r="AN199" i="7" s="1"/>
  <c r="BC199" i="7" s="1"/>
  <c r="BA206" i="7"/>
  <c r="AO206" i="7"/>
  <c r="AN206" i="7" s="1"/>
  <c r="BC206" i="7" s="1"/>
  <c r="BA209" i="7"/>
  <c r="AO209" i="7"/>
  <c r="AN209" i="7" s="1"/>
  <c r="BC209" i="7" s="1"/>
  <c r="BA215" i="7"/>
  <c r="AN215" i="7"/>
  <c r="BC215" i="7" s="1"/>
  <c r="AO215" i="7"/>
  <c r="BA144" i="7"/>
  <c r="AO144" i="7"/>
  <c r="AN144" i="7"/>
  <c r="BC144" i="7" s="1"/>
  <c r="BA157" i="7"/>
  <c r="AO157" i="7"/>
  <c r="AN157" i="7" s="1"/>
  <c r="BC157" i="7" s="1"/>
  <c r="BA164" i="7"/>
  <c r="AO164" i="7"/>
  <c r="AN164" i="7" s="1"/>
  <c r="BC164" i="7" s="1"/>
  <c r="BA171" i="7"/>
  <c r="AO171" i="7"/>
  <c r="AN171" i="7"/>
  <c r="BC171" i="7" s="1"/>
  <c r="BA178" i="7"/>
  <c r="AO178" i="7"/>
  <c r="AN178" i="7" s="1"/>
  <c r="BC178" i="7" s="1"/>
  <c r="BA192" i="7"/>
  <c r="AO192" i="7"/>
  <c r="AN192" i="7" s="1"/>
  <c r="BC192" i="7" s="1"/>
  <c r="AO132" i="7"/>
  <c r="AN132" i="7" s="1"/>
  <c r="BC132" i="7" s="1"/>
  <c r="BA132" i="7"/>
  <c r="BA143" i="7"/>
  <c r="AO143" i="7"/>
  <c r="AN143" i="7" s="1"/>
  <c r="BC143" i="7" s="1"/>
  <c r="BA138" i="7"/>
  <c r="AO138" i="7"/>
  <c r="AN138" i="7" s="1"/>
  <c r="BC138" i="7" s="1"/>
  <c r="BA150" i="7"/>
  <c r="AN150" i="7"/>
  <c r="BC150" i="7" s="1"/>
  <c r="AO150" i="7"/>
  <c r="BA185" i="7"/>
  <c r="AO185" i="7"/>
  <c r="AN185" i="7" s="1"/>
  <c r="BC185" i="7" s="1"/>
  <c r="BA204" i="7"/>
  <c r="AO204" i="7"/>
  <c r="AN204" i="7" s="1"/>
  <c r="BC204" i="7" s="1"/>
  <c r="BA207" i="7"/>
  <c r="AO207" i="7"/>
  <c r="AN207" i="7"/>
  <c r="BC207" i="7" s="1"/>
  <c r="BA214" i="7"/>
  <c r="AO214" i="7"/>
  <c r="AN214" i="7" s="1"/>
  <c r="BC214" i="7" s="1"/>
  <c r="BA162" i="7"/>
  <c r="AO162" i="7"/>
  <c r="AN162" i="7" s="1"/>
  <c r="BC162" i="7" s="1"/>
  <c r="BA169" i="7"/>
  <c r="AO169" i="7"/>
  <c r="AN169" i="7" s="1"/>
  <c r="BC169" i="7" s="1"/>
  <c r="BA176" i="7"/>
  <c r="AO176" i="7"/>
  <c r="AN176" i="7" s="1"/>
  <c r="BC176" i="7" s="1"/>
  <c r="BA197" i="7"/>
  <c r="AO197" i="7"/>
  <c r="AN197" i="7" s="1"/>
  <c r="BC197" i="7" s="1"/>
  <c r="BA134" i="7"/>
  <c r="AO134" i="7"/>
  <c r="AN134" i="7" s="1"/>
  <c r="BC134" i="7" s="1"/>
  <c r="BA146" i="7"/>
  <c r="AO146" i="7"/>
  <c r="AN146" i="7" s="1"/>
  <c r="BC146" i="7" s="1"/>
  <c r="BA154" i="7"/>
  <c r="AO154" i="7"/>
  <c r="AN154" i="7" s="1"/>
  <c r="BC154" i="7" s="1"/>
  <c r="AO135" i="7"/>
  <c r="BA135" i="7"/>
  <c r="AN135" i="7"/>
  <c r="BC135" i="7" s="1"/>
  <c r="BA190" i="7"/>
  <c r="AO190" i="7"/>
  <c r="AN190" i="7" s="1"/>
  <c r="BC190" i="7" s="1"/>
  <c r="BA212" i="7"/>
  <c r="AO212" i="7"/>
  <c r="AN212" i="7" s="1"/>
  <c r="BC212" i="7" s="1"/>
  <c r="BA158" i="7"/>
  <c r="AN158" i="7"/>
  <c r="BC158" i="7" s="1"/>
  <c r="AO158" i="7"/>
  <c r="BA152" i="7"/>
  <c r="AO152" i="7"/>
  <c r="AN152" i="7" s="1"/>
  <c r="BC152" i="7" s="1"/>
  <c r="BA136" i="7"/>
  <c r="AO136" i="7"/>
  <c r="AN136" i="7" s="1"/>
  <c r="BC136" i="7" s="1"/>
  <c r="BA147" i="7"/>
  <c r="AO147" i="7"/>
  <c r="AN147" i="7" s="1"/>
  <c r="BC147" i="7" s="1"/>
  <c r="BA148" i="7"/>
  <c r="AO148" i="7"/>
  <c r="AN148" i="7" s="1"/>
  <c r="BC148" i="7" s="1"/>
  <c r="BA160" i="7"/>
  <c r="AO160" i="7"/>
  <c r="AN160" i="7" s="1"/>
  <c r="BC160" i="7" s="1"/>
  <c r="BA167" i="7"/>
  <c r="AO167" i="7"/>
  <c r="AN167" i="7" s="1"/>
  <c r="BC167" i="7" s="1"/>
  <c r="BA195" i="7"/>
  <c r="AO195" i="7"/>
  <c r="AN195" i="7" s="1"/>
  <c r="BC195" i="7" s="1"/>
  <c r="BA202" i="7"/>
  <c r="AO202" i="7"/>
  <c r="AN202" i="7" s="1"/>
  <c r="BC202" i="7" s="1"/>
  <c r="BA218" i="7"/>
  <c r="AO218" i="7"/>
  <c r="AN218" i="7" s="1"/>
  <c r="BC218" i="7" s="1"/>
  <c r="BA174" i="7"/>
  <c r="AO174" i="7"/>
  <c r="AN174" i="7" s="1"/>
  <c r="BC174" i="7" s="1"/>
  <c r="BA181" i="7"/>
  <c r="AO181" i="7"/>
  <c r="AN181" i="7" s="1"/>
  <c r="BC181" i="7" s="1"/>
  <c r="BA188" i="7"/>
  <c r="AO188" i="7"/>
  <c r="AN188" i="7" s="1"/>
  <c r="BC188" i="7" s="1"/>
  <c r="BA172" i="7"/>
  <c r="AO172" i="7"/>
  <c r="AN172" i="7" s="1"/>
  <c r="BC172" i="7" s="1"/>
  <c r="BA156" i="7"/>
  <c r="AO156" i="7"/>
  <c r="AN156" i="7" s="1"/>
  <c r="BC156" i="7" s="1"/>
  <c r="BA137" i="7"/>
  <c r="AO137" i="7"/>
  <c r="AN137" i="7" s="1"/>
  <c r="BC137" i="7" s="1"/>
  <c r="BA149" i="7"/>
  <c r="AO149" i="7"/>
  <c r="AN149" i="7" s="1"/>
  <c r="BC149" i="7" s="1"/>
  <c r="BA166" i="7"/>
  <c r="AO166" i="7"/>
  <c r="AN166" i="7" s="1"/>
  <c r="BC166" i="7" s="1"/>
  <c r="BA173" i="7"/>
  <c r="AO173" i="7"/>
  <c r="AN173" i="7" s="1"/>
  <c r="BC173" i="7" s="1"/>
  <c r="BA141" i="7"/>
  <c r="AO141" i="7"/>
  <c r="AN141" i="7"/>
  <c r="BC141" i="7" s="1"/>
  <c r="BA155" i="7"/>
  <c r="AO155" i="7"/>
  <c r="AN155" i="7" s="1"/>
  <c r="BC155" i="7" s="1"/>
  <c r="BA183" i="7"/>
  <c r="AO183" i="7"/>
  <c r="AN183" i="7" s="1"/>
  <c r="BC183" i="7" s="1"/>
  <c r="AO133" i="7"/>
  <c r="AN133" i="7"/>
  <c r="BC133" i="7" s="1"/>
  <c r="BA133" i="7"/>
  <c r="BA145" i="7"/>
  <c r="AO145" i="7"/>
  <c r="AN145" i="7" s="1"/>
  <c r="BC145" i="7" s="1"/>
  <c r="BA153" i="7"/>
  <c r="AO153" i="7"/>
  <c r="AN153" i="7" s="1"/>
  <c r="BC153" i="7" s="1"/>
  <c r="BA142" i="7"/>
  <c r="AO142" i="7"/>
  <c r="AN142" i="7" s="1"/>
  <c r="BC142" i="7" s="1"/>
  <c r="BA200" i="7"/>
  <c r="AO200" i="7"/>
  <c r="AN200" i="7" s="1"/>
  <c r="BC200" i="7" s="1"/>
  <c r="BA210" i="7"/>
  <c r="AO210" i="7"/>
  <c r="AN210" i="7" s="1"/>
  <c r="BC210" i="7" s="1"/>
  <c r="BA216" i="7"/>
  <c r="AO216" i="7"/>
  <c r="AN216" i="7" s="1"/>
  <c r="BC216" i="7" s="1"/>
  <c r="BA165" i="7"/>
  <c r="AO165" i="7"/>
  <c r="AN165" i="7"/>
  <c r="BC165" i="7" s="1"/>
  <c r="BA193" i="7"/>
  <c r="AO193" i="7"/>
  <c r="AN193" i="7" s="1"/>
  <c r="AO139" i="7"/>
  <c r="AN139" i="7" s="1"/>
  <c r="BC139" i="7" s="1"/>
  <c r="BA139" i="7"/>
  <c r="BA140" i="7"/>
  <c r="AO140" i="7"/>
  <c r="AN140" i="7" s="1"/>
  <c r="BC140" i="7" s="1"/>
  <c r="BA151" i="7"/>
  <c r="AO151" i="7"/>
  <c r="AN151" i="7"/>
  <c r="BC151" i="7" s="1"/>
  <c r="BA186" i="7"/>
  <c r="AO186" i="7"/>
  <c r="AN186" i="7" s="1"/>
  <c r="BC186" i="7" s="1"/>
  <c r="BA205" i="7"/>
  <c r="AO205" i="7"/>
  <c r="AN205" i="7" s="1"/>
  <c r="BC205" i="7" s="1"/>
  <c r="BA208" i="7"/>
  <c r="AO208" i="7"/>
  <c r="AN208" i="7" s="1"/>
  <c r="BC208" i="7" s="1"/>
  <c r="BA163" i="7"/>
  <c r="AO163" i="7"/>
  <c r="AN163" i="7" s="1"/>
  <c r="BC163" i="7" s="1"/>
  <c r="BA170" i="7"/>
  <c r="AO170" i="7"/>
  <c r="AN170" i="7" s="1"/>
  <c r="BC170" i="7" s="1"/>
  <c r="BA177" i="7"/>
  <c r="AO177" i="7"/>
  <c r="AN177" i="7" s="1"/>
  <c r="BC177" i="7" s="1"/>
  <c r="BA191" i="7"/>
  <c r="AO191" i="7"/>
  <c r="AN191" i="7"/>
  <c r="BC191" i="7" s="1"/>
  <c r="BA198" i="7"/>
  <c r="AO198" i="7"/>
  <c r="AN198" i="7" s="1"/>
  <c r="BC198" i="7" s="1"/>
  <c r="X34" i="1"/>
  <c r="AD34" i="1" s="1"/>
  <c r="AP34" i="1"/>
  <c r="X35" i="1"/>
  <c r="AD35" i="1" s="1"/>
  <c r="AP35" i="1"/>
  <c r="X37" i="1"/>
  <c r="AD37" i="1" s="1"/>
  <c r="AP37" i="1"/>
  <c r="X36" i="1"/>
  <c r="AD36" i="1" s="1"/>
  <c r="AP36" i="1"/>
  <c r="X33" i="1"/>
  <c r="AD33" i="1" s="1"/>
  <c r="AP33" i="1"/>
  <c r="X54" i="1"/>
  <c r="AD54" i="1" s="1"/>
  <c r="AP54" i="1"/>
  <c r="X41" i="1"/>
  <c r="AD41" i="1" s="1"/>
  <c r="AP41" i="1"/>
  <c r="X48" i="1"/>
  <c r="AD48" i="1" s="1"/>
  <c r="AP48" i="1"/>
  <c r="X51" i="1"/>
  <c r="AD51" i="1" s="1"/>
  <c r="AP51" i="1"/>
  <c r="X55" i="1"/>
  <c r="AD55" i="1" s="1"/>
  <c r="AP55" i="1"/>
  <c r="X39" i="1"/>
  <c r="AD39" i="1" s="1"/>
  <c r="AP39" i="1"/>
  <c r="X44" i="1"/>
  <c r="AD44" i="1" s="1"/>
  <c r="AP44" i="1"/>
  <c r="AP53" i="1"/>
  <c r="X53" i="1"/>
  <c r="AD53" i="1" s="1"/>
  <c r="X47" i="1"/>
  <c r="AD47" i="1" s="1"/>
  <c r="AP47" i="1"/>
  <c r="X50" i="1"/>
  <c r="AD50" i="1" s="1"/>
  <c r="AP50" i="1"/>
  <c r="X43" i="1"/>
  <c r="AD43" i="1" s="1"/>
  <c r="AP43" i="1"/>
  <c r="AP38" i="1"/>
  <c r="X38" i="1"/>
  <c r="AD38" i="1" s="1"/>
  <c r="X46" i="1"/>
  <c r="AD46" i="1" s="1"/>
  <c r="AP46" i="1"/>
  <c r="X42" i="1"/>
  <c r="AD42" i="1" s="1"/>
  <c r="AP42" i="1"/>
  <c r="X40" i="1"/>
  <c r="AD40" i="1" s="1"/>
  <c r="AP40" i="1"/>
  <c r="X49" i="1"/>
  <c r="AD49" i="1" s="1"/>
  <c r="AP49" i="1"/>
  <c r="X52" i="1"/>
  <c r="AD52" i="1" s="1"/>
  <c r="AP52" i="1"/>
  <c r="X45" i="1"/>
  <c r="AD45" i="1" s="1"/>
  <c r="AP45" i="1"/>
  <c r="AT54" i="1"/>
  <c r="AT55" i="1"/>
  <c r="AS54" i="1"/>
  <c r="AS55" i="1"/>
  <c r="AU54" i="1"/>
  <c r="Q54" i="3" s="1"/>
  <c r="AU55" i="1"/>
  <c r="Q55" i="3" s="1"/>
  <c r="AU52" i="1"/>
  <c r="Q52" i="3" s="1"/>
  <c r="AU53" i="1"/>
  <c r="Q53" i="3" s="1"/>
  <c r="AT52" i="1"/>
  <c r="AT53" i="1"/>
  <c r="AS52" i="1"/>
  <c r="AS53" i="1"/>
  <c r="AS25" i="1"/>
  <c r="AU50" i="1"/>
  <c r="Q50" i="3" s="1"/>
  <c r="AU51" i="1"/>
  <c r="Q51" i="3" s="1"/>
  <c r="AT50" i="1"/>
  <c r="AT51" i="1"/>
  <c r="AS50" i="1"/>
  <c r="AS51" i="1"/>
  <c r="AT48" i="1"/>
  <c r="AT49" i="1"/>
  <c r="AS48" i="1"/>
  <c r="AS49" i="1"/>
  <c r="AU48" i="1"/>
  <c r="Q48" i="3" s="1"/>
  <c r="AU49" i="1"/>
  <c r="Q49" i="3" s="1"/>
  <c r="AT46" i="1"/>
  <c r="AT47" i="1"/>
  <c r="AS46" i="1"/>
  <c r="AS47" i="1"/>
  <c r="AU46" i="1"/>
  <c r="Q46" i="3" s="1"/>
  <c r="AU47" i="1"/>
  <c r="Q47" i="3" s="1"/>
  <c r="AS44" i="1"/>
  <c r="AS45" i="1"/>
  <c r="AU44" i="1"/>
  <c r="Q44" i="3" s="1"/>
  <c r="AU45" i="1"/>
  <c r="Q45" i="3" s="1"/>
  <c r="AT44" i="1"/>
  <c r="AT45" i="1"/>
  <c r="AU42" i="1"/>
  <c r="Q42" i="3" s="1"/>
  <c r="AU43" i="1"/>
  <c r="Q43" i="3" s="1"/>
  <c r="AT42" i="1"/>
  <c r="AT43" i="1"/>
  <c r="AS42" i="1"/>
  <c r="AS43" i="1"/>
  <c r="AS16" i="1"/>
  <c r="AS40" i="1"/>
  <c r="AS41" i="1"/>
  <c r="AU40" i="1"/>
  <c r="Q40" i="3" s="1"/>
  <c r="AU41" i="1"/>
  <c r="Q41" i="3" s="1"/>
  <c r="AT40" i="1"/>
  <c r="AT41" i="1"/>
  <c r="AT38" i="1"/>
  <c r="AT39" i="1"/>
  <c r="AS38" i="1"/>
  <c r="AS39" i="1"/>
  <c r="AU38" i="1"/>
  <c r="Q38" i="3" s="1"/>
  <c r="AU39" i="1"/>
  <c r="Q39" i="3" s="1"/>
  <c r="AQ30" i="1"/>
  <c r="AS36" i="1"/>
  <c r="AS37" i="1"/>
  <c r="AU36" i="1"/>
  <c r="Q36" i="3" s="1"/>
  <c r="AU37" i="1"/>
  <c r="Q37" i="3" s="1"/>
  <c r="AT36" i="1"/>
  <c r="AT37" i="1"/>
  <c r="AT34" i="1"/>
  <c r="AT35" i="1"/>
  <c r="AS34" i="1"/>
  <c r="AS35" i="1"/>
  <c r="AU34" i="1"/>
  <c r="Q34" i="3" s="1"/>
  <c r="AU35" i="1"/>
  <c r="Q35" i="3" s="1"/>
  <c r="AT13" i="1"/>
  <c r="AT24" i="1"/>
  <c r="AT26" i="1"/>
  <c r="AT17" i="1"/>
  <c r="AT19" i="1"/>
  <c r="AT29" i="1"/>
  <c r="AT25" i="1"/>
  <c r="AU22" i="1"/>
  <c r="AU21" i="1"/>
  <c r="AS13" i="1"/>
  <c r="AS18" i="1"/>
  <c r="AS26" i="1"/>
  <c r="AS31" i="1"/>
  <c r="AS21" i="1"/>
  <c r="AS20" i="1"/>
  <c r="AS24" i="1"/>
  <c r="AT27" i="1"/>
  <c r="AS19" i="1"/>
  <c r="AT14" i="1"/>
  <c r="AT28" i="1"/>
  <c r="AT16" i="1"/>
  <c r="AT15" i="1"/>
  <c r="AT22" i="1"/>
  <c r="AS30" i="1"/>
  <c r="AT23" i="1"/>
  <c r="AS15" i="1"/>
  <c r="AS14" i="1"/>
  <c r="AU29" i="1"/>
  <c r="AT32" i="1"/>
  <c r="AT33" i="1"/>
  <c r="AS17" i="1"/>
  <c r="AU20" i="1"/>
  <c r="AS28" i="1"/>
  <c r="AU15" i="1"/>
  <c r="AT31" i="1"/>
  <c r="AS23" i="1"/>
  <c r="AU23" i="1"/>
  <c r="AU25" i="1"/>
  <c r="AT20" i="1"/>
  <c r="AU17" i="1"/>
  <c r="AU18" i="1"/>
  <c r="AS27" i="1"/>
  <c r="AS22" i="1"/>
  <c r="AT18" i="1"/>
  <c r="AU28" i="1"/>
  <c r="AU30" i="1"/>
  <c r="AU16" i="1"/>
  <c r="AU27" i="1"/>
  <c r="AS29" i="1"/>
  <c r="AS32" i="1"/>
  <c r="AS33" i="1"/>
  <c r="AU19" i="1"/>
  <c r="AU31" i="1"/>
  <c r="AU33" i="1"/>
  <c r="Q33" i="3" s="1"/>
  <c r="AU32" i="1"/>
  <c r="AT30" i="1"/>
  <c r="AU24" i="1"/>
  <c r="AU26" i="1"/>
  <c r="AU13" i="1"/>
  <c r="AU14" i="1"/>
  <c r="AU12" i="1"/>
  <c r="Q12" i="3" s="1"/>
  <c r="AP19" i="1"/>
  <c r="AP32" i="1"/>
  <c r="AP29" i="1"/>
  <c r="AP22" i="1"/>
  <c r="AP30" i="1"/>
  <c r="AP31" i="1"/>
  <c r="AQ29" i="1"/>
  <c r="AQ31" i="1"/>
  <c r="AO114" i="7"/>
  <c r="AN114" i="7" s="1"/>
  <c r="BC114" i="7" s="1"/>
  <c r="AO122" i="7"/>
  <c r="AN122" i="7" s="1"/>
  <c r="BC122" i="7" s="1"/>
  <c r="AR13" i="1"/>
  <c r="N13" i="3" s="1"/>
  <c r="AR12" i="1"/>
  <c r="N12" i="3" s="1"/>
  <c r="AR14" i="1"/>
  <c r="N14" i="3" s="1"/>
  <c r="AO71" i="7"/>
  <c r="AN71" i="7" s="1"/>
  <c r="BC71" i="7" s="1"/>
  <c r="AO112" i="7"/>
  <c r="AN112" i="7" s="1"/>
  <c r="BC112" i="7" s="1"/>
  <c r="AQ18" i="1"/>
  <c r="AQ19" i="1"/>
  <c r="AQ21" i="1"/>
  <c r="AP25" i="1"/>
  <c r="AQ22" i="1"/>
  <c r="AP23" i="1"/>
  <c r="AP14" i="1"/>
  <c r="AP26" i="1"/>
  <c r="AQ14" i="1"/>
  <c r="AQ17" i="1"/>
  <c r="AP21" i="1"/>
  <c r="AP17" i="1"/>
  <c r="AP13" i="1"/>
  <c r="AS12" i="1"/>
  <c r="AP12" i="1"/>
  <c r="AQ28" i="1"/>
  <c r="AQ13" i="1"/>
  <c r="AQ25" i="1"/>
  <c r="AQ26" i="1"/>
  <c r="AP20" i="1"/>
  <c r="AR16" i="1"/>
  <c r="AR18" i="1" s="1"/>
  <c r="AQ27" i="1"/>
  <c r="AQ23" i="1"/>
  <c r="AP28" i="1"/>
  <c r="AP18" i="1"/>
  <c r="AQ12" i="1"/>
  <c r="AQ20" i="1"/>
  <c r="AR17" i="1"/>
  <c r="AP27" i="1"/>
  <c r="AR15" i="1"/>
  <c r="N15" i="3" s="1"/>
  <c r="AO95" i="7"/>
  <c r="AN95" i="7" s="1"/>
  <c r="BC95" i="7" s="1"/>
  <c r="AO87" i="7"/>
  <c r="AN87" i="7" s="1"/>
  <c r="BC87" i="7" s="1"/>
  <c r="AO119" i="7"/>
  <c r="AN119" i="7" s="1"/>
  <c r="BC119" i="7" s="1"/>
  <c r="AO107" i="7"/>
  <c r="AN107" i="7" s="1"/>
  <c r="BC107" i="7" s="1"/>
  <c r="BA99" i="7"/>
  <c r="AO99" i="7"/>
  <c r="AN99" i="7" s="1"/>
  <c r="BC99" i="7" s="1"/>
  <c r="BA111" i="7"/>
  <c r="AO111" i="7"/>
  <c r="AN111" i="7" s="1"/>
  <c r="BC111" i="7" s="1"/>
  <c r="AP15" i="1"/>
  <c r="AQ16" i="1"/>
  <c r="AQ24" i="1"/>
  <c r="AP24" i="1"/>
  <c r="AP16" i="1"/>
  <c r="AQ15" i="1"/>
  <c r="BB14" i="7"/>
  <c r="BA46" i="7"/>
  <c r="AO46" i="7"/>
  <c r="AN46" i="7" s="1"/>
  <c r="BC46" i="7" s="1"/>
  <c r="AO38" i="7"/>
  <c r="AN38" i="7" s="1"/>
  <c r="BC38" i="7" s="1"/>
  <c r="BA38" i="7"/>
  <c r="BA31" i="7"/>
  <c r="AO31" i="7"/>
  <c r="AN31" i="7" s="1"/>
  <c r="BC31" i="7" s="1"/>
  <c r="BA52" i="7"/>
  <c r="AO52" i="7"/>
  <c r="AN52" i="7" s="1"/>
  <c r="BC52" i="7" s="1"/>
  <c r="BA48" i="7"/>
  <c r="AO48" i="7"/>
  <c r="AN48" i="7" s="1"/>
  <c r="BC48" i="7" s="1"/>
  <c r="AO34" i="7"/>
  <c r="AN34" i="7" s="1"/>
  <c r="BC34" i="7" s="1"/>
  <c r="BA34" i="7"/>
  <c r="BA27" i="7"/>
  <c r="AO27" i="7"/>
  <c r="AN27" i="7" s="1"/>
  <c r="BC27" i="7" s="1"/>
  <c r="BA36" i="7"/>
  <c r="AO36" i="7"/>
  <c r="AN36" i="7" s="1"/>
  <c r="BC36" i="7" s="1"/>
  <c r="BA43" i="7"/>
  <c r="AO43" i="7"/>
  <c r="AN43" i="7" s="1"/>
  <c r="BC43" i="7" s="1"/>
  <c r="AO17" i="7"/>
  <c r="AN17" i="7" s="1"/>
  <c r="BC17" i="7" s="1"/>
  <c r="BA17" i="7"/>
  <c r="AO30" i="7"/>
  <c r="AN30" i="7" s="1"/>
  <c r="BC30" i="7" s="1"/>
  <c r="BA30" i="7"/>
  <c r="BA23" i="7"/>
  <c r="AO23" i="7"/>
  <c r="AN23" i="7" s="1"/>
  <c r="BC23" i="7" s="1"/>
  <c r="BA14" i="7"/>
  <c r="AO14" i="7"/>
  <c r="BA39" i="7"/>
  <c r="AO39" i="7"/>
  <c r="AN39" i="7" s="1"/>
  <c r="BC39" i="7" s="1"/>
  <c r="AO69" i="7"/>
  <c r="AN69" i="7" s="1"/>
  <c r="BC69" i="7" s="1"/>
  <c r="BA69" i="7"/>
  <c r="AO65" i="7"/>
  <c r="AN65" i="7" s="1"/>
  <c r="BC65" i="7" s="1"/>
  <c r="BA65" i="7"/>
  <c r="AO26" i="7"/>
  <c r="AN26" i="7" s="1"/>
  <c r="BC26" i="7" s="1"/>
  <c r="BA26" i="7"/>
  <c r="BA19" i="7"/>
  <c r="AO19" i="7"/>
  <c r="AN19" i="7" s="1"/>
  <c r="BC19" i="7" s="1"/>
  <c r="BA68" i="7"/>
  <c r="AO68" i="7"/>
  <c r="AN68" i="7" s="1"/>
  <c r="BC68" i="7" s="1"/>
  <c r="BA18" i="7"/>
  <c r="AO18" i="7"/>
  <c r="AN18" i="7" s="1"/>
  <c r="BC18" i="7" s="1"/>
  <c r="BA40" i="7"/>
  <c r="AO40" i="7"/>
  <c r="AN40" i="7" s="1"/>
  <c r="BC40" i="7" s="1"/>
  <c r="AO21" i="7"/>
  <c r="AN21" i="7" s="1"/>
  <c r="BC21" i="7" s="1"/>
  <c r="BA21" i="7"/>
  <c r="BA35" i="7"/>
  <c r="AO35" i="7"/>
  <c r="AN35" i="7" s="1"/>
  <c r="BC35" i="7" s="1"/>
  <c r="AO61" i="7"/>
  <c r="AN61" i="7" s="1"/>
  <c r="BC61" i="7" s="1"/>
  <c r="BA61" i="7"/>
  <c r="AO22" i="7"/>
  <c r="AN22" i="7" s="1"/>
  <c r="BC22" i="7" s="1"/>
  <c r="BA22" i="7"/>
  <c r="BA15" i="7"/>
  <c r="AO15" i="7"/>
  <c r="AN15" i="7" s="1"/>
  <c r="BC15" i="7" s="1"/>
  <c r="BA64" i="7"/>
  <c r="AO64" i="7"/>
  <c r="AN64" i="7" s="1"/>
  <c r="BC64" i="7" s="1"/>
  <c r="AO54" i="7"/>
  <c r="AN54" i="7" s="1"/>
  <c r="BC54" i="7" s="1"/>
  <c r="BA54" i="7"/>
  <c r="AO42" i="7"/>
  <c r="AN42" i="7" s="1"/>
  <c r="BC42" i="7" s="1"/>
  <c r="BA42" i="7"/>
  <c r="AO57" i="7"/>
  <c r="AN57" i="7" s="1"/>
  <c r="BC57" i="7" s="1"/>
  <c r="BA57" i="7"/>
  <c r="BA60" i="7"/>
  <c r="AO60" i="7"/>
  <c r="AN60" i="7" s="1"/>
  <c r="BC60" i="7" s="1"/>
  <c r="AO53" i="7"/>
  <c r="AN53" i="7" s="1"/>
  <c r="BC53" i="7" s="1"/>
  <c r="BA53" i="7"/>
  <c r="BA56" i="7"/>
  <c r="AO56" i="7"/>
  <c r="AN56" i="7" s="1"/>
  <c r="BC56" i="7" s="1"/>
  <c r="AO49" i="7"/>
  <c r="AN49" i="7" s="1"/>
  <c r="BC49" i="7" s="1"/>
  <c r="BA49" i="7"/>
  <c r="BA67" i="7"/>
  <c r="AO67" i="7"/>
  <c r="AN67" i="7" s="1"/>
  <c r="BC67" i="7" s="1"/>
  <c r="BA16" i="7"/>
  <c r="AO16" i="7"/>
  <c r="AN16" i="7" s="1"/>
  <c r="BC16" i="7" s="1"/>
  <c r="BA20" i="7"/>
  <c r="AO20" i="7"/>
  <c r="AN20" i="7" s="1"/>
  <c r="BC20" i="7" s="1"/>
  <c r="AO66" i="7"/>
  <c r="AN66" i="7" s="1"/>
  <c r="BC66" i="7" s="1"/>
  <c r="BA66" i="7"/>
  <c r="AO29" i="7"/>
  <c r="AN29" i="7" s="1"/>
  <c r="BC29" i="7" s="1"/>
  <c r="BA29" i="7"/>
  <c r="AO45" i="7"/>
  <c r="AN45" i="7" s="1"/>
  <c r="BC45" i="7" s="1"/>
  <c r="BA45" i="7"/>
  <c r="BA63" i="7"/>
  <c r="AO63" i="7"/>
  <c r="AN63" i="7" s="1"/>
  <c r="BC63" i="7" s="1"/>
  <c r="BA59" i="7"/>
  <c r="AO59" i="7"/>
  <c r="AN59" i="7" s="1"/>
  <c r="BC59" i="7" s="1"/>
  <c r="BA24" i="7"/>
  <c r="AO24" i="7"/>
  <c r="AN24" i="7" s="1"/>
  <c r="BC24" i="7" s="1"/>
  <c r="AO37" i="7"/>
  <c r="AN37" i="7" s="1"/>
  <c r="BC37" i="7" s="1"/>
  <c r="BA37" i="7"/>
  <c r="AO62" i="7"/>
  <c r="AN62" i="7" s="1"/>
  <c r="BC62" i="7" s="1"/>
  <c r="BA62" i="7"/>
  <c r="BA55" i="7"/>
  <c r="AO55" i="7"/>
  <c r="AN55" i="7" s="1"/>
  <c r="BC55" i="7" s="1"/>
  <c r="BA28" i="7"/>
  <c r="AO28" i="7"/>
  <c r="AN28" i="7" s="1"/>
  <c r="BC28" i="7" s="1"/>
  <c r="AO41" i="7"/>
  <c r="AN41" i="7" s="1"/>
  <c r="BC41" i="7" s="1"/>
  <c r="BA41" i="7"/>
  <c r="AO33" i="7"/>
  <c r="AN33" i="7" s="1"/>
  <c r="BC33" i="7" s="1"/>
  <c r="BA33" i="7"/>
  <c r="AO58" i="7"/>
  <c r="AN58" i="7" s="1"/>
  <c r="BC58" i="7" s="1"/>
  <c r="BA58" i="7"/>
  <c r="BA51" i="7"/>
  <c r="AO51" i="7"/>
  <c r="AN51" i="7" s="1"/>
  <c r="BC51" i="7" s="1"/>
  <c r="BA32" i="7"/>
  <c r="AO32" i="7"/>
  <c r="AN32" i="7" s="1"/>
  <c r="BC32" i="7" s="1"/>
  <c r="AO50" i="7"/>
  <c r="AN50" i="7" s="1"/>
  <c r="BC50" i="7" s="1"/>
  <c r="BA50" i="7"/>
  <c r="BA47" i="7"/>
  <c r="AO47" i="7"/>
  <c r="AN47" i="7" s="1"/>
  <c r="BC47" i="7" s="1"/>
  <c r="AO25" i="7"/>
  <c r="AN25" i="7" s="1"/>
  <c r="BC25" i="7" s="1"/>
  <c r="BA25" i="7"/>
  <c r="BA44" i="7"/>
  <c r="AO44" i="7"/>
  <c r="AN44" i="7" s="1"/>
  <c r="BC44" i="7" s="1"/>
  <c r="A12" i="3"/>
  <c r="BN9" i="1"/>
  <c r="BO9" i="1"/>
  <c r="BP9" i="1"/>
  <c r="BQ9" i="1"/>
  <c r="BR9" i="1"/>
  <c r="BS9" i="1"/>
  <c r="BT9" i="1"/>
  <c r="BU9" i="1"/>
  <c r="BV9" i="1"/>
  <c r="BW9" i="1"/>
  <c r="BX9" i="1"/>
  <c r="BY9" i="1"/>
  <c r="BZ9" i="1"/>
  <c r="CA9" i="1"/>
  <c r="BM9" i="1"/>
  <c r="AR55" i="1" l="1"/>
  <c r="AR56" i="1"/>
  <c r="AR29" i="1"/>
  <c r="M32" i="1" a="1"/>
  <c r="M32" i="1" s="1"/>
  <c r="M45" i="1" a="1"/>
  <c r="M45" i="1" s="1"/>
  <c r="M53" i="1" a="1"/>
  <c r="M53" i="1" s="1"/>
  <c r="M40" i="1" a="1"/>
  <c r="M40" i="1" s="1"/>
  <c r="M47" i="1" a="1"/>
  <c r="M47" i="1" s="1"/>
  <c r="M52" i="1" a="1"/>
  <c r="M52" i="1" s="1"/>
  <c r="M55" i="1" a="1"/>
  <c r="M55" i="1" s="1"/>
  <c r="M54" i="1" a="1"/>
  <c r="M54" i="1" s="1"/>
  <c r="M49" i="1" a="1"/>
  <c r="M49" i="1" s="1"/>
  <c r="M39" i="1" a="1"/>
  <c r="M39" i="1" s="1"/>
  <c r="M43" i="1" a="1"/>
  <c r="M43" i="1" s="1"/>
  <c r="M51" i="1" a="1"/>
  <c r="M51" i="1" s="1"/>
  <c r="M44" i="1" a="1"/>
  <c r="M44" i="1" s="1"/>
  <c r="M50" i="1" a="1"/>
  <c r="M50" i="1" s="1"/>
  <c r="M38" i="1" a="1"/>
  <c r="M38" i="1" s="1"/>
  <c r="M46" i="1" a="1"/>
  <c r="M46" i="1" s="1"/>
  <c r="M48" i="1" a="1"/>
  <c r="M48" i="1" s="1"/>
  <c r="M41" i="1" a="1"/>
  <c r="M41" i="1" s="1"/>
  <c r="M42" i="1" a="1"/>
  <c r="M42" i="1" s="1"/>
  <c r="M37" i="1" a="1"/>
  <c r="M37" i="1" s="1"/>
  <c r="M34" i="1" a="1"/>
  <c r="M34" i="1" s="1"/>
  <c r="M36" i="1" a="1"/>
  <c r="M36" i="1" s="1"/>
  <c r="M33" i="1" a="1"/>
  <c r="M33" i="1" s="1"/>
  <c r="M35" i="1" a="1"/>
  <c r="M35" i="1" s="1"/>
  <c r="BC193" i="7"/>
  <c r="AR53" i="1"/>
  <c r="AR54" i="1"/>
  <c r="AR51" i="1"/>
  <c r="AR52" i="1"/>
  <c r="AR49" i="1"/>
  <c r="AR50" i="1"/>
  <c r="AR47" i="1"/>
  <c r="AR48" i="1"/>
  <c r="AR45" i="1"/>
  <c r="AR46" i="1"/>
  <c r="AR43" i="1"/>
  <c r="AR44" i="1"/>
  <c r="AR41" i="1"/>
  <c r="AR42" i="1"/>
  <c r="AR39" i="1"/>
  <c r="AR40" i="1"/>
  <c r="AR37" i="1"/>
  <c r="AR38" i="1"/>
  <c r="AR35" i="1"/>
  <c r="AR36" i="1"/>
  <c r="AR33" i="1"/>
  <c r="AR34" i="1"/>
  <c r="AR31" i="1"/>
  <c r="N31" i="3" s="1"/>
  <c r="AR32" i="1"/>
  <c r="N32" i="3" s="1"/>
  <c r="N16" i="3"/>
  <c r="AR30" i="1"/>
  <c r="N30" i="3" s="1"/>
  <c r="AN14" i="7"/>
  <c r="M28" i="1" a="1"/>
  <c r="M28" i="1" s="1"/>
  <c r="M27" i="1" a="1"/>
  <c r="M27" i="1" s="1"/>
  <c r="M26" i="1" a="1"/>
  <c r="M26" i="1" s="1"/>
  <c r="M25" i="1" a="1"/>
  <c r="M25" i="1" s="1"/>
  <c r="M17" i="1" a="1"/>
  <c r="M17" i="1" s="1"/>
  <c r="M13" i="1" a="1"/>
  <c r="M13" i="1" s="1"/>
  <c r="M11" i="1" a="1"/>
  <c r="M11" i="1" s="1"/>
  <c r="M24" i="1" a="1"/>
  <c r="M24" i="1" s="1"/>
  <c r="M16" i="1" a="1"/>
  <c r="M16" i="1" s="1"/>
  <c r="M23" i="1" a="1"/>
  <c r="M23" i="1" s="1"/>
  <c r="M22" i="1" a="1"/>
  <c r="M22" i="1" s="1"/>
  <c r="M12" i="1" a="1"/>
  <c r="M12" i="1" s="1"/>
  <c r="M15" i="1" a="1"/>
  <c r="M15" i="1" s="1"/>
  <c r="M14" i="1" a="1"/>
  <c r="M14" i="1" s="1"/>
  <c r="M21" i="1" a="1"/>
  <c r="M21" i="1" s="1"/>
  <c r="M20" i="1" a="1"/>
  <c r="M20" i="1" s="1"/>
  <c r="M10" i="1" a="1"/>
  <c r="M10" i="1" s="1"/>
  <c r="AO56" i="1" s="1"/>
  <c r="K56" i="3" s="1"/>
  <c r="S56" i="3" s="1"/>
  <c r="M19" i="1" a="1"/>
  <c r="M19" i="1" s="1"/>
  <c r="M18" i="1" a="1"/>
  <c r="M18" i="1" s="1"/>
  <c r="M30" i="1" a="1"/>
  <c r="M30" i="1" s="1"/>
  <c r="M29" i="1" a="1"/>
  <c r="M29" i="1" s="1"/>
  <c r="M31" i="1" a="1"/>
  <c r="M31" i="1" s="1"/>
  <c r="N18" i="3"/>
  <c r="AR28" i="1"/>
  <c r="N28" i="3" s="1"/>
  <c r="AR20" i="1"/>
  <c r="N20" i="3" s="1"/>
  <c r="AR27" i="1"/>
  <c r="N27" i="3" s="1"/>
  <c r="AR22" i="1"/>
  <c r="N22" i="3" s="1"/>
  <c r="AR26" i="1"/>
  <c r="N26" i="3" s="1"/>
  <c r="AR25" i="1"/>
  <c r="N25" i="3" s="1"/>
  <c r="AR21" i="1"/>
  <c r="N21" i="3" s="1"/>
  <c r="AR23" i="1"/>
  <c r="N23" i="3" s="1"/>
  <c r="AR19" i="1"/>
  <c r="N19" i="3" s="1"/>
  <c r="N29" i="3"/>
  <c r="AR24" i="1"/>
  <c r="N24" i="3" s="1"/>
  <c r="Q13" i="3"/>
  <c r="Q15" i="3"/>
  <c r="Q14" i="3"/>
  <c r="A7" i="1"/>
  <c r="L32" i="1" l="1" a="1"/>
  <c r="L32" i="1" s="1"/>
  <c r="K32" i="1" a="1"/>
  <c r="K32" i="1" s="1"/>
  <c r="I32" i="1" a="1"/>
  <c r="I32" i="1" s="1"/>
  <c r="H32" i="1" a="1"/>
  <c r="H32" i="1" s="1"/>
  <c r="G32" i="1" a="1"/>
  <c r="G32" i="1" s="1"/>
  <c r="E32" i="1" a="1"/>
  <c r="E32" i="1" s="1"/>
  <c r="L33" i="1" a="1"/>
  <c r="L33" i="1" s="1"/>
  <c r="K37" i="1" a="1"/>
  <c r="K37" i="1" s="1"/>
  <c r="L37" i="1" a="1"/>
  <c r="L37" i="1" s="1"/>
  <c r="K33" i="1" a="1"/>
  <c r="K33" i="1" s="1"/>
  <c r="J33" i="1" a="1"/>
  <c r="J33" i="1" s="1"/>
  <c r="AL33" i="1" s="1"/>
  <c r="F53" i="1" a="1"/>
  <c r="F53" i="1" s="1"/>
  <c r="G41" i="1" a="1"/>
  <c r="G41" i="1" s="1"/>
  <c r="G38" i="1" a="1"/>
  <c r="G38" i="1" s="1"/>
  <c r="E48" i="1" a="1"/>
  <c r="E48" i="1" s="1"/>
  <c r="F47" i="1" a="1"/>
  <c r="F47" i="1" s="1"/>
  <c r="G36" i="1" a="1"/>
  <c r="G36" i="1" s="1"/>
  <c r="G47" i="1" a="1"/>
  <c r="G47" i="1" s="1"/>
  <c r="G35" i="1" a="1"/>
  <c r="G35" i="1" s="1"/>
  <c r="K38" i="1" a="1"/>
  <c r="K38" i="1" s="1"/>
  <c r="K53" i="1" a="1"/>
  <c r="K53" i="1" s="1"/>
  <c r="G33" i="1" a="1"/>
  <c r="G33" i="1" s="1"/>
  <c r="E41" i="1" a="1"/>
  <c r="E41" i="1" s="1"/>
  <c r="I33" i="1" a="1"/>
  <c r="I33" i="1" s="1"/>
  <c r="AK33" i="1" s="1"/>
  <c r="I38" i="1" a="1"/>
  <c r="I38" i="1" s="1"/>
  <c r="G49" i="1" a="1"/>
  <c r="G49" i="1" s="1"/>
  <c r="I55" i="1" a="1"/>
  <c r="I55" i="1" s="1"/>
  <c r="H51" i="1" a="1"/>
  <c r="H51" i="1" s="1"/>
  <c r="J54" i="1" a="1"/>
  <c r="J54" i="1" s="1"/>
  <c r="K45" i="1" a="1"/>
  <c r="K45" i="1" s="1"/>
  <c r="K51" i="1" a="1"/>
  <c r="K51" i="1" s="1"/>
  <c r="I48" i="1" a="1"/>
  <c r="I48" i="1" s="1"/>
  <c r="G34" i="1" a="1"/>
  <c r="G34" i="1" s="1"/>
  <c r="I39" i="1" a="1"/>
  <c r="I39" i="1" s="1"/>
  <c r="H52" i="1" a="1"/>
  <c r="H52" i="1" s="1"/>
  <c r="J32" i="1" a="1"/>
  <c r="J32" i="1" s="1"/>
  <c r="F38" i="1" a="1"/>
  <c r="F38" i="1" s="1"/>
  <c r="H37" i="1" a="1"/>
  <c r="H37" i="1" s="1"/>
  <c r="H45" i="1" a="1"/>
  <c r="H45" i="1" s="1"/>
  <c r="J40" i="1" a="1"/>
  <c r="J40" i="1" s="1"/>
  <c r="K43" i="1" a="1"/>
  <c r="K43" i="1" s="1"/>
  <c r="E39" i="1" a="1"/>
  <c r="E39" i="1" s="1"/>
  <c r="I43" i="1" a="1"/>
  <c r="I43" i="1" s="1"/>
  <c r="G39" i="1" a="1"/>
  <c r="G39" i="1" s="1"/>
  <c r="F32" i="1" a="1"/>
  <c r="F32" i="1" s="1"/>
  <c r="J37" i="1" a="1"/>
  <c r="J37" i="1" s="1"/>
  <c r="F41" i="1" a="1"/>
  <c r="F41" i="1" s="1"/>
  <c r="F44" i="1" a="1"/>
  <c r="F44" i="1" s="1"/>
  <c r="H53" i="1" a="1"/>
  <c r="H53" i="1" s="1"/>
  <c r="F48" i="1" a="1"/>
  <c r="F48" i="1" s="1"/>
  <c r="J34" i="1" a="1"/>
  <c r="J34" i="1" s="1"/>
  <c r="K36" i="1" a="1"/>
  <c r="K36" i="1" s="1"/>
  <c r="I49" i="1" a="1"/>
  <c r="I49" i="1" s="1"/>
  <c r="G43" i="1" a="1"/>
  <c r="G43" i="1" s="1"/>
  <c r="E34" i="1" a="1"/>
  <c r="E34" i="1" s="1"/>
  <c r="F37" i="1" a="1"/>
  <c r="F37" i="1" s="1"/>
  <c r="I47" i="1" a="1"/>
  <c r="I47" i="1" s="1"/>
  <c r="I45" i="1" a="1"/>
  <c r="I45" i="1" s="1"/>
  <c r="F39" i="1" a="1"/>
  <c r="F39" i="1" s="1"/>
  <c r="E35" i="1" a="1"/>
  <c r="E35" i="1" s="1"/>
  <c r="F49" i="1" a="1"/>
  <c r="F49" i="1" s="1"/>
  <c r="J42" i="1" a="1"/>
  <c r="J42" i="1" s="1"/>
  <c r="K54" i="1" a="1"/>
  <c r="K54" i="1" s="1"/>
  <c r="G52" i="1" a="1"/>
  <c r="G52" i="1" s="1"/>
  <c r="H55" i="1" a="1"/>
  <c r="H55" i="1" s="1"/>
  <c r="G42" i="1" a="1"/>
  <c r="G42" i="1" s="1"/>
  <c r="I53" i="1" a="1"/>
  <c r="I53" i="1" s="1"/>
  <c r="H48" i="1" a="1"/>
  <c r="H48" i="1" s="1"/>
  <c r="H34" i="1" a="1"/>
  <c r="H34" i="1" s="1"/>
  <c r="I36" i="1" a="1"/>
  <c r="I36" i="1" s="1"/>
  <c r="E51" i="1" a="1"/>
  <c r="E51" i="1" s="1"/>
  <c r="I50" i="1" a="1"/>
  <c r="I50" i="1" s="1"/>
  <c r="J52" i="1" a="1"/>
  <c r="J52" i="1" s="1"/>
  <c r="K40" i="1" a="1"/>
  <c r="K40" i="1" s="1"/>
  <c r="I37" i="1" a="1"/>
  <c r="I37" i="1" s="1"/>
  <c r="I46" i="1" a="1"/>
  <c r="I46" i="1" s="1"/>
  <c r="I40" i="1" a="1"/>
  <c r="I40" i="1" s="1"/>
  <c r="G53" i="1" a="1"/>
  <c r="G53" i="1" s="1"/>
  <c r="F45" i="1" a="1"/>
  <c r="F45" i="1" s="1"/>
  <c r="H42" i="1" a="1"/>
  <c r="H42" i="1" s="1"/>
  <c r="I34" i="1" a="1"/>
  <c r="I34" i="1" s="1"/>
  <c r="F54" i="1" a="1"/>
  <c r="F54" i="1" s="1"/>
  <c r="J55" i="1" a="1"/>
  <c r="J55" i="1" s="1"/>
  <c r="J50" i="1" a="1"/>
  <c r="J50" i="1" s="1"/>
  <c r="K34" i="1" a="1"/>
  <c r="K34" i="1" s="1"/>
  <c r="E44" i="1" a="1"/>
  <c r="E44" i="1" s="1"/>
  <c r="G55" i="1" a="1"/>
  <c r="G55" i="1" s="1"/>
  <c r="F51" i="1" a="1"/>
  <c r="F51" i="1" s="1"/>
  <c r="E43" i="1" a="1"/>
  <c r="E43" i="1" s="1"/>
  <c r="H40" i="1" a="1"/>
  <c r="H40" i="1" s="1"/>
  <c r="E40" i="1" a="1"/>
  <c r="E40" i="1" s="1"/>
  <c r="I35" i="1" a="1"/>
  <c r="I35" i="1" s="1"/>
  <c r="J53" i="1" a="1"/>
  <c r="J53" i="1" s="1"/>
  <c r="J46" i="1" a="1"/>
  <c r="J46" i="1" s="1"/>
  <c r="K52" i="1" a="1"/>
  <c r="K52" i="1" s="1"/>
  <c r="F36" i="1" a="1"/>
  <c r="F36" i="1" s="1"/>
  <c r="E38" i="1" a="1"/>
  <c r="E38" i="1" s="1"/>
  <c r="Y38" i="1" s="1"/>
  <c r="E52" i="1" a="1"/>
  <c r="E52" i="1" s="1"/>
  <c r="H50" i="1" a="1"/>
  <c r="H50" i="1" s="1"/>
  <c r="F55" i="1" a="1"/>
  <c r="F55" i="1" s="1"/>
  <c r="F46" i="1" a="1"/>
  <c r="F46" i="1" s="1"/>
  <c r="I52" i="1" a="1"/>
  <c r="I52" i="1" s="1"/>
  <c r="J51" i="1" a="1"/>
  <c r="J51" i="1" s="1"/>
  <c r="J49" i="1" a="1"/>
  <c r="J49" i="1" s="1"/>
  <c r="K50" i="1" a="1"/>
  <c r="K50" i="1" s="1"/>
  <c r="G45" i="1" a="1"/>
  <c r="G45" i="1" s="1"/>
  <c r="G46" i="1" a="1"/>
  <c r="G46" i="1" s="1"/>
  <c r="E54" i="1" a="1"/>
  <c r="E54" i="1" s="1"/>
  <c r="E53" i="1" a="1"/>
  <c r="E53" i="1" s="1"/>
  <c r="Y53" i="1" s="1"/>
  <c r="G40" i="1" a="1"/>
  <c r="G40" i="1" s="1"/>
  <c r="H41" i="1" a="1"/>
  <c r="H41" i="1" s="1"/>
  <c r="AJ41" i="1" s="1"/>
  <c r="H38" i="1" a="1"/>
  <c r="H38" i="1" s="1"/>
  <c r="J48" i="1" a="1"/>
  <c r="J48" i="1" s="1"/>
  <c r="J44" i="1" a="1"/>
  <c r="J44" i="1" s="1"/>
  <c r="K46" i="1" a="1"/>
  <c r="K46" i="1" s="1"/>
  <c r="E45" i="1" a="1"/>
  <c r="E45" i="1" s="1"/>
  <c r="E46" i="1" a="1"/>
  <c r="E46" i="1" s="1"/>
  <c r="Y46" i="1" s="1"/>
  <c r="H49" i="1" a="1"/>
  <c r="H49" i="1" s="1"/>
  <c r="F42" i="1" a="1"/>
  <c r="F42" i="1" s="1"/>
  <c r="H46" i="1" a="1"/>
  <c r="H46" i="1" s="1"/>
  <c r="E33" i="1" a="1"/>
  <c r="E33" i="1" s="1"/>
  <c r="H54" i="1" a="1"/>
  <c r="H54" i="1" s="1"/>
  <c r="J47" i="1" a="1"/>
  <c r="J47" i="1" s="1"/>
  <c r="J41" i="1" a="1"/>
  <c r="J41" i="1" s="1"/>
  <c r="AL41" i="1" s="1"/>
  <c r="K42" i="1" a="1"/>
  <c r="K42" i="1" s="1"/>
  <c r="H47" i="1" a="1"/>
  <c r="H47" i="1" s="1"/>
  <c r="H35" i="1" a="1"/>
  <c r="H35" i="1" s="1"/>
  <c r="I41" i="1" a="1"/>
  <c r="I41" i="1" s="1"/>
  <c r="AK41" i="1" s="1"/>
  <c r="H43" i="1" a="1"/>
  <c r="H43" i="1" s="1"/>
  <c r="E49" i="1" a="1"/>
  <c r="E49" i="1" s="1"/>
  <c r="F52" i="1" a="1"/>
  <c r="F52" i="1" s="1"/>
  <c r="J45" i="1" a="1"/>
  <c r="J45" i="1" s="1"/>
  <c r="J38" i="1" a="1"/>
  <c r="J38" i="1" s="1"/>
  <c r="K35" i="1" a="1"/>
  <c r="K35" i="1" s="1"/>
  <c r="G50" i="1" a="1"/>
  <c r="G50" i="1" s="1"/>
  <c r="F40" i="1" a="1"/>
  <c r="F40" i="1" s="1"/>
  <c r="G37" i="1" a="1"/>
  <c r="G37" i="1" s="1"/>
  <c r="F43" i="1" a="1"/>
  <c r="F43" i="1" s="1"/>
  <c r="E37" i="1" a="1"/>
  <c r="E37" i="1" s="1"/>
  <c r="H36" i="1" a="1"/>
  <c r="H36" i="1" s="1"/>
  <c r="J43" i="1" a="1"/>
  <c r="J43" i="1" s="1"/>
  <c r="J39" i="1" a="1"/>
  <c r="J39" i="1" s="1"/>
  <c r="K44" i="1" a="1"/>
  <c r="K44" i="1" s="1"/>
  <c r="E50" i="1" a="1"/>
  <c r="E50" i="1" s="1"/>
  <c r="I44" i="1" a="1"/>
  <c r="I44" i="1" s="1"/>
  <c r="I51" i="1" a="1"/>
  <c r="I51" i="1" s="1"/>
  <c r="E55" i="1" a="1"/>
  <c r="E55" i="1" s="1"/>
  <c r="H39" i="1" a="1"/>
  <c r="H39" i="1" s="1"/>
  <c r="E36" i="1" a="1"/>
  <c r="E36" i="1" s="1"/>
  <c r="Y36" i="1" s="1"/>
  <c r="F35" i="1" a="1"/>
  <c r="F35" i="1" s="1"/>
  <c r="K55" i="1" a="1"/>
  <c r="K55" i="1" s="1"/>
  <c r="K49" i="1" a="1"/>
  <c r="K49" i="1" s="1"/>
  <c r="G44" i="1" a="1"/>
  <c r="G44" i="1" s="1"/>
  <c r="G51" i="1" a="1"/>
  <c r="G51" i="1" s="1"/>
  <c r="I42" i="1" a="1"/>
  <c r="I42" i="1" s="1"/>
  <c r="E42" i="1" a="1"/>
  <c r="E42" i="1" s="1"/>
  <c r="Y42" i="1" s="1"/>
  <c r="I54" i="1" a="1"/>
  <c r="I54" i="1" s="1"/>
  <c r="J36" i="1" a="1"/>
  <c r="J36" i="1" s="1"/>
  <c r="K47" i="1" a="1"/>
  <c r="K47" i="1" s="1"/>
  <c r="K41" i="1" a="1"/>
  <c r="K41" i="1" s="1"/>
  <c r="H33" i="1" a="1"/>
  <c r="H33" i="1" s="1"/>
  <c r="AJ33" i="1" s="1"/>
  <c r="G54" i="1" a="1"/>
  <c r="G54" i="1" s="1"/>
  <c r="G48" i="1" a="1"/>
  <c r="G48" i="1" s="1"/>
  <c r="F50" i="1" a="1"/>
  <c r="F50" i="1" s="1"/>
  <c r="F34" i="1" a="1"/>
  <c r="F34" i="1" s="1"/>
  <c r="H44" i="1" a="1"/>
  <c r="H44" i="1" s="1"/>
  <c r="F33" i="1" a="1"/>
  <c r="F33" i="1" s="1"/>
  <c r="J35" i="1" a="1"/>
  <c r="J35" i="1" s="1"/>
  <c r="K48" i="1" a="1"/>
  <c r="K48" i="1" s="1"/>
  <c r="K39" i="1" a="1"/>
  <c r="K39" i="1" s="1"/>
  <c r="E47" i="1" a="1"/>
  <c r="E47" i="1" s="1"/>
  <c r="Y47" i="1" s="1"/>
  <c r="L55" i="1" a="1"/>
  <c r="L55" i="1" s="1"/>
  <c r="L45" i="1" a="1"/>
  <c r="L45" i="1" s="1"/>
  <c r="L43" i="1" a="1"/>
  <c r="L43" i="1" s="1"/>
  <c r="L42" i="1" a="1"/>
  <c r="L42" i="1" s="1"/>
  <c r="L47" i="1" a="1"/>
  <c r="L47" i="1" s="1"/>
  <c r="L36" i="1" a="1"/>
  <c r="L36" i="1" s="1"/>
  <c r="L40" i="1" a="1"/>
  <c r="L40" i="1" s="1"/>
  <c r="L34" i="1" a="1"/>
  <c r="L34" i="1" s="1"/>
  <c r="L54" i="1" a="1"/>
  <c r="L54" i="1" s="1"/>
  <c r="L38" i="1" a="1"/>
  <c r="L38" i="1" s="1"/>
  <c r="L49" i="1" a="1"/>
  <c r="L49" i="1" s="1"/>
  <c r="L52" i="1" a="1"/>
  <c r="L52" i="1" s="1"/>
  <c r="L50" i="1" a="1"/>
  <c r="L50" i="1" s="1"/>
  <c r="L46" i="1" a="1"/>
  <c r="L46" i="1" s="1"/>
  <c r="L35" i="1" a="1"/>
  <c r="L35" i="1" s="1"/>
  <c r="L44" i="1" a="1"/>
  <c r="L44" i="1" s="1"/>
  <c r="L41" i="1" a="1"/>
  <c r="L41" i="1" s="1"/>
  <c r="L39" i="1" a="1"/>
  <c r="L39" i="1" s="1"/>
  <c r="L53" i="1" a="1"/>
  <c r="L53" i="1" s="1"/>
  <c r="L51" i="1" a="1"/>
  <c r="L51" i="1" s="1"/>
  <c r="L48" i="1" a="1"/>
  <c r="L48" i="1" s="1"/>
  <c r="AO54" i="1"/>
  <c r="K54" i="3" s="1"/>
  <c r="S54" i="3" s="1"/>
  <c r="AO55" i="1"/>
  <c r="K55" i="3" s="1"/>
  <c r="S55" i="3" s="1"/>
  <c r="AO52" i="1"/>
  <c r="K52" i="3" s="1"/>
  <c r="S52" i="3" s="1"/>
  <c r="AO53" i="1"/>
  <c r="K53" i="3" s="1"/>
  <c r="S53" i="3" s="1"/>
  <c r="AO50" i="1"/>
  <c r="K50" i="3" s="1"/>
  <c r="S50" i="3" s="1"/>
  <c r="AO51" i="1"/>
  <c r="K51" i="3" s="1"/>
  <c r="S51" i="3" s="1"/>
  <c r="AO48" i="1"/>
  <c r="K48" i="3" s="1"/>
  <c r="S48" i="3" s="1"/>
  <c r="AO49" i="1"/>
  <c r="K49" i="3" s="1"/>
  <c r="S49" i="3" s="1"/>
  <c r="AO46" i="1"/>
  <c r="K46" i="3" s="1"/>
  <c r="S46" i="3" s="1"/>
  <c r="AO47" i="1"/>
  <c r="K47" i="3" s="1"/>
  <c r="S47" i="3" s="1"/>
  <c r="AO44" i="1"/>
  <c r="K44" i="3" s="1"/>
  <c r="S44" i="3" s="1"/>
  <c r="AO45" i="1"/>
  <c r="K45" i="3" s="1"/>
  <c r="S45" i="3" s="1"/>
  <c r="AO42" i="1"/>
  <c r="K42" i="3" s="1"/>
  <c r="S42" i="3" s="1"/>
  <c r="AO43" i="1"/>
  <c r="K43" i="3" s="1"/>
  <c r="S43" i="3" s="1"/>
  <c r="AO40" i="1"/>
  <c r="K40" i="3" s="1"/>
  <c r="S40" i="3" s="1"/>
  <c r="AO41" i="1"/>
  <c r="K41" i="3" s="1"/>
  <c r="S41" i="3" s="1"/>
  <c r="AO38" i="1"/>
  <c r="K38" i="3" s="1"/>
  <c r="S38" i="3" s="1"/>
  <c r="AO39" i="1"/>
  <c r="K39" i="3" s="1"/>
  <c r="S39" i="3" s="1"/>
  <c r="AO36" i="1"/>
  <c r="K36" i="3" s="1"/>
  <c r="S36" i="3" s="1"/>
  <c r="AO37" i="1"/>
  <c r="K37" i="3" s="1"/>
  <c r="S37" i="3" s="1"/>
  <c r="AO34" i="1"/>
  <c r="K34" i="3" s="1"/>
  <c r="S34" i="3" s="1"/>
  <c r="AO35" i="1"/>
  <c r="K35" i="3" s="1"/>
  <c r="S35" i="3" s="1"/>
  <c r="AO32" i="1"/>
  <c r="K32" i="3" s="1"/>
  <c r="S32" i="3" s="1"/>
  <c r="AO33" i="1"/>
  <c r="K33" i="3" s="1"/>
  <c r="S33" i="3" s="1"/>
  <c r="AO31" i="1"/>
  <c r="K31" i="3" s="1"/>
  <c r="S31" i="3" s="1"/>
  <c r="AO29" i="1"/>
  <c r="K29" i="3" s="1"/>
  <c r="S29" i="3" s="1"/>
  <c r="AO30" i="1"/>
  <c r="K30" i="3" s="1"/>
  <c r="S30" i="3" s="1"/>
  <c r="AO14" i="1"/>
  <c r="K14" i="3" s="1"/>
  <c r="S14" i="3" s="1"/>
  <c r="AO15" i="1"/>
  <c r="K15" i="3" s="1"/>
  <c r="S15" i="3" s="1"/>
  <c r="AO12" i="1"/>
  <c r="K12" i="3" s="1"/>
  <c r="S12" i="3" s="1"/>
  <c r="AO22" i="1"/>
  <c r="K22" i="3" s="1"/>
  <c r="S22" i="3" s="1"/>
  <c r="AO23" i="1"/>
  <c r="K23" i="3" s="1"/>
  <c r="S23" i="3" s="1"/>
  <c r="AO16" i="1"/>
  <c r="K16" i="3" s="1"/>
  <c r="S16" i="3" s="1"/>
  <c r="AO18" i="1"/>
  <c r="K18" i="3" s="1"/>
  <c r="S18" i="3" s="1"/>
  <c r="AO24" i="1"/>
  <c r="K24" i="3" s="1"/>
  <c r="S24" i="3" s="1"/>
  <c r="AO19" i="1"/>
  <c r="K19" i="3" s="1"/>
  <c r="S19" i="3" s="1"/>
  <c r="AO13" i="1"/>
  <c r="K13" i="3" s="1"/>
  <c r="S13" i="3" s="1"/>
  <c r="AO17" i="1"/>
  <c r="K17" i="3" s="1"/>
  <c r="S17" i="3" s="1"/>
  <c r="AO25" i="1"/>
  <c r="K25" i="3" s="1"/>
  <c r="S25" i="3" s="1"/>
  <c r="AO20" i="1"/>
  <c r="K20" i="3" s="1"/>
  <c r="S20" i="3" s="1"/>
  <c r="AO26" i="1"/>
  <c r="K26" i="3" s="1"/>
  <c r="S26" i="3" s="1"/>
  <c r="AO27" i="1"/>
  <c r="K27" i="3" s="1"/>
  <c r="S27" i="3" s="1"/>
  <c r="AO28" i="1"/>
  <c r="K28" i="3" s="1"/>
  <c r="S28" i="3" s="1"/>
  <c r="AO21" i="1"/>
  <c r="K21" i="3" s="1"/>
  <c r="S21" i="3" s="1"/>
  <c r="BC14" i="7"/>
  <c r="E22" i="1" a="1"/>
  <c r="E22" i="1" s="1"/>
  <c r="F23" i="1" a="1"/>
  <c r="F23" i="1" s="1"/>
  <c r="H25" i="1" a="1"/>
  <c r="H25" i="1" s="1"/>
  <c r="G16" i="1" a="1"/>
  <c r="G16" i="1" s="1"/>
  <c r="F22" i="1" a="1"/>
  <c r="F22" i="1" s="1"/>
  <c r="I17" i="1" a="1"/>
  <c r="I17" i="1" s="1"/>
  <c r="H15" i="1" a="1"/>
  <c r="H15" i="1" s="1"/>
  <c r="L17" i="1" a="1"/>
  <c r="L17" i="1" s="1"/>
  <c r="J12" i="1" a="1"/>
  <c r="J12" i="1" s="1"/>
  <c r="E20" i="1" a="1"/>
  <c r="E20" i="1" s="1"/>
  <c r="F21" i="1" a="1"/>
  <c r="F21" i="1" s="1"/>
  <c r="G22" i="1" a="1"/>
  <c r="G22" i="1" s="1"/>
  <c r="H23" i="1" a="1"/>
  <c r="H23" i="1" s="1"/>
  <c r="I24" i="1" a="1"/>
  <c r="I24" i="1" s="1"/>
  <c r="J25" i="1" a="1"/>
  <c r="J25" i="1" s="1"/>
  <c r="K26" i="1" a="1"/>
  <c r="K26" i="1" s="1"/>
  <c r="L27" i="1" a="1"/>
  <c r="L27" i="1" s="1"/>
  <c r="I16" i="1" a="1"/>
  <c r="I16" i="1" s="1"/>
  <c r="I15" i="1" a="1"/>
  <c r="I15" i="1" s="1"/>
  <c r="K11" i="1" a="1"/>
  <c r="K11" i="1" s="1"/>
  <c r="E18" i="1" a="1"/>
  <c r="E18" i="1" s="1"/>
  <c r="F19" i="1" a="1"/>
  <c r="F19" i="1" s="1"/>
  <c r="G20" i="1" a="1"/>
  <c r="G20" i="1" s="1"/>
  <c r="H21" i="1" a="1"/>
  <c r="H21" i="1" s="1"/>
  <c r="I22" i="1" a="1"/>
  <c r="I22" i="1" s="1"/>
  <c r="J23" i="1" a="1"/>
  <c r="J23" i="1" s="1"/>
  <c r="K24" i="1" a="1"/>
  <c r="K24" i="1" s="1"/>
  <c r="L25" i="1" a="1"/>
  <c r="L25" i="1" s="1"/>
  <c r="F18" i="1" a="1"/>
  <c r="F18" i="1" s="1"/>
  <c r="G19" i="1" a="1"/>
  <c r="G19" i="1" s="1"/>
  <c r="H20" i="1" a="1"/>
  <c r="H20" i="1" s="1"/>
  <c r="I21" i="1" a="1"/>
  <c r="I21" i="1" s="1"/>
  <c r="J22" i="1" a="1"/>
  <c r="J22" i="1" s="1"/>
  <c r="K23" i="1" a="1"/>
  <c r="K23" i="1" s="1"/>
  <c r="L24" i="1" a="1"/>
  <c r="L24" i="1" s="1"/>
  <c r="K12" i="1" a="1"/>
  <c r="K12" i="1" s="1"/>
  <c r="J13" i="1" a="1"/>
  <c r="J13" i="1" s="1"/>
  <c r="J14" i="1" a="1"/>
  <c r="J14" i="1" s="1"/>
  <c r="K15" i="1" a="1"/>
  <c r="K15" i="1" s="1"/>
  <c r="L16" i="1" a="1"/>
  <c r="L16" i="1" s="1"/>
  <c r="J11" i="1" a="1"/>
  <c r="J11" i="1" s="1"/>
  <c r="I18" i="1" a="1"/>
  <c r="I18" i="1" s="1"/>
  <c r="L21" i="1" a="1"/>
  <c r="L21" i="1" s="1"/>
  <c r="F31" i="1" a="1"/>
  <c r="F31" i="1" s="1"/>
  <c r="I23" i="1" a="1"/>
  <c r="I23" i="1" s="1"/>
  <c r="G18" i="1" a="1"/>
  <c r="G18" i="1" s="1"/>
  <c r="H19" i="1" a="1"/>
  <c r="H19" i="1" s="1"/>
  <c r="I20" i="1" a="1"/>
  <c r="I20" i="1" s="1"/>
  <c r="J21" i="1" a="1"/>
  <c r="J21" i="1" s="1"/>
  <c r="K22" i="1" a="1"/>
  <c r="K22" i="1" s="1"/>
  <c r="L23" i="1" a="1"/>
  <c r="L23" i="1" s="1"/>
  <c r="L12" i="1" a="1"/>
  <c r="L12" i="1" s="1"/>
  <c r="K13" i="1" a="1"/>
  <c r="K13" i="1" s="1"/>
  <c r="K14" i="1" a="1"/>
  <c r="K14" i="1" s="1"/>
  <c r="L15" i="1" a="1"/>
  <c r="L15" i="1" s="1"/>
  <c r="I11" i="1" a="1"/>
  <c r="I11" i="1" s="1"/>
  <c r="H18" i="1" a="1"/>
  <c r="H18" i="1" s="1"/>
  <c r="I19" i="1" a="1"/>
  <c r="I19" i="1" s="1"/>
  <c r="J20" i="1" a="1"/>
  <c r="J20" i="1" s="1"/>
  <c r="K21" i="1" a="1"/>
  <c r="K21" i="1" s="1"/>
  <c r="L22" i="1" a="1"/>
  <c r="L22" i="1" s="1"/>
  <c r="E31" i="1" a="1"/>
  <c r="E31" i="1" s="1"/>
  <c r="L14" i="1" a="1"/>
  <c r="L14" i="1" s="1"/>
  <c r="J19" i="1" a="1"/>
  <c r="J19" i="1" s="1"/>
  <c r="E30" i="1" a="1"/>
  <c r="E30" i="1" s="1"/>
  <c r="G11" i="1" a="1"/>
  <c r="G11" i="1" s="1"/>
  <c r="G14" i="1" a="1"/>
  <c r="G14" i="1" s="1"/>
  <c r="J24" i="1" a="1"/>
  <c r="J24" i="1" s="1"/>
  <c r="L13" i="1" a="1"/>
  <c r="L13" i="1" s="1"/>
  <c r="H11" i="1" a="1"/>
  <c r="H11" i="1" s="1"/>
  <c r="K20" i="1" a="1"/>
  <c r="K20" i="1" s="1"/>
  <c r="H12" i="1" a="1"/>
  <c r="H12" i="1" s="1"/>
  <c r="L26" i="1" a="1"/>
  <c r="L26" i="1" s="1"/>
  <c r="K17" i="1" a="1"/>
  <c r="K17" i="1" s="1"/>
  <c r="J15" i="1" a="1"/>
  <c r="J15" i="1" s="1"/>
  <c r="J17" i="1" a="1"/>
  <c r="J17" i="1" s="1"/>
  <c r="H14" i="1" a="1"/>
  <c r="H14" i="1" s="1"/>
  <c r="J18" i="1" a="1"/>
  <c r="J18" i="1" s="1"/>
  <c r="K19" i="1" a="1"/>
  <c r="K19" i="1" s="1"/>
  <c r="L20" i="1" a="1"/>
  <c r="L20" i="1" s="1"/>
  <c r="E29" i="1" a="1"/>
  <c r="E29" i="1" s="1"/>
  <c r="F30" i="1" a="1"/>
  <c r="F30" i="1" s="1"/>
  <c r="G31" i="1" a="1"/>
  <c r="G31" i="1" s="1"/>
  <c r="F11" i="1" a="1"/>
  <c r="F11" i="1" s="1"/>
  <c r="E10" i="1" a="1"/>
  <c r="E10" i="1" s="1"/>
  <c r="AG56" i="1" s="1"/>
  <c r="E26" i="1" a="1"/>
  <c r="E26" i="1" s="1"/>
  <c r="G28" i="1" a="1"/>
  <c r="G28" i="1" s="1"/>
  <c r="I30" i="1" a="1"/>
  <c r="I30" i="1" s="1"/>
  <c r="J27" i="1" a="1"/>
  <c r="J27" i="1" s="1"/>
  <c r="F15" i="1" a="1"/>
  <c r="F15" i="1" s="1"/>
  <c r="K10" i="1" a="1"/>
  <c r="K10" i="1" s="1"/>
  <c r="AM56" i="1" s="1"/>
  <c r="I25" i="1" a="1"/>
  <c r="I25" i="1" s="1"/>
  <c r="H13" i="1" a="1"/>
  <c r="H13" i="1" s="1"/>
  <c r="K18" i="1" a="1"/>
  <c r="K18" i="1" s="1"/>
  <c r="L19" i="1" a="1"/>
  <c r="L19" i="1" s="1"/>
  <c r="E28" i="1" a="1"/>
  <c r="E28" i="1" s="1"/>
  <c r="F29" i="1" a="1"/>
  <c r="F29" i="1" s="1"/>
  <c r="G30" i="1" a="1"/>
  <c r="G30" i="1" s="1"/>
  <c r="H31" i="1" a="1"/>
  <c r="H31" i="1" s="1"/>
  <c r="E11" i="1" a="1"/>
  <c r="E11" i="1" s="1"/>
  <c r="E27" i="1" a="1"/>
  <c r="E27" i="1" s="1"/>
  <c r="H30" i="1" a="1"/>
  <c r="H30" i="1" s="1"/>
  <c r="I31" i="1" a="1"/>
  <c r="I31" i="1" s="1"/>
  <c r="E15" i="1" a="1"/>
  <c r="E15" i="1" s="1"/>
  <c r="G24" i="1" a="1"/>
  <c r="G24" i="1" s="1"/>
  <c r="L29" i="1" a="1"/>
  <c r="L29" i="1" s="1"/>
  <c r="F12" i="1" a="1"/>
  <c r="F12" i="1" s="1"/>
  <c r="AH12" i="1" s="1"/>
  <c r="H17" i="1" a="1"/>
  <c r="H17" i="1" s="1"/>
  <c r="J26" i="1" a="1"/>
  <c r="J26" i="1" s="1"/>
  <c r="F14" i="1" a="1"/>
  <c r="F14" i="1" s="1"/>
  <c r="K25" i="1" a="1"/>
  <c r="K25" i="1" s="1"/>
  <c r="I13" i="1" a="1"/>
  <c r="I13" i="1" s="1"/>
  <c r="L18" i="1" a="1"/>
  <c r="L18" i="1" s="1"/>
  <c r="F28" i="1" a="1"/>
  <c r="F28" i="1" s="1"/>
  <c r="G29" i="1" a="1"/>
  <c r="G29" i="1" s="1"/>
  <c r="F10" i="1" a="1"/>
  <c r="F10" i="1" s="1"/>
  <c r="AH56" i="1" s="1"/>
  <c r="F27" i="1" a="1"/>
  <c r="F27" i="1" s="1"/>
  <c r="H29" i="1" a="1"/>
  <c r="H29" i="1" s="1"/>
  <c r="J31" i="1" a="1"/>
  <c r="J31" i="1" s="1"/>
  <c r="G10" i="1" a="1"/>
  <c r="G10" i="1" s="1"/>
  <c r="AI56" i="1" s="1"/>
  <c r="E56" i="3" s="1"/>
  <c r="G17" i="1" a="1"/>
  <c r="G17" i="1" s="1"/>
  <c r="I26" i="1" a="1"/>
  <c r="I26" i="1" s="1"/>
  <c r="E14" i="1" a="1"/>
  <c r="E14" i="1" s="1"/>
  <c r="E21" i="1" a="1"/>
  <c r="E21" i="1" s="1"/>
  <c r="F13" i="1" a="1"/>
  <c r="F13" i="1" s="1"/>
  <c r="F20" i="1" a="1"/>
  <c r="F20" i="1" s="1"/>
  <c r="G23" i="1" a="1"/>
  <c r="G23" i="1" s="1"/>
  <c r="G15" i="1" a="1"/>
  <c r="G15" i="1" s="1"/>
  <c r="G21" i="1" a="1"/>
  <c r="G21" i="1" s="1"/>
  <c r="L11" i="1" a="1"/>
  <c r="L11" i="1" s="1"/>
  <c r="I14" i="1" a="1"/>
  <c r="I14" i="1" s="1"/>
  <c r="E25" i="1" a="1"/>
  <c r="E25" i="1" s="1"/>
  <c r="F26" i="1" a="1"/>
  <c r="F26" i="1" s="1"/>
  <c r="G27" i="1" a="1"/>
  <c r="G27" i="1" s="1"/>
  <c r="H28" i="1" a="1"/>
  <c r="H28" i="1" s="1"/>
  <c r="I29" i="1" a="1"/>
  <c r="I29" i="1" s="1"/>
  <c r="J30" i="1" a="1"/>
  <c r="J30" i="1" s="1"/>
  <c r="K31" i="1" a="1"/>
  <c r="K31" i="1" s="1"/>
  <c r="E17" i="1" a="1"/>
  <c r="E17" i="1" s="1"/>
  <c r="H10" i="1" a="1"/>
  <c r="H10" i="1" s="1"/>
  <c r="AJ56" i="1" s="1"/>
  <c r="E24" i="1" a="1"/>
  <c r="E24" i="1" s="1"/>
  <c r="F25" i="1" a="1"/>
  <c r="F25" i="1" s="1"/>
  <c r="G26" i="1" a="1"/>
  <c r="G26" i="1" s="1"/>
  <c r="H27" i="1" a="1"/>
  <c r="H27" i="1" s="1"/>
  <c r="J29" i="1" a="1"/>
  <c r="J29" i="1" s="1"/>
  <c r="K30" i="1" a="1"/>
  <c r="K30" i="1" s="1"/>
  <c r="E16" i="1" a="1"/>
  <c r="E16" i="1" s="1"/>
  <c r="I10" i="1" a="1"/>
  <c r="I10" i="1" s="1"/>
  <c r="AK56" i="1" s="1"/>
  <c r="E23" i="1" a="1"/>
  <c r="E23" i="1" s="1"/>
  <c r="F24" i="1" a="1"/>
  <c r="F24" i="1" s="1"/>
  <c r="G25" i="1" a="1"/>
  <c r="G25" i="1" s="1"/>
  <c r="H26" i="1" a="1"/>
  <c r="H26" i="1" s="1"/>
  <c r="I27" i="1" a="1"/>
  <c r="I27" i="1" s="1"/>
  <c r="J28" i="1" a="1"/>
  <c r="J28" i="1" s="1"/>
  <c r="K29" i="1" a="1"/>
  <c r="K29" i="1" s="1"/>
  <c r="AM29" i="1" s="1"/>
  <c r="L30" i="1" a="1"/>
  <c r="L30" i="1" s="1"/>
  <c r="E12" i="1" a="1"/>
  <c r="E12" i="1" s="1"/>
  <c r="AG12" i="1" s="1"/>
  <c r="E13" i="1" a="1"/>
  <c r="E13" i="1" s="1"/>
  <c r="F16" i="1" a="1"/>
  <c r="F16" i="1" s="1"/>
  <c r="J10" i="1" a="1"/>
  <c r="J10" i="1" s="1"/>
  <c r="AL56" i="1" s="1"/>
  <c r="H56" i="3" s="1"/>
  <c r="K28" i="1" a="1"/>
  <c r="K28" i="1" s="1"/>
  <c r="H24" i="1" a="1"/>
  <c r="H24" i="1" s="1"/>
  <c r="K27" i="1" a="1"/>
  <c r="K27" i="1" s="1"/>
  <c r="G12" i="1" a="1"/>
  <c r="G12" i="1" s="1"/>
  <c r="AI12" i="1" s="1"/>
  <c r="G13" i="1" a="1"/>
  <c r="G13" i="1" s="1"/>
  <c r="I28" i="1" a="1"/>
  <c r="I28" i="1" s="1"/>
  <c r="L31" i="1" a="1"/>
  <c r="L31" i="1" s="1"/>
  <c r="F17" i="1" a="1"/>
  <c r="F17" i="1" s="1"/>
  <c r="L28" i="1" a="1"/>
  <c r="L28" i="1" s="1"/>
  <c r="H16" i="1" a="1"/>
  <c r="H16" i="1" s="1"/>
  <c r="E19" i="1" a="1"/>
  <c r="E19" i="1" s="1"/>
  <c r="I12" i="1" a="1"/>
  <c r="I12" i="1" s="1"/>
  <c r="L10" i="1" a="1"/>
  <c r="L10" i="1" s="1"/>
  <c r="AN56" i="1" s="1"/>
  <c r="H22" i="1" a="1"/>
  <c r="H22" i="1" s="1"/>
  <c r="J16" i="1" a="1"/>
  <c r="J16" i="1" s="1"/>
  <c r="K16" i="1" a="1"/>
  <c r="K16" i="1" s="1"/>
  <c r="Q16" i="3"/>
  <c r="Q32" i="3"/>
  <c r="D11" i="1"/>
  <c r="D10" i="1"/>
  <c r="Y37" i="1" l="1"/>
  <c r="Y55" i="1"/>
  <c r="W47" i="1"/>
  <c r="Y45" i="1"/>
  <c r="Y49" i="1"/>
  <c r="U41" i="1"/>
  <c r="AA41" i="1" s="1"/>
  <c r="W41" i="1"/>
  <c r="T41" i="1"/>
  <c r="V41" i="1"/>
  <c r="AB41" i="1" s="1"/>
  <c r="Y50" i="1"/>
  <c r="U47" i="1"/>
  <c r="T47" i="1"/>
  <c r="V47" i="1"/>
  <c r="AB47" i="1" s="1"/>
  <c r="U44" i="1"/>
  <c r="W44" i="1"/>
  <c r="T44" i="1"/>
  <c r="V44" i="1"/>
  <c r="AB44" i="1" s="1"/>
  <c r="U52" i="1"/>
  <c r="W52" i="1"/>
  <c r="T52" i="1"/>
  <c r="V52" i="1"/>
  <c r="AB52" i="1" s="1"/>
  <c r="U54" i="1"/>
  <c r="W54" i="1"/>
  <c r="T54" i="1"/>
  <c r="V54" i="1"/>
  <c r="AB54" i="1" s="1"/>
  <c r="W51" i="1"/>
  <c r="T51" i="1"/>
  <c r="U51" i="1"/>
  <c r="V51" i="1"/>
  <c r="AB51" i="1" s="1"/>
  <c r="Y48" i="1"/>
  <c r="U45" i="1"/>
  <c r="W45" i="1"/>
  <c r="T45" i="1"/>
  <c r="V45" i="1"/>
  <c r="AB45" i="1" s="1"/>
  <c r="BI32" i="1" a="1"/>
  <c r="BI32" i="1" s="1"/>
  <c r="BK32" i="1" a="1"/>
  <c r="BK32" i="1" s="1"/>
  <c r="BG37" i="1" a="1"/>
  <c r="BG37" i="1" s="1"/>
  <c r="BW37" i="1" s="1"/>
  <c r="BA51" i="1" a="1"/>
  <c r="BA51" i="1" s="1"/>
  <c r="BI52" i="1" a="1"/>
  <c r="BI52" i="1" s="1"/>
  <c r="BC38" i="1" a="1"/>
  <c r="BC38" i="1" s="1"/>
  <c r="BJ41" i="1" a="1"/>
  <c r="BJ41" i="1" s="1"/>
  <c r="AZ43" i="1" a="1"/>
  <c r="AZ43" i="1" s="1"/>
  <c r="BK48" i="1" a="1"/>
  <c r="BK48" i="1" s="1"/>
  <c r="BA50" i="1" a="1"/>
  <c r="BA50" i="1" s="1"/>
  <c r="AW47" i="1" a="1"/>
  <c r="AW47" i="1" s="1"/>
  <c r="AY39" i="1" a="1"/>
  <c r="AY39" i="1" s="1"/>
  <c r="AW43" i="1" a="1"/>
  <c r="AW43" i="1" s="1"/>
  <c r="AW46" i="1" a="1"/>
  <c r="AW46" i="1" s="1"/>
  <c r="BH51" i="1" a="1"/>
  <c r="BH51" i="1" s="1"/>
  <c r="BG55" i="1" a="1"/>
  <c r="BG55" i="1" s="1"/>
  <c r="BW55" i="1" s="1"/>
  <c r="BG40" i="1" a="1"/>
  <c r="BG40" i="1" s="1"/>
  <c r="BW40" i="1" s="1"/>
  <c r="AX45" i="1" a="1"/>
  <c r="AX45" i="1" s="1"/>
  <c r="AW45" i="1" a="1"/>
  <c r="AW45" i="1" s="1"/>
  <c r="AW52" i="1" a="1"/>
  <c r="AW52" i="1" s="1"/>
  <c r="AZ47" i="1" a="1"/>
  <c r="AZ47" i="1" s="1"/>
  <c r="BD34" i="1" a="1"/>
  <c r="BD34" i="1" s="1"/>
  <c r="BE42" i="1" a="1"/>
  <c r="BE42" i="1" s="1"/>
  <c r="BH33" i="1" a="1"/>
  <c r="BH33" i="1" s="1"/>
  <c r="AX32" i="1" a="1"/>
  <c r="AX32" i="1" s="1"/>
  <c r="BF50" i="1" a="1"/>
  <c r="BF50" i="1" s="1"/>
  <c r="BV50" i="1" s="1"/>
  <c r="AZ51" i="1" a="1"/>
  <c r="AZ51" i="1" s="1"/>
  <c r="BI38" i="1" a="1"/>
  <c r="BI38" i="1" s="1"/>
  <c r="AY40" i="1" a="1"/>
  <c r="AY40" i="1" s="1"/>
  <c r="BI42" i="1" a="1"/>
  <c r="BI42" i="1" s="1"/>
  <c r="AZ46" i="1" a="1"/>
  <c r="AZ46" i="1" s="1"/>
  <c r="AZ49" i="1" a="1"/>
  <c r="AZ49" i="1" s="1"/>
  <c r="BB47" i="1" a="1"/>
  <c r="BB47" i="1" s="1"/>
  <c r="BG35" i="1" a="1"/>
  <c r="BG35" i="1" s="1"/>
  <c r="BW35" i="1" s="1"/>
  <c r="AX42" i="1" a="1"/>
  <c r="AX42" i="1" s="1"/>
  <c r="AZ45" i="1" a="1"/>
  <c r="AZ45" i="1" s="1"/>
  <c r="AX50" i="1" a="1"/>
  <c r="AX50" i="1" s="1"/>
  <c r="BF55" i="1" a="1"/>
  <c r="BF55" i="1" s="1"/>
  <c r="BV55" i="1" s="1"/>
  <c r="BK39" i="1" a="1"/>
  <c r="BK39" i="1" s="1"/>
  <c r="BA44" i="1" a="1"/>
  <c r="BA44" i="1" s="1"/>
  <c r="AZ44" i="1" a="1"/>
  <c r="AZ44" i="1" s="1"/>
  <c r="BD51" i="1" a="1"/>
  <c r="BD51" i="1" s="1"/>
  <c r="BA54" i="1" a="1"/>
  <c r="BA54" i="1" s="1"/>
  <c r="BA34" i="1" a="1"/>
  <c r="BA34" i="1" s="1"/>
  <c r="AX41" i="1" a="1"/>
  <c r="AX41" i="1" s="1"/>
  <c r="AZ32" i="1" a="1"/>
  <c r="AZ32" i="1" s="1"/>
  <c r="BB37" i="1" a="1"/>
  <c r="BB37" i="1" s="1"/>
  <c r="BA49" i="1" a="1"/>
  <c r="BA49" i="1" s="1"/>
  <c r="BE50" i="1" a="1"/>
  <c r="BE50" i="1" s="1"/>
  <c r="BE55" i="1" a="1"/>
  <c r="BE55" i="1" s="1"/>
  <c r="BH36" i="1" a="1"/>
  <c r="BH36" i="1" s="1"/>
  <c r="BI41" i="1" a="1"/>
  <c r="BI41" i="1" s="1"/>
  <c r="BE45" i="1" a="1"/>
  <c r="BE45" i="1" s="1"/>
  <c r="BJ48" i="1" a="1"/>
  <c r="BJ48" i="1" s="1"/>
  <c r="BD54" i="1" a="1"/>
  <c r="BD54" i="1" s="1"/>
  <c r="BG34" i="1" a="1"/>
  <c r="BG34" i="1" s="1"/>
  <c r="BW34" i="1" s="1"/>
  <c r="BE41" i="1" a="1"/>
  <c r="BE41" i="1" s="1"/>
  <c r="BD44" i="1" a="1"/>
  <c r="BD44" i="1" s="1"/>
  <c r="BH49" i="1" a="1"/>
  <c r="BH49" i="1" s="1"/>
  <c r="BB55" i="1" a="1"/>
  <c r="BB55" i="1" s="1"/>
  <c r="AZ36" i="1" a="1"/>
  <c r="AZ36" i="1" s="1"/>
  <c r="BI43" i="1" a="1"/>
  <c r="BI43" i="1" s="1"/>
  <c r="BH43" i="1" a="1"/>
  <c r="BH43" i="1" s="1"/>
  <c r="BI50" i="1" a="1"/>
  <c r="BI50" i="1" s="1"/>
  <c r="BK53" i="1" a="1"/>
  <c r="BK53" i="1" s="1"/>
  <c r="BC55" i="1" a="1"/>
  <c r="BC55" i="1" s="1"/>
  <c r="BB40" i="1" a="1"/>
  <c r="BB40" i="1" s="1"/>
  <c r="BJ32" i="1" a="1"/>
  <c r="BJ32" i="1" s="1"/>
  <c r="BK33" i="1" a="1"/>
  <c r="BK33" i="1" s="1"/>
  <c r="AY48" i="1" a="1"/>
  <c r="AY48" i="1" s="1"/>
  <c r="AW49" i="1" a="1"/>
  <c r="AW49" i="1" s="1"/>
  <c r="AY38" i="1" a="1"/>
  <c r="AY38" i="1" s="1"/>
  <c r="BH55" i="1" a="1"/>
  <c r="BH55" i="1" s="1"/>
  <c r="AX40" i="1" a="1"/>
  <c r="AX40" i="1" s="1"/>
  <c r="BH44" i="1" a="1"/>
  <c r="BH44" i="1" s="1"/>
  <c r="BD45" i="1" a="1"/>
  <c r="BD45" i="1" s="1"/>
  <c r="BC53" i="1" a="1"/>
  <c r="BC53" i="1" s="1"/>
  <c r="AX55" i="1" a="1"/>
  <c r="AX55" i="1" s="1"/>
  <c r="BJ40" i="1" a="1"/>
  <c r="BJ40" i="1" s="1"/>
  <c r="BA43" i="1" a="1"/>
  <c r="BA43" i="1" s="1"/>
  <c r="BF48" i="1" a="1"/>
  <c r="BF48" i="1" s="1"/>
  <c r="BV48" i="1" s="1"/>
  <c r="AZ55" i="1" a="1"/>
  <c r="AZ55" i="1" s="1"/>
  <c r="BH34" i="1" a="1"/>
  <c r="BH34" i="1" s="1"/>
  <c r="BA42" i="1" a="1"/>
  <c r="BA42" i="1" s="1"/>
  <c r="BB42" i="1" a="1"/>
  <c r="BB42" i="1" s="1"/>
  <c r="BD49" i="1" a="1"/>
  <c r="BD49" i="1" s="1"/>
  <c r="BK52" i="1" a="1"/>
  <c r="BK52" i="1" s="1"/>
  <c r="BC47" i="1" a="1"/>
  <c r="BC47" i="1" s="1"/>
  <c r="BF39" i="1" a="1"/>
  <c r="BF39" i="1" s="1"/>
  <c r="BV39" i="1" s="1"/>
  <c r="AX33" i="1" a="1"/>
  <c r="AX33" i="1" s="1"/>
  <c r="BC32" i="1" a="1"/>
  <c r="BC32" i="1" s="1"/>
  <c r="BD46" i="1" a="1"/>
  <c r="BD46" i="1" s="1"/>
  <c r="BC46" i="1" a="1"/>
  <c r="BC46" i="1" s="1"/>
  <c r="AY55" i="1" a="1"/>
  <c r="AY55" i="1" s="1"/>
  <c r="BE38" i="1" a="1"/>
  <c r="BE38" i="1" s="1"/>
  <c r="AZ39" i="1" a="1"/>
  <c r="AZ39" i="1" s="1"/>
  <c r="BJ42" i="1" a="1"/>
  <c r="BJ42" i="1" s="1"/>
  <c r="BG44" i="1" a="1"/>
  <c r="BG44" i="1" s="1"/>
  <c r="BW44" i="1" s="1"/>
  <c r="BD52" i="1" a="1"/>
  <c r="BD52" i="1" s="1"/>
  <c r="BA47" i="1" a="1"/>
  <c r="BA47" i="1" s="1"/>
  <c r="AX39" i="1" a="1"/>
  <c r="AX39" i="1" s="1"/>
  <c r="AW42" i="1" a="1"/>
  <c r="AW42" i="1" s="1"/>
  <c r="BK46" i="1" a="1"/>
  <c r="BK46" i="1" s="1"/>
  <c r="AW55" i="1" a="1"/>
  <c r="AW55" i="1" s="1"/>
  <c r="BD38" i="1" a="1"/>
  <c r="BD38" i="1" s="1"/>
  <c r="BA41" i="1" a="1"/>
  <c r="BA41" i="1" s="1"/>
  <c r="BQ41" i="1" s="1"/>
  <c r="AZ41" i="1" a="1"/>
  <c r="AZ41" i="1" s="1"/>
  <c r="BP41" i="1" s="1"/>
  <c r="BB48" i="1" a="1"/>
  <c r="BB48" i="1" s="1"/>
  <c r="BC51" i="1" a="1"/>
  <c r="BC51" i="1" s="1"/>
  <c r="AY47" i="1" a="1"/>
  <c r="AY47" i="1" s="1"/>
  <c r="BK36" i="1" a="1"/>
  <c r="BK36" i="1" s="1"/>
  <c r="AX37" i="1" a="1"/>
  <c r="AX37" i="1" s="1"/>
  <c r="BJ37" i="1" a="1"/>
  <c r="BJ37" i="1" s="1"/>
  <c r="BE37" i="1" a="1"/>
  <c r="BE37" i="1" s="1"/>
  <c r="BI45" i="1" a="1"/>
  <c r="BI45" i="1" s="1"/>
  <c r="BH45" i="1" a="1"/>
  <c r="BH45" i="1" s="1"/>
  <c r="BG53" i="1" a="1"/>
  <c r="BG53" i="1" s="1"/>
  <c r="BW53" i="1" s="1"/>
  <c r="BD55" i="1" a="1"/>
  <c r="BD55" i="1" s="1"/>
  <c r="BG36" i="1" a="1"/>
  <c r="BG36" i="1" s="1"/>
  <c r="BW36" i="1" s="1"/>
  <c r="BH41" i="1" a="1"/>
  <c r="BH41" i="1" s="1"/>
  <c r="AY43" i="1" a="1"/>
  <c r="AY43" i="1" s="1"/>
  <c r="BK51" i="1" a="1"/>
  <c r="BK51" i="1" s="1"/>
  <c r="AX47" i="1" a="1"/>
  <c r="AX47" i="1" s="1"/>
  <c r="BC36" i="1" a="1"/>
  <c r="BC36" i="1" s="1"/>
  <c r="BD41" i="1" a="1"/>
  <c r="BD41" i="1" s="1"/>
  <c r="BC44" i="1" a="1"/>
  <c r="BC44" i="1" s="1"/>
  <c r="BH54" i="1" a="1"/>
  <c r="BH54" i="1" s="1"/>
  <c r="BA38" i="1" a="1"/>
  <c r="BA38" i="1" s="1"/>
  <c r="BF40" i="1" a="1"/>
  <c r="BF40" i="1" s="1"/>
  <c r="BV40" i="1" s="1"/>
  <c r="BE40" i="1" a="1"/>
  <c r="BE40" i="1" s="1"/>
  <c r="BG46" i="1" a="1"/>
  <c r="BG46" i="1" s="1"/>
  <c r="BW46" i="1" s="1"/>
  <c r="BH50" i="1" a="1"/>
  <c r="BH50" i="1" s="1"/>
  <c r="BK47" i="1" a="1"/>
  <c r="BK47" i="1" s="1"/>
  <c r="BB34" i="1" a="1"/>
  <c r="BB34" i="1" s="1"/>
  <c r="BA33" i="1" a="1"/>
  <c r="BA33" i="1" s="1"/>
  <c r="BQ33" i="1" s="1"/>
  <c r="BH37" i="1" a="1"/>
  <c r="BH37" i="1" s="1"/>
  <c r="AY44" i="1" a="1"/>
  <c r="AY44" i="1" s="1"/>
  <c r="BK44" i="1" a="1"/>
  <c r="BK44" i="1" s="1"/>
  <c r="BH52" i="1" a="1"/>
  <c r="BH52" i="1" s="1"/>
  <c r="AW38" i="1" a="1"/>
  <c r="AW38" i="1" s="1"/>
  <c r="BJ35" i="1" a="1"/>
  <c r="BJ35" i="1" s="1"/>
  <c r="AW40" i="1" a="1"/>
  <c r="AW40" i="1" s="1"/>
  <c r="BK42" i="1" a="1"/>
  <c r="BK42" i="1" s="1"/>
  <c r="AZ50" i="1" a="1"/>
  <c r="AZ50" i="1" s="1"/>
  <c r="BE54" i="1" a="1"/>
  <c r="BE54" i="1" s="1"/>
  <c r="BF35" i="1" a="1"/>
  <c r="BF35" i="1" s="1"/>
  <c r="BV35" i="1" s="1"/>
  <c r="BI40" i="1" a="1"/>
  <c r="BI40" i="1" s="1"/>
  <c r="BK43" i="1" a="1"/>
  <c r="BK43" i="1" s="1"/>
  <c r="AZ52" i="1" a="1"/>
  <c r="AZ52" i="1" s="1"/>
  <c r="AX38" i="1" a="1"/>
  <c r="AX38" i="1" s="1"/>
  <c r="BJ39" i="1" a="1"/>
  <c r="BJ39" i="1" s="1"/>
  <c r="BI39" i="1" a="1"/>
  <c r="BI39" i="1" s="1"/>
  <c r="BA45" i="1" a="1"/>
  <c r="BA45" i="1" s="1"/>
  <c r="BA48" i="1" a="1"/>
  <c r="BA48" i="1" s="1"/>
  <c r="AW54" i="1" a="1"/>
  <c r="AW54" i="1" s="1"/>
  <c r="BG32" i="1" a="1"/>
  <c r="BG32" i="1" s="1"/>
  <c r="BJ33" i="1" a="1"/>
  <c r="BJ33" i="1" s="1"/>
  <c r="BD43" i="1" a="1"/>
  <c r="BD43" i="1" s="1"/>
  <c r="BC43" i="1" a="1"/>
  <c r="BC43" i="1" s="1"/>
  <c r="AY51" i="1" a="1"/>
  <c r="AY51" i="1" s="1"/>
  <c r="AZ54" i="1" a="1"/>
  <c r="AZ54" i="1" s="1"/>
  <c r="BH47" i="1" a="1"/>
  <c r="BH47" i="1" s="1"/>
  <c r="BC39" i="1" a="1"/>
  <c r="BC39" i="1" s="1"/>
  <c r="BG41" i="1" a="1"/>
  <c r="BG41" i="1" s="1"/>
  <c r="BW41" i="1" s="1"/>
  <c r="BE49" i="1" a="1"/>
  <c r="BE49" i="1" s="1"/>
  <c r="BB53" i="1" a="1"/>
  <c r="BB53" i="1" s="1"/>
  <c r="BF38" i="1" a="1"/>
  <c r="BF38" i="1" s="1"/>
  <c r="BV38" i="1" s="1"/>
  <c r="AW39" i="1" a="1"/>
  <c r="AW39" i="1" s="1"/>
  <c r="AY42" i="1" a="1"/>
  <c r="AY42" i="1" s="1"/>
  <c r="BG51" i="1" a="1"/>
  <c r="BG51" i="1" s="1"/>
  <c r="BW51" i="1" s="1"/>
  <c r="AZ38" i="1" a="1"/>
  <c r="AZ38" i="1" s="1"/>
  <c r="BB35" i="1" a="1"/>
  <c r="BB35" i="1" s="1"/>
  <c r="AY36" i="1" a="1"/>
  <c r="AY36" i="1" s="1"/>
  <c r="BG43" i="1" a="1"/>
  <c r="BG43" i="1" s="1"/>
  <c r="BW43" i="1" s="1"/>
  <c r="BF46" i="1" a="1"/>
  <c r="BF46" i="1" s="1"/>
  <c r="BV46" i="1" s="1"/>
  <c r="BJ53" i="1" a="1"/>
  <c r="BJ53" i="1" s="1"/>
  <c r="BD37" i="1" a="1"/>
  <c r="BD37" i="1" s="1"/>
  <c r="BC37" i="1" a="1"/>
  <c r="BC37" i="1" s="1"/>
  <c r="BF37" i="1" a="1"/>
  <c r="BF37" i="1" s="1"/>
  <c r="BV37" i="1" s="1"/>
  <c r="BE32" i="1" a="1"/>
  <c r="BE32" i="1" s="1"/>
  <c r="BF42" i="1" a="1"/>
  <c r="BF42" i="1" s="1"/>
  <c r="BV42" i="1" s="1"/>
  <c r="BG42" i="1" a="1"/>
  <c r="BG42" i="1" s="1"/>
  <c r="BW42" i="1" s="1"/>
  <c r="BD50" i="1" a="1"/>
  <c r="BD50" i="1" s="1"/>
  <c r="BF53" i="1" a="1"/>
  <c r="BF53" i="1" s="1"/>
  <c r="BV53" i="1" s="1"/>
  <c r="BG38" i="1" a="1"/>
  <c r="BG38" i="1" s="1"/>
  <c r="BW38" i="1" s="1"/>
  <c r="BF36" i="1" a="1"/>
  <c r="BF36" i="1" s="1"/>
  <c r="BV36" i="1" s="1"/>
  <c r="BA40" i="1" a="1"/>
  <c r="BA40" i="1" s="1"/>
  <c r="BI48" i="1" a="1"/>
  <c r="BI48" i="1" s="1"/>
  <c r="BC52" i="1" a="1"/>
  <c r="BC52" i="1" s="1"/>
  <c r="BK55" i="1" a="1"/>
  <c r="BK55" i="1" s="1"/>
  <c r="BB36" i="1" a="1"/>
  <c r="BB36" i="1" s="1"/>
  <c r="BC41" i="1" a="1"/>
  <c r="BC41" i="1" s="1"/>
  <c r="AW50" i="1" a="1"/>
  <c r="AW50" i="1" s="1"/>
  <c r="BI54" i="1" a="1"/>
  <c r="BI54" i="1" s="1"/>
  <c r="BJ54" i="1" a="1"/>
  <c r="BJ54" i="1" s="1"/>
  <c r="BA35" i="1" a="1"/>
  <c r="BA35" i="1" s="1"/>
  <c r="BC42" i="1" a="1"/>
  <c r="BC42" i="1" s="1"/>
  <c r="BK45" i="1" a="1"/>
  <c r="BK45" i="1" s="1"/>
  <c r="BB51" i="1" a="1"/>
  <c r="BB51" i="1" s="1"/>
  <c r="AW32" i="1" a="1"/>
  <c r="AW32" i="1" s="1"/>
  <c r="AW33" i="1" a="1"/>
  <c r="AW33" i="1" s="1"/>
  <c r="BI37" i="1" a="1"/>
  <c r="BI37" i="1" s="1"/>
  <c r="BA37" i="1" a="1"/>
  <c r="BA37" i="1" s="1"/>
  <c r="AW41" i="1" a="1"/>
  <c r="AW41" i="1" s="1"/>
  <c r="BK41" i="1" a="1"/>
  <c r="BK41" i="1" s="1"/>
  <c r="BB49" i="1" a="1"/>
  <c r="BB49" i="1" s="1"/>
  <c r="BG52" i="1" a="1"/>
  <c r="BG52" i="1" s="1"/>
  <c r="BW52" i="1" s="1"/>
  <c r="BB38" i="1" a="1"/>
  <c r="BB38" i="1" s="1"/>
  <c r="BI35" i="1" a="1"/>
  <c r="BI35" i="1" s="1"/>
  <c r="BE36" i="1" a="1"/>
  <c r="BE36" i="1" s="1"/>
  <c r="AY46" i="1" a="1"/>
  <c r="AY46" i="1" s="1"/>
  <c r="BJ51" i="1" a="1"/>
  <c r="BJ51" i="1" s="1"/>
  <c r="BD47" i="1" a="1"/>
  <c r="BD47" i="1" s="1"/>
  <c r="BE35" i="1" a="1"/>
  <c r="BE35" i="1" s="1"/>
  <c r="BH40" i="1" a="1"/>
  <c r="BH40" i="1" s="1"/>
  <c r="BI49" i="1" a="1"/>
  <c r="BI49" i="1" s="1"/>
  <c r="AY53" i="1" a="1"/>
  <c r="AY53" i="1" s="1"/>
  <c r="AX53" i="1" a="1"/>
  <c r="AX53" i="1" s="1"/>
  <c r="BF34" i="1" a="1"/>
  <c r="BF34" i="1" s="1"/>
  <c r="BV34" i="1" s="1"/>
  <c r="BD40" i="1" a="1"/>
  <c r="BD40" i="1" s="1"/>
  <c r="AX44" i="1" a="1"/>
  <c r="AX44" i="1" s="1"/>
  <c r="BG50" i="1" a="1"/>
  <c r="BG50" i="1" s="1"/>
  <c r="BW50" i="1" s="1"/>
  <c r="BB32" i="1" a="1"/>
  <c r="BB32" i="1" s="1"/>
  <c r="BF33" i="1" a="1"/>
  <c r="BF33" i="1" s="1"/>
  <c r="BV33" i="1" s="1"/>
  <c r="BD32" i="1" a="1"/>
  <c r="BD32" i="1" s="1"/>
  <c r="AZ40" i="1" a="1"/>
  <c r="AZ40" i="1" s="1"/>
  <c r="BD39" i="1" a="1"/>
  <c r="BD39" i="1" s="1"/>
  <c r="AX48" i="1" a="1"/>
  <c r="AX48" i="1" s="1"/>
  <c r="BC50" i="1" a="1"/>
  <c r="BC50" i="1" s="1"/>
  <c r="BC54" i="1" a="1"/>
  <c r="BC54" i="1" s="1"/>
  <c r="AX34" i="1" a="1"/>
  <c r="AX34" i="1" s="1"/>
  <c r="BH35" i="1" a="1"/>
  <c r="BH35" i="1" s="1"/>
  <c r="BC45" i="1" a="1"/>
  <c r="BC45" i="1" s="1"/>
  <c r="AY50" i="1" a="1"/>
  <c r="AY50" i="1" s="1"/>
  <c r="BF54" i="1" a="1"/>
  <c r="BF54" i="1" s="1"/>
  <c r="BV54" i="1" s="1"/>
  <c r="BJ34" i="1" a="1"/>
  <c r="BJ34" i="1" s="1"/>
  <c r="BA39" i="1" a="1"/>
  <c r="BA39" i="1" s="1"/>
  <c r="BE48" i="1" a="1"/>
  <c r="BE48" i="1" s="1"/>
  <c r="AY52" i="1" a="1"/>
  <c r="AY52" i="1" s="1"/>
  <c r="AX52" i="1" a="1"/>
  <c r="AX52" i="1" s="1"/>
  <c r="AX35" i="1" a="1"/>
  <c r="AX35" i="1" s="1"/>
  <c r="BH39" i="1" a="1"/>
  <c r="BH39" i="1" s="1"/>
  <c r="BF43" i="1" a="1"/>
  <c r="BF43" i="1" s="1"/>
  <c r="BV43" i="1" s="1"/>
  <c r="BC49" i="1" a="1"/>
  <c r="BC49" i="1" s="1"/>
  <c r="BF32" i="1" a="1"/>
  <c r="BF32" i="1" s="1"/>
  <c r="AW37" i="1" a="1"/>
  <c r="AW37" i="1" s="1"/>
  <c r="BD33" i="1" a="1"/>
  <c r="BD33" i="1" s="1"/>
  <c r="BA55" i="1" a="1"/>
  <c r="BA55" i="1" s="1"/>
  <c r="BE39" i="1" a="1"/>
  <c r="BE39" i="1" s="1"/>
  <c r="BI36" i="1" a="1"/>
  <c r="BI36" i="1" s="1"/>
  <c r="BB46" i="1" a="1"/>
  <c r="BB46" i="1" s="1"/>
  <c r="AX49" i="1" a="1"/>
  <c r="AX49" i="1" s="1"/>
  <c r="BE53" i="1" a="1"/>
  <c r="BE53" i="1" s="1"/>
  <c r="BJ47" i="1" a="1"/>
  <c r="BJ47" i="1" s="1"/>
  <c r="AW34" i="1" a="1"/>
  <c r="AW34" i="1" s="1"/>
  <c r="BF44" i="1" a="1"/>
  <c r="BF44" i="1" s="1"/>
  <c r="BV44" i="1" s="1"/>
  <c r="BF49" i="1" a="1"/>
  <c r="BF49" i="1" s="1"/>
  <c r="BV49" i="1" s="1"/>
  <c r="BA53" i="1" a="1"/>
  <c r="BA53" i="1" s="1"/>
  <c r="BJ38" i="1" a="1"/>
  <c r="BJ38" i="1" s="1"/>
  <c r="BA36" i="1" a="1"/>
  <c r="BA36" i="1" s="1"/>
  <c r="BJ46" i="1" a="1"/>
  <c r="BJ46" i="1" s="1"/>
  <c r="BF51" i="1" a="1"/>
  <c r="BF51" i="1" s="1"/>
  <c r="BV51" i="1" s="1"/>
  <c r="BE51" i="1" a="1"/>
  <c r="BE51" i="1" s="1"/>
  <c r="AY34" i="1" a="1"/>
  <c r="AY34" i="1" s="1"/>
  <c r="AX36" i="1" a="1"/>
  <c r="AX36" i="1" s="1"/>
  <c r="BD42" i="1" a="1"/>
  <c r="BD42" i="1" s="1"/>
  <c r="AZ48" i="1" a="1"/>
  <c r="AZ48" i="1" s="1"/>
  <c r="AZ37" i="1" a="1"/>
  <c r="AZ37" i="1" s="1"/>
  <c r="BB33" i="1" a="1"/>
  <c r="BB33" i="1" s="1"/>
  <c r="BR33" i="1" s="1"/>
  <c r="BA32" i="1" a="1"/>
  <c r="BA32" i="1" s="1"/>
  <c r="BK38" i="1" a="1"/>
  <c r="BK38" i="1" s="1"/>
  <c r="BJ36" i="1" a="1"/>
  <c r="BJ36" i="1" s="1"/>
  <c r="AY35" i="1" a="1"/>
  <c r="AY35" i="1" s="1"/>
  <c r="BG45" i="1" a="1"/>
  <c r="BG45" i="1" s="1"/>
  <c r="BW45" i="1" s="1"/>
  <c r="AW48" i="1" a="1"/>
  <c r="AW48" i="1" s="1"/>
  <c r="BF52" i="1" a="1"/>
  <c r="BF52" i="1" s="1"/>
  <c r="BV52" i="1" s="1"/>
  <c r="BB54" i="1" a="1"/>
  <c r="BB54" i="1" s="1"/>
  <c r="BD36" i="1" a="1"/>
  <c r="BD36" i="1" s="1"/>
  <c r="AX43" i="1" a="1"/>
  <c r="AX43" i="1" s="1"/>
  <c r="BH48" i="1" a="1"/>
  <c r="BH48" i="1" s="1"/>
  <c r="BB52" i="1" a="1"/>
  <c r="BB52" i="1" s="1"/>
  <c r="BI55" i="1" a="1"/>
  <c r="BI55" i="1" s="1"/>
  <c r="BD35" i="1" a="1"/>
  <c r="BD35" i="1" s="1"/>
  <c r="AY45" i="1" a="1"/>
  <c r="AY45" i="1" s="1"/>
  <c r="BK50" i="1" a="1"/>
  <c r="BK50" i="1" s="1"/>
  <c r="BJ50" i="1" a="1"/>
  <c r="BJ50" i="1" s="1"/>
  <c r="BI47" i="1" a="1"/>
  <c r="BI47" i="1" s="1"/>
  <c r="AZ35" i="1" a="1"/>
  <c r="AZ35" i="1" s="1"/>
  <c r="AY41" i="1" a="1"/>
  <c r="AY41" i="1" s="1"/>
  <c r="BE46" i="1" a="1"/>
  <c r="BE46" i="1" s="1"/>
  <c r="BH32" i="1" a="1"/>
  <c r="BH32" i="1" s="1"/>
  <c r="BI33" i="1" a="1"/>
  <c r="BI33" i="1" s="1"/>
  <c r="BK37" i="1" a="1"/>
  <c r="BK37" i="1" s="1"/>
  <c r="AX54" i="1" a="1"/>
  <c r="AX54" i="1" s="1"/>
  <c r="BJ55" i="1" a="1"/>
  <c r="BJ55" i="1" s="1"/>
  <c r="AZ34" i="1" a="1"/>
  <c r="AZ34" i="1" s="1"/>
  <c r="BJ44" i="1" a="1"/>
  <c r="BJ44" i="1" s="1"/>
  <c r="BA46" i="1" a="1"/>
  <c r="BA46" i="1" s="1"/>
  <c r="AX51" i="1" a="1"/>
  <c r="AX51" i="1" s="1"/>
  <c r="BD53" i="1" a="1"/>
  <c r="BD53" i="1" s="1"/>
  <c r="BC34" i="1" a="1"/>
  <c r="BC34" i="1" s="1"/>
  <c r="AZ42" i="1" a="1"/>
  <c r="AZ42" i="1" s="1"/>
  <c r="AX46" i="1" a="1"/>
  <c r="AX46" i="1" s="1"/>
  <c r="BI51" i="1" a="1"/>
  <c r="BI51" i="1" s="1"/>
  <c r="BG54" i="1" a="1"/>
  <c r="BG54" i="1" s="1"/>
  <c r="BW54" i="1" s="1"/>
  <c r="BI34" i="1" a="1"/>
  <c r="BI34" i="1" s="1"/>
  <c r="BB44" i="1" a="1"/>
  <c r="BB44" i="1" s="1"/>
  <c r="BJ49" i="1" a="1"/>
  <c r="BJ49" i="1" s="1"/>
  <c r="BK49" i="1" a="1"/>
  <c r="BK49" i="1" s="1"/>
  <c r="BG47" i="1" a="1"/>
  <c r="BG47" i="1" s="1"/>
  <c r="BW47" i="1" s="1"/>
  <c r="BE34" i="1" a="1"/>
  <c r="BE34" i="1" s="1"/>
  <c r="BC40" i="1" a="1"/>
  <c r="BC40" i="1" s="1"/>
  <c r="BJ45" i="1" a="1"/>
  <c r="BJ45" i="1" s="1"/>
  <c r="BG33" i="1" a="1"/>
  <c r="BG33" i="1" s="1"/>
  <c r="BW33" i="1" s="1"/>
  <c r="BE33" i="1" a="1"/>
  <c r="BE33" i="1" s="1"/>
  <c r="BI53" i="1" a="1"/>
  <c r="BI53" i="1" s="1"/>
  <c r="AY54" i="1" a="1"/>
  <c r="AY54" i="1" s="1"/>
  <c r="BB39" i="1" a="1"/>
  <c r="BB39" i="1" s="1"/>
  <c r="BB43" i="1" a="1"/>
  <c r="BB43" i="1" s="1"/>
  <c r="BF45" i="1" a="1"/>
  <c r="BF45" i="1" s="1"/>
  <c r="BV45" i="1" s="1"/>
  <c r="BB50" i="1" a="1"/>
  <c r="BB50" i="1" s="1"/>
  <c r="BE52" i="1" a="1"/>
  <c r="BE52" i="1" s="1"/>
  <c r="BK34" i="1" a="1"/>
  <c r="BK34" i="1" s="1"/>
  <c r="BF41" i="1" a="1"/>
  <c r="BF41" i="1" s="1"/>
  <c r="BV41" i="1" s="1"/>
  <c r="BB45" i="1" a="1"/>
  <c r="BB45" i="1" s="1"/>
  <c r="BG49" i="1" a="1"/>
  <c r="BG49" i="1" s="1"/>
  <c r="BW49" i="1" s="1"/>
  <c r="AZ53" i="1" a="1"/>
  <c r="AZ53" i="1" s="1"/>
  <c r="BC35" i="1" a="1"/>
  <c r="BC35" i="1" s="1"/>
  <c r="BJ43" i="1" a="1"/>
  <c r="BJ43" i="1" s="1"/>
  <c r="BD48" i="1" a="1"/>
  <c r="BD48" i="1" s="1"/>
  <c r="BC48" i="1" a="1"/>
  <c r="BC48" i="1" s="1"/>
  <c r="BK54" i="1" a="1"/>
  <c r="BK54" i="1" s="1"/>
  <c r="AW35" i="1" a="1"/>
  <c r="AW35" i="1" s="1"/>
  <c r="BG39" i="1" a="1"/>
  <c r="BG39" i="1" s="1"/>
  <c r="BW39" i="1" s="1"/>
  <c r="AW44" i="1" a="1"/>
  <c r="AW44" i="1" s="1"/>
  <c r="AY37" i="1" a="1"/>
  <c r="AY37" i="1" s="1"/>
  <c r="AY32" i="1" a="1"/>
  <c r="AY32" i="1" s="1"/>
  <c r="BC33" i="1" a="1"/>
  <c r="BC33" i="1" s="1"/>
  <c r="BJ52" i="1" a="1"/>
  <c r="BJ52" i="1" s="1"/>
  <c r="BH53" i="1" a="1"/>
  <c r="BH53" i="1" s="1"/>
  <c r="BK35" i="1" a="1"/>
  <c r="BK35" i="1" s="1"/>
  <c r="BH42" i="1" a="1"/>
  <c r="BH42" i="1" s="1"/>
  <c r="BI44" i="1" a="1"/>
  <c r="BI44" i="1" s="1"/>
  <c r="AY49" i="1" a="1"/>
  <c r="AY49" i="1" s="1"/>
  <c r="AW51" i="1" a="1"/>
  <c r="AW51" i="1" s="1"/>
  <c r="BF47" i="1" a="1"/>
  <c r="BF47" i="1" s="1"/>
  <c r="BV47" i="1" s="1"/>
  <c r="BK40" i="1" a="1"/>
  <c r="BK40" i="1" s="1"/>
  <c r="BE44" i="1" a="1"/>
  <c r="BE44" i="1" s="1"/>
  <c r="BG48" i="1" a="1"/>
  <c r="BG48" i="1" s="1"/>
  <c r="BW48" i="1" s="1"/>
  <c r="BA52" i="1" a="1"/>
  <c r="BA52" i="1" s="1"/>
  <c r="BH38" i="1" a="1"/>
  <c r="BH38" i="1" s="1"/>
  <c r="BB41" i="1" a="1"/>
  <c r="BB41" i="1" s="1"/>
  <c r="BR41" i="1" s="1"/>
  <c r="BI46" i="1" a="1"/>
  <c r="BI46" i="1" s="1"/>
  <c r="BH46" i="1" a="1"/>
  <c r="BH46" i="1" s="1"/>
  <c r="AW53" i="1" a="1"/>
  <c r="AW53" i="1" s="1"/>
  <c r="BE47" i="1" a="1"/>
  <c r="BE47" i="1" s="1"/>
  <c r="AW36" i="1" a="1"/>
  <c r="AW36" i="1" s="1"/>
  <c r="BE43" i="1" a="1"/>
  <c r="BE43" i="1" s="1"/>
  <c r="AZ33" i="1" a="1"/>
  <c r="AZ33" i="1" s="1"/>
  <c r="BP33" i="1" s="1"/>
  <c r="AY33" i="1" a="1"/>
  <c r="AY33" i="1" s="1"/>
  <c r="T42" i="1"/>
  <c r="V42" i="1"/>
  <c r="AB42" i="1" s="1"/>
  <c r="W42" i="1"/>
  <c r="U42" i="1"/>
  <c r="Y54" i="1"/>
  <c r="Y35" i="1"/>
  <c r="Y40" i="1"/>
  <c r="U39" i="1"/>
  <c r="W39" i="1"/>
  <c r="T39" i="1"/>
  <c r="V39" i="1"/>
  <c r="AB39" i="1" s="1"/>
  <c r="V40" i="1"/>
  <c r="AB40" i="1" s="1"/>
  <c r="W40" i="1"/>
  <c r="U40" i="1"/>
  <c r="T40" i="1"/>
  <c r="Y39" i="1"/>
  <c r="T33" i="1"/>
  <c r="U33" i="1"/>
  <c r="AA33" i="1" s="1"/>
  <c r="V33" i="1"/>
  <c r="AB33" i="1" s="1"/>
  <c r="W33" i="1"/>
  <c r="T48" i="1"/>
  <c r="V48" i="1"/>
  <c r="AB48" i="1" s="1"/>
  <c r="U48" i="1"/>
  <c r="W48" i="1"/>
  <c r="Y33" i="1"/>
  <c r="U50" i="1"/>
  <c r="W50" i="1"/>
  <c r="T50" i="1"/>
  <c r="V50" i="1"/>
  <c r="AB50" i="1" s="1"/>
  <c r="Y43" i="1"/>
  <c r="U43" i="1"/>
  <c r="W43" i="1"/>
  <c r="T43" i="1"/>
  <c r="V43" i="1"/>
  <c r="AB43" i="1" s="1"/>
  <c r="V49" i="1"/>
  <c r="AB49" i="1" s="1"/>
  <c r="U49" i="1"/>
  <c r="W49" i="1"/>
  <c r="T49" i="1"/>
  <c r="U37" i="1"/>
  <c r="T37" i="1"/>
  <c r="V37" i="1"/>
  <c r="AB37" i="1" s="1"/>
  <c r="W37" i="1"/>
  <c r="V55" i="1"/>
  <c r="AB55" i="1" s="1"/>
  <c r="T55" i="1"/>
  <c r="U55" i="1"/>
  <c r="W55" i="1"/>
  <c r="Y51" i="1"/>
  <c r="Y34" i="1"/>
  <c r="Y41" i="1"/>
  <c r="U35" i="1"/>
  <c r="W35" i="1"/>
  <c r="T35" i="1"/>
  <c r="V35" i="1"/>
  <c r="AB35" i="1" s="1"/>
  <c r="Y44" i="1"/>
  <c r="Y32" i="1"/>
  <c r="T34" i="1"/>
  <c r="V34" i="1"/>
  <c r="AB34" i="1" s="1"/>
  <c r="W34" i="1"/>
  <c r="U34" i="1"/>
  <c r="W53" i="1"/>
  <c r="T53" i="1"/>
  <c r="U53" i="1"/>
  <c r="V53" i="1"/>
  <c r="AB53" i="1" s="1"/>
  <c r="U36" i="1"/>
  <c r="W36" i="1"/>
  <c r="T36" i="1"/>
  <c r="V36" i="1"/>
  <c r="AB36" i="1" s="1"/>
  <c r="W38" i="1"/>
  <c r="T38" i="1"/>
  <c r="V38" i="1"/>
  <c r="AB38" i="1" s="1"/>
  <c r="U38" i="1"/>
  <c r="X32" i="1"/>
  <c r="U46" i="1"/>
  <c r="W46" i="1"/>
  <c r="T46" i="1"/>
  <c r="V46" i="1"/>
  <c r="AB46" i="1" s="1"/>
  <c r="Y52" i="1"/>
  <c r="W32" i="1"/>
  <c r="U32" i="1"/>
  <c r="T32" i="1"/>
  <c r="V32" i="1"/>
  <c r="AL54" i="1"/>
  <c r="H54" i="3" s="1"/>
  <c r="AL55" i="1"/>
  <c r="H55" i="3" s="1"/>
  <c r="AJ54" i="1"/>
  <c r="AJ55" i="1"/>
  <c r="AM54" i="1"/>
  <c r="AM55" i="1"/>
  <c r="AN54" i="1"/>
  <c r="AN55" i="1"/>
  <c r="AK54" i="1"/>
  <c r="AK55" i="1"/>
  <c r="AG54" i="1"/>
  <c r="AG55" i="1"/>
  <c r="AH54" i="1"/>
  <c r="AH55" i="1"/>
  <c r="AI54" i="1"/>
  <c r="E54" i="3" s="1"/>
  <c r="AI55" i="1"/>
  <c r="E55" i="3" s="1"/>
  <c r="AN52" i="1"/>
  <c r="AN53" i="1"/>
  <c r="AL52" i="1"/>
  <c r="H52" i="3" s="1"/>
  <c r="AL53" i="1"/>
  <c r="H53" i="3" s="1"/>
  <c r="AK52" i="1"/>
  <c r="AK53" i="1"/>
  <c r="AJ52" i="1"/>
  <c r="AJ53" i="1"/>
  <c r="AI52" i="1"/>
  <c r="E52" i="3" s="1"/>
  <c r="AI53" i="1"/>
  <c r="E53" i="3" s="1"/>
  <c r="AH52" i="1"/>
  <c r="AH53" i="1"/>
  <c r="AM52" i="1"/>
  <c r="AM53" i="1"/>
  <c r="AG52" i="1"/>
  <c r="AG53" i="1"/>
  <c r="AN50" i="1"/>
  <c r="AN51" i="1"/>
  <c r="AL50" i="1"/>
  <c r="H50" i="3" s="1"/>
  <c r="AL51" i="1"/>
  <c r="H51" i="3" s="1"/>
  <c r="AK50" i="1"/>
  <c r="AK51" i="1"/>
  <c r="AJ50" i="1"/>
  <c r="AJ51" i="1"/>
  <c r="AI50" i="1"/>
  <c r="E50" i="3" s="1"/>
  <c r="AI51" i="1"/>
  <c r="E51" i="3" s="1"/>
  <c r="AH50" i="1"/>
  <c r="AH51" i="1"/>
  <c r="AM50" i="1"/>
  <c r="AM51" i="1"/>
  <c r="AG50" i="1"/>
  <c r="AG51" i="1"/>
  <c r="AI48" i="1"/>
  <c r="E48" i="3" s="1"/>
  <c r="AI49" i="1"/>
  <c r="E49" i="3" s="1"/>
  <c r="AG48" i="1"/>
  <c r="AG49" i="1"/>
  <c r="AK48" i="1"/>
  <c r="AK49" i="1"/>
  <c r="AH48" i="1"/>
  <c r="AH49" i="1"/>
  <c r="AL48" i="1"/>
  <c r="H48" i="3" s="1"/>
  <c r="AL49" i="1"/>
  <c r="H49" i="3" s="1"/>
  <c r="AN48" i="1"/>
  <c r="AN49" i="1"/>
  <c r="AJ48" i="1"/>
  <c r="AJ49" i="1"/>
  <c r="AM48" i="1"/>
  <c r="AM49" i="1"/>
  <c r="AM31" i="1"/>
  <c r="AM46" i="1"/>
  <c r="AM47" i="1"/>
  <c r="AJ46" i="1"/>
  <c r="AJ47" i="1"/>
  <c r="AI46" i="1"/>
  <c r="E46" i="3" s="1"/>
  <c r="AI47" i="1"/>
  <c r="E47" i="3" s="1"/>
  <c r="AG46" i="1"/>
  <c r="AG47" i="1"/>
  <c r="AH46" i="1"/>
  <c r="AH47" i="1"/>
  <c r="AK46" i="1"/>
  <c r="AK47" i="1"/>
  <c r="AN46" i="1"/>
  <c r="AN47" i="1"/>
  <c r="AL46" i="1"/>
  <c r="H46" i="3" s="1"/>
  <c r="AL47" i="1"/>
  <c r="H47" i="3" s="1"/>
  <c r="AN44" i="1"/>
  <c r="AN45" i="1"/>
  <c r="AL44" i="1"/>
  <c r="H44" i="3" s="1"/>
  <c r="AL45" i="1"/>
  <c r="H45" i="3" s="1"/>
  <c r="AK44" i="1"/>
  <c r="AK45" i="1"/>
  <c r="AJ44" i="1"/>
  <c r="AJ45" i="1"/>
  <c r="AI44" i="1"/>
  <c r="E44" i="3" s="1"/>
  <c r="AI45" i="1"/>
  <c r="E45" i="3" s="1"/>
  <c r="AH44" i="1"/>
  <c r="AH45" i="1"/>
  <c r="AM44" i="1"/>
  <c r="AM45" i="1"/>
  <c r="AG44" i="1"/>
  <c r="AG45" i="1"/>
  <c r="AN42" i="1"/>
  <c r="AN43" i="1"/>
  <c r="AL42" i="1"/>
  <c r="H42" i="3" s="1"/>
  <c r="AL43" i="1"/>
  <c r="H43" i="3" s="1"/>
  <c r="AK42" i="1"/>
  <c r="AK43" i="1"/>
  <c r="AJ42" i="1"/>
  <c r="AJ43" i="1"/>
  <c r="AI42" i="1"/>
  <c r="E42" i="3" s="1"/>
  <c r="AI43" i="1"/>
  <c r="E43" i="3" s="1"/>
  <c r="AH42" i="1"/>
  <c r="AH43" i="1"/>
  <c r="AM42" i="1"/>
  <c r="AM43" i="1"/>
  <c r="AG42" i="1"/>
  <c r="AG43" i="1"/>
  <c r="AI13" i="1"/>
  <c r="AM40" i="1"/>
  <c r="AM41" i="1"/>
  <c r="AN40" i="1"/>
  <c r="AN41" i="1"/>
  <c r="AI40" i="1"/>
  <c r="E40" i="3" s="1"/>
  <c r="AI41" i="1"/>
  <c r="E41" i="3" s="1"/>
  <c r="AG40" i="1"/>
  <c r="AG41" i="1"/>
  <c r="AH40" i="1"/>
  <c r="AH41" i="1"/>
  <c r="AL39" i="1"/>
  <c r="H39" i="3" s="1"/>
  <c r="AL40" i="1"/>
  <c r="H40" i="3" s="1"/>
  <c r="AJ39" i="1"/>
  <c r="AJ40" i="1"/>
  <c r="AK39" i="1"/>
  <c r="AK40" i="1"/>
  <c r="AM38" i="1"/>
  <c r="AM39" i="1"/>
  <c r="AN38" i="1"/>
  <c r="AN39" i="1"/>
  <c r="AI38" i="1"/>
  <c r="E38" i="3" s="1"/>
  <c r="AI39" i="1"/>
  <c r="E39" i="3" s="1"/>
  <c r="AH38" i="1"/>
  <c r="AH39" i="1"/>
  <c r="AG38" i="1"/>
  <c r="AG39" i="1"/>
  <c r="AL37" i="1"/>
  <c r="H37" i="3" s="1"/>
  <c r="AL38" i="1"/>
  <c r="H38" i="3" s="1"/>
  <c r="AJ37" i="1"/>
  <c r="AJ38" i="1"/>
  <c r="AK37" i="1"/>
  <c r="AK38" i="1"/>
  <c r="AH17" i="1"/>
  <c r="AH24" i="1"/>
  <c r="AI21" i="1"/>
  <c r="AN36" i="1"/>
  <c r="AN37" i="1"/>
  <c r="AM36" i="1"/>
  <c r="AM37" i="1"/>
  <c r="AI36" i="1"/>
  <c r="E36" i="3" s="1"/>
  <c r="AI37" i="1"/>
  <c r="E37" i="3" s="1"/>
  <c r="AH36" i="1"/>
  <c r="AH37" i="1"/>
  <c r="AG36" i="1"/>
  <c r="AG37" i="1"/>
  <c r="AK35" i="1"/>
  <c r="AK36" i="1"/>
  <c r="AL35" i="1"/>
  <c r="H35" i="3" s="1"/>
  <c r="AL36" i="1"/>
  <c r="H36" i="3" s="1"/>
  <c r="AJ35" i="1"/>
  <c r="AJ36" i="1"/>
  <c r="AH34" i="1"/>
  <c r="AH35" i="1"/>
  <c r="AM34" i="1"/>
  <c r="AM35" i="1"/>
  <c r="AN34" i="1"/>
  <c r="AN35" i="1"/>
  <c r="AI34" i="1"/>
  <c r="E34" i="3" s="1"/>
  <c r="AI35" i="1"/>
  <c r="E35" i="3" s="1"/>
  <c r="AG34" i="1"/>
  <c r="AG35" i="1"/>
  <c r="AK32" i="1"/>
  <c r="AK34" i="1"/>
  <c r="AL32" i="1"/>
  <c r="H32" i="3" s="1"/>
  <c r="AL34" i="1"/>
  <c r="H34" i="3" s="1"/>
  <c r="AJ32" i="1"/>
  <c r="AJ34" i="1"/>
  <c r="AG27" i="1"/>
  <c r="AG13" i="1"/>
  <c r="AG19" i="1"/>
  <c r="AG23" i="1"/>
  <c r="AH26" i="1"/>
  <c r="AH27" i="1"/>
  <c r="AH16" i="1"/>
  <c r="AI26" i="1"/>
  <c r="AH25" i="1"/>
  <c r="AI27" i="1"/>
  <c r="AH19" i="1"/>
  <c r="AH28" i="1"/>
  <c r="AI30" i="1"/>
  <c r="AI23" i="1"/>
  <c r="AH20" i="1"/>
  <c r="AI25" i="1"/>
  <c r="AH22" i="1"/>
  <c r="AH33" i="1"/>
  <c r="AH32" i="1"/>
  <c r="AI16" i="1"/>
  <c r="AI29" i="1"/>
  <c r="AI31" i="1"/>
  <c r="AI14" i="1"/>
  <c r="AH30" i="1"/>
  <c r="AH23" i="1"/>
  <c r="AH29" i="1"/>
  <c r="AG29" i="1"/>
  <c r="AI15" i="1"/>
  <c r="AH14" i="1"/>
  <c r="AI18" i="1"/>
  <c r="AI19" i="1"/>
  <c r="AH13" i="1"/>
  <c r="AH18" i="1"/>
  <c r="AH31" i="1"/>
  <c r="AI22" i="1"/>
  <c r="AN32" i="1"/>
  <c r="AN33" i="1"/>
  <c r="AM32" i="1"/>
  <c r="AM33" i="1"/>
  <c r="AH21" i="1"/>
  <c r="AH15" i="1"/>
  <c r="AI17" i="1"/>
  <c r="AI24" i="1"/>
  <c r="AI33" i="1"/>
  <c r="E33" i="3" s="1"/>
  <c r="AI32" i="1"/>
  <c r="AI28" i="1"/>
  <c r="AI20" i="1"/>
  <c r="AG15" i="1"/>
  <c r="AG26" i="1"/>
  <c r="AG18" i="1"/>
  <c r="AG25" i="1"/>
  <c r="AG33" i="1"/>
  <c r="AG32" i="1"/>
  <c r="AG16" i="1"/>
  <c r="AG22" i="1"/>
  <c r="AG28" i="1"/>
  <c r="AG30" i="1"/>
  <c r="AG31" i="1"/>
  <c r="AG24" i="1"/>
  <c r="AG21" i="1"/>
  <c r="AG17" i="1"/>
  <c r="AG20" i="1"/>
  <c r="AG14" i="1"/>
  <c r="AM30" i="1"/>
  <c r="AN29" i="1"/>
  <c r="AL30" i="1"/>
  <c r="H30" i="3" s="1"/>
  <c r="AK29" i="1"/>
  <c r="AK30" i="1"/>
  <c r="AN31" i="1"/>
  <c r="AL31" i="1"/>
  <c r="H31" i="3" s="1"/>
  <c r="AK31" i="1"/>
  <c r="AJ29" i="1"/>
  <c r="AJ30" i="1"/>
  <c r="AJ31" i="1"/>
  <c r="AL29" i="1"/>
  <c r="H29" i="3" s="1"/>
  <c r="AN30" i="1"/>
  <c r="X17" i="1"/>
  <c r="AL25" i="1"/>
  <c r="H25" i="3" s="1"/>
  <c r="AK25" i="1"/>
  <c r="Y19" i="1"/>
  <c r="Y12" i="1"/>
  <c r="AE12" i="1" s="1"/>
  <c r="Y14" i="1"/>
  <c r="Y13" i="1"/>
  <c r="Y22" i="1"/>
  <c r="Y17" i="1"/>
  <c r="AL16" i="1"/>
  <c r="H16" i="3" s="1"/>
  <c r="V27" i="1"/>
  <c r="AM27" i="1"/>
  <c r="U27" i="1"/>
  <c r="T27" i="1"/>
  <c r="W27" i="1"/>
  <c r="Y27" i="1"/>
  <c r="AL27" i="1"/>
  <c r="H27" i="3" s="1"/>
  <c r="AM19" i="1"/>
  <c r="T19" i="1"/>
  <c r="W19" i="1"/>
  <c r="V19" i="1"/>
  <c r="U19" i="1"/>
  <c r="U21" i="1"/>
  <c r="W21" i="1"/>
  <c r="V21" i="1"/>
  <c r="T21" i="1"/>
  <c r="AM21" i="1"/>
  <c r="AN23" i="1"/>
  <c r="W15" i="1"/>
  <c r="U15" i="1"/>
  <c r="T15" i="1"/>
  <c r="V15" i="1"/>
  <c r="AM15" i="1"/>
  <c r="AL18" i="1"/>
  <c r="H18" i="3" s="1"/>
  <c r="AL20" i="1"/>
  <c r="H20" i="3" s="1"/>
  <c r="AM22" i="1"/>
  <c r="W22" i="1"/>
  <c r="V22" i="1"/>
  <c r="U22" i="1"/>
  <c r="T22" i="1"/>
  <c r="AL14" i="1"/>
  <c r="H14" i="3" s="1"/>
  <c r="Y24" i="1"/>
  <c r="AJ14" i="1"/>
  <c r="X14" i="1"/>
  <c r="AK19" i="1"/>
  <c r="AL21" i="1"/>
  <c r="H21" i="3" s="1"/>
  <c r="AL13" i="1"/>
  <c r="H13" i="3" s="1"/>
  <c r="AJ25" i="1"/>
  <c r="X25" i="1"/>
  <c r="AJ16" i="1"/>
  <c r="X16" i="1"/>
  <c r="AN18" i="1"/>
  <c r="AL17" i="1"/>
  <c r="H17" i="3" s="1"/>
  <c r="AL24" i="1"/>
  <c r="H24" i="3" s="1"/>
  <c r="AJ18" i="1"/>
  <c r="X18" i="1"/>
  <c r="AK20" i="1"/>
  <c r="AM12" i="1"/>
  <c r="W12" i="1"/>
  <c r="AC12" i="1" s="1"/>
  <c r="T12" i="1"/>
  <c r="Z12" i="1" s="1"/>
  <c r="V12" i="1"/>
  <c r="AB12" i="1" s="1"/>
  <c r="U12" i="1"/>
  <c r="AA12" i="1" s="1"/>
  <c r="AN27" i="1"/>
  <c r="AK13" i="1"/>
  <c r="Y26" i="1"/>
  <c r="AL15" i="1"/>
  <c r="H15" i="3" s="1"/>
  <c r="AJ19" i="1"/>
  <c r="X19" i="1"/>
  <c r="V26" i="1"/>
  <c r="U26" i="1"/>
  <c r="T26" i="1"/>
  <c r="W26" i="1"/>
  <c r="AM26" i="1"/>
  <c r="W29" i="1"/>
  <c r="V29" i="1"/>
  <c r="U29" i="1"/>
  <c r="T29" i="1"/>
  <c r="AL28" i="1"/>
  <c r="H28" i="3" s="1"/>
  <c r="Y21" i="1"/>
  <c r="T25" i="1"/>
  <c r="V25" i="1"/>
  <c r="W25" i="1"/>
  <c r="U25" i="1"/>
  <c r="AM25" i="1"/>
  <c r="T17" i="1"/>
  <c r="V17" i="1"/>
  <c r="AM17" i="1"/>
  <c r="W17" i="1"/>
  <c r="U17" i="1"/>
  <c r="AN15" i="1"/>
  <c r="AN25" i="1"/>
  <c r="AW17" i="1" a="1"/>
  <c r="AW17" i="1" s="1"/>
  <c r="AX18" i="1" a="1"/>
  <c r="AX18" i="1" s="1"/>
  <c r="AY19" i="1" a="1"/>
  <c r="AY19" i="1" s="1"/>
  <c r="AZ20" i="1" a="1"/>
  <c r="AZ20" i="1" s="1"/>
  <c r="BA21" i="1" a="1"/>
  <c r="BA21" i="1" s="1"/>
  <c r="BB22" i="1" a="1"/>
  <c r="BB22" i="1" s="1"/>
  <c r="BC23" i="1" a="1"/>
  <c r="BC23" i="1" s="1"/>
  <c r="BD24" i="1" a="1"/>
  <c r="BD24" i="1" s="1"/>
  <c r="BE25" i="1" a="1"/>
  <c r="BE25" i="1" s="1"/>
  <c r="BF26" i="1" a="1"/>
  <c r="BF26" i="1" s="1"/>
  <c r="BG27" i="1" a="1"/>
  <c r="BG27" i="1" s="1"/>
  <c r="BH28" i="1" a="1"/>
  <c r="BH28" i="1" s="1"/>
  <c r="BI29" i="1" a="1"/>
  <c r="BI29" i="1" s="1"/>
  <c r="BJ30" i="1" a="1"/>
  <c r="BJ30" i="1" s="1"/>
  <c r="BK31" i="1" a="1"/>
  <c r="BK31" i="1" s="1"/>
  <c r="BC15" i="1" a="1"/>
  <c r="BC15" i="1" s="1"/>
  <c r="BD12" i="1" a="1"/>
  <c r="BD12" i="1" s="1"/>
  <c r="BE13" i="1" a="1"/>
  <c r="BE13" i="1" s="1"/>
  <c r="BF14" i="1" a="1"/>
  <c r="BF14" i="1" s="1"/>
  <c r="BA11" i="1" a="1"/>
  <c r="BA11" i="1" s="1"/>
  <c r="BI10" i="1" a="1"/>
  <c r="BI10" i="1" s="1"/>
  <c r="BY56" i="1" s="1"/>
  <c r="O56" i="3" s="1"/>
  <c r="AW16" i="1" a="1"/>
  <c r="AW16" i="1" s="1"/>
  <c r="AX17" i="1" a="1"/>
  <c r="AX17" i="1" s="1"/>
  <c r="AY18" i="1" a="1"/>
  <c r="AY18" i="1" s="1"/>
  <c r="AZ19" i="1" a="1"/>
  <c r="AZ19" i="1" s="1"/>
  <c r="BA20" i="1" a="1"/>
  <c r="BA20" i="1" s="1"/>
  <c r="BB21" i="1" a="1"/>
  <c r="BB21" i="1" s="1"/>
  <c r="BC22" i="1" a="1"/>
  <c r="BC22" i="1" s="1"/>
  <c r="BD23" i="1" a="1"/>
  <c r="BD23" i="1" s="1"/>
  <c r="BE24" i="1" a="1"/>
  <c r="BE24" i="1" s="1"/>
  <c r="BF25" i="1" a="1"/>
  <c r="BF25" i="1" s="1"/>
  <c r="BG26" i="1" a="1"/>
  <c r="BG26" i="1" s="1"/>
  <c r="BH27" i="1" a="1"/>
  <c r="BH27" i="1" s="1"/>
  <c r="BI28" i="1" a="1"/>
  <c r="BI28" i="1" s="1"/>
  <c r="BY28" i="1" s="1"/>
  <c r="BJ29" i="1" a="1"/>
  <c r="BJ29" i="1" s="1"/>
  <c r="BK30" i="1" a="1"/>
  <c r="BK30" i="1" s="1"/>
  <c r="BD15" i="1" a="1"/>
  <c r="BD15" i="1" s="1"/>
  <c r="BE12" i="1" a="1"/>
  <c r="BE12" i="1" s="1"/>
  <c r="BF13" i="1" a="1"/>
  <c r="BF13" i="1" s="1"/>
  <c r="BG14" i="1" a="1"/>
  <c r="BG14" i="1" s="1"/>
  <c r="AZ11" i="1" a="1"/>
  <c r="AZ11" i="1" s="1"/>
  <c r="BJ10" i="1" a="1"/>
  <c r="BJ10" i="1" s="1"/>
  <c r="BZ56" i="1" s="1"/>
  <c r="P56" i="3" s="1"/>
  <c r="AX16" i="1" a="1"/>
  <c r="AX16" i="1" s="1"/>
  <c r="AY17" i="1" a="1"/>
  <c r="AY17" i="1" s="1"/>
  <c r="AZ18" i="1" a="1"/>
  <c r="AZ18" i="1" s="1"/>
  <c r="BA19" i="1" a="1"/>
  <c r="BA19" i="1" s="1"/>
  <c r="BB20" i="1" a="1"/>
  <c r="BB20" i="1" s="1"/>
  <c r="BC21" i="1" a="1"/>
  <c r="BC21" i="1" s="1"/>
  <c r="BD22" i="1" a="1"/>
  <c r="BD22" i="1" s="1"/>
  <c r="BE23" i="1" a="1"/>
  <c r="BE23" i="1" s="1"/>
  <c r="BF24" i="1" a="1"/>
  <c r="BF24" i="1" s="1"/>
  <c r="BG25" i="1" a="1"/>
  <c r="BG25" i="1" s="1"/>
  <c r="BH26" i="1" a="1"/>
  <c r="BH26" i="1" s="1"/>
  <c r="BI27" i="1" a="1"/>
  <c r="BI27" i="1" s="1"/>
  <c r="BY27" i="1" s="1"/>
  <c r="BJ28" i="1" a="1"/>
  <c r="BJ28" i="1" s="1"/>
  <c r="BK29" i="1" a="1"/>
  <c r="BK29" i="1" s="1"/>
  <c r="AW31" i="1" a="1"/>
  <c r="AW31" i="1" s="1"/>
  <c r="BE15" i="1" a="1"/>
  <c r="BE15" i="1" s="1"/>
  <c r="BF12" i="1" a="1"/>
  <c r="BF12" i="1" s="1"/>
  <c r="BG13" i="1" a="1"/>
  <c r="BG13" i="1" s="1"/>
  <c r="BH14" i="1" a="1"/>
  <c r="BH14" i="1" s="1"/>
  <c r="AY11" i="1" a="1"/>
  <c r="AY11" i="1" s="1"/>
  <c r="BK10" i="1" a="1"/>
  <c r="BK10" i="1" s="1"/>
  <c r="CA56" i="1" s="1"/>
  <c r="AY16" i="1" a="1"/>
  <c r="AY16" i="1" s="1"/>
  <c r="AZ17" i="1" a="1"/>
  <c r="AZ17" i="1" s="1"/>
  <c r="BA18" i="1" a="1"/>
  <c r="BA18" i="1" s="1"/>
  <c r="BB19" i="1" a="1"/>
  <c r="BB19" i="1" s="1"/>
  <c r="BC20" i="1" a="1"/>
  <c r="BC20" i="1" s="1"/>
  <c r="BD21" i="1" a="1"/>
  <c r="BD21" i="1" s="1"/>
  <c r="BE22" i="1" a="1"/>
  <c r="BE22" i="1" s="1"/>
  <c r="BF23" i="1" a="1"/>
  <c r="BF23" i="1" s="1"/>
  <c r="BG24" i="1" a="1"/>
  <c r="BG24" i="1" s="1"/>
  <c r="BH25" i="1" a="1"/>
  <c r="BH25" i="1" s="1"/>
  <c r="BI26" i="1" a="1"/>
  <c r="BI26" i="1" s="1"/>
  <c r="BY26" i="1" s="1"/>
  <c r="BJ27" i="1" a="1"/>
  <c r="BJ27" i="1" s="1"/>
  <c r="BZ27" i="1" s="1"/>
  <c r="BK28" i="1" a="1"/>
  <c r="BK28" i="1" s="1"/>
  <c r="AW30" i="1" a="1"/>
  <c r="AW30" i="1" s="1"/>
  <c r="AX31" i="1" a="1"/>
  <c r="AX31" i="1" s="1"/>
  <c r="BF15" i="1" a="1"/>
  <c r="BF15" i="1" s="1"/>
  <c r="BG12" i="1" a="1"/>
  <c r="BG12" i="1" s="1"/>
  <c r="BH13" i="1" a="1"/>
  <c r="BH13" i="1" s="1"/>
  <c r="BI14" i="1" a="1"/>
  <c r="BI14" i="1" s="1"/>
  <c r="BY14" i="1" s="1"/>
  <c r="AX11" i="1" a="1"/>
  <c r="AX11" i="1" s="1"/>
  <c r="AW10" i="1" a="1"/>
  <c r="AW10" i="1" s="1"/>
  <c r="BM56" i="1" s="1"/>
  <c r="C56" i="3" s="1"/>
  <c r="AZ16" i="1" a="1"/>
  <c r="AZ16" i="1" s="1"/>
  <c r="BA17" i="1" a="1"/>
  <c r="BA17" i="1" s="1"/>
  <c r="BB18" i="1" a="1"/>
  <c r="BB18" i="1" s="1"/>
  <c r="BC19" i="1" a="1"/>
  <c r="BC19" i="1" s="1"/>
  <c r="BD20" i="1" a="1"/>
  <c r="BD20" i="1" s="1"/>
  <c r="BE21" i="1" a="1"/>
  <c r="BE21" i="1" s="1"/>
  <c r="BF22" i="1" a="1"/>
  <c r="BF22" i="1" s="1"/>
  <c r="BG23" i="1" a="1"/>
  <c r="BG23" i="1" s="1"/>
  <c r="BH24" i="1" a="1"/>
  <c r="BH24" i="1" s="1"/>
  <c r="BI25" i="1" a="1"/>
  <c r="BI25" i="1" s="1"/>
  <c r="BY25" i="1" s="1"/>
  <c r="BJ26" i="1" a="1"/>
  <c r="BJ26" i="1" s="1"/>
  <c r="BZ26" i="1" s="1"/>
  <c r="BK27" i="1" a="1"/>
  <c r="BK27" i="1" s="1"/>
  <c r="CA27" i="1" s="1"/>
  <c r="AW29" i="1" a="1"/>
  <c r="AW29" i="1" s="1"/>
  <c r="AX30" i="1" a="1"/>
  <c r="AX30" i="1" s="1"/>
  <c r="AY31" i="1" a="1"/>
  <c r="AY31" i="1" s="1"/>
  <c r="BG15" i="1" a="1"/>
  <c r="BG15" i="1" s="1"/>
  <c r="BH12" i="1" a="1"/>
  <c r="BH12" i="1" s="1"/>
  <c r="BI13" i="1" a="1"/>
  <c r="BI13" i="1" s="1"/>
  <c r="BY13" i="1" s="1"/>
  <c r="BJ14" i="1" a="1"/>
  <c r="BJ14" i="1" s="1"/>
  <c r="BZ14" i="1" s="1"/>
  <c r="AW11" i="1" a="1"/>
  <c r="AW11" i="1" s="1"/>
  <c r="BA16" i="1" a="1"/>
  <c r="BA16" i="1" s="1"/>
  <c r="BB17" i="1" a="1"/>
  <c r="BB17" i="1" s="1"/>
  <c r="BC18" i="1" a="1"/>
  <c r="BC18" i="1" s="1"/>
  <c r="BD19" i="1" a="1"/>
  <c r="BD19" i="1" s="1"/>
  <c r="BE20" i="1" a="1"/>
  <c r="BE20" i="1" s="1"/>
  <c r="BF21" i="1" a="1"/>
  <c r="BF21" i="1" s="1"/>
  <c r="BG22" i="1" a="1"/>
  <c r="BG22" i="1" s="1"/>
  <c r="BH23" i="1" a="1"/>
  <c r="BH23" i="1" s="1"/>
  <c r="BI24" i="1" a="1"/>
  <c r="BI24" i="1" s="1"/>
  <c r="BY24" i="1" s="1"/>
  <c r="BJ25" i="1" a="1"/>
  <c r="BJ25" i="1" s="1"/>
  <c r="BZ25" i="1" s="1"/>
  <c r="BK26" i="1" a="1"/>
  <c r="BK26" i="1" s="1"/>
  <c r="CA26" i="1" s="1"/>
  <c r="AW28" i="1" a="1"/>
  <c r="AW28" i="1" s="1"/>
  <c r="BM28" i="1" s="1"/>
  <c r="AX29" i="1" a="1"/>
  <c r="AX29" i="1" s="1"/>
  <c r="AY30" i="1" a="1"/>
  <c r="AY30" i="1" s="1"/>
  <c r="AZ31" i="1" a="1"/>
  <c r="AZ31" i="1" s="1"/>
  <c r="BH15" i="1" a="1"/>
  <c r="BH15" i="1" s="1"/>
  <c r="BI12" i="1" a="1"/>
  <c r="BI12" i="1" s="1"/>
  <c r="BY12" i="1" s="1"/>
  <c r="BJ13" i="1" a="1"/>
  <c r="BJ13" i="1" s="1"/>
  <c r="BZ13" i="1" s="1"/>
  <c r="BK14" i="1" a="1"/>
  <c r="BK14" i="1" s="1"/>
  <c r="CA14" i="1" s="1"/>
  <c r="AX10" i="1" a="1"/>
  <c r="AX10" i="1" s="1"/>
  <c r="BN56" i="1" s="1"/>
  <c r="D56" i="3" s="1"/>
  <c r="BB16" i="1" a="1"/>
  <c r="BB16" i="1" s="1"/>
  <c r="BC17" i="1" a="1"/>
  <c r="BC17" i="1" s="1"/>
  <c r="BD18" i="1" a="1"/>
  <c r="BD18" i="1" s="1"/>
  <c r="BE19" i="1" a="1"/>
  <c r="BE19" i="1" s="1"/>
  <c r="BF20" i="1" a="1"/>
  <c r="BF20" i="1" s="1"/>
  <c r="BG21" i="1" a="1"/>
  <c r="BG21" i="1" s="1"/>
  <c r="BH22" i="1" a="1"/>
  <c r="BH22" i="1" s="1"/>
  <c r="BI23" i="1" a="1"/>
  <c r="BI23" i="1" s="1"/>
  <c r="BY23" i="1" s="1"/>
  <c r="BJ24" i="1" a="1"/>
  <c r="BJ24" i="1" s="1"/>
  <c r="BZ24" i="1" s="1"/>
  <c r="BK25" i="1" a="1"/>
  <c r="BK25" i="1" s="1"/>
  <c r="CA25" i="1" s="1"/>
  <c r="AW27" i="1" a="1"/>
  <c r="AW27" i="1" s="1"/>
  <c r="BM27" i="1" s="1"/>
  <c r="AX28" i="1" a="1"/>
  <c r="AX28" i="1" s="1"/>
  <c r="AY29" i="1" a="1"/>
  <c r="AY29" i="1" s="1"/>
  <c r="AZ30" i="1" a="1"/>
  <c r="AZ30" i="1" s="1"/>
  <c r="BA31" i="1" a="1"/>
  <c r="BA31" i="1" s="1"/>
  <c r="BI15" i="1" a="1"/>
  <c r="BI15" i="1" s="1"/>
  <c r="BY15" i="1" s="1"/>
  <c r="BJ12" i="1" a="1"/>
  <c r="BJ12" i="1" s="1"/>
  <c r="BZ12" i="1" s="1"/>
  <c r="BK13" i="1" a="1"/>
  <c r="BK13" i="1" s="1"/>
  <c r="CA13" i="1" s="1"/>
  <c r="BK11" i="1" a="1"/>
  <c r="BK11" i="1" s="1"/>
  <c r="AY10" i="1" a="1"/>
  <c r="AY10" i="1" s="1"/>
  <c r="BO56" i="1" s="1"/>
  <c r="BC16" i="1" a="1"/>
  <c r="BC16" i="1" s="1"/>
  <c r="BD17" i="1" a="1"/>
  <c r="BD17" i="1" s="1"/>
  <c r="BE18" i="1" a="1"/>
  <c r="BE18" i="1" s="1"/>
  <c r="BF19" i="1" a="1"/>
  <c r="BF19" i="1" s="1"/>
  <c r="BG20" i="1" a="1"/>
  <c r="BG20" i="1" s="1"/>
  <c r="BH21" i="1" a="1"/>
  <c r="BH21" i="1" s="1"/>
  <c r="BI22" i="1" a="1"/>
  <c r="BI22" i="1" s="1"/>
  <c r="BY22" i="1" s="1"/>
  <c r="BJ23" i="1" a="1"/>
  <c r="BJ23" i="1" s="1"/>
  <c r="BZ23" i="1" s="1"/>
  <c r="BK24" i="1" a="1"/>
  <c r="BK24" i="1" s="1"/>
  <c r="CA24" i="1" s="1"/>
  <c r="AW26" i="1" a="1"/>
  <c r="AW26" i="1" s="1"/>
  <c r="BM26" i="1" s="1"/>
  <c r="AX27" i="1" a="1"/>
  <c r="AX27" i="1" s="1"/>
  <c r="AY28" i="1" a="1"/>
  <c r="AY28" i="1" s="1"/>
  <c r="AZ29" i="1" a="1"/>
  <c r="AZ29" i="1" s="1"/>
  <c r="BA30" i="1" a="1"/>
  <c r="BA30" i="1" s="1"/>
  <c r="BB31" i="1" a="1"/>
  <c r="BB31" i="1" s="1"/>
  <c r="BJ15" i="1" a="1"/>
  <c r="BJ15" i="1" s="1"/>
  <c r="BZ15" i="1" s="1"/>
  <c r="BK12" i="1" a="1"/>
  <c r="BK12" i="1" s="1"/>
  <c r="CA12" i="1" s="1"/>
  <c r="AW14" i="1" a="1"/>
  <c r="AW14" i="1" s="1"/>
  <c r="BM14" i="1" s="1"/>
  <c r="BJ11" i="1" a="1"/>
  <c r="BJ11" i="1" s="1"/>
  <c r="AZ10" i="1" a="1"/>
  <c r="AZ10" i="1" s="1"/>
  <c r="BP56" i="1" s="1"/>
  <c r="F56" i="3" s="1"/>
  <c r="BD16" i="1" a="1"/>
  <c r="BD16" i="1" s="1"/>
  <c r="BE17" i="1" a="1"/>
  <c r="BE17" i="1" s="1"/>
  <c r="BF18" i="1" a="1"/>
  <c r="BF18" i="1" s="1"/>
  <c r="BG19" i="1" a="1"/>
  <c r="BG19" i="1" s="1"/>
  <c r="BH20" i="1" a="1"/>
  <c r="BH20" i="1" s="1"/>
  <c r="BI21" i="1" a="1"/>
  <c r="BI21" i="1" s="1"/>
  <c r="BY21" i="1" s="1"/>
  <c r="BJ22" i="1" a="1"/>
  <c r="BJ22" i="1" s="1"/>
  <c r="BZ22" i="1" s="1"/>
  <c r="BK23" i="1" a="1"/>
  <c r="BK23" i="1" s="1"/>
  <c r="CA23" i="1" s="1"/>
  <c r="AW25" i="1" a="1"/>
  <c r="AW25" i="1" s="1"/>
  <c r="BM25" i="1" s="1"/>
  <c r="AX26" i="1" a="1"/>
  <c r="AX26" i="1" s="1"/>
  <c r="BN26" i="1" s="1"/>
  <c r="AY27" i="1" a="1"/>
  <c r="AY27" i="1" s="1"/>
  <c r="BO27" i="1" s="1"/>
  <c r="AZ28" i="1" a="1"/>
  <c r="AZ28" i="1" s="1"/>
  <c r="BA29" i="1" a="1"/>
  <c r="BA29" i="1" s="1"/>
  <c r="BB30" i="1" a="1"/>
  <c r="BB30" i="1" s="1"/>
  <c r="BC31" i="1" a="1"/>
  <c r="BC31" i="1" s="1"/>
  <c r="BK15" i="1" a="1"/>
  <c r="BK15" i="1" s="1"/>
  <c r="CA15" i="1" s="1"/>
  <c r="AW13" i="1" a="1"/>
  <c r="AW13" i="1" s="1"/>
  <c r="BM13" i="1" s="1"/>
  <c r="AX14" i="1" a="1"/>
  <c r="AX14" i="1" s="1"/>
  <c r="BN14" i="1" s="1"/>
  <c r="BI11" i="1" a="1"/>
  <c r="BI11" i="1" s="1"/>
  <c r="BA10" i="1" a="1"/>
  <c r="BA10" i="1" s="1"/>
  <c r="BQ56" i="1" s="1"/>
  <c r="G56" i="3" s="1"/>
  <c r="BE16" i="1" a="1"/>
  <c r="BE16" i="1" s="1"/>
  <c r="BF17" i="1" a="1"/>
  <c r="BF17" i="1" s="1"/>
  <c r="BG18" i="1" a="1"/>
  <c r="BG18" i="1" s="1"/>
  <c r="BH19" i="1" a="1"/>
  <c r="BH19" i="1" s="1"/>
  <c r="BI20" i="1" a="1"/>
  <c r="BI20" i="1" s="1"/>
  <c r="BY20" i="1" s="1"/>
  <c r="BJ21" i="1" a="1"/>
  <c r="BJ21" i="1" s="1"/>
  <c r="BZ21" i="1" s="1"/>
  <c r="BK22" i="1" a="1"/>
  <c r="BK22" i="1" s="1"/>
  <c r="CA22" i="1" s="1"/>
  <c r="AW24" i="1" a="1"/>
  <c r="AW24" i="1" s="1"/>
  <c r="BM24" i="1" s="1"/>
  <c r="AX25" i="1" a="1"/>
  <c r="AX25" i="1" s="1"/>
  <c r="BN25" i="1" s="1"/>
  <c r="AY26" i="1" a="1"/>
  <c r="AY26" i="1" s="1"/>
  <c r="BO26" i="1" s="1"/>
  <c r="AZ27" i="1" a="1"/>
  <c r="AZ27" i="1" s="1"/>
  <c r="BA28" i="1" a="1"/>
  <c r="BA28" i="1" s="1"/>
  <c r="BB29" i="1" a="1"/>
  <c r="BB29" i="1" s="1"/>
  <c r="BC30" i="1" a="1"/>
  <c r="BC30" i="1" s="1"/>
  <c r="BD31" i="1" a="1"/>
  <c r="BD31" i="1" s="1"/>
  <c r="AW12" i="1" a="1"/>
  <c r="AW12" i="1" s="1"/>
  <c r="AX13" i="1" a="1"/>
  <c r="AX13" i="1" s="1"/>
  <c r="BN13" i="1" s="1"/>
  <c r="AY14" i="1" a="1"/>
  <c r="AY14" i="1" s="1"/>
  <c r="BO14" i="1" s="1"/>
  <c r="BH11" i="1" a="1"/>
  <c r="BH11" i="1" s="1"/>
  <c r="BB10" i="1" a="1"/>
  <c r="BB10" i="1" s="1"/>
  <c r="BR56" i="1" s="1"/>
  <c r="BF16" i="1" a="1"/>
  <c r="BF16" i="1" s="1"/>
  <c r="BG17" i="1" a="1"/>
  <c r="BG17" i="1" s="1"/>
  <c r="BH18" i="1" a="1"/>
  <c r="BH18" i="1" s="1"/>
  <c r="BI19" i="1" a="1"/>
  <c r="BI19" i="1" s="1"/>
  <c r="BY19" i="1" s="1"/>
  <c r="BJ20" i="1" a="1"/>
  <c r="BJ20" i="1" s="1"/>
  <c r="BZ20" i="1" s="1"/>
  <c r="BK21" i="1" a="1"/>
  <c r="BK21" i="1" s="1"/>
  <c r="CA21" i="1" s="1"/>
  <c r="AW23" i="1" a="1"/>
  <c r="AW23" i="1" s="1"/>
  <c r="BM23" i="1" s="1"/>
  <c r="AX24" i="1" a="1"/>
  <c r="AX24" i="1" s="1"/>
  <c r="BN24" i="1" s="1"/>
  <c r="AY25" i="1" a="1"/>
  <c r="AY25" i="1" s="1"/>
  <c r="BO25" i="1" s="1"/>
  <c r="AZ26" i="1" a="1"/>
  <c r="AZ26" i="1" s="1"/>
  <c r="BP26" i="1" s="1"/>
  <c r="F26" i="3" s="1"/>
  <c r="BA27" i="1" a="1"/>
  <c r="BA27" i="1" s="1"/>
  <c r="BB28" i="1" a="1"/>
  <c r="BB28" i="1" s="1"/>
  <c r="BC29" i="1" a="1"/>
  <c r="BC29" i="1" s="1"/>
  <c r="BD30" i="1" a="1"/>
  <c r="BD30" i="1" s="1"/>
  <c r="BE31" i="1" a="1"/>
  <c r="BE31" i="1" s="1"/>
  <c r="AW15" i="1" a="1"/>
  <c r="AW15" i="1" s="1"/>
  <c r="BM15" i="1" s="1"/>
  <c r="AX12" i="1" a="1"/>
  <c r="AX12" i="1" s="1"/>
  <c r="AY13" i="1" a="1"/>
  <c r="AY13" i="1" s="1"/>
  <c r="BO13" i="1" s="1"/>
  <c r="AZ14" i="1" a="1"/>
  <c r="AZ14" i="1" s="1"/>
  <c r="BP14" i="1" s="1"/>
  <c r="F14" i="3" s="1"/>
  <c r="BG11" i="1" a="1"/>
  <c r="BG11" i="1" s="1"/>
  <c r="BC10" i="1" a="1"/>
  <c r="BC10" i="1" s="1"/>
  <c r="BS56" i="1" s="1"/>
  <c r="I56" i="3" s="1"/>
  <c r="BG16" i="1" a="1"/>
  <c r="BG16" i="1" s="1"/>
  <c r="BH17" i="1" a="1"/>
  <c r="BH17" i="1" s="1"/>
  <c r="BI18" i="1" a="1"/>
  <c r="BI18" i="1" s="1"/>
  <c r="BY18" i="1" s="1"/>
  <c r="BJ19" i="1" a="1"/>
  <c r="BJ19" i="1" s="1"/>
  <c r="BZ19" i="1" s="1"/>
  <c r="BK20" i="1" a="1"/>
  <c r="BK20" i="1" s="1"/>
  <c r="CA20" i="1" s="1"/>
  <c r="AW22" i="1" a="1"/>
  <c r="AW22" i="1" s="1"/>
  <c r="BM22" i="1" s="1"/>
  <c r="AX23" i="1" a="1"/>
  <c r="AX23" i="1" s="1"/>
  <c r="BN23" i="1" s="1"/>
  <c r="AY24" i="1" a="1"/>
  <c r="AY24" i="1" s="1"/>
  <c r="BO24" i="1" s="1"/>
  <c r="AZ25" i="1" a="1"/>
  <c r="AZ25" i="1" s="1"/>
  <c r="BP25" i="1" s="1"/>
  <c r="F25" i="3" s="1"/>
  <c r="BA26" i="1" a="1"/>
  <c r="BA26" i="1" s="1"/>
  <c r="BQ26" i="1" s="1"/>
  <c r="G26" i="3" s="1"/>
  <c r="BB27" i="1" a="1"/>
  <c r="BB27" i="1" s="1"/>
  <c r="BC28" i="1" a="1"/>
  <c r="BC28" i="1" s="1"/>
  <c r="BD29" i="1" a="1"/>
  <c r="BD29" i="1" s="1"/>
  <c r="BE30" i="1" a="1"/>
  <c r="BE30" i="1" s="1"/>
  <c r="BF31" i="1" a="1"/>
  <c r="BF31" i="1" s="1"/>
  <c r="AX15" i="1" a="1"/>
  <c r="AX15" i="1" s="1"/>
  <c r="BN15" i="1" s="1"/>
  <c r="AY12" i="1" a="1"/>
  <c r="AY12" i="1" s="1"/>
  <c r="BO12" i="1" s="1"/>
  <c r="AZ13" i="1" a="1"/>
  <c r="AZ13" i="1" s="1"/>
  <c r="BP13" i="1" s="1"/>
  <c r="F13" i="3" s="1"/>
  <c r="BA14" i="1" a="1"/>
  <c r="BA14" i="1" s="1"/>
  <c r="BQ14" i="1" s="1"/>
  <c r="G14" i="3" s="1"/>
  <c r="BF11" i="1" a="1"/>
  <c r="BF11" i="1" s="1"/>
  <c r="BD10" i="1" a="1"/>
  <c r="BD10" i="1" s="1"/>
  <c r="BT56" i="1" s="1"/>
  <c r="J56" i="3" s="1"/>
  <c r="BH16" i="1" a="1"/>
  <c r="BH16" i="1" s="1"/>
  <c r="BI17" i="1" a="1"/>
  <c r="BI17" i="1" s="1"/>
  <c r="BY17" i="1" s="1"/>
  <c r="BJ18" i="1" a="1"/>
  <c r="BJ18" i="1" s="1"/>
  <c r="BZ18" i="1" s="1"/>
  <c r="BK19" i="1" a="1"/>
  <c r="BK19" i="1" s="1"/>
  <c r="CA19" i="1" s="1"/>
  <c r="AW21" i="1" a="1"/>
  <c r="AW21" i="1" s="1"/>
  <c r="BM21" i="1" s="1"/>
  <c r="AX22" i="1" a="1"/>
  <c r="AX22" i="1" s="1"/>
  <c r="BN22" i="1" s="1"/>
  <c r="AY23" i="1" a="1"/>
  <c r="AY23" i="1" s="1"/>
  <c r="BO23" i="1" s="1"/>
  <c r="AZ24" i="1" a="1"/>
  <c r="AZ24" i="1" s="1"/>
  <c r="BP24" i="1" s="1"/>
  <c r="F24" i="3" s="1"/>
  <c r="BA25" i="1" a="1"/>
  <c r="BA25" i="1" s="1"/>
  <c r="BQ25" i="1" s="1"/>
  <c r="G25" i="3" s="1"/>
  <c r="BB26" i="1" a="1"/>
  <c r="BB26" i="1" s="1"/>
  <c r="BR26" i="1" s="1"/>
  <c r="BC27" i="1" a="1"/>
  <c r="BC27" i="1" s="1"/>
  <c r="BD28" i="1" a="1"/>
  <c r="BD28" i="1" s="1"/>
  <c r="BE29" i="1" a="1"/>
  <c r="BE29" i="1" s="1"/>
  <c r="BF30" i="1" a="1"/>
  <c r="BF30" i="1" s="1"/>
  <c r="BG31" i="1" a="1"/>
  <c r="BG31" i="1" s="1"/>
  <c r="AY15" i="1" a="1"/>
  <c r="AY15" i="1" s="1"/>
  <c r="BO15" i="1" s="1"/>
  <c r="AZ12" i="1" a="1"/>
  <c r="AZ12" i="1" s="1"/>
  <c r="BP12" i="1" s="1"/>
  <c r="F12" i="3" s="1"/>
  <c r="BA13" i="1" a="1"/>
  <c r="BA13" i="1" s="1"/>
  <c r="BQ13" i="1" s="1"/>
  <c r="G13" i="3" s="1"/>
  <c r="BB14" i="1" a="1"/>
  <c r="BB14" i="1" s="1"/>
  <c r="BR14" i="1" s="1"/>
  <c r="BE11" i="1" a="1"/>
  <c r="BE11" i="1" s="1"/>
  <c r="BE10" i="1" a="1"/>
  <c r="BE10" i="1" s="1"/>
  <c r="BU56" i="1" s="1"/>
  <c r="BI16" i="1" a="1"/>
  <c r="BI16" i="1" s="1"/>
  <c r="BY16" i="1" s="1"/>
  <c r="BJ17" i="1" a="1"/>
  <c r="BJ17" i="1" s="1"/>
  <c r="BZ17" i="1" s="1"/>
  <c r="BK18" i="1" a="1"/>
  <c r="BK18" i="1" s="1"/>
  <c r="CA18" i="1" s="1"/>
  <c r="AW20" i="1" a="1"/>
  <c r="AW20" i="1" s="1"/>
  <c r="BM20" i="1" s="1"/>
  <c r="AX21" i="1" a="1"/>
  <c r="AX21" i="1" s="1"/>
  <c r="BN21" i="1" s="1"/>
  <c r="AY22" i="1" a="1"/>
  <c r="AY22" i="1" s="1"/>
  <c r="BO22" i="1" s="1"/>
  <c r="AZ23" i="1" a="1"/>
  <c r="AZ23" i="1" s="1"/>
  <c r="BP23" i="1" s="1"/>
  <c r="F23" i="3" s="1"/>
  <c r="BA24" i="1" a="1"/>
  <c r="BA24" i="1" s="1"/>
  <c r="BQ24" i="1" s="1"/>
  <c r="G24" i="3" s="1"/>
  <c r="BB25" i="1" a="1"/>
  <c r="BB25" i="1" s="1"/>
  <c r="BR25" i="1" s="1"/>
  <c r="BC26" i="1" a="1"/>
  <c r="BC26" i="1" s="1"/>
  <c r="BS26" i="1" s="1"/>
  <c r="I26" i="3" s="1"/>
  <c r="BD27" i="1" a="1"/>
  <c r="BD27" i="1" s="1"/>
  <c r="BE28" i="1" a="1"/>
  <c r="BE28" i="1" s="1"/>
  <c r="BF29" i="1" a="1"/>
  <c r="BF29" i="1" s="1"/>
  <c r="BG30" i="1" a="1"/>
  <c r="BG30" i="1" s="1"/>
  <c r="BH31" i="1" a="1"/>
  <c r="BH31" i="1" s="1"/>
  <c r="AZ15" i="1" a="1"/>
  <c r="AZ15" i="1" s="1"/>
  <c r="BP15" i="1" s="1"/>
  <c r="F15" i="3" s="1"/>
  <c r="BA12" i="1" a="1"/>
  <c r="BA12" i="1" s="1"/>
  <c r="BQ12" i="1" s="1"/>
  <c r="G12" i="3" s="1"/>
  <c r="BB13" i="1" a="1"/>
  <c r="BB13" i="1" s="1"/>
  <c r="BR13" i="1" s="1"/>
  <c r="BC14" i="1" a="1"/>
  <c r="BC14" i="1" s="1"/>
  <c r="BS14" i="1" s="1"/>
  <c r="I14" i="3" s="1"/>
  <c r="BD11" i="1" a="1"/>
  <c r="BD11" i="1" s="1"/>
  <c r="BF10" i="1" a="1"/>
  <c r="BF10" i="1" s="1"/>
  <c r="BV32" i="1" s="1"/>
  <c r="L32" i="3" s="1"/>
  <c r="BJ16" i="1" a="1"/>
  <c r="BJ16" i="1" s="1"/>
  <c r="BZ16" i="1" s="1"/>
  <c r="BK17" i="1" a="1"/>
  <c r="BK17" i="1" s="1"/>
  <c r="CA17" i="1" s="1"/>
  <c r="AW19" i="1" a="1"/>
  <c r="AW19" i="1" s="1"/>
  <c r="BM19" i="1" s="1"/>
  <c r="AX20" i="1" a="1"/>
  <c r="AX20" i="1" s="1"/>
  <c r="BN20" i="1" s="1"/>
  <c r="AY21" i="1" a="1"/>
  <c r="AY21" i="1" s="1"/>
  <c r="BO21" i="1" s="1"/>
  <c r="AZ22" i="1" a="1"/>
  <c r="AZ22" i="1" s="1"/>
  <c r="BP22" i="1" s="1"/>
  <c r="F22" i="3" s="1"/>
  <c r="BA23" i="1" a="1"/>
  <c r="BA23" i="1" s="1"/>
  <c r="BQ23" i="1" s="1"/>
  <c r="G23" i="3" s="1"/>
  <c r="BB24" i="1" a="1"/>
  <c r="BB24" i="1" s="1"/>
  <c r="BR24" i="1" s="1"/>
  <c r="BC25" i="1" a="1"/>
  <c r="BC25" i="1" s="1"/>
  <c r="BS25" i="1" s="1"/>
  <c r="I25" i="3" s="1"/>
  <c r="BD26" i="1" a="1"/>
  <c r="BD26" i="1" s="1"/>
  <c r="BE27" i="1" a="1"/>
  <c r="BE27" i="1" s="1"/>
  <c r="BF28" i="1" a="1"/>
  <c r="BF28" i="1" s="1"/>
  <c r="BG29" i="1" a="1"/>
  <c r="BG29" i="1" s="1"/>
  <c r="BH30" i="1" a="1"/>
  <c r="BH30" i="1" s="1"/>
  <c r="BI31" i="1" a="1"/>
  <c r="BI31" i="1" s="1"/>
  <c r="BY31" i="1" s="1"/>
  <c r="BA15" i="1" a="1"/>
  <c r="BA15" i="1" s="1"/>
  <c r="BQ15" i="1" s="1"/>
  <c r="G15" i="3" s="1"/>
  <c r="BB12" i="1" a="1"/>
  <c r="BB12" i="1" s="1"/>
  <c r="BR12" i="1" s="1"/>
  <c r="BC13" i="1" a="1"/>
  <c r="BC13" i="1" s="1"/>
  <c r="BS13" i="1" s="1"/>
  <c r="I13" i="3" s="1"/>
  <c r="BD14" i="1" a="1"/>
  <c r="BD14" i="1" s="1"/>
  <c r="BT14" i="1" s="1"/>
  <c r="J14" i="3" s="1"/>
  <c r="BC11" i="1" a="1"/>
  <c r="BC11" i="1" s="1"/>
  <c r="BG10" i="1" a="1"/>
  <c r="BG10" i="1" s="1"/>
  <c r="BW32" i="1" s="1"/>
  <c r="M32" i="3" s="1"/>
  <c r="BH10" i="1" a="1"/>
  <c r="BH10" i="1" s="1"/>
  <c r="BK16" i="1" a="1"/>
  <c r="BK16" i="1" s="1"/>
  <c r="CA16" i="1" s="1"/>
  <c r="AW18" i="1" a="1"/>
  <c r="AW18" i="1" s="1"/>
  <c r="BM18" i="1" s="1"/>
  <c r="AX19" i="1" a="1"/>
  <c r="AX19" i="1" s="1"/>
  <c r="BN19" i="1" s="1"/>
  <c r="AY20" i="1" a="1"/>
  <c r="AY20" i="1" s="1"/>
  <c r="BO20" i="1" s="1"/>
  <c r="AZ21" i="1" a="1"/>
  <c r="AZ21" i="1" s="1"/>
  <c r="BP21" i="1" s="1"/>
  <c r="F21" i="3" s="1"/>
  <c r="BA22" i="1" a="1"/>
  <c r="BA22" i="1" s="1"/>
  <c r="BQ22" i="1" s="1"/>
  <c r="G22" i="3" s="1"/>
  <c r="BB23" i="1" a="1"/>
  <c r="BB23" i="1" s="1"/>
  <c r="BR23" i="1" s="1"/>
  <c r="BC24" i="1" a="1"/>
  <c r="BC24" i="1" s="1"/>
  <c r="BS24" i="1" s="1"/>
  <c r="I24" i="3" s="1"/>
  <c r="BD25" i="1" a="1"/>
  <c r="BD25" i="1" s="1"/>
  <c r="BT25" i="1" s="1"/>
  <c r="J25" i="3" s="1"/>
  <c r="BE26" i="1" a="1"/>
  <c r="BE26" i="1" s="1"/>
  <c r="BU26" i="1" s="1"/>
  <c r="BF27" i="1" a="1"/>
  <c r="BF27" i="1" s="1"/>
  <c r="BG28" i="1" a="1"/>
  <c r="BG28" i="1" s="1"/>
  <c r="BH29" i="1" a="1"/>
  <c r="BH29" i="1" s="1"/>
  <c r="BI30" i="1" a="1"/>
  <c r="BI30" i="1" s="1"/>
  <c r="BY30" i="1" s="1"/>
  <c r="BJ31" i="1" a="1"/>
  <c r="BJ31" i="1" s="1"/>
  <c r="BZ31" i="1" s="1"/>
  <c r="BB15" i="1" a="1"/>
  <c r="BB15" i="1" s="1"/>
  <c r="BR15" i="1" s="1"/>
  <c r="BC12" i="1" a="1"/>
  <c r="BC12" i="1" s="1"/>
  <c r="BS12" i="1" s="1"/>
  <c r="I12" i="3" s="1"/>
  <c r="BD13" i="1" a="1"/>
  <c r="BD13" i="1" s="1"/>
  <c r="BT13" i="1" s="1"/>
  <c r="J13" i="3" s="1"/>
  <c r="BE14" i="1" a="1"/>
  <c r="BE14" i="1" s="1"/>
  <c r="BU14" i="1" s="1"/>
  <c r="BB11" i="1" a="1"/>
  <c r="BB11" i="1" s="1"/>
  <c r="AK27" i="1"/>
  <c r="W31" i="1"/>
  <c r="V31" i="1"/>
  <c r="U31" i="1"/>
  <c r="T31" i="1"/>
  <c r="X31" i="1"/>
  <c r="AN26" i="1"/>
  <c r="AM14" i="1"/>
  <c r="T14" i="1"/>
  <c r="V14" i="1"/>
  <c r="W14" i="1"/>
  <c r="U14" i="1"/>
  <c r="U24" i="1"/>
  <c r="W24" i="1"/>
  <c r="V24" i="1"/>
  <c r="T24" i="1"/>
  <c r="AM24" i="1"/>
  <c r="AK24" i="1"/>
  <c r="AK12" i="1"/>
  <c r="AN28" i="1"/>
  <c r="AK28" i="1"/>
  <c r="AJ26" i="1"/>
  <c r="X26" i="1"/>
  <c r="AK26" i="1"/>
  <c r="AL26" i="1"/>
  <c r="H26" i="3" s="1"/>
  <c r="AJ12" i="1"/>
  <c r="X12" i="1"/>
  <c r="AD12" i="1" s="1"/>
  <c r="Y30" i="1"/>
  <c r="T13" i="1"/>
  <c r="V13" i="1"/>
  <c r="W13" i="1"/>
  <c r="AM13" i="1"/>
  <c r="U13" i="1"/>
  <c r="AK23" i="1"/>
  <c r="AL23" i="1"/>
  <c r="H23" i="3" s="1"/>
  <c r="AJ23" i="1"/>
  <c r="X23" i="1"/>
  <c r="AJ17" i="1"/>
  <c r="AL19" i="1"/>
  <c r="H19" i="3" s="1"/>
  <c r="AN12" i="1"/>
  <c r="AK22" i="1"/>
  <c r="AJ28" i="1"/>
  <c r="X28" i="1"/>
  <c r="Y28" i="1"/>
  <c r="AN14" i="1"/>
  <c r="AJ21" i="1"/>
  <c r="X21" i="1"/>
  <c r="Y23" i="1"/>
  <c r="AN19" i="1"/>
  <c r="AN24" i="1"/>
  <c r="Y20" i="1"/>
  <c r="AM18" i="1"/>
  <c r="V18" i="1"/>
  <c r="T18" i="1"/>
  <c r="U18" i="1"/>
  <c r="W18" i="1"/>
  <c r="U23" i="1"/>
  <c r="AM23" i="1"/>
  <c r="W23" i="1"/>
  <c r="V23" i="1"/>
  <c r="T23" i="1"/>
  <c r="AL12" i="1"/>
  <c r="H12" i="3" s="1"/>
  <c r="AJ24" i="1"/>
  <c r="X24" i="1"/>
  <c r="Y16" i="1"/>
  <c r="Y25" i="1"/>
  <c r="X29" i="1"/>
  <c r="Y15" i="1"/>
  <c r="X13" i="1"/>
  <c r="AJ13" i="1"/>
  <c r="T20" i="1"/>
  <c r="U20" i="1"/>
  <c r="W20" i="1"/>
  <c r="V20" i="1"/>
  <c r="AM20" i="1"/>
  <c r="AN21" i="1"/>
  <c r="AL22" i="1"/>
  <c r="H22" i="3" s="1"/>
  <c r="Y18" i="1"/>
  <c r="AN17" i="1"/>
  <c r="U16" i="1"/>
  <c r="T16" i="1"/>
  <c r="AM16" i="1"/>
  <c r="V16" i="1"/>
  <c r="W16" i="1"/>
  <c r="V30" i="1"/>
  <c r="U30" i="1"/>
  <c r="T30" i="1"/>
  <c r="W30" i="1"/>
  <c r="AK14" i="1"/>
  <c r="AK18" i="1"/>
  <c r="AK21" i="1"/>
  <c r="V28" i="1"/>
  <c r="T28" i="1"/>
  <c r="W28" i="1"/>
  <c r="AM28" i="1"/>
  <c r="U28" i="1"/>
  <c r="Y29" i="1"/>
  <c r="AN13" i="1"/>
  <c r="Y31" i="1"/>
  <c r="X20" i="1"/>
  <c r="AJ20" i="1"/>
  <c r="AK15" i="1"/>
  <c r="AJ15" i="1"/>
  <c r="X15" i="1"/>
  <c r="AJ22" i="1"/>
  <c r="X22" i="1"/>
  <c r="X27" i="1"/>
  <c r="AJ27" i="1"/>
  <c r="X30" i="1"/>
  <c r="AN20" i="1"/>
  <c r="AN22" i="1"/>
  <c r="AN16" i="1"/>
  <c r="AK16" i="1"/>
  <c r="AK17" i="1"/>
  <c r="Q17" i="3"/>
  <c r="Q29" i="3"/>
  <c r="Q24" i="3"/>
  <c r="Q26" i="3"/>
  <c r="Q25" i="3"/>
  <c r="Q21" i="3"/>
  <c r="Q23" i="3"/>
  <c r="Q30" i="3"/>
  <c r="Q19" i="3"/>
  <c r="Q18" i="3"/>
  <c r="Q20" i="3"/>
  <c r="Q27" i="3"/>
  <c r="Q31" i="3"/>
  <c r="Q22" i="3"/>
  <c r="Q28" i="3"/>
  <c r="BN27" i="1" l="1"/>
  <c r="BZ28" i="1"/>
  <c r="BP54" i="1"/>
  <c r="F54" i="3" s="1"/>
  <c r="BP55" i="1"/>
  <c r="F55" i="3" s="1"/>
  <c r="BM54" i="1"/>
  <c r="C54" i="3" s="1"/>
  <c r="BM55" i="1"/>
  <c r="C55" i="3" s="1"/>
  <c r="BS54" i="1"/>
  <c r="I54" i="3" s="1"/>
  <c r="BS55" i="1"/>
  <c r="I55" i="3" s="1"/>
  <c r="BO54" i="1"/>
  <c r="BO55" i="1"/>
  <c r="CA54" i="1"/>
  <c r="CA55" i="1"/>
  <c r="BR54" i="1"/>
  <c r="BR55" i="1"/>
  <c r="BN54" i="1"/>
  <c r="D54" i="3" s="1"/>
  <c r="BN55" i="1"/>
  <c r="D55" i="3" s="1"/>
  <c r="BU54" i="1"/>
  <c r="BU55" i="1"/>
  <c r="BZ54" i="1"/>
  <c r="P54" i="3" s="1"/>
  <c r="BZ55" i="1"/>
  <c r="P55" i="3" s="1"/>
  <c r="BQ54" i="1"/>
  <c r="G54" i="3" s="1"/>
  <c r="BQ55" i="1"/>
  <c r="G55" i="3" s="1"/>
  <c r="BT54" i="1"/>
  <c r="J54" i="3" s="1"/>
  <c r="BT55" i="1"/>
  <c r="J55" i="3" s="1"/>
  <c r="BY54" i="1"/>
  <c r="O54" i="3" s="1"/>
  <c r="BY55" i="1"/>
  <c r="O55" i="3" s="1"/>
  <c r="BU52" i="1"/>
  <c r="BU53" i="1"/>
  <c r="BT52" i="1"/>
  <c r="J52" i="3" s="1"/>
  <c r="BT53" i="1"/>
  <c r="J53" i="3" s="1"/>
  <c r="BS52" i="1"/>
  <c r="I52" i="3" s="1"/>
  <c r="BS53" i="1"/>
  <c r="I53" i="3" s="1"/>
  <c r="BR52" i="1"/>
  <c r="BR53" i="1"/>
  <c r="BQ52" i="1"/>
  <c r="G52" i="3" s="1"/>
  <c r="BQ53" i="1"/>
  <c r="G53" i="3" s="1"/>
  <c r="BP52" i="1"/>
  <c r="F52" i="3" s="1"/>
  <c r="BP53" i="1"/>
  <c r="F53" i="3" s="1"/>
  <c r="BO52" i="1"/>
  <c r="BO53" i="1"/>
  <c r="BN52" i="1"/>
  <c r="D52" i="3" s="1"/>
  <c r="BN53" i="1"/>
  <c r="D53" i="3" s="1"/>
  <c r="BM52" i="1"/>
  <c r="C52" i="3" s="1"/>
  <c r="BM53" i="1"/>
  <c r="C53" i="3" s="1"/>
  <c r="CA52" i="1"/>
  <c r="CA53" i="1"/>
  <c r="BZ52" i="1"/>
  <c r="P52" i="3" s="1"/>
  <c r="BZ53" i="1"/>
  <c r="P53" i="3" s="1"/>
  <c r="BY52" i="1"/>
  <c r="O52" i="3" s="1"/>
  <c r="BY53" i="1"/>
  <c r="O53" i="3" s="1"/>
  <c r="BU50" i="1"/>
  <c r="BU51" i="1"/>
  <c r="BT50" i="1"/>
  <c r="J50" i="3" s="1"/>
  <c r="BT51" i="1"/>
  <c r="J51" i="3" s="1"/>
  <c r="BS50" i="1"/>
  <c r="I50" i="3" s="1"/>
  <c r="BS51" i="1"/>
  <c r="I51" i="3" s="1"/>
  <c r="BR50" i="1"/>
  <c r="BR51" i="1"/>
  <c r="BQ50" i="1"/>
  <c r="G50" i="3" s="1"/>
  <c r="BQ51" i="1"/>
  <c r="G51" i="3" s="1"/>
  <c r="BP50" i="1"/>
  <c r="F50" i="3" s="1"/>
  <c r="BP51" i="1"/>
  <c r="F51" i="3" s="1"/>
  <c r="BO50" i="1"/>
  <c r="BO51" i="1"/>
  <c r="BN50" i="1"/>
  <c r="D50" i="3" s="1"/>
  <c r="BN51" i="1"/>
  <c r="D51" i="3" s="1"/>
  <c r="BM50" i="1"/>
  <c r="C50" i="3" s="1"/>
  <c r="BM51" i="1"/>
  <c r="C51" i="3" s="1"/>
  <c r="CA50" i="1"/>
  <c r="CA51" i="1"/>
  <c r="BZ50" i="1"/>
  <c r="P50" i="3" s="1"/>
  <c r="BZ51" i="1"/>
  <c r="P51" i="3" s="1"/>
  <c r="BY50" i="1"/>
  <c r="O50" i="3" s="1"/>
  <c r="BY51" i="1"/>
  <c r="O51" i="3" s="1"/>
  <c r="BU48" i="1"/>
  <c r="BU49" i="1"/>
  <c r="BT48" i="1"/>
  <c r="J48" i="3" s="1"/>
  <c r="BT49" i="1"/>
  <c r="J49" i="3" s="1"/>
  <c r="BS48" i="1"/>
  <c r="I48" i="3" s="1"/>
  <c r="BS49" i="1"/>
  <c r="I49" i="3" s="1"/>
  <c r="BR48" i="1"/>
  <c r="BR49" i="1"/>
  <c r="BQ48" i="1"/>
  <c r="G48" i="3" s="1"/>
  <c r="BQ49" i="1"/>
  <c r="G49" i="3" s="1"/>
  <c r="BP48" i="1"/>
  <c r="F48" i="3" s="1"/>
  <c r="BP49" i="1"/>
  <c r="F49" i="3" s="1"/>
  <c r="BO48" i="1"/>
  <c r="BO49" i="1"/>
  <c r="BN48" i="1"/>
  <c r="D48" i="3" s="1"/>
  <c r="BN49" i="1"/>
  <c r="D49" i="3" s="1"/>
  <c r="BM48" i="1"/>
  <c r="C48" i="3" s="1"/>
  <c r="BM49" i="1"/>
  <c r="C49" i="3" s="1"/>
  <c r="CA48" i="1"/>
  <c r="CA49" i="1"/>
  <c r="BZ48" i="1"/>
  <c r="P48" i="3" s="1"/>
  <c r="BZ49" i="1"/>
  <c r="P49" i="3" s="1"/>
  <c r="BY48" i="1"/>
  <c r="O48" i="3" s="1"/>
  <c r="BY49" i="1"/>
  <c r="O49" i="3" s="1"/>
  <c r="BM29" i="1"/>
  <c r="BT26" i="1"/>
  <c r="J26" i="3" s="1"/>
  <c r="BY46" i="1"/>
  <c r="O46" i="3" s="1"/>
  <c r="BY47" i="1"/>
  <c r="O47" i="3" s="1"/>
  <c r="BP46" i="1"/>
  <c r="F46" i="3" s="1"/>
  <c r="BP47" i="1"/>
  <c r="F47" i="3" s="1"/>
  <c r="BM46" i="1"/>
  <c r="C46" i="3" s="1"/>
  <c r="BM47" i="1"/>
  <c r="C47" i="3" s="1"/>
  <c r="BS46" i="1"/>
  <c r="I46" i="3" s="1"/>
  <c r="BS47" i="1"/>
  <c r="I47" i="3" s="1"/>
  <c r="BO46" i="1"/>
  <c r="BO47" i="1"/>
  <c r="CA46" i="1"/>
  <c r="CA47" i="1"/>
  <c r="BR46" i="1"/>
  <c r="BR47" i="1"/>
  <c r="BN46" i="1"/>
  <c r="D46" i="3" s="1"/>
  <c r="BN47" i="1"/>
  <c r="D47" i="3" s="1"/>
  <c r="BU46" i="1"/>
  <c r="BU47" i="1"/>
  <c r="BZ46" i="1"/>
  <c r="P46" i="3" s="1"/>
  <c r="BZ47" i="1"/>
  <c r="P47" i="3" s="1"/>
  <c r="BQ46" i="1"/>
  <c r="G46" i="3" s="1"/>
  <c r="BQ47" i="1"/>
  <c r="G47" i="3" s="1"/>
  <c r="BT46" i="1"/>
  <c r="J46" i="3" s="1"/>
  <c r="BT47" i="1"/>
  <c r="J47" i="3" s="1"/>
  <c r="BU44" i="1"/>
  <c r="BU45" i="1"/>
  <c r="BT44" i="1"/>
  <c r="J44" i="3" s="1"/>
  <c r="BT45" i="1"/>
  <c r="J45" i="3" s="1"/>
  <c r="BS44" i="1"/>
  <c r="I44" i="3" s="1"/>
  <c r="BS45" i="1"/>
  <c r="I45" i="3" s="1"/>
  <c r="BR44" i="1"/>
  <c r="BR45" i="1"/>
  <c r="BQ44" i="1"/>
  <c r="G44" i="3" s="1"/>
  <c r="BQ45" i="1"/>
  <c r="G45" i="3" s="1"/>
  <c r="BP44" i="1"/>
  <c r="F44" i="3" s="1"/>
  <c r="BP45" i="1"/>
  <c r="F45" i="3" s="1"/>
  <c r="BO44" i="1"/>
  <c r="BO45" i="1"/>
  <c r="BN44" i="1"/>
  <c r="D44" i="3" s="1"/>
  <c r="BN45" i="1"/>
  <c r="D45" i="3" s="1"/>
  <c r="BM44" i="1"/>
  <c r="C44" i="3" s="1"/>
  <c r="BM45" i="1"/>
  <c r="C45" i="3" s="1"/>
  <c r="CA44" i="1"/>
  <c r="CA45" i="1"/>
  <c r="BZ44" i="1"/>
  <c r="P44" i="3" s="1"/>
  <c r="BZ45" i="1"/>
  <c r="P45" i="3" s="1"/>
  <c r="BY44" i="1"/>
  <c r="O44" i="3" s="1"/>
  <c r="BY45" i="1"/>
  <c r="O45" i="3" s="1"/>
  <c r="CA28" i="1"/>
  <c r="BU42" i="1"/>
  <c r="BU43" i="1"/>
  <c r="BT42" i="1"/>
  <c r="J42" i="3" s="1"/>
  <c r="BT43" i="1"/>
  <c r="J43" i="3" s="1"/>
  <c r="BS42" i="1"/>
  <c r="I42" i="3" s="1"/>
  <c r="BS43" i="1"/>
  <c r="I43" i="3" s="1"/>
  <c r="BR42" i="1"/>
  <c r="BR43" i="1"/>
  <c r="BQ42" i="1"/>
  <c r="G42" i="3" s="1"/>
  <c r="BQ43" i="1"/>
  <c r="G43" i="3" s="1"/>
  <c r="BP42" i="1"/>
  <c r="F42" i="3" s="1"/>
  <c r="BP43" i="1"/>
  <c r="F43" i="3" s="1"/>
  <c r="BO42" i="1"/>
  <c r="BO43" i="1"/>
  <c r="BN42" i="1"/>
  <c r="D42" i="3" s="1"/>
  <c r="BN43" i="1"/>
  <c r="D43" i="3" s="1"/>
  <c r="BM42" i="1"/>
  <c r="C42" i="3" s="1"/>
  <c r="BM43" i="1"/>
  <c r="C43" i="3" s="1"/>
  <c r="CA42" i="1"/>
  <c r="CA43" i="1"/>
  <c r="BZ42" i="1"/>
  <c r="P42" i="3" s="1"/>
  <c r="BZ43" i="1"/>
  <c r="P43" i="3" s="1"/>
  <c r="BY42" i="1"/>
  <c r="O42" i="3" s="1"/>
  <c r="BY43" i="1"/>
  <c r="O43" i="3" s="1"/>
  <c r="BU40" i="1"/>
  <c r="BU41" i="1"/>
  <c r="BT40" i="1"/>
  <c r="J40" i="3" s="1"/>
  <c r="BT41" i="1"/>
  <c r="J41" i="3" s="1"/>
  <c r="BS40" i="1"/>
  <c r="I40" i="3" s="1"/>
  <c r="BS41" i="1"/>
  <c r="I41" i="3" s="1"/>
  <c r="BO40" i="1"/>
  <c r="BO41" i="1"/>
  <c r="BN40" i="1"/>
  <c r="D40" i="3" s="1"/>
  <c r="BN41" i="1"/>
  <c r="D41" i="3" s="1"/>
  <c r="BM40" i="1"/>
  <c r="C40" i="3" s="1"/>
  <c r="BM41" i="1"/>
  <c r="C41" i="3" s="1"/>
  <c r="CA40" i="1"/>
  <c r="CA41" i="1"/>
  <c r="BZ40" i="1"/>
  <c r="P40" i="3" s="1"/>
  <c r="BZ41" i="1"/>
  <c r="P41" i="3" s="1"/>
  <c r="BY40" i="1"/>
  <c r="O40" i="3" s="1"/>
  <c r="BY41" i="1"/>
  <c r="O41" i="3" s="1"/>
  <c r="BR39" i="1"/>
  <c r="BR40" i="1"/>
  <c r="BQ39" i="1"/>
  <c r="G39" i="3" s="1"/>
  <c r="BQ40" i="1"/>
  <c r="G40" i="3" s="1"/>
  <c r="BP39" i="1"/>
  <c r="F39" i="3" s="1"/>
  <c r="BP40" i="1"/>
  <c r="F40" i="3" s="1"/>
  <c r="BU38" i="1"/>
  <c r="BU39" i="1"/>
  <c r="BT38" i="1"/>
  <c r="J38" i="3" s="1"/>
  <c r="BT39" i="1"/>
  <c r="J39" i="3" s="1"/>
  <c r="BS38" i="1"/>
  <c r="I38" i="3" s="1"/>
  <c r="BS39" i="1"/>
  <c r="I39" i="3" s="1"/>
  <c r="BO38" i="1"/>
  <c r="BO39" i="1"/>
  <c r="BN38" i="1"/>
  <c r="D38" i="3" s="1"/>
  <c r="BN39" i="1"/>
  <c r="D39" i="3" s="1"/>
  <c r="BM38" i="1"/>
  <c r="C38" i="3" s="1"/>
  <c r="BM39" i="1"/>
  <c r="C39" i="3" s="1"/>
  <c r="CA38" i="1"/>
  <c r="CA39" i="1"/>
  <c r="BZ38" i="1"/>
  <c r="P38" i="3" s="1"/>
  <c r="BZ39" i="1"/>
  <c r="P39" i="3" s="1"/>
  <c r="BY38" i="1"/>
  <c r="O38" i="3" s="1"/>
  <c r="BY39" i="1"/>
  <c r="O39" i="3" s="1"/>
  <c r="BO28" i="1"/>
  <c r="BR37" i="1"/>
  <c r="BR38" i="1"/>
  <c r="BQ37" i="1"/>
  <c r="G37" i="3" s="1"/>
  <c r="BQ38" i="1"/>
  <c r="G38" i="3" s="1"/>
  <c r="BP37" i="1"/>
  <c r="F37" i="3" s="1"/>
  <c r="BP38" i="1"/>
  <c r="F38" i="3" s="1"/>
  <c r="BN28" i="1"/>
  <c r="BU36" i="1"/>
  <c r="BU37" i="1"/>
  <c r="BT36" i="1"/>
  <c r="J36" i="3" s="1"/>
  <c r="BT37" i="1"/>
  <c r="J37" i="3" s="1"/>
  <c r="BS36" i="1"/>
  <c r="I36" i="3" s="1"/>
  <c r="BS37" i="1"/>
  <c r="I37" i="3" s="1"/>
  <c r="BO36" i="1"/>
  <c r="BO37" i="1"/>
  <c r="BN36" i="1"/>
  <c r="D36" i="3" s="1"/>
  <c r="BN37" i="1"/>
  <c r="D37" i="3" s="1"/>
  <c r="BM36" i="1"/>
  <c r="C36" i="3" s="1"/>
  <c r="BM37" i="1"/>
  <c r="C37" i="3" s="1"/>
  <c r="CA36" i="1"/>
  <c r="CA37" i="1"/>
  <c r="BZ36" i="1"/>
  <c r="P36" i="3" s="1"/>
  <c r="BZ37" i="1"/>
  <c r="P37" i="3" s="1"/>
  <c r="BY36" i="1"/>
  <c r="O36" i="3" s="1"/>
  <c r="BY37" i="1"/>
  <c r="O37" i="3" s="1"/>
  <c r="BR35" i="1"/>
  <c r="BR36" i="1"/>
  <c r="BQ35" i="1"/>
  <c r="G35" i="3" s="1"/>
  <c r="BQ36" i="1"/>
  <c r="G36" i="3" s="1"/>
  <c r="BP35" i="1"/>
  <c r="F35" i="3" s="1"/>
  <c r="BP36" i="1"/>
  <c r="F36" i="3" s="1"/>
  <c r="BU34" i="1"/>
  <c r="BU35" i="1"/>
  <c r="BT34" i="1"/>
  <c r="J34" i="3" s="1"/>
  <c r="BT35" i="1"/>
  <c r="J35" i="3" s="1"/>
  <c r="BS34" i="1"/>
  <c r="I34" i="3" s="1"/>
  <c r="BS35" i="1"/>
  <c r="I35" i="3" s="1"/>
  <c r="BO34" i="1"/>
  <c r="BO35" i="1"/>
  <c r="BN34" i="1"/>
  <c r="D34" i="3" s="1"/>
  <c r="BN35" i="1"/>
  <c r="D35" i="3" s="1"/>
  <c r="BM34" i="1"/>
  <c r="C34" i="3" s="1"/>
  <c r="BM35" i="1"/>
  <c r="C35" i="3" s="1"/>
  <c r="CA34" i="1"/>
  <c r="CA35" i="1"/>
  <c r="BZ34" i="1"/>
  <c r="P34" i="3" s="1"/>
  <c r="BZ35" i="1"/>
  <c r="P35" i="3" s="1"/>
  <c r="BY34" i="1"/>
  <c r="O34" i="3" s="1"/>
  <c r="BY35" i="1"/>
  <c r="O35" i="3" s="1"/>
  <c r="BN29" i="1"/>
  <c r="BR32" i="1"/>
  <c r="BR34" i="1"/>
  <c r="BQ32" i="1"/>
  <c r="G32" i="3" s="1"/>
  <c r="BQ34" i="1"/>
  <c r="G34" i="3" s="1"/>
  <c r="BP32" i="1"/>
  <c r="F32" i="3" s="1"/>
  <c r="BP34" i="1"/>
  <c r="F34" i="3" s="1"/>
  <c r="BN30" i="1"/>
  <c r="BN18" i="1"/>
  <c r="BM17" i="1"/>
  <c r="BO16" i="1"/>
  <c r="CA31" i="1"/>
  <c r="BN31" i="1"/>
  <c r="BZ30" i="1"/>
  <c r="BM30" i="1"/>
  <c r="BY29" i="1"/>
  <c r="BO17" i="1"/>
  <c r="BN16" i="1"/>
  <c r="BO29" i="1"/>
  <c r="BM31" i="1"/>
  <c r="CA29" i="1"/>
  <c r="BO18" i="1"/>
  <c r="BN17" i="1"/>
  <c r="BO30" i="1"/>
  <c r="BM16" i="1"/>
  <c r="CA30" i="1"/>
  <c r="BO31" i="1"/>
  <c r="BZ29" i="1"/>
  <c r="BO19" i="1"/>
  <c r="BU32" i="1"/>
  <c r="BU33" i="1"/>
  <c r="BT32" i="1"/>
  <c r="J32" i="3" s="1"/>
  <c r="BT33" i="1"/>
  <c r="J33" i="3" s="1"/>
  <c r="BS32" i="1"/>
  <c r="I32" i="3" s="1"/>
  <c r="BS33" i="1"/>
  <c r="I33" i="3" s="1"/>
  <c r="BN12" i="1"/>
  <c r="BM12" i="1"/>
  <c r="BO33" i="1"/>
  <c r="BO32" i="1"/>
  <c r="BN33" i="1"/>
  <c r="D33" i="3" s="1"/>
  <c r="BN32" i="1"/>
  <c r="BM33" i="1"/>
  <c r="C33" i="3" s="1"/>
  <c r="BM32" i="1"/>
  <c r="CA33" i="1"/>
  <c r="CA32" i="1"/>
  <c r="BZ33" i="1"/>
  <c r="BZ32" i="1"/>
  <c r="BY33" i="1"/>
  <c r="BY32" i="1"/>
  <c r="BR29" i="1"/>
  <c r="BP30" i="1"/>
  <c r="F30" i="3" s="1"/>
  <c r="BR30" i="1"/>
  <c r="BP31" i="1"/>
  <c r="F31" i="3" s="1"/>
  <c r="BV17" i="1"/>
  <c r="BQ29" i="1"/>
  <c r="G29" i="3" s="1"/>
  <c r="BQ31" i="1"/>
  <c r="G31" i="3" s="1"/>
  <c r="BW17" i="1"/>
  <c r="BR31" i="1"/>
  <c r="BX17" i="1"/>
  <c r="BQ30" i="1"/>
  <c r="G30" i="3" s="1"/>
  <c r="BP29" i="1"/>
  <c r="F29" i="3" s="1"/>
  <c r="BQ27" i="1"/>
  <c r="G27" i="3" s="1"/>
  <c r="BV27" i="1"/>
  <c r="L27" i="3" s="1"/>
  <c r="BS27" i="1"/>
  <c r="I27" i="3" s="1"/>
  <c r="BP27" i="1"/>
  <c r="F27" i="3" s="1"/>
  <c r="BQ28" i="1"/>
  <c r="G28" i="3" s="1"/>
  <c r="BU27" i="1"/>
  <c r="BP28" i="1"/>
  <c r="F28" i="3" s="1"/>
  <c r="BS28" i="1"/>
  <c r="I28" i="3" s="1"/>
  <c r="BT27" i="1"/>
  <c r="J27" i="3" s="1"/>
  <c r="BW28" i="1"/>
  <c r="M28" i="3" s="1"/>
  <c r="BT28" i="1"/>
  <c r="J28" i="3" s="1"/>
  <c r="BR28" i="1"/>
  <c r="BR27" i="1"/>
  <c r="BV16" i="1"/>
  <c r="L16" i="3" s="1"/>
  <c r="BT17" i="1"/>
  <c r="J17" i="3" s="1"/>
  <c r="O12" i="3"/>
  <c r="O13" i="3"/>
  <c r="BR18" i="1"/>
  <c r="BT15" i="1"/>
  <c r="J15" i="3" s="1"/>
  <c r="BS22" i="1"/>
  <c r="I22" i="3" s="1"/>
  <c r="BS16" i="1"/>
  <c r="I16" i="3" s="1"/>
  <c r="BX15" i="1"/>
  <c r="BW22" i="1"/>
  <c r="M22" i="3" s="1"/>
  <c r="BQ17" i="1"/>
  <c r="G17" i="3" s="1"/>
  <c r="BX14" i="1"/>
  <c r="BW25" i="1"/>
  <c r="M25" i="3" s="1"/>
  <c r="BR21" i="1"/>
  <c r="BW30" i="1"/>
  <c r="M30" i="3" s="1"/>
  <c r="BU31" i="1"/>
  <c r="BV21" i="1"/>
  <c r="L21" i="3" s="1"/>
  <c r="BP16" i="1"/>
  <c r="F16" i="3" s="1"/>
  <c r="BW13" i="1"/>
  <c r="M13" i="3" s="1"/>
  <c r="BV24" i="1"/>
  <c r="L24" i="3" s="1"/>
  <c r="BQ20" i="1"/>
  <c r="G20" i="3" s="1"/>
  <c r="BV29" i="1"/>
  <c r="L29" i="3" s="1"/>
  <c r="BT30" i="1"/>
  <c r="J30" i="3" s="1"/>
  <c r="BW19" i="1"/>
  <c r="M19" i="3" s="1"/>
  <c r="BU20" i="1"/>
  <c r="BV12" i="1"/>
  <c r="L12" i="3" s="1"/>
  <c r="BU23" i="1"/>
  <c r="BP19" i="1"/>
  <c r="F19" i="3" s="1"/>
  <c r="BU28" i="1"/>
  <c r="BS29" i="1"/>
  <c r="I29" i="3" s="1"/>
  <c r="BV18" i="1"/>
  <c r="L18" i="3" s="1"/>
  <c r="BT19" i="1"/>
  <c r="J19" i="3" s="1"/>
  <c r="BU15" i="1"/>
  <c r="BT22" i="1"/>
  <c r="J22" i="3" s="1"/>
  <c r="BW16" i="1"/>
  <c r="M16" i="3" s="1"/>
  <c r="BU17" i="1"/>
  <c r="P13" i="3"/>
  <c r="P12" i="3"/>
  <c r="BS18" i="1"/>
  <c r="I18" i="3" s="1"/>
  <c r="O14" i="3"/>
  <c r="BS21" i="1"/>
  <c r="I21" i="3" s="1"/>
  <c r="BT16" i="1"/>
  <c r="J16" i="3" s="1"/>
  <c r="BR17" i="1"/>
  <c r="BX13" i="1"/>
  <c r="BW24" i="1"/>
  <c r="M24" i="3" s="1"/>
  <c r="BR20" i="1"/>
  <c r="BV31" i="1"/>
  <c r="L31" i="3" s="1"/>
  <c r="BW21" i="1"/>
  <c r="M21" i="3" s="1"/>
  <c r="BQ16" i="1"/>
  <c r="G16" i="3" s="1"/>
  <c r="BW12" i="1"/>
  <c r="M12" i="3" s="1"/>
  <c r="BV23" i="1"/>
  <c r="L23" i="3" s="1"/>
  <c r="BQ19" i="1"/>
  <c r="G19" i="3" s="1"/>
  <c r="BW27" i="1"/>
  <c r="M27" i="3" s="1"/>
  <c r="BW29" i="1"/>
  <c r="M29" i="3" s="1"/>
  <c r="BU30" i="1"/>
  <c r="BS31" i="1"/>
  <c r="I31" i="3" s="1"/>
  <c r="BV20" i="1"/>
  <c r="L20" i="3" s="1"/>
  <c r="BV15" i="1"/>
  <c r="L15" i="3" s="1"/>
  <c r="BU22" i="1"/>
  <c r="BP18" i="1"/>
  <c r="F18" i="3" s="1"/>
  <c r="BV26" i="1"/>
  <c r="L26" i="3" s="1"/>
  <c r="BV28" i="1"/>
  <c r="L28" i="3" s="1"/>
  <c r="BT29" i="1"/>
  <c r="J29" i="3" s="1"/>
  <c r="BW18" i="1"/>
  <c r="M18" i="3" s="1"/>
  <c r="BU19" i="1"/>
  <c r="BT21" i="1"/>
  <c r="J21" i="3" s="1"/>
  <c r="BV14" i="1"/>
  <c r="L14" i="3" s="1"/>
  <c r="BU25" i="1"/>
  <c r="BX16" i="1"/>
  <c r="BX18" i="1" s="1"/>
  <c r="BX56" i="1" s="1"/>
  <c r="BT18" i="1"/>
  <c r="J18" i="3" s="1"/>
  <c r="BS20" i="1"/>
  <c r="I20" i="3" s="1"/>
  <c r="BU13" i="1"/>
  <c r="BT24" i="1"/>
  <c r="J24" i="3" s="1"/>
  <c r="BU16" i="1"/>
  <c r="BS17" i="1"/>
  <c r="I17" i="3" s="1"/>
  <c r="BX12" i="1"/>
  <c r="BW23" i="1"/>
  <c r="M23" i="3" s="1"/>
  <c r="BR19" i="1"/>
  <c r="BT12" i="1"/>
  <c r="J12" i="3" s="1"/>
  <c r="BS23" i="1"/>
  <c r="I23" i="3" s="1"/>
  <c r="BW31" i="1"/>
  <c r="M31" i="3" s="1"/>
  <c r="BR16" i="1"/>
  <c r="BW15" i="1"/>
  <c r="M15" i="3" s="1"/>
  <c r="BV22" i="1"/>
  <c r="L22" i="3" s="1"/>
  <c r="BQ18" i="1"/>
  <c r="G18" i="3" s="1"/>
  <c r="BW26" i="1"/>
  <c r="M26" i="3" s="1"/>
  <c r="BS15" i="1"/>
  <c r="I15" i="3" s="1"/>
  <c r="BR22" i="1"/>
  <c r="BV30" i="1"/>
  <c r="L30" i="3" s="1"/>
  <c r="BT31" i="1"/>
  <c r="J31" i="3" s="1"/>
  <c r="BW20" i="1"/>
  <c r="M20" i="3" s="1"/>
  <c r="BU21" i="1"/>
  <c r="BP17" i="1"/>
  <c r="F17" i="3" s="1"/>
  <c r="BW14" i="1"/>
  <c r="M14" i="3" s="1"/>
  <c r="BV25" i="1"/>
  <c r="L25" i="3" s="1"/>
  <c r="BQ21" i="1"/>
  <c r="G21" i="3" s="1"/>
  <c r="BU29" i="1"/>
  <c r="BS30" i="1"/>
  <c r="I30" i="3" s="1"/>
  <c r="BV19" i="1"/>
  <c r="L19" i="3" s="1"/>
  <c r="BT20" i="1"/>
  <c r="J20" i="3" s="1"/>
  <c r="BV13" i="1"/>
  <c r="L13" i="3" s="1"/>
  <c r="BU24" i="1"/>
  <c r="BP20" i="1"/>
  <c r="F20" i="3" s="1"/>
  <c r="BU18" i="1"/>
  <c r="BS19" i="1"/>
  <c r="I19" i="3" s="1"/>
  <c r="BU12" i="1"/>
  <c r="BT23" i="1"/>
  <c r="J23" i="3" s="1"/>
  <c r="R11" i="3"/>
  <c r="B11" i="3"/>
  <c r="B11" i="2"/>
  <c r="BX54" i="1" l="1"/>
  <c r="BX55" i="1"/>
  <c r="BX52" i="1"/>
  <c r="BX53" i="1"/>
  <c r="BX50" i="1"/>
  <c r="BX51" i="1"/>
  <c r="BX48" i="1"/>
  <c r="BX49" i="1"/>
  <c r="BX46" i="1"/>
  <c r="BX47" i="1"/>
  <c r="BX44" i="1"/>
  <c r="BX45" i="1"/>
  <c r="BX42" i="1"/>
  <c r="BX43" i="1"/>
  <c r="BX40" i="1"/>
  <c r="BX41" i="1"/>
  <c r="BX38" i="1"/>
  <c r="BX39" i="1"/>
  <c r="BX36" i="1"/>
  <c r="BX37" i="1"/>
  <c r="BX34" i="1"/>
  <c r="BX35" i="1"/>
  <c r="BX32" i="1"/>
  <c r="BX33" i="1"/>
  <c r="BX25" i="1"/>
  <c r="O15" i="3"/>
  <c r="P15" i="3"/>
  <c r="P14" i="3"/>
  <c r="BX28" i="1"/>
  <c r="BX27" i="1"/>
  <c r="BX24" i="1"/>
  <c r="BX29" i="1"/>
  <c r="BX22" i="1"/>
  <c r="BX31" i="1"/>
  <c r="BX20" i="1"/>
  <c r="BX26" i="1"/>
  <c r="BX23" i="1"/>
  <c r="BX21" i="1"/>
  <c r="BX19" i="1"/>
  <c r="BX30" i="1"/>
  <c r="AE1" i="4"/>
  <c r="P32" i="3" l="1"/>
  <c r="P33" i="3"/>
  <c r="O32" i="3"/>
  <c r="O33" i="3"/>
  <c r="P16" i="3"/>
  <c r="O16" i="3"/>
  <c r="P24" i="3"/>
  <c r="P18" i="3"/>
  <c r="P22" i="3"/>
  <c r="P30" i="3"/>
  <c r="P17" i="3"/>
  <c r="P26" i="3"/>
  <c r="P25" i="3"/>
  <c r="P23" i="3"/>
  <c r="P20" i="3"/>
  <c r="P19" i="3"/>
  <c r="P29" i="3"/>
  <c r="P21" i="3"/>
  <c r="P28" i="3"/>
  <c r="P27" i="3"/>
  <c r="P31" i="3"/>
  <c r="O24" i="3"/>
  <c r="O20" i="3"/>
  <c r="O21" i="3"/>
  <c r="O25" i="3"/>
  <c r="O31" i="3"/>
  <c r="O17" i="3"/>
  <c r="O26" i="3"/>
  <c r="O19" i="3"/>
  <c r="O29" i="3"/>
  <c r="O28" i="3"/>
  <c r="O18" i="3"/>
  <c r="O27" i="3"/>
  <c r="O22" i="3"/>
  <c r="O23" i="3"/>
  <c r="O30" i="3"/>
  <c r="C11" i="2" l="1"/>
  <c r="AE7" i="4" l="1"/>
  <c r="AG5" i="4" l="1"/>
  <c r="CA11" i="1" l="1"/>
  <c r="BZ11" i="1"/>
  <c r="P11" i="3" s="1"/>
  <c r="BY11" i="1"/>
  <c r="O11" i="3" s="1"/>
  <c r="AG11" i="1" l="1"/>
  <c r="AH11" i="1"/>
  <c r="AI11" i="1"/>
  <c r="T11" i="1"/>
  <c r="U11" i="1"/>
  <c r="V11" i="1"/>
  <c r="W11" i="1"/>
  <c r="X11" i="1"/>
  <c r="Y11" i="1"/>
  <c r="Y10" i="1"/>
  <c r="AE56" i="1" s="1"/>
  <c r="I56" i="2" s="1"/>
  <c r="X10" i="1"/>
  <c r="W10" i="1"/>
  <c r="AC56" i="1" s="1"/>
  <c r="G56" i="2" s="1"/>
  <c r="V10" i="1"/>
  <c r="U10" i="1"/>
  <c r="T10" i="1"/>
  <c r="Z56" i="1" s="1"/>
  <c r="D56" i="2" s="1"/>
  <c r="AA55" i="1" l="1"/>
  <c r="E55" i="2" s="1"/>
  <c r="AA56" i="1"/>
  <c r="E56" i="2" s="1"/>
  <c r="AC54" i="1"/>
  <c r="G54" i="2" s="1"/>
  <c r="AC55" i="1"/>
  <c r="G55" i="2" s="1"/>
  <c r="R56" i="2" s="1"/>
  <c r="Z54" i="1"/>
  <c r="D54" i="2" s="1"/>
  <c r="Z55" i="1"/>
  <c r="D55" i="2" s="1"/>
  <c r="AE54" i="1"/>
  <c r="I54" i="2" s="1"/>
  <c r="AE55" i="1"/>
  <c r="I55" i="2" s="1"/>
  <c r="T56" i="2" s="1"/>
  <c r="AA53" i="1"/>
  <c r="E53" i="2" s="1"/>
  <c r="AA54" i="1"/>
  <c r="E54" i="2" s="1"/>
  <c r="AC52" i="1"/>
  <c r="G52" i="2" s="1"/>
  <c r="AC53" i="1"/>
  <c r="G53" i="2" s="1"/>
  <c r="Z52" i="1"/>
  <c r="D52" i="2" s="1"/>
  <c r="Z53" i="1"/>
  <c r="D53" i="2" s="1"/>
  <c r="AE52" i="1"/>
  <c r="I52" i="2" s="1"/>
  <c r="AE53" i="1"/>
  <c r="I53" i="2" s="1"/>
  <c r="AA51" i="1"/>
  <c r="E51" i="2" s="1"/>
  <c r="AA52" i="1"/>
  <c r="E52" i="2" s="1"/>
  <c r="AC50" i="1"/>
  <c r="G50" i="2" s="1"/>
  <c r="AC51" i="1"/>
  <c r="G51" i="2" s="1"/>
  <c r="Z50" i="1"/>
  <c r="D50" i="2" s="1"/>
  <c r="Z51" i="1"/>
  <c r="D51" i="2" s="1"/>
  <c r="AE50" i="1"/>
  <c r="I50" i="2" s="1"/>
  <c r="AE51" i="1"/>
  <c r="I51" i="2" s="1"/>
  <c r="AA49" i="1"/>
  <c r="E49" i="2" s="1"/>
  <c r="AA50" i="1"/>
  <c r="E50" i="2" s="1"/>
  <c r="Z48" i="1"/>
  <c r="D48" i="2" s="1"/>
  <c r="Z49" i="1"/>
  <c r="D49" i="2" s="1"/>
  <c r="AC48" i="1"/>
  <c r="G48" i="2" s="1"/>
  <c r="AC49" i="1"/>
  <c r="G49" i="2" s="1"/>
  <c r="AE48" i="1"/>
  <c r="I48" i="2" s="1"/>
  <c r="AE49" i="1"/>
  <c r="I49" i="2" s="1"/>
  <c r="AA47" i="1"/>
  <c r="E47" i="2" s="1"/>
  <c r="AA48" i="1"/>
  <c r="E48" i="2" s="1"/>
  <c r="AE46" i="1"/>
  <c r="I46" i="2" s="1"/>
  <c r="AE47" i="1"/>
  <c r="I47" i="2" s="1"/>
  <c r="AC46" i="1"/>
  <c r="G46" i="2" s="1"/>
  <c r="AC47" i="1"/>
  <c r="G47" i="2" s="1"/>
  <c r="Z46" i="1"/>
  <c r="D46" i="2" s="1"/>
  <c r="Z47" i="1"/>
  <c r="D47" i="2" s="1"/>
  <c r="AA45" i="1"/>
  <c r="E45" i="2" s="1"/>
  <c r="AA46" i="1"/>
  <c r="E46" i="2" s="1"/>
  <c r="AC44" i="1"/>
  <c r="G44" i="2" s="1"/>
  <c r="AC45" i="1"/>
  <c r="G45" i="2" s="1"/>
  <c r="Z44" i="1"/>
  <c r="D44" i="2" s="1"/>
  <c r="Z45" i="1"/>
  <c r="D45" i="2" s="1"/>
  <c r="AE44" i="1"/>
  <c r="I44" i="2" s="1"/>
  <c r="AE45" i="1"/>
  <c r="I45" i="2" s="1"/>
  <c r="AA43" i="1"/>
  <c r="E43" i="2" s="1"/>
  <c r="AA44" i="1"/>
  <c r="E44" i="2" s="1"/>
  <c r="AC42" i="1"/>
  <c r="G42" i="2" s="1"/>
  <c r="AC43" i="1"/>
  <c r="G43" i="2" s="1"/>
  <c r="Z42" i="1"/>
  <c r="D42" i="2" s="1"/>
  <c r="Z43" i="1"/>
  <c r="D43" i="2" s="1"/>
  <c r="AE42" i="1"/>
  <c r="I42" i="2" s="1"/>
  <c r="AE43" i="1"/>
  <c r="I43" i="2" s="1"/>
  <c r="AA40" i="1"/>
  <c r="E40" i="2" s="1"/>
  <c r="P41" i="2" s="1"/>
  <c r="AA42" i="1"/>
  <c r="E42" i="2" s="1"/>
  <c r="P42" i="2" s="1"/>
  <c r="AC40" i="1"/>
  <c r="G40" i="2" s="1"/>
  <c r="AC41" i="1"/>
  <c r="G41" i="2" s="1"/>
  <c r="Z40" i="1"/>
  <c r="D40" i="2" s="1"/>
  <c r="Z41" i="1"/>
  <c r="D41" i="2" s="1"/>
  <c r="AE40" i="1"/>
  <c r="I40" i="2" s="1"/>
  <c r="AE41" i="1"/>
  <c r="I41" i="2" s="1"/>
  <c r="AA38" i="1"/>
  <c r="E38" i="2" s="1"/>
  <c r="AA39" i="1"/>
  <c r="E39" i="2" s="1"/>
  <c r="AC38" i="1"/>
  <c r="G38" i="2" s="1"/>
  <c r="AC39" i="1"/>
  <c r="G39" i="2" s="1"/>
  <c r="Z38" i="1"/>
  <c r="D38" i="2" s="1"/>
  <c r="Z39" i="1"/>
  <c r="D39" i="2" s="1"/>
  <c r="AE38" i="1"/>
  <c r="I38" i="2" s="1"/>
  <c r="AE39" i="1"/>
  <c r="I39" i="2" s="1"/>
  <c r="AA36" i="1"/>
  <c r="E36" i="2" s="1"/>
  <c r="AA37" i="1"/>
  <c r="E37" i="2" s="1"/>
  <c r="AC36" i="1"/>
  <c r="G36" i="2" s="1"/>
  <c r="AC37" i="1"/>
  <c r="G37" i="2" s="1"/>
  <c r="Z36" i="1"/>
  <c r="D36" i="2" s="1"/>
  <c r="Z37" i="1"/>
  <c r="D37" i="2" s="1"/>
  <c r="AE36" i="1"/>
  <c r="I36" i="2" s="1"/>
  <c r="AE37" i="1"/>
  <c r="I37" i="2" s="1"/>
  <c r="AA34" i="1"/>
  <c r="E34" i="2" s="1"/>
  <c r="P34" i="2" s="1"/>
  <c r="AA35" i="1"/>
  <c r="E35" i="2" s="1"/>
  <c r="AC34" i="1"/>
  <c r="G34" i="2" s="1"/>
  <c r="AC35" i="1"/>
  <c r="G35" i="2" s="1"/>
  <c r="Z34" i="1"/>
  <c r="D34" i="2" s="1"/>
  <c r="Z35" i="1"/>
  <c r="D35" i="2" s="1"/>
  <c r="AE34" i="1"/>
  <c r="I34" i="2" s="1"/>
  <c r="AE35" i="1"/>
  <c r="I35" i="2" s="1"/>
  <c r="AA25" i="1"/>
  <c r="AA13" i="1"/>
  <c r="E13" i="2" s="1"/>
  <c r="AA27" i="1"/>
  <c r="E27" i="2" s="1"/>
  <c r="AA26" i="1"/>
  <c r="E26" i="2" s="1"/>
  <c r="P26" i="2" s="1"/>
  <c r="AA31" i="1"/>
  <c r="E31" i="2" s="1"/>
  <c r="AA24" i="1"/>
  <c r="E24" i="2" s="1"/>
  <c r="AA17" i="1"/>
  <c r="E17" i="2" s="1"/>
  <c r="AA19" i="1"/>
  <c r="E19" i="2" s="1"/>
  <c r="AA29" i="1"/>
  <c r="E29" i="2" s="1"/>
  <c r="AA15" i="1"/>
  <c r="E15" i="2" s="1"/>
  <c r="AA18" i="1"/>
  <c r="E18" i="2" s="1"/>
  <c r="AA23" i="1"/>
  <c r="E23" i="2" s="1"/>
  <c r="AA22" i="1"/>
  <c r="E22" i="2" s="1"/>
  <c r="AA14" i="1"/>
  <c r="E14" i="2" s="1"/>
  <c r="AA30" i="1"/>
  <c r="E30" i="2" s="1"/>
  <c r="AA21" i="1"/>
  <c r="E21" i="2" s="1"/>
  <c r="AA20" i="1"/>
  <c r="E20" i="2" s="1"/>
  <c r="AA28" i="1"/>
  <c r="E28" i="2" s="1"/>
  <c r="AA16" i="1"/>
  <c r="E16" i="2" s="1"/>
  <c r="AB27" i="1"/>
  <c r="F27" i="2" s="1"/>
  <c r="AB20" i="1"/>
  <c r="F20" i="2" s="1"/>
  <c r="AB13" i="1"/>
  <c r="F13" i="2" s="1"/>
  <c r="AB24" i="1"/>
  <c r="F24" i="2" s="1"/>
  <c r="AB14" i="1"/>
  <c r="F14" i="2" s="1"/>
  <c r="AB30" i="1"/>
  <c r="F30" i="2" s="1"/>
  <c r="AB25" i="1"/>
  <c r="F25" i="2" s="1"/>
  <c r="AB17" i="1"/>
  <c r="AB18" i="1"/>
  <c r="AB22" i="1"/>
  <c r="F22" i="2" s="1"/>
  <c r="AB15" i="1"/>
  <c r="F15" i="2" s="1"/>
  <c r="AB16" i="1"/>
  <c r="F16" i="2" s="1"/>
  <c r="AB21" i="1"/>
  <c r="F21" i="2" s="1"/>
  <c r="AB26" i="1"/>
  <c r="F26" i="2" s="1"/>
  <c r="AB31" i="1"/>
  <c r="F31" i="2" s="1"/>
  <c r="AB28" i="1"/>
  <c r="F28" i="2" s="1"/>
  <c r="AB19" i="1"/>
  <c r="F19" i="2" s="1"/>
  <c r="AB23" i="1"/>
  <c r="F23" i="2" s="1"/>
  <c r="AB29" i="1"/>
  <c r="F29" i="2" s="1"/>
  <c r="AC17" i="1"/>
  <c r="AC19" i="1"/>
  <c r="AC14" i="1"/>
  <c r="AC29" i="1"/>
  <c r="AC26" i="1"/>
  <c r="AC28" i="1"/>
  <c r="AC13" i="1"/>
  <c r="AC21" i="1"/>
  <c r="AC25" i="1"/>
  <c r="AC24" i="1"/>
  <c r="AC15" i="1"/>
  <c r="AC16" i="1"/>
  <c r="AC27" i="1"/>
  <c r="AC20" i="1"/>
  <c r="AC22" i="1"/>
  <c r="AC31" i="1"/>
  <c r="AC30" i="1"/>
  <c r="AC23" i="1"/>
  <c r="AC18" i="1"/>
  <c r="AD32" i="1"/>
  <c r="H32" i="2" s="1"/>
  <c r="S33" i="2" s="1"/>
  <c r="AD19" i="1"/>
  <c r="AD28" i="1"/>
  <c r="AD24" i="1"/>
  <c r="AD21" i="1"/>
  <c r="AD22" i="1"/>
  <c r="AD18" i="1"/>
  <c r="AD16" i="1"/>
  <c r="AD20" i="1"/>
  <c r="AD13" i="1"/>
  <c r="H13" i="2" s="1"/>
  <c r="AD25" i="1"/>
  <c r="AD17" i="1"/>
  <c r="AD30" i="1"/>
  <c r="AD23" i="1"/>
  <c r="AD29" i="1"/>
  <c r="AD14" i="1"/>
  <c r="H14" i="2" s="1"/>
  <c r="AD26" i="1"/>
  <c r="AD15" i="1"/>
  <c r="H15" i="2" s="1"/>
  <c r="AD27" i="1"/>
  <c r="AD31" i="1"/>
  <c r="AA32" i="1"/>
  <c r="E32" i="2" s="1"/>
  <c r="P33" i="2" s="1"/>
  <c r="AB32" i="1"/>
  <c r="F32" i="2" s="1"/>
  <c r="Q33" i="2" s="1"/>
  <c r="AC33" i="1"/>
  <c r="AC32" i="1"/>
  <c r="Z33" i="1"/>
  <c r="D33" i="2" s="1"/>
  <c r="Z32" i="1"/>
  <c r="Z28" i="1"/>
  <c r="Z24" i="1"/>
  <c r="Z21" i="1"/>
  <c r="Z17" i="1"/>
  <c r="Z26" i="1"/>
  <c r="Z13" i="1"/>
  <c r="Z16" i="1"/>
  <c r="Z27" i="1"/>
  <c r="Z19" i="1"/>
  <c r="Z22" i="1"/>
  <c r="Z23" i="1"/>
  <c r="Z18" i="1"/>
  <c r="Z31" i="1"/>
  <c r="Z25" i="1"/>
  <c r="Z15" i="1"/>
  <c r="Z29" i="1"/>
  <c r="Z20" i="1"/>
  <c r="Z14" i="1"/>
  <c r="Z30" i="1"/>
  <c r="AE33" i="1"/>
  <c r="AE32" i="1"/>
  <c r="AE24" i="1"/>
  <c r="AE28" i="1"/>
  <c r="AE21" i="1"/>
  <c r="AE14" i="1"/>
  <c r="I14" i="2" s="1"/>
  <c r="AE30" i="1"/>
  <c r="AE15" i="1"/>
  <c r="AE22" i="1"/>
  <c r="AE16" i="1"/>
  <c r="AE26" i="1"/>
  <c r="AE17" i="1"/>
  <c r="AE19" i="1"/>
  <c r="AE31" i="1"/>
  <c r="AE18" i="1"/>
  <c r="AE27" i="1"/>
  <c r="AE20" i="1"/>
  <c r="AE25" i="1"/>
  <c r="AE13" i="1"/>
  <c r="AE29" i="1"/>
  <c r="AE23" i="1"/>
  <c r="E11" i="3"/>
  <c r="E32" i="3"/>
  <c r="F12" i="2"/>
  <c r="H12" i="2"/>
  <c r="E12" i="2"/>
  <c r="AB11" i="1"/>
  <c r="F11" i="2" s="1"/>
  <c r="AC10" i="1"/>
  <c r="AC11" i="1"/>
  <c r="G11" i="2" s="1"/>
  <c r="AD10" i="1"/>
  <c r="Z11" i="1"/>
  <c r="AA10" i="1"/>
  <c r="AE10" i="1"/>
  <c r="AE11" i="1"/>
  <c r="AA11" i="1"/>
  <c r="E11" i="2" s="1"/>
  <c r="AB10" i="1"/>
  <c r="Z10" i="1"/>
  <c r="AD11" i="1"/>
  <c r="H11" i="2" s="1"/>
  <c r="O55" i="2" l="1"/>
  <c r="O56" i="2"/>
  <c r="P56" i="2"/>
  <c r="R55" i="2"/>
  <c r="P54" i="2"/>
  <c r="P55" i="2"/>
  <c r="T54" i="2"/>
  <c r="O54" i="2"/>
  <c r="T55" i="2"/>
  <c r="R53" i="2"/>
  <c r="R54" i="2"/>
  <c r="T52" i="2"/>
  <c r="R51" i="2"/>
  <c r="P52" i="2"/>
  <c r="T53" i="2"/>
  <c r="P51" i="2"/>
  <c r="P53" i="2"/>
  <c r="O52" i="2"/>
  <c r="O53" i="2"/>
  <c r="T50" i="2"/>
  <c r="R52" i="2"/>
  <c r="O50" i="2"/>
  <c r="T51" i="2"/>
  <c r="O51" i="2"/>
  <c r="R49" i="2"/>
  <c r="P49" i="2"/>
  <c r="P50" i="2"/>
  <c r="O48" i="2"/>
  <c r="R50" i="2"/>
  <c r="R47" i="2"/>
  <c r="T48" i="2"/>
  <c r="T49" i="2"/>
  <c r="O49" i="2"/>
  <c r="P48" i="2"/>
  <c r="T46" i="2"/>
  <c r="R48" i="2"/>
  <c r="O46" i="2"/>
  <c r="O47" i="2"/>
  <c r="T47" i="2"/>
  <c r="P46" i="2"/>
  <c r="P47" i="2"/>
  <c r="R45" i="2"/>
  <c r="R46" i="2"/>
  <c r="R43" i="2"/>
  <c r="P44" i="2"/>
  <c r="T45" i="2"/>
  <c r="P45" i="2"/>
  <c r="O45" i="2"/>
  <c r="O43" i="2"/>
  <c r="T43" i="2"/>
  <c r="R44" i="2"/>
  <c r="T44" i="2"/>
  <c r="O44" i="2"/>
  <c r="R40" i="2"/>
  <c r="P43" i="2"/>
  <c r="T42" i="2"/>
  <c r="O42" i="2"/>
  <c r="P38" i="2"/>
  <c r="P39" i="2"/>
  <c r="R41" i="2"/>
  <c r="R42" i="2"/>
  <c r="T41" i="2"/>
  <c r="O40" i="2"/>
  <c r="O41" i="2"/>
  <c r="T39" i="2"/>
  <c r="P40" i="2"/>
  <c r="T40" i="2"/>
  <c r="R39" i="2"/>
  <c r="O38" i="2"/>
  <c r="O39" i="2"/>
  <c r="R37" i="2"/>
  <c r="T37" i="2"/>
  <c r="T36" i="2"/>
  <c r="R38" i="2"/>
  <c r="T38" i="2"/>
  <c r="P35" i="2"/>
  <c r="O36" i="2"/>
  <c r="R35" i="2"/>
  <c r="P37" i="2"/>
  <c r="O37" i="2"/>
  <c r="O34" i="2"/>
  <c r="P36" i="2"/>
  <c r="R36" i="2"/>
  <c r="O35" i="2"/>
  <c r="T35" i="2"/>
  <c r="P32" i="2"/>
  <c r="Q32" i="2"/>
  <c r="P31" i="2"/>
  <c r="P30" i="2"/>
  <c r="F18" i="2"/>
  <c r="Q18" i="2" s="1"/>
  <c r="Q29" i="2"/>
  <c r="Q23" i="2"/>
  <c r="S13" i="2"/>
  <c r="P23" i="2"/>
  <c r="P17" i="2"/>
  <c r="P14" i="2"/>
  <c r="P27" i="2"/>
  <c r="Q30" i="2"/>
  <c r="Q24" i="2"/>
  <c r="Q21" i="2"/>
  <c r="Q26" i="2"/>
  <c r="Q28" i="2"/>
  <c r="P18" i="2"/>
  <c r="Q14" i="2"/>
  <c r="P15" i="2"/>
  <c r="S15" i="2"/>
  <c r="P16" i="2"/>
  <c r="Q13" i="2"/>
  <c r="P13" i="2"/>
  <c r="S14" i="2"/>
  <c r="H24" i="2"/>
  <c r="H30" i="2"/>
  <c r="H19" i="2"/>
  <c r="H22" i="2"/>
  <c r="H18" i="2"/>
  <c r="H28" i="2"/>
  <c r="H29" i="2"/>
  <c r="H27" i="2"/>
  <c r="H17" i="2"/>
  <c r="H16" i="2"/>
  <c r="S16" i="2" s="1"/>
  <c r="H26" i="2"/>
  <c r="S26" i="2" s="1"/>
  <c r="H31" i="2"/>
  <c r="S32" i="2" s="1"/>
  <c r="H23" i="2"/>
  <c r="H21" i="2"/>
  <c r="H20" i="2"/>
  <c r="Q15" i="2"/>
  <c r="Q27" i="2"/>
  <c r="P24" i="2"/>
  <c r="P25" i="2"/>
  <c r="E24" i="3"/>
  <c r="E26" i="3"/>
  <c r="E25" i="3"/>
  <c r="E21" i="3"/>
  <c r="E18" i="3"/>
  <c r="E30" i="3"/>
  <c r="E23" i="3"/>
  <c r="E19" i="3"/>
  <c r="E17" i="3"/>
  <c r="E20" i="3"/>
  <c r="E31" i="3"/>
  <c r="E28" i="3"/>
  <c r="E29" i="3"/>
  <c r="E27" i="3"/>
  <c r="E14" i="3"/>
  <c r="E16" i="3"/>
  <c r="E22" i="3"/>
  <c r="E13" i="3"/>
  <c r="E15" i="3"/>
  <c r="E12" i="3"/>
  <c r="P19" i="2"/>
  <c r="Q25" i="2"/>
  <c r="P20" i="2"/>
  <c r="Q20" i="2"/>
  <c r="P21" i="2"/>
  <c r="Q16" i="2"/>
  <c r="Q17" i="2"/>
  <c r="P29" i="2"/>
  <c r="P28" i="2"/>
  <c r="Q31" i="2"/>
  <c r="G12" i="2"/>
  <c r="R12" i="2" s="1"/>
  <c r="P22" i="2"/>
  <c r="Q22" i="2"/>
  <c r="D11" i="2"/>
  <c r="D32" i="2"/>
  <c r="O33" i="2" s="1"/>
  <c r="I11" i="2"/>
  <c r="P12" i="2"/>
  <c r="Q12" i="2"/>
  <c r="S12" i="2"/>
  <c r="AE3" i="4" a="1"/>
  <c r="AE3" i="4" s="1"/>
  <c r="AE5" i="4" s="1"/>
  <c r="S30" i="2" l="1"/>
  <c r="Q19" i="2"/>
  <c r="S31" i="2"/>
  <c r="B39" i="4"/>
  <c r="B6" i="4"/>
  <c r="N6" i="4"/>
  <c r="N72" i="4"/>
  <c r="B72" i="4"/>
  <c r="N39" i="4"/>
  <c r="S18" i="2"/>
  <c r="S21" i="2"/>
  <c r="S20" i="2"/>
  <c r="S23" i="2"/>
  <c r="S27" i="2"/>
  <c r="S28" i="2"/>
  <c r="S29" i="2"/>
  <c r="S22" i="2"/>
  <c r="S19" i="2"/>
  <c r="S24" i="2"/>
  <c r="S25" i="2"/>
  <c r="G14" i="2"/>
  <c r="G13" i="2"/>
  <c r="R13" i="2" s="1"/>
  <c r="G15" i="2"/>
  <c r="S17" i="2"/>
  <c r="I12" i="2"/>
  <c r="D14" i="2"/>
  <c r="D13" i="2"/>
  <c r="D16" i="2"/>
  <c r="D24" i="2"/>
  <c r="D18" i="2"/>
  <c r="D27" i="2"/>
  <c r="D17" i="2"/>
  <c r="D25" i="2"/>
  <c r="D19" i="2"/>
  <c r="D31" i="2"/>
  <c r="O32" i="2" s="1"/>
  <c r="D29" i="2"/>
  <c r="D22" i="2"/>
  <c r="D21" i="2"/>
  <c r="D15" i="2"/>
  <c r="D23" i="2"/>
  <c r="D28" i="2"/>
  <c r="D30" i="2"/>
  <c r="D20" i="2"/>
  <c r="D26" i="2"/>
  <c r="D12" i="2"/>
  <c r="P10" i="3"/>
  <c r="O10" i="3"/>
  <c r="R15" i="2" l="1"/>
  <c r="O15" i="2"/>
  <c r="R14" i="2"/>
  <c r="O16" i="2"/>
  <c r="O30" i="2"/>
  <c r="O23" i="2"/>
  <c r="O28" i="2"/>
  <c r="O25" i="2"/>
  <c r="G16" i="2"/>
  <c r="R16" i="2" s="1"/>
  <c r="O17" i="2"/>
  <c r="O18" i="2"/>
  <c r="O19" i="2"/>
  <c r="O13" i="2"/>
  <c r="O12" i="2"/>
  <c r="O27" i="2"/>
  <c r="O26" i="2"/>
  <c r="O24" i="2"/>
  <c r="O20" i="2"/>
  <c r="O21" i="2"/>
  <c r="O14" i="2"/>
  <c r="O22" i="2"/>
  <c r="O29" i="2"/>
  <c r="O31" i="2"/>
  <c r="T12" i="2"/>
  <c r="I13" i="2"/>
  <c r="T14" i="2" s="1"/>
  <c r="I15" i="2"/>
  <c r="T15" i="2" s="1"/>
  <c r="A5" i="5"/>
  <c r="A37" i="5"/>
  <c r="L5" i="5"/>
  <c r="P9" i="2"/>
  <c r="Q9" i="2"/>
  <c r="R9" i="2"/>
  <c r="S9" i="2"/>
  <c r="T9" i="2"/>
  <c r="O9" i="2"/>
  <c r="L37" i="5"/>
  <c r="BN11" i="1"/>
  <c r="BO11" i="1"/>
  <c r="BP11" i="1"/>
  <c r="F11" i="3" s="1"/>
  <c r="BQ11" i="1"/>
  <c r="G11" i="3" s="1"/>
  <c r="BR11" i="1"/>
  <c r="BS11" i="1"/>
  <c r="I11" i="3" s="1"/>
  <c r="BT11" i="1"/>
  <c r="J11" i="3" s="1"/>
  <c r="BU11" i="1"/>
  <c r="BV11" i="1"/>
  <c r="L11" i="3" s="1"/>
  <c r="BW11" i="1"/>
  <c r="M11" i="3" s="1"/>
  <c r="BX11" i="1"/>
  <c r="BM11" i="1"/>
  <c r="AJ11" i="1"/>
  <c r="AK11" i="1"/>
  <c r="AL11" i="1"/>
  <c r="H11" i="3" s="1"/>
  <c r="AM11" i="1"/>
  <c r="AN11" i="1"/>
  <c r="AO11" i="1"/>
  <c r="K11" i="3" s="1"/>
  <c r="S11" i="3" s="1"/>
  <c r="AP11" i="1"/>
  <c r="AQ11" i="1"/>
  <c r="AR11" i="1"/>
  <c r="N11" i="3" s="1"/>
  <c r="AS11" i="1"/>
  <c r="AT11" i="1"/>
  <c r="AU11" i="1"/>
  <c r="Q11" i="3" s="1"/>
  <c r="B11" i="1"/>
  <c r="Q10" i="3"/>
  <c r="E10" i="3"/>
  <c r="D10" i="3"/>
  <c r="C10" i="3"/>
  <c r="I10" i="2"/>
  <c r="G10" i="2"/>
  <c r="D10" i="2"/>
  <c r="B10" i="2"/>
  <c r="R10" i="3"/>
  <c r="B10" i="3"/>
  <c r="A10" i="3"/>
  <c r="H10" i="3"/>
  <c r="G10" i="3"/>
  <c r="F10" i="3"/>
  <c r="N10" i="3"/>
  <c r="M10" i="3"/>
  <c r="L10" i="3"/>
  <c r="E10" i="2"/>
  <c r="F10" i="2"/>
  <c r="H10" i="2"/>
  <c r="I10" i="3"/>
  <c r="J10" i="3"/>
  <c r="K10" i="3"/>
  <c r="S10" i="3" s="1"/>
  <c r="A10" i="2"/>
  <c r="G32" i="2" l="1"/>
  <c r="G33" i="2"/>
  <c r="D11" i="3"/>
  <c r="D32" i="3"/>
  <c r="C11" i="3"/>
  <c r="C32" i="3"/>
  <c r="T13" i="2"/>
  <c r="G18" i="2"/>
  <c r="G17" i="2"/>
  <c r="R17" i="2" s="1"/>
  <c r="G20" i="2"/>
  <c r="G28" i="2"/>
  <c r="G19" i="2"/>
  <c r="G21" i="2"/>
  <c r="G31" i="2"/>
  <c r="G22" i="2"/>
  <c r="G26" i="2"/>
  <c r="G24" i="2"/>
  <c r="G25" i="2"/>
  <c r="G30" i="2"/>
  <c r="G29" i="2"/>
  <c r="G27" i="2"/>
  <c r="G23" i="2"/>
  <c r="I16" i="2"/>
  <c r="T16" i="2" s="1"/>
  <c r="O11" i="2"/>
  <c r="Q11" i="2"/>
  <c r="T11" i="2"/>
  <c r="S11" i="2"/>
  <c r="R11" i="2"/>
  <c r="P11" i="2"/>
  <c r="A11" i="3"/>
  <c r="A11" i="2"/>
  <c r="C10" i="2"/>
  <c r="R32" i="2" l="1"/>
  <c r="R33" i="2"/>
  <c r="R34" i="2"/>
  <c r="I32" i="2"/>
  <c r="I33" i="2"/>
  <c r="T34" i="2" s="1"/>
  <c r="R21" i="2"/>
  <c r="R19" i="2"/>
  <c r="R26" i="2"/>
  <c r="R25" i="2"/>
  <c r="D23" i="3"/>
  <c r="D28" i="3"/>
  <c r="D14" i="3"/>
  <c r="D29" i="3"/>
  <c r="D20" i="3"/>
  <c r="D13" i="3"/>
  <c r="D21" i="3"/>
  <c r="D24" i="3"/>
  <c r="D22" i="3"/>
  <c r="D31" i="3"/>
  <c r="D30" i="3"/>
  <c r="D26" i="3"/>
  <c r="D25" i="3"/>
  <c r="D16" i="3"/>
  <c r="D15" i="3"/>
  <c r="D18" i="3"/>
  <c r="D17" i="3"/>
  <c r="D27" i="3"/>
  <c r="D19" i="3"/>
  <c r="D12" i="3"/>
  <c r="C31" i="3"/>
  <c r="C18" i="3"/>
  <c r="C13" i="3"/>
  <c r="C29" i="3"/>
  <c r="C28" i="3"/>
  <c r="C22" i="3"/>
  <c r="C15" i="3"/>
  <c r="C19" i="3"/>
  <c r="C21" i="3"/>
  <c r="C20" i="3"/>
  <c r="C30" i="3"/>
  <c r="C23" i="3"/>
  <c r="C27" i="3"/>
  <c r="C25" i="3"/>
  <c r="C26" i="3"/>
  <c r="C14" i="3"/>
  <c r="C24" i="3"/>
  <c r="C17" i="3"/>
  <c r="C16" i="3"/>
  <c r="C12" i="3"/>
  <c r="R20" i="2"/>
  <c r="R18" i="2"/>
  <c r="R29" i="2"/>
  <c r="R22" i="2"/>
  <c r="R28" i="2"/>
  <c r="R27" i="2"/>
  <c r="R23" i="2"/>
  <c r="R31" i="2"/>
  <c r="R30" i="2"/>
  <c r="R24" i="2"/>
  <c r="I25" i="2"/>
  <c r="I30" i="2"/>
  <c r="I27" i="2"/>
  <c r="I24" i="2"/>
  <c r="I18" i="2"/>
  <c r="I29" i="2"/>
  <c r="I19" i="2"/>
  <c r="I28" i="2"/>
  <c r="I17" i="2"/>
  <c r="T17" i="2" s="1"/>
  <c r="I23" i="2"/>
  <c r="I26" i="2"/>
  <c r="I31" i="2"/>
  <c r="I20" i="2"/>
  <c r="I21" i="2"/>
  <c r="I22" i="2"/>
  <c r="T32" i="2" l="1"/>
  <c r="T33" i="2"/>
  <c r="T20" i="2"/>
  <c r="T21" i="2"/>
  <c r="T31" i="2"/>
  <c r="T28" i="2"/>
  <c r="T19" i="2"/>
  <c r="T26" i="2"/>
  <c r="T23" i="2"/>
  <c r="T29" i="2"/>
  <c r="T18" i="2"/>
  <c r="T24" i="2"/>
  <c r="T27" i="2"/>
  <c r="T30" i="2"/>
  <c r="T22" i="2"/>
  <c r="T25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<sst xmlns="http://schemas.openxmlformats.org/spreadsheetml/2006/main" count="663" uniqueCount="152">
  <si>
    <t>Point centre haut</t>
  </si>
  <si>
    <t>X</t>
  </si>
  <si>
    <t>Y</t>
  </si>
  <si>
    <t>Z</t>
  </si>
  <si>
    <t>Laboratoire ANDRA - Bure</t>
  </si>
  <si>
    <t>Temps (j)</t>
  </si>
  <si>
    <t>Date</t>
  </si>
  <si>
    <t>jours écoulés</t>
  </si>
  <si>
    <t>Point haut gauche</t>
  </si>
  <si>
    <t>Point haut droit</t>
  </si>
  <si>
    <t>HG</t>
  </si>
  <si>
    <t>HD</t>
  </si>
  <si>
    <t>LH</t>
  </si>
  <si>
    <t>V</t>
  </si>
  <si>
    <r>
      <t>D</t>
    </r>
    <r>
      <rPr>
        <b/>
        <sz val="12"/>
        <rFont val="Arial"/>
        <family val="2"/>
      </rPr>
      <t>X</t>
    </r>
  </si>
  <si>
    <r>
      <t>D</t>
    </r>
    <r>
      <rPr>
        <b/>
        <sz val="12"/>
        <rFont val="Arial"/>
        <family val="2"/>
      </rPr>
      <t>Y</t>
    </r>
  </si>
  <si>
    <r>
      <t>D</t>
    </r>
    <r>
      <rPr>
        <b/>
        <sz val="12"/>
        <rFont val="Arial"/>
        <family val="2"/>
      </rPr>
      <t>Z</t>
    </r>
  </si>
  <si>
    <r>
      <t>D</t>
    </r>
    <r>
      <rPr>
        <b/>
        <sz val="12"/>
        <rFont val="Arial"/>
        <family val="2"/>
      </rPr>
      <t>Z haut gauche</t>
    </r>
  </si>
  <si>
    <r>
      <t>D</t>
    </r>
    <r>
      <rPr>
        <b/>
        <sz val="12"/>
        <rFont val="Arial"/>
        <family val="2"/>
      </rPr>
      <t>Z centre haut</t>
    </r>
  </si>
  <si>
    <r>
      <t>D</t>
    </r>
    <r>
      <rPr>
        <b/>
        <sz val="12"/>
        <rFont val="Arial"/>
        <family val="2"/>
      </rPr>
      <t>Z haut droit</t>
    </r>
  </si>
  <si>
    <t>Distance au front</t>
  </si>
  <si>
    <t>Jours</t>
  </si>
  <si>
    <t>Front</t>
  </si>
  <si>
    <t>Dist</t>
  </si>
  <si>
    <t>Date point 0</t>
  </si>
  <si>
    <t>PM =</t>
  </si>
  <si>
    <t>Chantier 4</t>
  </si>
  <si>
    <t>Convergences - en mm</t>
  </si>
  <si>
    <t>Vitesse convergences en mm/j</t>
  </si>
  <si>
    <t>Seuils</t>
  </si>
  <si>
    <t>Point bas gauche</t>
  </si>
  <si>
    <t>Point bas droit</t>
  </si>
  <si>
    <t>BG</t>
  </si>
  <si>
    <t>BD</t>
  </si>
  <si>
    <t>LB</t>
  </si>
  <si>
    <r>
      <t>D</t>
    </r>
    <r>
      <rPr>
        <b/>
        <sz val="12"/>
        <rFont val="Arial"/>
        <family val="2"/>
      </rPr>
      <t>Z bas gauche</t>
    </r>
  </si>
  <si>
    <r>
      <t>D</t>
    </r>
    <r>
      <rPr>
        <b/>
        <sz val="12"/>
        <rFont val="Arial"/>
        <family val="2"/>
      </rPr>
      <t>Z bas droit</t>
    </r>
  </si>
  <si>
    <t>Cv estimé</t>
  </si>
  <si>
    <r>
      <t>D</t>
    </r>
    <r>
      <rPr>
        <b/>
        <sz val="12"/>
        <rFont val="Arial"/>
        <family val="2"/>
      </rPr>
      <t>Z centre haut x2
(interpolé)</t>
    </r>
  </si>
  <si>
    <t>Convergences verticales à court terme (&lt;2 ans)</t>
  </si>
  <si>
    <t>Seuil de vigilance CV</t>
  </si>
  <si>
    <t>Seuil d'alerte CV</t>
  </si>
  <si>
    <t>Convergences horizontales à court terme (&lt;2 ans)</t>
  </si>
  <si>
    <t>Seuil de vigilance CH</t>
  </si>
  <si>
    <t>Seuil d'alerte CH</t>
  </si>
  <si>
    <t>VITESSE EVOL DZ</t>
  </si>
  <si>
    <t>.</t>
  </si>
  <si>
    <t>critere derniere mesure</t>
  </si>
  <si>
    <t>derniere mesure réelle</t>
  </si>
  <si>
    <t>derniere mesure graphique</t>
  </si>
  <si>
    <t>date 1ere mesure</t>
  </si>
  <si>
    <t>COMMENTAIRES</t>
  </si>
  <si>
    <t>reinstrumentation</t>
  </si>
  <si>
    <t>PM</t>
  </si>
  <si>
    <t>H</t>
  </si>
  <si>
    <r>
      <t>D</t>
    </r>
    <r>
      <rPr>
        <b/>
        <sz val="12"/>
        <rFont val="Arial"/>
        <family val="2"/>
      </rPr>
      <t>H bas droit</t>
    </r>
  </si>
  <si>
    <r>
      <t>D</t>
    </r>
    <r>
      <rPr>
        <b/>
        <sz val="12"/>
        <rFont val="Arial"/>
        <family val="2"/>
      </rPr>
      <t>PM bas gauche</t>
    </r>
  </si>
  <si>
    <r>
      <t>D</t>
    </r>
    <r>
      <rPr>
        <b/>
        <sz val="12"/>
        <rFont val="Arial"/>
        <family val="2"/>
      </rPr>
      <t>H bas gauche</t>
    </r>
  </si>
  <si>
    <r>
      <t>D</t>
    </r>
    <r>
      <rPr>
        <b/>
        <sz val="12"/>
        <rFont val="Arial"/>
        <family val="2"/>
      </rPr>
      <t>PM haut gauche</t>
    </r>
  </si>
  <si>
    <r>
      <t>D</t>
    </r>
    <r>
      <rPr>
        <b/>
        <sz val="12"/>
        <rFont val="Arial"/>
        <family val="2"/>
      </rPr>
      <t>H haut gauche</t>
    </r>
  </si>
  <si>
    <r>
      <t>D</t>
    </r>
    <r>
      <rPr>
        <b/>
        <sz val="12"/>
        <rFont val="Arial"/>
        <family val="2"/>
      </rPr>
      <t>PM centre haut</t>
    </r>
  </si>
  <si>
    <r>
      <t>D</t>
    </r>
    <r>
      <rPr>
        <b/>
        <sz val="12"/>
        <rFont val="Arial"/>
        <family val="2"/>
      </rPr>
      <t>H centre haut</t>
    </r>
  </si>
  <si>
    <r>
      <t>D</t>
    </r>
    <r>
      <rPr>
        <b/>
        <sz val="12"/>
        <rFont val="Arial"/>
        <family val="2"/>
      </rPr>
      <t>PM haut droit</t>
    </r>
  </si>
  <si>
    <r>
      <t>D</t>
    </r>
    <r>
      <rPr>
        <b/>
        <sz val="12"/>
        <rFont val="Arial"/>
        <family val="2"/>
      </rPr>
      <t>PM bas droit</t>
    </r>
  </si>
  <si>
    <t>CH</t>
  </si>
  <si>
    <t>BASE DONNEES MESURE</t>
  </si>
  <si>
    <t>DECALAGE</t>
  </si>
  <si>
    <t xml:space="preserve">PM </t>
  </si>
  <si>
    <t>X,Y début droite</t>
  </si>
  <si>
    <t>GIS</t>
  </si>
  <si>
    <t>Zo</t>
  </si>
  <si>
    <t>origine</t>
  </si>
  <si>
    <t>Pm début</t>
  </si>
  <si>
    <t>arrivé</t>
  </si>
  <si>
    <t>Zo début</t>
  </si>
  <si>
    <t>SAISIR CI-DESSOUS LES X Y Z</t>
  </si>
  <si>
    <t>Pente</t>
  </si>
  <si>
    <t>Gisement (gon)</t>
  </si>
  <si>
    <t>Dist.Horz</t>
  </si>
  <si>
    <t>DATE</t>
  </si>
  <si>
    <t>NO</t>
  </si>
  <si>
    <t>Z0</t>
  </si>
  <si>
    <t>GGS</t>
  </si>
  <si>
    <t xml:space="preserve">1er mesure </t>
  </si>
  <si>
    <t>cibles chahutées par opérations de betonnage</t>
  </si>
  <si>
    <t>la galerie a servi à entreposer de la grave , ayant pu  heurter les cibles du bas</t>
  </si>
  <si>
    <t>AUSCULTATION CARREFOUR GGS - SMC 006-007GGS</t>
  </si>
  <si>
    <t>CARREFOUR GGS - CONVERGENCES SMC 006-007 GGS (PM 002)</t>
  </si>
  <si>
    <t>CARREFOUR GGS - DEPLACEMENT DES CIBLES SMC 006-007 GGS (PM 002)</t>
  </si>
  <si>
    <t>S.071</t>
  </si>
  <si>
    <t>S.072</t>
  </si>
  <si>
    <t>S.073</t>
  </si>
  <si>
    <t>S.074</t>
  </si>
  <si>
    <t>S.075</t>
  </si>
  <si>
    <t>POINT ZERO AVANT TRAVAUX 2025</t>
  </si>
  <si>
    <t>GGS.S071</t>
  </si>
  <si>
    <t>GGS.S073</t>
  </si>
  <si>
    <t>GGS.S075</t>
  </si>
  <si>
    <t>placement de la station en fonction des conditions de chantiers : pas optimal. La cible HG est masquée par chemin de cable  et HD par la gaine de ventilation</t>
  </si>
  <si>
    <t>S071</t>
  </si>
  <si>
    <t>S072</t>
  </si>
  <si>
    <t>S073</t>
  </si>
  <si>
    <t>S075</t>
  </si>
  <si>
    <t>GHA.S071</t>
  </si>
  <si>
    <t>GHA.S072</t>
  </si>
  <si>
    <t>GHA.S073</t>
  </si>
  <si>
    <t>GHA.S075</t>
  </si>
  <si>
    <t>GGS.S.071</t>
  </si>
  <si>
    <t>GGS.S.072</t>
  </si>
  <si>
    <t>GGS.S.073</t>
  </si>
  <si>
    <t>GGS.S.075</t>
  </si>
  <si>
    <t>GGS.S072</t>
  </si>
  <si>
    <t>S3.S071</t>
  </si>
  <si>
    <t>S3.S072</t>
  </si>
  <si>
    <t>S3.S073</t>
  </si>
  <si>
    <t>S3.S074</t>
  </si>
  <si>
    <t>S1_S071</t>
  </si>
  <si>
    <t>S1_S073</t>
  </si>
  <si>
    <t>S1_S075</t>
  </si>
  <si>
    <t>A.S071</t>
  </si>
  <si>
    <t>A.S072</t>
  </si>
  <si>
    <t>A.S073</t>
  </si>
  <si>
    <t>A.S075</t>
  </si>
  <si>
    <t>B.S071</t>
  </si>
  <si>
    <t>B.S072</t>
  </si>
  <si>
    <t>B.S073</t>
  </si>
  <si>
    <t>B.S075</t>
  </si>
  <si>
    <t>B.S0071</t>
  </si>
  <si>
    <t>B.S0072</t>
  </si>
  <si>
    <t>B.S0073</t>
  </si>
  <si>
    <t>B.S0075</t>
  </si>
  <si>
    <t>S0071</t>
  </si>
  <si>
    <t>S0072</t>
  </si>
  <si>
    <t>S0073</t>
  </si>
  <si>
    <t>S0075</t>
  </si>
  <si>
    <t>S7.S071</t>
  </si>
  <si>
    <t>S7.S072</t>
  </si>
  <si>
    <t>S7.S073</t>
  </si>
  <si>
    <t>S7.S075</t>
  </si>
  <si>
    <t>S.0071</t>
  </si>
  <si>
    <t>S.0072</t>
  </si>
  <si>
    <t>S.0073</t>
  </si>
  <si>
    <t>S.0075</t>
  </si>
  <si>
    <t xml:space="preserve">la cible BD semble avoir recu un choc </t>
  </si>
  <si>
    <t>A.S0071</t>
  </si>
  <si>
    <t>A.S0072</t>
  </si>
  <si>
    <t>A.S0073</t>
  </si>
  <si>
    <t>A.S0075</t>
  </si>
  <si>
    <t>S.07.1</t>
  </si>
  <si>
    <t>S.07.2</t>
  </si>
  <si>
    <t>S.07.3</t>
  </si>
  <si>
    <t>S.07.5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</si>
</sst>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64" formatCode="\+\ 0.0;\-\ 0.0;\±\ 0.0"/>
    <numFmt numFmtId="165" formatCode="0.0"/>
    <numFmt numFmtId="166" formatCode="0.0000"/>
    <numFmt numFmtId="167" formatCode="0.000"/>
    <numFmt numFmtId="168" formatCode="dd\ /\ mm\ /\ yy"/>
    <numFmt numFmtId="169" formatCode="\+\ 0;\-\ 0;\±\ 0"/>
    <numFmt numFmtId="170" formatCode="dd\ /\ mm\ /\ yyyy"/>
    <numFmt numFmtId="171" formatCode="0.00000"/>
    <numFmt numFmtId="172" formatCode="\+0.0000;[Red]\-0.0000"/>
  </numFmts>
  <fonts count="53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b/>
      <sz val="11"/>
      <color indexed="52"/>
      <name val="Calibri"/>
      <family val="2"/>
    </font>
    <font>
      <sz val="11"/>
      <color indexed="52"/>
      <name val="Calibri"/>
      <family val="2"/>
    </font>
    <font>
      <sz val="10"/>
      <name val="Arial"/>
      <family val="2"/>
    </font>
    <font>
      <sz val="11"/>
      <color indexed="62"/>
      <name val="Calibri"/>
      <family val="2"/>
    </font>
    <font>
      <sz val="11"/>
      <color indexed="20"/>
      <name val="Calibri"/>
      <family val="2"/>
    </font>
    <font>
      <sz val="11"/>
      <color indexed="60"/>
      <name val="Calibri"/>
      <family val="2"/>
    </font>
    <font>
      <sz val="11"/>
      <color indexed="17"/>
      <name val="Calibri"/>
      <family val="2"/>
    </font>
    <font>
      <b/>
      <sz val="11"/>
      <color indexed="63"/>
      <name val="Calibri"/>
      <family val="2"/>
    </font>
    <font>
      <i/>
      <sz val="11"/>
      <color indexed="23"/>
      <name val="Calibri"/>
      <family val="2"/>
    </font>
    <font>
      <b/>
      <sz val="18"/>
      <color indexed="56"/>
      <name val="Cambria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b/>
      <sz val="11"/>
      <color indexed="8"/>
      <name val="Calibri"/>
      <family val="2"/>
    </font>
    <font>
      <b/>
      <sz val="11"/>
      <color indexed="9"/>
      <name val="Calibri"/>
      <family val="2"/>
    </font>
    <font>
      <b/>
      <sz val="20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b/>
      <sz val="10"/>
      <name val="Arial"/>
      <family val="2"/>
    </font>
    <font>
      <b/>
      <sz val="10"/>
      <color indexed="10"/>
      <name val="Arial"/>
      <family val="2"/>
    </font>
    <font>
      <b/>
      <sz val="18"/>
      <name val="Symbol"/>
      <family val="1"/>
      <charset val="2"/>
    </font>
    <font>
      <sz val="8"/>
      <name val="Arial"/>
      <family val="2"/>
    </font>
    <font>
      <sz val="12"/>
      <name val="Arial"/>
      <family val="2"/>
    </font>
    <font>
      <sz val="12"/>
      <name val="Arial"/>
      <family val="2"/>
    </font>
    <font>
      <b/>
      <sz val="16"/>
      <name val="Arial"/>
      <family val="2"/>
    </font>
    <font>
      <b/>
      <sz val="12"/>
      <color rgb="FFFF0000"/>
      <name val="Arial"/>
      <family val="2"/>
    </font>
    <font>
      <sz val="10"/>
      <name val="Arial"/>
      <family val="2"/>
    </font>
    <font>
      <b/>
      <sz val="10"/>
      <color theme="1"/>
      <name val="Arial"/>
      <family val="2"/>
    </font>
    <font>
      <sz val="10"/>
      <color rgb="FF000000"/>
      <name val="Arial"/>
      <family val="2"/>
    </font>
    <font>
      <sz val="10"/>
      <color theme="1"/>
      <name val="Arial"/>
      <family val="2"/>
    </font>
    <font>
      <sz val="10"/>
      <color theme="0"/>
      <name val="Arial"/>
      <family val="2"/>
    </font>
    <font>
      <b/>
      <sz val="10"/>
      <color theme="0"/>
      <name val="Arial"/>
      <family val="2"/>
    </font>
    <font>
      <sz val="10"/>
      <color rgb="FFFF0000"/>
      <name val="Arial"/>
      <family val="2"/>
    </font>
    <font>
      <b/>
      <sz val="18"/>
      <name val="Arial"/>
      <family val="2"/>
    </font>
    <font>
      <sz val="20"/>
      <name val="Arial"/>
      <family val="2"/>
    </font>
    <font>
      <sz val="14"/>
      <name val="Arial"/>
      <family val="2"/>
    </font>
    <font>
      <sz val="14"/>
      <color rgb="FFFF0000"/>
      <name val="Arial"/>
      <family val="2"/>
    </font>
    <font>
      <sz val="10"/>
      <color indexed="10"/>
      <name val="Courier (W1)"/>
      <family val="3"/>
    </font>
    <font>
      <sz val="10"/>
      <color indexed="39"/>
      <name val="Courier (W1)"/>
      <family val="3"/>
    </font>
    <font>
      <sz val="11"/>
      <color indexed="39"/>
      <name val="Courier New"/>
      <family val="3"/>
    </font>
    <font>
      <sz val="10"/>
      <name val="Arial"/>
      <family val="2"/>
    </font>
    <font>
      <b/>
      <sz val="10"/>
      <color rgb="FFFF0000"/>
      <name val="Arial"/>
      <family val="2"/>
    </font>
  </fonts>
  <fills count="39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26"/>
      </patternFill>
    </fill>
    <fill>
      <patternFill patternType="solid">
        <fgColor indexed="43"/>
      </patternFill>
    </fill>
    <fill>
      <patternFill patternType="solid">
        <fgColor indexed="55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FFFFCC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</fills>
  <borders count="39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169">
    <xf numFmtId="0" fontId="0" fillId="0" borderId="0"/>
    <xf numFmtId="0" fontId="8" fillId="2" borderId="0" applyNumberFormat="0" applyBorder="0" applyAlignment="0" applyProtection="0"/>
    <xf numFmtId="0" fontId="8" fillId="3" borderId="0" applyNumberFormat="0" applyBorder="0" applyAlignment="0" applyProtection="0"/>
    <xf numFmtId="0" fontId="8" fillId="4" borderId="0" applyNumberFormat="0" applyBorder="0" applyAlignment="0" applyProtection="0"/>
    <xf numFmtId="0" fontId="8" fillId="5" borderId="0" applyNumberFormat="0" applyBorder="0" applyAlignment="0" applyProtection="0"/>
    <xf numFmtId="0" fontId="8" fillId="6" borderId="0" applyNumberFormat="0" applyBorder="0" applyAlignment="0" applyProtection="0"/>
    <xf numFmtId="0" fontId="8" fillId="7" borderId="0" applyNumberFormat="0" applyBorder="0" applyAlignment="0" applyProtection="0"/>
    <xf numFmtId="0" fontId="8" fillId="8" borderId="0" applyNumberFormat="0" applyBorder="0" applyAlignment="0" applyProtection="0"/>
    <xf numFmtId="0" fontId="8" fillId="9" borderId="0" applyNumberFormat="0" applyBorder="0" applyAlignment="0" applyProtection="0"/>
    <xf numFmtId="0" fontId="8" fillId="10" borderId="0" applyNumberFormat="0" applyBorder="0" applyAlignment="0" applyProtection="0"/>
    <xf numFmtId="0" fontId="8" fillId="5" borderId="0" applyNumberFormat="0" applyBorder="0" applyAlignment="0" applyProtection="0"/>
    <xf numFmtId="0" fontId="8" fillId="8" borderId="0" applyNumberFormat="0" applyBorder="0" applyAlignment="0" applyProtection="0"/>
    <xf numFmtId="0" fontId="8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9" borderId="0" applyNumberFormat="0" applyBorder="0" applyAlignment="0" applyProtection="0"/>
    <xf numFmtId="0" fontId="10" fillId="0" borderId="0" applyNumberFormat="0" applyFill="0" applyBorder="0" applyAlignment="0" applyProtection="0"/>
    <xf numFmtId="0" fontId="11" fillId="20" borderId="1" applyNumberFormat="0" applyAlignment="0" applyProtection="0"/>
    <xf numFmtId="0" fontId="12" fillId="0" borderId="2" applyNumberFormat="0" applyFill="0" applyAlignment="0" applyProtection="0"/>
    <xf numFmtId="0" fontId="13" fillId="21" borderId="3" applyNumberFormat="0" applyFont="0" applyAlignment="0" applyProtection="0"/>
    <xf numFmtId="0" fontId="14" fillId="7" borderId="1" applyNumberFormat="0" applyAlignment="0" applyProtection="0"/>
    <xf numFmtId="0" fontId="15" fillId="3" borderId="0" applyNumberFormat="0" applyBorder="0" applyAlignment="0" applyProtection="0"/>
    <xf numFmtId="0" fontId="16" fillId="22" borderId="0" applyNumberFormat="0" applyBorder="0" applyAlignment="0" applyProtection="0"/>
    <xf numFmtId="0" fontId="17" fillId="4" borderId="0" applyNumberFormat="0" applyBorder="0" applyAlignment="0" applyProtection="0"/>
    <xf numFmtId="0" fontId="18" fillId="20" borderId="4" applyNumberFormat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5" applyNumberFormat="0" applyFill="0" applyAlignment="0" applyProtection="0"/>
    <xf numFmtId="0" fontId="22" fillId="0" borderId="6" applyNumberFormat="0" applyFill="0" applyAlignment="0" applyProtection="0"/>
    <xf numFmtId="0" fontId="23" fillId="0" borderId="7" applyNumberFormat="0" applyFill="0" applyAlignment="0" applyProtection="0"/>
    <xf numFmtId="0" fontId="23" fillId="0" borderId="0" applyNumberFormat="0" applyFill="0" applyBorder="0" applyAlignment="0" applyProtection="0"/>
    <xf numFmtId="0" fontId="24" fillId="0" borderId="8" applyNumberFormat="0" applyFill="0" applyAlignment="0" applyProtection="0"/>
    <xf numFmtId="0" fontId="25" fillId="23" borderId="9" applyNumberFormat="0" applyAlignment="0" applyProtection="0"/>
    <xf numFmtId="0" fontId="7" fillId="0" borderId="0"/>
    <xf numFmtId="0" fontId="7" fillId="27" borderId="23" applyNumberFormat="0" applyFont="0" applyAlignment="0" applyProtection="0"/>
    <xf numFmtId="0" fontId="13" fillId="0" borderId="0"/>
    <xf numFmtId="9" fontId="13" fillId="0" borderId="0" applyFont="0" applyFill="0" applyBorder="0" applyAlignment="0" applyProtection="0"/>
    <xf numFmtId="0" fontId="6" fillId="0" borderId="0"/>
    <xf numFmtId="0" fontId="6" fillId="27" borderId="23" applyNumberFormat="0" applyFont="0" applyAlignment="0" applyProtection="0"/>
    <xf numFmtId="0" fontId="5" fillId="0" borderId="0"/>
    <xf numFmtId="0" fontId="5" fillId="0" borderId="0"/>
    <xf numFmtId="0" fontId="4" fillId="0" borderId="0"/>
    <xf numFmtId="0" fontId="37" fillId="0" borderId="0"/>
    <xf numFmtId="0" fontId="8" fillId="2" borderId="0" applyNumberFormat="0" applyBorder="0" applyAlignment="0" applyProtection="0"/>
    <xf numFmtId="0" fontId="8" fillId="3" borderId="0" applyNumberFormat="0" applyBorder="0" applyAlignment="0" applyProtection="0"/>
    <xf numFmtId="0" fontId="8" fillId="4" borderId="0" applyNumberFormat="0" applyBorder="0" applyAlignment="0" applyProtection="0"/>
    <xf numFmtId="0" fontId="8" fillId="5" borderId="0" applyNumberFormat="0" applyBorder="0" applyAlignment="0" applyProtection="0"/>
    <xf numFmtId="0" fontId="8" fillId="6" borderId="0" applyNumberFormat="0" applyBorder="0" applyAlignment="0" applyProtection="0"/>
    <xf numFmtId="0" fontId="8" fillId="7" borderId="0" applyNumberFormat="0" applyBorder="0" applyAlignment="0" applyProtection="0"/>
    <xf numFmtId="0" fontId="8" fillId="8" borderId="0" applyNumberFormat="0" applyBorder="0" applyAlignment="0" applyProtection="0"/>
    <xf numFmtId="0" fontId="8" fillId="9" borderId="0" applyNumberFormat="0" applyBorder="0" applyAlignment="0" applyProtection="0"/>
    <xf numFmtId="0" fontId="8" fillId="10" borderId="0" applyNumberFormat="0" applyBorder="0" applyAlignment="0" applyProtection="0"/>
    <xf numFmtId="0" fontId="8" fillId="5" borderId="0" applyNumberFormat="0" applyBorder="0" applyAlignment="0" applyProtection="0"/>
    <xf numFmtId="0" fontId="8" fillId="8" borderId="0" applyNumberFormat="0" applyBorder="0" applyAlignment="0" applyProtection="0"/>
    <xf numFmtId="0" fontId="8" fillId="11" borderId="0" applyNumberFormat="0" applyBorder="0" applyAlignment="0" applyProtection="0"/>
    <xf numFmtId="0" fontId="9" fillId="12" borderId="0" applyNumberFormat="0" applyBorder="0" applyAlignment="0" applyProtection="0"/>
    <xf numFmtId="0" fontId="9" fillId="9" borderId="0" applyNumberFormat="0" applyBorder="0" applyAlignment="0" applyProtection="0"/>
    <xf numFmtId="0" fontId="9" fillId="10" borderId="0" applyNumberFormat="0" applyBorder="0" applyAlignment="0" applyProtection="0"/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9" borderId="0" applyNumberFormat="0" applyBorder="0" applyAlignment="0" applyProtection="0"/>
    <xf numFmtId="0" fontId="10" fillId="0" borderId="0" applyNumberFormat="0" applyFill="0" applyBorder="0" applyAlignment="0" applyProtection="0"/>
    <xf numFmtId="0" fontId="11" fillId="20" borderId="1" applyNumberFormat="0" applyAlignment="0" applyProtection="0"/>
    <xf numFmtId="0" fontId="12" fillId="0" borderId="2" applyNumberFormat="0" applyFill="0" applyAlignment="0" applyProtection="0"/>
    <xf numFmtId="0" fontId="13" fillId="21" borderId="3" applyNumberFormat="0" applyFont="0" applyAlignment="0" applyProtection="0"/>
    <xf numFmtId="0" fontId="14" fillId="7" borderId="1" applyNumberFormat="0" applyAlignment="0" applyProtection="0"/>
    <xf numFmtId="0" fontId="15" fillId="3" borderId="0" applyNumberFormat="0" applyBorder="0" applyAlignment="0" applyProtection="0"/>
    <xf numFmtId="0" fontId="16" fillId="22" borderId="0" applyNumberFormat="0" applyBorder="0" applyAlignment="0" applyProtection="0"/>
    <xf numFmtId="0" fontId="17" fillId="4" borderId="0" applyNumberFormat="0" applyBorder="0" applyAlignment="0" applyProtection="0"/>
    <xf numFmtId="0" fontId="18" fillId="20" borderId="4" applyNumberFormat="0" applyAlignment="0" applyProtection="0"/>
    <xf numFmtId="0" fontId="19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5" applyNumberFormat="0" applyFill="0" applyAlignment="0" applyProtection="0"/>
    <xf numFmtId="0" fontId="22" fillId="0" borderId="6" applyNumberFormat="0" applyFill="0" applyAlignment="0" applyProtection="0"/>
    <xf numFmtId="0" fontId="23" fillId="0" borderId="7" applyNumberFormat="0" applyFill="0" applyAlignment="0" applyProtection="0"/>
    <xf numFmtId="0" fontId="23" fillId="0" borderId="0" applyNumberFormat="0" applyFill="0" applyBorder="0" applyAlignment="0" applyProtection="0"/>
    <xf numFmtId="0" fontId="24" fillId="0" borderId="8" applyNumberFormat="0" applyFill="0" applyAlignment="0" applyProtection="0"/>
    <xf numFmtId="0" fontId="25" fillId="23" borderId="9" applyNumberFormat="0" applyAlignment="0" applyProtection="0"/>
    <xf numFmtId="0" fontId="4" fillId="0" borderId="0"/>
    <xf numFmtId="0" fontId="4" fillId="27" borderId="23" applyNumberFormat="0" applyFont="0" applyAlignment="0" applyProtection="0"/>
    <xf numFmtId="0" fontId="4" fillId="0" borderId="0"/>
    <xf numFmtId="0" fontId="4" fillId="27" borderId="23" applyNumberFormat="0" applyFont="0" applyAlignment="0" applyProtection="0"/>
    <xf numFmtId="0" fontId="4" fillId="0" borderId="0"/>
    <xf numFmtId="0" fontId="4" fillId="0" borderId="0"/>
    <xf numFmtId="0" fontId="3" fillId="0" borderId="0"/>
    <xf numFmtId="0" fontId="3" fillId="27" borderId="23" applyNumberFormat="0" applyFont="0" applyAlignment="0" applyProtection="0"/>
    <xf numFmtId="0" fontId="3" fillId="0" borderId="0"/>
    <xf numFmtId="0" fontId="3" fillId="27" borderId="23" applyNumberFormat="0" applyFont="0" applyAlignment="0" applyProtection="0"/>
    <xf numFmtId="0" fontId="3" fillId="0" borderId="0"/>
    <xf numFmtId="0" fontId="3" fillId="0" borderId="0"/>
    <xf numFmtId="0" fontId="3" fillId="0" borderId="0"/>
    <xf numFmtId="0" fontId="13" fillId="0" borderId="0"/>
    <xf numFmtId="0" fontId="3" fillId="0" borderId="0"/>
    <xf numFmtId="0" fontId="3" fillId="27" borderId="23" applyNumberFormat="0" applyFont="0" applyAlignment="0" applyProtection="0"/>
    <xf numFmtId="0" fontId="3" fillId="0" borderId="0"/>
    <xf numFmtId="0" fontId="3" fillId="27" borderId="23" applyNumberFormat="0" applyFont="0" applyAlignment="0" applyProtection="0"/>
    <xf numFmtId="0" fontId="3" fillId="0" borderId="0"/>
    <xf numFmtId="0" fontId="3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3" fillId="0" borderId="0"/>
    <xf numFmtId="0" fontId="2" fillId="0" borderId="0"/>
    <xf numFmtId="0" fontId="2" fillId="27" borderId="23" applyNumberFormat="0" applyFont="0" applyAlignment="0" applyProtection="0"/>
    <xf numFmtId="0" fontId="13" fillId="0" borderId="0"/>
    <xf numFmtId="0" fontId="2" fillId="27" borderId="23" applyNumberFormat="0" applyFont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27" borderId="23" applyNumberFormat="0" applyFont="0" applyAlignment="0" applyProtection="0"/>
    <xf numFmtId="0" fontId="2" fillId="0" borderId="0"/>
    <xf numFmtId="0" fontId="2" fillId="27" borderId="23" applyNumberFormat="0" applyFont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27" borderId="23" applyNumberFormat="0" applyFont="0" applyAlignment="0" applyProtection="0"/>
    <xf numFmtId="0" fontId="2" fillId="0" borderId="0"/>
    <xf numFmtId="0" fontId="2" fillId="27" borderId="23" applyNumberFormat="0" applyFont="0" applyAlignment="0" applyProtection="0"/>
    <xf numFmtId="0" fontId="2" fillId="0" borderId="0"/>
    <xf numFmtId="0" fontId="2" fillId="0" borderId="0"/>
    <xf numFmtId="0" fontId="2" fillId="0" borderId="0"/>
    <xf numFmtId="0" fontId="2" fillId="27" borderId="23" applyNumberFormat="0" applyFont="0" applyAlignment="0" applyProtection="0"/>
    <xf numFmtId="0" fontId="2" fillId="0" borderId="0"/>
    <xf numFmtId="0" fontId="2" fillId="27" borderId="23" applyNumberFormat="0" applyFont="0" applyAlignment="0" applyProtection="0"/>
    <xf numFmtId="0" fontId="2" fillId="0" borderId="0"/>
    <xf numFmtId="0" fontId="2" fillId="0" borderId="0"/>
    <xf numFmtId="0" fontId="2" fillId="0" borderId="0"/>
    <xf numFmtId="0" fontId="2" fillId="27" borderId="23" applyNumberFormat="0" applyFont="0" applyAlignment="0" applyProtection="0"/>
    <xf numFmtId="0" fontId="2" fillId="0" borderId="0"/>
    <xf numFmtId="0" fontId="2" fillId="27" borderId="23" applyNumberFormat="0" applyFont="0" applyAlignment="0" applyProtection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27" borderId="23" applyNumberFormat="0" applyFont="0" applyAlignment="0" applyProtection="0"/>
    <xf numFmtId="0" fontId="2" fillId="0" borderId="0"/>
    <xf numFmtId="0" fontId="2" fillId="27" borderId="23" applyNumberFormat="0" applyFont="0" applyAlignment="0" applyProtection="0"/>
    <xf numFmtId="0" fontId="2" fillId="0" borderId="0"/>
    <xf numFmtId="0" fontId="2" fillId="0" borderId="0"/>
    <xf numFmtId="0" fontId="1" fillId="0" borderId="0"/>
    <xf numFmtId="9" fontId="51" fillId="0" borderId="0" applyFont="0" applyFill="0" applyBorder="0" applyAlignment="0" applyProtection="0"/>
  </cellStyleXfs>
  <cellXfs count="231">
    <xf numFmtId="0" fontId="0" fillId="0" borderId="0" xfId="0"/>
    <xf numFmtId="0" fontId="30" fillId="0" borderId="0" xfId="0" applyFont="1" applyAlignment="1">
      <alignment vertical="center"/>
    </xf>
    <xf numFmtId="0" fontId="0" fillId="0" borderId="0" xfId="0" applyAlignment="1">
      <alignment vertical="center"/>
    </xf>
    <xf numFmtId="0" fontId="27" fillId="0" borderId="0" xfId="0" applyFont="1" applyAlignment="1">
      <alignment horizontal="center"/>
    </xf>
    <xf numFmtId="0" fontId="31" fillId="0" borderId="10" xfId="0" applyFont="1" applyBorder="1" applyAlignment="1">
      <alignment horizontal="center" vertical="center"/>
    </xf>
    <xf numFmtId="0" fontId="27" fillId="0" borderId="10" xfId="0" applyFont="1" applyBorder="1" applyAlignment="1">
      <alignment horizontal="center" vertical="center"/>
    </xf>
    <xf numFmtId="0" fontId="27" fillId="0" borderId="0" xfId="0" applyFont="1" applyAlignment="1">
      <alignment vertical="center"/>
    </xf>
    <xf numFmtId="0" fontId="28" fillId="0" borderId="0" xfId="0" applyFont="1" applyAlignment="1">
      <alignment vertical="center"/>
    </xf>
    <xf numFmtId="0" fontId="34" fillId="0" borderId="12" xfId="0" applyFont="1" applyBorder="1" applyAlignment="1">
      <alignment vertical="center"/>
    </xf>
    <xf numFmtId="0" fontId="31" fillId="0" borderId="11" xfId="0" applyFont="1" applyBorder="1" applyAlignment="1">
      <alignment horizontal="center" vertical="center" wrapText="1"/>
    </xf>
    <xf numFmtId="0" fontId="33" fillId="0" borderId="0" xfId="0" applyFont="1" applyAlignment="1">
      <alignment horizontal="center" vertical="center"/>
    </xf>
    <xf numFmtId="0" fontId="29" fillId="0" borderId="13" xfId="0" applyFont="1" applyBorder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0" fontId="0" fillId="0" borderId="0" xfId="0" applyAlignment="1">
      <alignment horizontal="center" vertical="center"/>
    </xf>
    <xf numFmtId="0" fontId="29" fillId="0" borderId="0" xfId="0" applyFont="1" applyAlignment="1">
      <alignment horizontal="center" vertical="center"/>
    </xf>
    <xf numFmtId="0" fontId="27" fillId="0" borderId="11" xfId="0" applyFont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168" fontId="0" fillId="0" borderId="0" xfId="0" applyNumberFormat="1" applyAlignment="1">
      <alignment vertical="center"/>
    </xf>
    <xf numFmtId="168" fontId="27" fillId="0" borderId="12" xfId="0" applyNumberFormat="1" applyFont="1" applyBorder="1" applyAlignment="1">
      <alignment vertical="center"/>
    </xf>
    <xf numFmtId="0" fontId="27" fillId="0" borderId="12" xfId="0" applyFont="1" applyBorder="1" applyAlignment="1">
      <alignment vertical="center"/>
    </xf>
    <xf numFmtId="168" fontId="34" fillId="0" borderId="0" xfId="0" applyNumberFormat="1" applyFont="1" applyAlignment="1">
      <alignment vertical="center"/>
    </xf>
    <xf numFmtId="168" fontId="29" fillId="0" borderId="13" xfId="0" applyNumberFormat="1" applyFont="1" applyBorder="1" applyAlignment="1">
      <alignment horizontal="center" vertical="center" wrapText="1"/>
    </xf>
    <xf numFmtId="168" fontId="0" fillId="0" borderId="0" xfId="0" applyNumberFormat="1"/>
    <xf numFmtId="0" fontId="0" fillId="0" borderId="0" xfId="0" applyAlignment="1">
      <alignment vertical="center" wrapText="1"/>
    </xf>
    <xf numFmtId="0" fontId="0" fillId="0" borderId="0" xfId="0" applyAlignment="1">
      <alignment wrapText="1"/>
    </xf>
    <xf numFmtId="0" fontId="27" fillId="0" borderId="0" xfId="0" applyFont="1" applyAlignment="1">
      <alignment horizontal="center" wrapText="1"/>
    </xf>
    <xf numFmtId="0" fontId="35" fillId="0" borderId="0" xfId="0" applyFont="1" applyAlignment="1">
      <alignment horizontal="center" vertical="center"/>
    </xf>
    <xf numFmtId="170" fontId="0" fillId="0" borderId="0" xfId="0" applyNumberFormat="1" applyAlignment="1">
      <alignment vertical="center"/>
    </xf>
    <xf numFmtId="1" fontId="29" fillId="24" borderId="11" xfId="0" applyNumberFormat="1" applyFont="1" applyFill="1" applyBorder="1" applyAlignment="1">
      <alignment horizontal="center" vertical="center"/>
    </xf>
    <xf numFmtId="168" fontId="13" fillId="24" borderId="11" xfId="0" applyNumberFormat="1" applyFont="1" applyFill="1" applyBorder="1" applyAlignment="1">
      <alignment horizontal="center" vertical="center"/>
    </xf>
    <xf numFmtId="0" fontId="0" fillId="24" borderId="0" xfId="0" applyFill="1" applyAlignment="1">
      <alignment vertical="center"/>
    </xf>
    <xf numFmtId="0" fontId="0" fillId="24" borderId="0" xfId="0" applyFill="1"/>
    <xf numFmtId="0" fontId="0" fillId="24" borderId="0" xfId="0" applyFill="1" applyAlignment="1">
      <alignment wrapText="1"/>
    </xf>
    <xf numFmtId="165" fontId="27" fillId="24" borderId="14" xfId="0" applyNumberFormat="1" applyFont="1" applyFill="1" applyBorder="1" applyAlignment="1">
      <alignment horizontal="center" vertical="center"/>
    </xf>
    <xf numFmtId="168" fontId="29" fillId="25" borderId="11" xfId="0" applyNumberFormat="1" applyFont="1" applyFill="1" applyBorder="1" applyAlignment="1">
      <alignment horizontal="center" vertical="center"/>
    </xf>
    <xf numFmtId="0" fontId="29" fillId="24" borderId="0" xfId="0" applyFont="1" applyFill="1" applyAlignment="1">
      <alignment vertical="center"/>
    </xf>
    <xf numFmtId="0" fontId="27" fillId="24" borderId="15" xfId="0" applyFont="1" applyFill="1" applyBorder="1" applyAlignment="1">
      <alignment horizontal="center" vertical="center"/>
    </xf>
    <xf numFmtId="1" fontId="29" fillId="25" borderId="11" xfId="0" applyNumberFormat="1" applyFont="1" applyFill="1" applyBorder="1" applyAlignment="1">
      <alignment horizontal="center" vertical="center"/>
    </xf>
    <xf numFmtId="165" fontId="29" fillId="25" borderId="11" xfId="0" applyNumberFormat="1" applyFont="1" applyFill="1" applyBorder="1" applyAlignment="1">
      <alignment horizontal="center" vertical="center"/>
    </xf>
    <xf numFmtId="166" fontId="29" fillId="25" borderId="11" xfId="0" applyNumberFormat="1" applyFont="1" applyFill="1" applyBorder="1" applyAlignment="1">
      <alignment horizontal="center" vertical="center"/>
    </xf>
    <xf numFmtId="169" fontId="29" fillId="25" borderId="11" xfId="0" applyNumberFormat="1" applyFont="1" applyFill="1" applyBorder="1" applyAlignment="1">
      <alignment horizontal="center" vertical="center"/>
    </xf>
    <xf numFmtId="164" fontId="0" fillId="24" borderId="11" xfId="0" applyNumberFormat="1" applyFill="1" applyBorder="1" applyAlignment="1">
      <alignment horizontal="center" vertical="center"/>
    </xf>
    <xf numFmtId="164" fontId="0" fillId="0" borderId="11" xfId="0" applyNumberFormat="1" applyBorder="1" applyAlignment="1">
      <alignment horizontal="center" vertical="center"/>
    </xf>
    <xf numFmtId="0" fontId="0" fillId="0" borderId="11" xfId="0" applyBorder="1" applyAlignment="1">
      <alignment horizontal="center" vertical="center" wrapText="1"/>
    </xf>
    <xf numFmtId="0" fontId="0" fillId="24" borderId="11" xfId="0" applyFill="1" applyBorder="1" applyAlignment="1">
      <alignment horizontal="center" vertical="center"/>
    </xf>
    <xf numFmtId="168" fontId="0" fillId="24" borderId="11" xfId="0" applyNumberFormat="1" applyFill="1" applyBorder="1" applyAlignment="1">
      <alignment horizontal="center" vertical="center"/>
    </xf>
    <xf numFmtId="165" fontId="0" fillId="24" borderId="11" xfId="0" applyNumberFormat="1" applyFill="1" applyBorder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168" fontId="0" fillId="0" borderId="16" xfId="0" applyNumberFormat="1" applyBorder="1" applyAlignment="1">
      <alignment horizontal="center" vertical="center" wrapText="1"/>
    </xf>
    <xf numFmtId="0" fontId="36" fillId="24" borderId="15" xfId="0" applyFont="1" applyFill="1" applyBorder="1" applyAlignment="1">
      <alignment horizontal="center" vertical="center"/>
    </xf>
    <xf numFmtId="0" fontId="13" fillId="0" borderId="10" xfId="0" applyFont="1" applyBorder="1" applyAlignment="1">
      <alignment horizontal="center" vertical="center" wrapText="1"/>
    </xf>
    <xf numFmtId="0" fontId="0" fillId="0" borderId="24" xfId="0" applyBorder="1" applyAlignment="1">
      <alignment vertical="center"/>
    </xf>
    <xf numFmtId="0" fontId="0" fillId="0" borderId="25" xfId="0" applyBorder="1" applyAlignment="1">
      <alignment vertical="center"/>
    </xf>
    <xf numFmtId="0" fontId="0" fillId="0" borderId="26" xfId="0" applyBorder="1" applyAlignment="1">
      <alignment vertical="center"/>
    </xf>
    <xf numFmtId="0" fontId="33" fillId="0" borderId="0" xfId="0" applyFont="1" applyAlignment="1">
      <alignment vertical="center"/>
    </xf>
    <xf numFmtId="0" fontId="0" fillId="0" borderId="27" xfId="0" applyBorder="1" applyAlignment="1">
      <alignment vertical="center"/>
    </xf>
    <xf numFmtId="0" fontId="0" fillId="0" borderId="26" xfId="0" applyBorder="1"/>
    <xf numFmtId="0" fontId="0" fillId="0" borderId="27" xfId="0" applyBorder="1"/>
    <xf numFmtId="0" fontId="0" fillId="0" borderId="28" xfId="0" applyBorder="1"/>
    <xf numFmtId="0" fontId="0" fillId="0" borderId="12" xfId="0" applyBorder="1"/>
    <xf numFmtId="0" fontId="0" fillId="0" borderId="21" xfId="0" applyBorder="1"/>
    <xf numFmtId="0" fontId="0" fillId="0" borderId="28" xfId="0" applyBorder="1" applyAlignment="1">
      <alignment vertical="center"/>
    </xf>
    <xf numFmtId="0" fontId="0" fillId="0" borderId="12" xfId="0" applyBorder="1" applyAlignment="1">
      <alignment vertical="center"/>
    </xf>
    <xf numFmtId="0" fontId="0" fillId="0" borderId="21" xfId="0" applyBorder="1" applyAlignment="1">
      <alignment vertical="center"/>
    </xf>
    <xf numFmtId="164" fontId="29" fillId="25" borderId="11" xfId="0" applyNumberFormat="1" applyFont="1" applyFill="1" applyBorder="1" applyAlignment="1">
      <alignment horizontal="center" vertical="center"/>
    </xf>
    <xf numFmtId="0" fontId="13" fillId="0" borderId="0" xfId="0" applyFont="1"/>
    <xf numFmtId="166" fontId="29" fillId="25" borderId="11" xfId="51" applyNumberFormat="1" applyFont="1" applyFill="1" applyBorder="1" applyAlignment="1">
      <alignment horizontal="center" vertical="center"/>
    </xf>
    <xf numFmtId="164" fontId="38" fillId="25" borderId="10" xfId="0" applyNumberFormat="1" applyFont="1" applyFill="1" applyBorder="1" applyAlignment="1">
      <alignment horizontal="center" vertical="center"/>
    </xf>
    <xf numFmtId="0" fontId="36" fillId="0" borderId="11" xfId="0" applyFont="1" applyBorder="1" applyAlignment="1">
      <alignment horizontal="center" vertical="center"/>
    </xf>
    <xf numFmtId="171" fontId="38" fillId="25" borderId="11" xfId="0" applyNumberFormat="1" applyFont="1" applyFill="1" applyBorder="1" applyAlignment="1">
      <alignment horizontal="center" vertical="center"/>
    </xf>
    <xf numFmtId="0" fontId="29" fillId="0" borderId="29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13" fillId="0" borderId="0" xfId="0" applyFont="1" applyAlignment="1">
      <alignment vertical="center"/>
    </xf>
    <xf numFmtId="0" fontId="0" fillId="29" borderId="0" xfId="0" applyFill="1" applyAlignment="1">
      <alignment vertical="center"/>
    </xf>
    <xf numFmtId="0" fontId="0" fillId="29" borderId="0" xfId="0" applyFill="1"/>
    <xf numFmtId="0" fontId="27" fillId="29" borderId="25" xfId="0" applyFont="1" applyFill="1" applyBorder="1" applyAlignment="1">
      <alignment horizontal="center" vertical="center"/>
    </xf>
    <xf numFmtId="0" fontId="27" fillId="29" borderId="0" xfId="0" applyFont="1" applyFill="1" applyAlignment="1">
      <alignment horizontal="center" vertical="center"/>
    </xf>
    <xf numFmtId="14" fontId="0" fillId="29" borderId="0" xfId="0" applyNumberFormat="1" applyFill="1" applyAlignment="1">
      <alignment horizontal="center" vertical="center"/>
    </xf>
    <xf numFmtId="0" fontId="29" fillId="29" borderId="0" xfId="0" applyFont="1" applyFill="1" applyAlignment="1">
      <alignment horizontal="center" vertical="center"/>
    </xf>
    <xf numFmtId="0" fontId="0" fillId="29" borderId="12" xfId="0" applyFill="1" applyBorder="1"/>
    <xf numFmtId="0" fontId="0" fillId="29" borderId="12" xfId="0" applyFill="1" applyBorder="1" applyAlignment="1">
      <alignment vertical="center"/>
    </xf>
    <xf numFmtId="14" fontId="13" fillId="0" borderId="0" xfId="0" applyNumberFormat="1" applyFont="1"/>
    <xf numFmtId="0" fontId="0" fillId="29" borderId="26" xfId="0" applyFill="1" applyBorder="1"/>
    <xf numFmtId="0" fontId="0" fillId="29" borderId="27" xfId="0" applyFill="1" applyBorder="1"/>
    <xf numFmtId="0" fontId="13" fillId="24" borderId="0" xfId="0" applyFont="1" applyFill="1" applyAlignment="1">
      <alignment vertical="center"/>
    </xf>
    <xf numFmtId="14" fontId="0" fillId="0" borderId="11" xfId="0" applyNumberFormat="1" applyBorder="1"/>
    <xf numFmtId="0" fontId="13" fillId="0" borderId="11" xfId="0" applyFont="1" applyBorder="1"/>
    <xf numFmtId="0" fontId="0" fillId="0" borderId="11" xfId="0" applyBorder="1"/>
    <xf numFmtId="1" fontId="0" fillId="0" borderId="0" xfId="0" applyNumberFormat="1" applyAlignment="1">
      <alignment vertical="center"/>
    </xf>
    <xf numFmtId="165" fontId="0" fillId="0" borderId="0" xfId="0" applyNumberFormat="1" applyAlignment="1">
      <alignment vertical="center"/>
    </xf>
    <xf numFmtId="165" fontId="28" fillId="0" borderId="0" xfId="0" applyNumberFormat="1" applyFont="1" applyAlignment="1">
      <alignment vertical="center"/>
    </xf>
    <xf numFmtId="165" fontId="0" fillId="24" borderId="0" xfId="0" applyNumberFormat="1" applyFill="1"/>
    <xf numFmtId="165" fontId="0" fillId="0" borderId="0" xfId="0" applyNumberFormat="1"/>
    <xf numFmtId="165" fontId="31" fillId="0" borderId="11" xfId="0" applyNumberFormat="1" applyFont="1" applyBorder="1" applyAlignment="1">
      <alignment horizontal="center" vertical="center" wrapText="1"/>
    </xf>
    <xf numFmtId="165" fontId="0" fillId="0" borderId="0" xfId="0" applyNumberFormat="1" applyAlignment="1">
      <alignment horizontal="center" vertical="center"/>
    </xf>
    <xf numFmtId="0" fontId="0" fillId="30" borderId="0" xfId="0" applyFill="1" applyAlignment="1">
      <alignment horizontal="center" vertical="center"/>
    </xf>
    <xf numFmtId="0" fontId="13" fillId="0" borderId="0" xfId="0" applyFont="1" applyAlignment="1">
      <alignment horizontal="center" vertical="center"/>
    </xf>
    <xf numFmtId="168" fontId="29" fillId="31" borderId="11" xfId="0" applyNumberFormat="1" applyFont="1" applyFill="1" applyBorder="1" applyAlignment="1">
      <alignment horizontal="center" vertical="center"/>
    </xf>
    <xf numFmtId="1" fontId="29" fillId="31" borderId="11" xfId="0" applyNumberFormat="1" applyFont="1" applyFill="1" applyBorder="1" applyAlignment="1">
      <alignment horizontal="center" vertical="center"/>
    </xf>
    <xf numFmtId="165" fontId="29" fillId="31" borderId="11" xfId="0" applyNumberFormat="1" applyFont="1" applyFill="1" applyBorder="1" applyAlignment="1">
      <alignment horizontal="center" vertical="center"/>
    </xf>
    <xf numFmtId="166" fontId="29" fillId="31" borderId="11" xfId="51" applyNumberFormat="1" applyFont="1" applyFill="1" applyBorder="1" applyAlignment="1">
      <alignment horizontal="center" vertical="center"/>
    </xf>
    <xf numFmtId="171" fontId="29" fillId="31" borderId="11" xfId="0" applyNumberFormat="1" applyFont="1" applyFill="1" applyBorder="1" applyAlignment="1">
      <alignment horizontal="center" vertical="center"/>
    </xf>
    <xf numFmtId="164" fontId="29" fillId="31" borderId="10" xfId="0" applyNumberFormat="1" applyFont="1" applyFill="1" applyBorder="1" applyAlignment="1">
      <alignment horizontal="center" vertical="center"/>
    </xf>
    <xf numFmtId="0" fontId="29" fillId="31" borderId="0" xfId="0" applyFont="1" applyFill="1" applyAlignment="1">
      <alignment vertical="center"/>
    </xf>
    <xf numFmtId="164" fontId="29" fillId="31" borderId="11" xfId="0" applyNumberFormat="1" applyFont="1" applyFill="1" applyBorder="1" applyAlignment="1">
      <alignment horizontal="center" vertical="center"/>
    </xf>
    <xf numFmtId="166" fontId="29" fillId="31" borderId="11" xfId="0" applyNumberFormat="1" applyFont="1" applyFill="1" applyBorder="1" applyAlignment="1">
      <alignment horizontal="center" vertical="center"/>
    </xf>
    <xf numFmtId="0" fontId="13" fillId="31" borderId="0" xfId="0" applyFont="1" applyFill="1" applyAlignment="1">
      <alignment vertical="center"/>
    </xf>
    <xf numFmtId="0" fontId="13" fillId="0" borderId="11" xfId="0" applyFont="1" applyBorder="1" applyAlignment="1">
      <alignment wrapText="1"/>
    </xf>
    <xf numFmtId="164" fontId="40" fillId="24" borderId="11" xfId="0" applyNumberFormat="1" applyFont="1" applyFill="1" applyBorder="1" applyAlignment="1">
      <alignment horizontal="center" vertical="center"/>
    </xf>
    <xf numFmtId="0" fontId="41" fillId="0" borderId="0" xfId="0" applyFont="1"/>
    <xf numFmtId="0" fontId="41" fillId="0" borderId="0" xfId="0" applyFont="1" applyAlignment="1">
      <alignment vertical="center"/>
    </xf>
    <xf numFmtId="0" fontId="29" fillId="29" borderId="0" xfId="0" applyFont="1" applyFill="1"/>
    <xf numFmtId="0" fontId="43" fillId="0" borderId="11" xfId="0" applyFont="1" applyBorder="1"/>
    <xf numFmtId="164" fontId="29" fillId="32" borderId="10" xfId="0" applyNumberFormat="1" applyFont="1" applyFill="1" applyBorder="1" applyAlignment="1">
      <alignment horizontal="center" vertical="center"/>
    </xf>
    <xf numFmtId="164" fontId="29" fillId="32" borderId="11" xfId="0" applyNumberFormat="1" applyFont="1" applyFill="1" applyBorder="1" applyAlignment="1">
      <alignment horizontal="center" vertical="center"/>
    </xf>
    <xf numFmtId="0" fontId="44" fillId="0" borderId="10" xfId="0" applyFont="1" applyBorder="1" applyAlignment="1">
      <alignment horizontal="center" vertical="center"/>
    </xf>
    <xf numFmtId="172" fontId="0" fillId="0" borderId="0" xfId="0" applyNumberFormat="1"/>
    <xf numFmtId="2" fontId="0" fillId="0" borderId="0" xfId="0" applyNumberFormat="1"/>
    <xf numFmtId="2" fontId="0" fillId="0" borderId="0" xfId="0" applyNumberFormat="1" applyAlignment="1">
      <alignment horizontal="center"/>
    </xf>
    <xf numFmtId="0" fontId="46" fillId="0" borderId="0" xfId="0" applyFont="1" applyAlignment="1">
      <alignment horizontal="center" vertical="center"/>
    </xf>
    <xf numFmtId="0" fontId="47" fillId="28" borderId="0" xfId="0" applyFont="1" applyFill="1" applyAlignment="1">
      <alignment horizontal="center" vertical="center"/>
    </xf>
    <xf numFmtId="166" fontId="0" fillId="0" borderId="0" xfId="0" applyNumberFormat="1" applyAlignment="1">
      <alignment horizontal="center"/>
    </xf>
    <xf numFmtId="2" fontId="42" fillId="34" borderId="17" xfId="0" applyNumberFormat="1" applyFont="1" applyFill="1" applyBorder="1"/>
    <xf numFmtId="2" fontId="42" fillId="34" borderId="19" xfId="0" applyNumberFormat="1" applyFont="1" applyFill="1" applyBorder="1"/>
    <xf numFmtId="2" fontId="0" fillId="0" borderId="10" xfId="0" applyNumberFormat="1" applyBorder="1" applyAlignment="1">
      <alignment horizontal="center"/>
    </xf>
    <xf numFmtId="167" fontId="42" fillId="34" borderId="0" xfId="0" applyNumberFormat="1" applyFont="1" applyFill="1" applyAlignment="1">
      <alignment horizontal="center"/>
    </xf>
    <xf numFmtId="2" fontId="0" fillId="0" borderId="11" xfId="0" applyNumberFormat="1" applyBorder="1" applyAlignment="1">
      <alignment horizontal="center"/>
    </xf>
    <xf numFmtId="14" fontId="0" fillId="0" borderId="0" xfId="0" applyNumberFormat="1"/>
    <xf numFmtId="2" fontId="42" fillId="33" borderId="17" xfId="0" applyNumberFormat="1" applyFont="1" applyFill="1" applyBorder="1"/>
    <xf numFmtId="2" fontId="42" fillId="33" borderId="19" xfId="0" applyNumberFormat="1" applyFont="1" applyFill="1" applyBorder="1"/>
    <xf numFmtId="167" fontId="33" fillId="35" borderId="11" xfId="0" applyNumberFormat="1" applyFont="1" applyFill="1" applyBorder="1" applyAlignment="1">
      <alignment horizontal="center" vertical="center"/>
    </xf>
    <xf numFmtId="167" fontId="33" fillId="35" borderId="11" xfId="0" applyNumberFormat="1" applyFont="1" applyFill="1" applyBorder="1" applyAlignment="1">
      <alignment horizontal="center"/>
    </xf>
    <xf numFmtId="2" fontId="13" fillId="0" borderId="10" xfId="0" applyNumberFormat="1" applyFont="1" applyBorder="1" applyAlignment="1">
      <alignment horizontal="center"/>
    </xf>
    <xf numFmtId="2" fontId="42" fillId="33" borderId="0" xfId="0" applyNumberFormat="1" applyFont="1" applyFill="1" applyAlignment="1">
      <alignment horizontal="center"/>
    </xf>
    <xf numFmtId="0" fontId="33" fillId="35" borderId="11" xfId="0" applyFont="1" applyFill="1" applyBorder="1" applyAlignment="1">
      <alignment horizontal="center" vertical="center"/>
    </xf>
    <xf numFmtId="1" fontId="0" fillId="0" borderId="0" xfId="0" applyNumberFormat="1"/>
    <xf numFmtId="165" fontId="0" fillId="0" borderId="0" xfId="0" applyNumberFormat="1" applyAlignment="1">
      <alignment horizontal="center"/>
    </xf>
    <xf numFmtId="2" fontId="13" fillId="0" borderId="11" xfId="0" applyNumberFormat="1" applyFont="1" applyBorder="1" applyAlignment="1">
      <alignment horizontal="center"/>
    </xf>
    <xf numFmtId="167" fontId="0" fillId="0" borderId="0" xfId="0" applyNumberFormat="1" applyAlignment="1">
      <alignment horizontal="center"/>
    </xf>
    <xf numFmtId="0" fontId="33" fillId="36" borderId="11" xfId="0" applyFont="1" applyFill="1" applyBorder="1" applyAlignment="1">
      <alignment horizontal="center" vertical="center"/>
    </xf>
    <xf numFmtId="1" fontId="48" fillId="24" borderId="0" xfId="0" applyNumberFormat="1" applyFont="1" applyFill="1" applyAlignment="1">
      <alignment horizontal="center"/>
    </xf>
    <xf numFmtId="166" fontId="48" fillId="24" borderId="0" xfId="0" applyNumberFormat="1" applyFont="1" applyFill="1" applyAlignment="1">
      <alignment horizontal="center"/>
    </xf>
    <xf numFmtId="166" fontId="0" fillId="24" borderId="0" xfId="0" applyNumberFormat="1" applyFill="1" applyAlignment="1">
      <alignment horizontal="center"/>
    </xf>
    <xf numFmtId="166" fontId="27" fillId="37" borderId="11" xfId="0" applyNumberFormat="1" applyFont="1" applyFill="1" applyBorder="1" applyAlignment="1">
      <alignment horizontal="center" vertical="center"/>
    </xf>
    <xf numFmtId="0" fontId="48" fillId="24" borderId="0" xfId="0" applyFont="1" applyFill="1" applyAlignment="1">
      <alignment horizontal="centerContinuous"/>
    </xf>
    <xf numFmtId="0" fontId="46" fillId="0" borderId="0" xfId="0" applyFont="1"/>
    <xf numFmtId="0" fontId="28" fillId="30" borderId="33" xfId="0" applyFont="1" applyFill="1" applyBorder="1" applyAlignment="1">
      <alignment horizontal="center"/>
    </xf>
    <xf numFmtId="166" fontId="28" fillId="30" borderId="34" xfId="0" applyNumberFormat="1" applyFont="1" applyFill="1" applyBorder="1" applyAlignment="1">
      <alignment horizontal="center"/>
    </xf>
    <xf numFmtId="166" fontId="28" fillId="30" borderId="35" xfId="0" applyNumberFormat="1" applyFont="1" applyFill="1" applyBorder="1" applyAlignment="1">
      <alignment horizontal="center"/>
    </xf>
    <xf numFmtId="0" fontId="48" fillId="0" borderId="0" xfId="0" applyFont="1"/>
    <xf numFmtId="166" fontId="49" fillId="24" borderId="0" xfId="0" applyNumberFormat="1" applyFont="1" applyFill="1" applyAlignment="1">
      <alignment horizontal="center"/>
    </xf>
    <xf numFmtId="2" fontId="28" fillId="0" borderId="33" xfId="0" applyNumberFormat="1" applyFont="1" applyBorder="1" applyAlignment="1">
      <alignment horizontal="center"/>
    </xf>
    <xf numFmtId="2" fontId="28" fillId="0" borderId="34" xfId="0" applyNumberFormat="1" applyFont="1" applyBorder="1" applyAlignment="1">
      <alignment horizontal="center"/>
    </xf>
    <xf numFmtId="2" fontId="28" fillId="0" borderId="35" xfId="0" applyNumberFormat="1" applyFont="1" applyBorder="1" applyAlignment="1">
      <alignment horizontal="center"/>
    </xf>
    <xf numFmtId="0" fontId="28" fillId="30" borderId="36" xfId="0" applyFont="1" applyFill="1" applyBorder="1" applyAlignment="1">
      <alignment horizontal="center" vertical="center"/>
    </xf>
    <xf numFmtId="166" fontId="0" fillId="0" borderId="11" xfId="0" applyNumberFormat="1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166" fontId="0" fillId="0" borderId="38" xfId="0" applyNumberFormat="1" applyBorder="1" applyAlignment="1">
      <alignment horizontal="center" vertical="center"/>
    </xf>
    <xf numFmtId="2" fontId="50" fillId="28" borderId="37" xfId="0" applyNumberFormat="1" applyFont="1" applyFill="1" applyBorder="1" applyAlignment="1">
      <alignment horizontal="center"/>
    </xf>
    <xf numFmtId="2" fontId="50" fillId="28" borderId="11" xfId="0" applyNumberFormat="1" applyFont="1" applyFill="1" applyBorder="1" applyAlignment="1">
      <alignment horizontal="center"/>
    </xf>
    <xf numFmtId="2" fontId="0" fillId="28" borderId="11" xfId="0" applyNumberFormat="1" applyFill="1" applyBorder="1" applyAlignment="1">
      <alignment horizontal="center"/>
    </xf>
    <xf numFmtId="2" fontId="0" fillId="0" borderId="38" xfId="0" applyNumberFormat="1" applyBorder="1" applyAlignment="1">
      <alignment horizontal="center"/>
    </xf>
    <xf numFmtId="0" fontId="0" fillId="0" borderId="33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166" fontId="0" fillId="0" borderId="37" xfId="0" applyNumberFormat="1" applyBorder="1" applyAlignment="1">
      <alignment horizontal="center" vertical="center"/>
    </xf>
    <xf numFmtId="167" fontId="0" fillId="0" borderId="11" xfId="0" applyNumberFormat="1" applyBorder="1" applyAlignment="1">
      <alignment horizontal="center" vertical="center"/>
    </xf>
    <xf numFmtId="167" fontId="0" fillId="0" borderId="38" xfId="0" applyNumberFormat="1" applyBorder="1" applyAlignment="1">
      <alignment horizontal="center" vertical="center"/>
    </xf>
    <xf numFmtId="166" fontId="13" fillId="0" borderId="11" xfId="0" applyNumberFormat="1" applyFont="1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166" fontId="0" fillId="0" borderId="29" xfId="0" applyNumberFormat="1" applyBorder="1" applyAlignment="1">
      <alignment horizontal="center" vertical="center"/>
    </xf>
    <xf numFmtId="0" fontId="13" fillId="0" borderId="0" xfId="0" applyFont="1" applyAlignment="1">
      <alignment horizontal="center"/>
    </xf>
    <xf numFmtId="167" fontId="0" fillId="0" borderId="0" xfId="0" applyNumberFormat="1"/>
    <xf numFmtId="0" fontId="0" fillId="38" borderId="11" xfId="0" applyFill="1" applyBorder="1" applyAlignment="1">
      <alignment horizontal="center" vertical="center"/>
    </xf>
    <xf numFmtId="167" fontId="50" fillId="28" borderId="37" xfId="0" applyNumberFormat="1" applyFont="1" applyFill="1" applyBorder="1" applyAlignment="1">
      <alignment horizontal="center"/>
    </xf>
    <xf numFmtId="167" fontId="50" fillId="28" borderId="11" xfId="0" applyNumberFormat="1" applyFont="1" applyFill="1" applyBorder="1" applyAlignment="1">
      <alignment horizontal="center"/>
    </xf>
    <xf numFmtId="167" fontId="0" fillId="28" borderId="11" xfId="0" applyNumberFormat="1" applyFill="1" applyBorder="1" applyAlignment="1">
      <alignment horizontal="center"/>
    </xf>
    <xf numFmtId="167" fontId="0" fillId="0" borderId="38" xfId="0" applyNumberFormat="1" applyBorder="1" applyAlignment="1">
      <alignment horizontal="center"/>
    </xf>
    <xf numFmtId="14" fontId="28" fillId="30" borderId="33" xfId="0" applyNumberFormat="1" applyFont="1" applyFill="1" applyBorder="1" applyAlignment="1">
      <alignment horizontal="center"/>
    </xf>
    <xf numFmtId="14" fontId="0" fillId="0" borderId="11" xfId="0" applyNumberFormat="1" applyBorder="1" applyAlignment="1">
      <alignment horizontal="center" vertical="center"/>
    </xf>
    <xf numFmtId="9" fontId="42" fillId="33" borderId="0" xfId="168" applyFont="1" applyFill="1" applyAlignment="1">
      <alignment horizontal="center"/>
    </xf>
    <xf numFmtId="0" fontId="41" fillId="0" borderId="0" xfId="0" applyFont="1" applyAlignment="1">
      <alignment horizontal="center" vertical="center"/>
    </xf>
    <xf numFmtId="14" fontId="13" fillId="0" borderId="11" xfId="0" applyNumberFormat="1" applyFont="1" applyBorder="1" applyAlignment="1">
      <alignment horizontal="center" vertical="center"/>
    </xf>
    <xf numFmtId="0" fontId="43" fillId="0" borderId="0" xfId="0" applyFont="1"/>
    <xf numFmtId="0" fontId="43" fillId="0" borderId="0" xfId="0" applyFont="1" applyAlignment="1">
      <alignment vertical="center"/>
    </xf>
    <xf numFmtId="14" fontId="43" fillId="0" borderId="0" xfId="0" applyNumberFormat="1" applyFont="1"/>
    <xf numFmtId="0" fontId="52" fillId="0" borderId="0" xfId="0" applyFont="1"/>
    <xf numFmtId="14" fontId="29" fillId="31" borderId="11" xfId="0" applyNumberFormat="1" applyFont="1" applyFill="1" applyBorder="1" applyAlignment="1">
      <alignment horizontal="center" vertical="center"/>
    </xf>
    <xf numFmtId="14" fontId="13" fillId="0" borderId="11" xfId="0" applyNumberFormat="1" applyFont="1" applyBorder="1"/>
    <xf numFmtId="166" fontId="13" fillId="0" borderId="37" xfId="0" applyNumberFormat="1" applyFont="1" applyBorder="1" applyAlignment="1">
      <alignment horizontal="center" vertical="center"/>
    </xf>
    <xf numFmtId="165" fontId="29" fillId="24" borderId="11" xfId="0" applyNumberFormat="1" applyFont="1" applyFill="1" applyBorder="1" applyAlignment="1">
      <alignment horizontal="center" vertical="center"/>
    </xf>
    <xf numFmtId="0" fontId="36" fillId="0" borderId="17" xfId="0" applyFont="1" applyBorder="1" applyAlignment="1">
      <alignment horizontal="center" vertical="center"/>
    </xf>
    <xf numFmtId="0" fontId="36" fillId="0" borderId="18" xfId="0" applyFont="1" applyBorder="1" applyAlignment="1">
      <alignment horizontal="center" vertical="center"/>
    </xf>
    <xf numFmtId="0" fontId="36" fillId="0" borderId="19" xfId="0" applyFont="1" applyBorder="1" applyAlignment="1">
      <alignment horizontal="center" vertical="center"/>
    </xf>
    <xf numFmtId="0" fontId="29" fillId="0" borderId="20" xfId="0" applyFont="1" applyBorder="1" applyAlignment="1">
      <alignment horizontal="center" vertical="center"/>
    </xf>
    <xf numFmtId="0" fontId="29" fillId="0" borderId="21" xfId="0" applyFont="1" applyBorder="1" applyAlignment="1">
      <alignment horizontal="center" vertical="center"/>
    </xf>
    <xf numFmtId="0" fontId="27" fillId="0" borderId="17" xfId="0" applyFont="1" applyBorder="1" applyAlignment="1">
      <alignment horizontal="center" vertical="center"/>
    </xf>
    <xf numFmtId="0" fontId="27" fillId="0" borderId="18" xfId="0" applyFont="1" applyBorder="1" applyAlignment="1">
      <alignment horizontal="center" vertical="center"/>
    </xf>
    <xf numFmtId="0" fontId="27" fillId="0" borderId="19" xfId="0" applyFont="1" applyBorder="1" applyAlignment="1">
      <alignment horizontal="center" vertical="center"/>
    </xf>
    <xf numFmtId="0" fontId="29" fillId="0" borderId="22" xfId="0" applyFont="1" applyBorder="1" applyAlignment="1">
      <alignment horizontal="center" vertical="center"/>
    </xf>
    <xf numFmtId="0" fontId="29" fillId="0" borderId="10" xfId="0" applyFont="1" applyBorder="1" applyAlignment="1">
      <alignment horizontal="center" vertical="center"/>
    </xf>
    <xf numFmtId="0" fontId="26" fillId="28" borderId="17" xfId="0" applyFont="1" applyFill="1" applyBorder="1" applyAlignment="1">
      <alignment horizontal="center" vertical="center"/>
    </xf>
    <xf numFmtId="0" fontId="26" fillId="28" borderId="18" xfId="0" applyFont="1" applyFill="1" applyBorder="1" applyAlignment="1">
      <alignment horizontal="center" vertical="center"/>
    </xf>
    <xf numFmtId="0" fontId="26" fillId="28" borderId="19" xfId="0" applyFont="1" applyFill="1" applyBorder="1" applyAlignment="1">
      <alignment horizontal="center" vertical="center"/>
    </xf>
    <xf numFmtId="169" fontId="29" fillId="24" borderId="18" xfId="0" applyNumberFormat="1" applyFont="1" applyFill="1" applyBorder="1" applyAlignment="1">
      <alignment horizontal="center" vertical="center"/>
    </xf>
    <xf numFmtId="172" fontId="45" fillId="28" borderId="0" xfId="0" applyNumberFormat="1" applyFont="1" applyFill="1" applyAlignment="1">
      <alignment horizontal="center" vertical="center"/>
    </xf>
    <xf numFmtId="172" fontId="45" fillId="28" borderId="32" xfId="0" applyNumberFormat="1" applyFont="1" applyFill="1" applyBorder="1" applyAlignment="1">
      <alignment horizontal="center" vertical="center"/>
    </xf>
    <xf numFmtId="0" fontId="46" fillId="0" borderId="0" xfId="0" applyFont="1" applyAlignment="1">
      <alignment horizontal="center" vertical="center"/>
    </xf>
    <xf numFmtId="0" fontId="46" fillId="0" borderId="0" xfId="0" applyFont="1" applyAlignment="1">
      <alignment horizontal="center"/>
    </xf>
    <xf numFmtId="0" fontId="29" fillId="0" borderId="17" xfId="0" applyFont="1" applyBorder="1" applyAlignment="1">
      <alignment horizontal="center" vertical="center"/>
    </xf>
    <xf numFmtId="0" fontId="29" fillId="0" borderId="18" xfId="0" applyFont="1" applyBorder="1" applyAlignment="1">
      <alignment horizontal="center" vertical="center"/>
    </xf>
    <xf numFmtId="0" fontId="29" fillId="0" borderId="19" xfId="0" applyFont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35" fillId="26" borderId="0" xfId="0" applyFont="1" applyFill="1" applyAlignment="1">
      <alignment horizontal="center" vertical="center"/>
    </xf>
    <xf numFmtId="0" fontId="29" fillId="0" borderId="15" xfId="0" applyFont="1" applyBorder="1" applyAlignment="1">
      <alignment horizontal="center" vertical="center"/>
    </xf>
    <xf numFmtId="0" fontId="28" fillId="26" borderId="0" xfId="0" applyFont="1" applyFill="1" applyAlignment="1">
      <alignment horizontal="center" vertical="center"/>
    </xf>
    <xf numFmtId="0" fontId="27" fillId="0" borderId="17" xfId="0" applyFont="1" applyBorder="1" applyAlignment="1">
      <alignment horizontal="center"/>
    </xf>
    <xf numFmtId="0" fontId="27" fillId="0" borderId="18" xfId="0" applyFont="1" applyBorder="1" applyAlignment="1">
      <alignment horizontal="center"/>
    </xf>
    <xf numFmtId="0" fontId="27" fillId="0" borderId="19" xfId="0" applyFont="1" applyBorder="1" applyAlignment="1">
      <alignment horizontal="center"/>
    </xf>
    <xf numFmtId="0" fontId="29" fillId="26" borderId="26" xfId="0" applyFont="1" applyFill="1" applyBorder="1" applyAlignment="1">
      <alignment horizontal="center" vertical="center"/>
    </xf>
    <xf numFmtId="0" fontId="29" fillId="26" borderId="0" xfId="0" applyFont="1" applyFill="1" applyAlignment="1">
      <alignment horizontal="center" vertical="center"/>
    </xf>
    <xf numFmtId="0" fontId="29" fillId="26" borderId="27" xfId="0" applyFont="1" applyFill="1" applyBorder="1" applyAlignment="1">
      <alignment horizontal="center" vertical="center"/>
    </xf>
    <xf numFmtId="0" fontId="27" fillId="0" borderId="25" xfId="0" applyFont="1" applyBorder="1" applyAlignment="1">
      <alignment horizontal="center" vertical="center"/>
    </xf>
    <xf numFmtId="0" fontId="27" fillId="0" borderId="20" xfId="0" applyFont="1" applyBorder="1" applyAlignment="1">
      <alignment horizontal="center" vertical="center"/>
    </xf>
    <xf numFmtId="0" fontId="27" fillId="0" borderId="27" xfId="0" applyFon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14" fontId="0" fillId="0" borderId="27" xfId="0" applyNumberFormat="1" applyBorder="1" applyAlignment="1">
      <alignment horizontal="center" vertical="center"/>
    </xf>
    <xf numFmtId="0" fontId="26" fillId="28" borderId="30" xfId="0" applyFont="1" applyFill="1" applyBorder="1" applyAlignment="1">
      <alignment horizontal="center"/>
    </xf>
    <xf numFmtId="0" fontId="26" fillId="28" borderId="31" xfId="0" applyFont="1" applyFill="1" applyBorder="1" applyAlignment="1">
      <alignment horizontal="center"/>
    </xf>
  </cellXfs>
  <cellStyles count="169">
    <cellStyle name="20 % - Accent1" xfId="1" builtinId="30" customBuiltin="1"/>
    <cellStyle name="20 % - Accent1 2" xfId="52" xr:uid="{00000000-0005-0000-0000-000001000000}"/>
    <cellStyle name="20 % - Accent2" xfId="2" builtinId="34" customBuiltin="1"/>
    <cellStyle name="20 % - Accent2 2" xfId="53" xr:uid="{00000000-0005-0000-0000-000003000000}"/>
    <cellStyle name="20 % - Accent3" xfId="3" builtinId="38" customBuiltin="1"/>
    <cellStyle name="20 % - Accent3 2" xfId="54" xr:uid="{00000000-0005-0000-0000-000005000000}"/>
    <cellStyle name="20 % - Accent4" xfId="4" builtinId="42" customBuiltin="1"/>
    <cellStyle name="20 % - Accent4 2" xfId="55" xr:uid="{00000000-0005-0000-0000-000007000000}"/>
    <cellStyle name="20 % - Accent5" xfId="5" builtinId="46" customBuiltin="1"/>
    <cellStyle name="20 % - Accent5 2" xfId="56" xr:uid="{00000000-0005-0000-0000-000009000000}"/>
    <cellStyle name="20 % - Accent6" xfId="6" builtinId="50" customBuiltin="1"/>
    <cellStyle name="20 % - Accent6 2" xfId="57" xr:uid="{00000000-0005-0000-0000-00000B000000}"/>
    <cellStyle name="40 % - Accent1" xfId="7" builtinId="31" customBuiltin="1"/>
    <cellStyle name="40 % - Accent1 2" xfId="58" xr:uid="{00000000-0005-0000-0000-00000D000000}"/>
    <cellStyle name="40 % - Accent2" xfId="8" builtinId="35" customBuiltin="1"/>
    <cellStyle name="40 % - Accent2 2" xfId="59" xr:uid="{00000000-0005-0000-0000-00000F000000}"/>
    <cellStyle name="40 % - Accent3" xfId="9" builtinId="39" customBuiltin="1"/>
    <cellStyle name="40 % - Accent3 2" xfId="60" xr:uid="{00000000-0005-0000-0000-000011000000}"/>
    <cellStyle name="40 % - Accent4" xfId="10" builtinId="43" customBuiltin="1"/>
    <cellStyle name="40 % - Accent4 2" xfId="61" xr:uid="{00000000-0005-0000-0000-000013000000}"/>
    <cellStyle name="40 % - Accent5" xfId="11" builtinId="47" customBuiltin="1"/>
    <cellStyle name="40 % - Accent5 2" xfId="62" xr:uid="{00000000-0005-0000-0000-000015000000}"/>
    <cellStyle name="40 % - Accent6" xfId="12" builtinId="51" customBuiltin="1"/>
    <cellStyle name="40 % - Accent6 2" xfId="63" xr:uid="{00000000-0005-0000-0000-000017000000}"/>
    <cellStyle name="60 % - Accent1" xfId="13" builtinId="32" customBuiltin="1"/>
    <cellStyle name="60 % - Accent1 2" xfId="64" xr:uid="{00000000-0005-0000-0000-000019000000}"/>
    <cellStyle name="60 % - Accent2" xfId="14" builtinId="36" customBuiltin="1"/>
    <cellStyle name="60 % - Accent2 2" xfId="65" xr:uid="{00000000-0005-0000-0000-00001B000000}"/>
    <cellStyle name="60 % - Accent3" xfId="15" builtinId="40" customBuiltin="1"/>
    <cellStyle name="60 % - Accent3 2" xfId="66" xr:uid="{00000000-0005-0000-0000-00001D000000}"/>
    <cellStyle name="60 % - Accent4" xfId="16" builtinId="44" customBuiltin="1"/>
    <cellStyle name="60 % - Accent4 2" xfId="67" xr:uid="{00000000-0005-0000-0000-00001F000000}"/>
    <cellStyle name="60 % - Accent5" xfId="17" builtinId="48" customBuiltin="1"/>
    <cellStyle name="60 % - Accent5 2" xfId="68" xr:uid="{00000000-0005-0000-0000-000021000000}"/>
    <cellStyle name="60 % - Accent6" xfId="18" builtinId="52" customBuiltin="1"/>
    <cellStyle name="60 % - Accent6 2" xfId="69" xr:uid="{00000000-0005-0000-0000-000023000000}"/>
    <cellStyle name="Accent1" xfId="19" builtinId="29" customBuiltin="1"/>
    <cellStyle name="Accent1 2" xfId="70" xr:uid="{00000000-0005-0000-0000-000025000000}"/>
    <cellStyle name="Accent2" xfId="20" builtinId="33" customBuiltin="1"/>
    <cellStyle name="Accent2 2" xfId="71" xr:uid="{00000000-0005-0000-0000-000027000000}"/>
    <cellStyle name="Accent3" xfId="21" builtinId="37" customBuiltin="1"/>
    <cellStyle name="Accent3 2" xfId="72" xr:uid="{00000000-0005-0000-0000-000029000000}"/>
    <cellStyle name="Accent4" xfId="22" builtinId="41" customBuiltin="1"/>
    <cellStyle name="Accent4 2" xfId="73" xr:uid="{00000000-0005-0000-0000-00002B000000}"/>
    <cellStyle name="Accent5" xfId="23" builtinId="45" customBuiltin="1"/>
    <cellStyle name="Accent5 2" xfId="74" xr:uid="{00000000-0005-0000-0000-00002D000000}"/>
    <cellStyle name="Accent6" xfId="24" builtinId="49" customBuiltin="1"/>
    <cellStyle name="Accent6 2" xfId="75" xr:uid="{00000000-0005-0000-0000-00002F000000}"/>
    <cellStyle name="Avertissement" xfId="25" builtinId="11" customBuiltin="1"/>
    <cellStyle name="Avertissement 2" xfId="76" xr:uid="{00000000-0005-0000-0000-000031000000}"/>
    <cellStyle name="Calcul" xfId="26" builtinId="22" customBuiltin="1"/>
    <cellStyle name="Calcul 2" xfId="77" xr:uid="{00000000-0005-0000-0000-000033000000}"/>
    <cellStyle name="Cellule liée" xfId="27" builtinId="24" customBuiltin="1"/>
    <cellStyle name="Cellule liée 2" xfId="78" xr:uid="{00000000-0005-0000-0000-000035000000}"/>
    <cellStyle name="Commentaire 2" xfId="43" xr:uid="{00000000-0005-0000-0000-000037000000}"/>
    <cellStyle name="Commentaire 2 2" xfId="94" xr:uid="{00000000-0005-0000-0000-000038000000}"/>
    <cellStyle name="Commentaire 2 2 2" xfId="108" xr:uid="{00000000-0005-0000-0000-000039000000}"/>
    <cellStyle name="Commentaire 2 2 2 2" xfId="162" xr:uid="{00000000-0005-0000-0000-00003A000000}"/>
    <cellStyle name="Commentaire 2 2 3" xfId="142" xr:uid="{00000000-0005-0000-0000-00003B000000}"/>
    <cellStyle name="Commentaire 2 3" xfId="100" xr:uid="{00000000-0005-0000-0000-00003C000000}"/>
    <cellStyle name="Commentaire 2 3 2" xfId="154" xr:uid="{00000000-0005-0000-0000-00003D000000}"/>
    <cellStyle name="Commentaire 2 3 3" xfId="135" xr:uid="{00000000-0005-0000-0000-00003E000000}"/>
    <cellStyle name="Commentaire 2 4" xfId="148" xr:uid="{00000000-0005-0000-0000-00003F000000}"/>
    <cellStyle name="Commentaire 2 5" xfId="126" xr:uid="{00000000-0005-0000-0000-000040000000}"/>
    <cellStyle name="Commentaire 3" xfId="47" xr:uid="{00000000-0005-0000-0000-000041000000}"/>
    <cellStyle name="Commentaire 3 2" xfId="96" xr:uid="{00000000-0005-0000-0000-000042000000}"/>
    <cellStyle name="Commentaire 3 2 2" xfId="110" xr:uid="{00000000-0005-0000-0000-000043000000}"/>
    <cellStyle name="Commentaire 3 2 2 2" xfId="164" xr:uid="{00000000-0005-0000-0000-000044000000}"/>
    <cellStyle name="Commentaire 3 2 3" xfId="144" xr:uid="{00000000-0005-0000-0000-000045000000}"/>
    <cellStyle name="Commentaire 3 3" xfId="102" xr:uid="{00000000-0005-0000-0000-000046000000}"/>
    <cellStyle name="Commentaire 3 3 2" xfId="156" xr:uid="{00000000-0005-0000-0000-000047000000}"/>
    <cellStyle name="Commentaire 3 3 3" xfId="137" xr:uid="{00000000-0005-0000-0000-000048000000}"/>
    <cellStyle name="Commentaire 3 4" xfId="150" xr:uid="{00000000-0005-0000-0000-000049000000}"/>
    <cellStyle name="Commentaire 3 5" xfId="128" xr:uid="{00000000-0005-0000-0000-00004A000000}"/>
    <cellStyle name="Commentaire 4" xfId="79" xr:uid="{00000000-0005-0000-0000-00004B000000}"/>
    <cellStyle name="Entrée" xfId="29" builtinId="20" customBuiltin="1"/>
    <cellStyle name="Entrée 2" xfId="80" xr:uid="{00000000-0005-0000-0000-00004D000000}"/>
    <cellStyle name="Insatisfaisant" xfId="30" builtinId="27" customBuiltin="1"/>
    <cellStyle name="Insatisfaisant 2" xfId="81" xr:uid="{00000000-0005-0000-0000-00004F000000}"/>
    <cellStyle name="Neutre" xfId="31" builtinId="28" customBuiltin="1"/>
    <cellStyle name="Neutre 2" xfId="82" xr:uid="{00000000-0005-0000-0000-000051000000}"/>
    <cellStyle name="Normal" xfId="0" builtinId="0"/>
    <cellStyle name="Normal 2" xfId="42" xr:uid="{00000000-0005-0000-0000-000053000000}"/>
    <cellStyle name="Normal 2 2" xfId="44" xr:uid="{00000000-0005-0000-0000-000054000000}"/>
    <cellStyle name="Normal 2 2 2" xfId="127" xr:uid="{00000000-0005-0000-0000-000055000000}"/>
    <cellStyle name="Normal 2 2 3" xfId="123" xr:uid="{00000000-0005-0000-0000-000056000000}"/>
    <cellStyle name="Normal 2 3" xfId="93" xr:uid="{00000000-0005-0000-0000-000057000000}"/>
    <cellStyle name="Normal 2 3 2" xfId="107" xr:uid="{00000000-0005-0000-0000-000058000000}"/>
    <cellStyle name="Normal 2 3 2 2" xfId="161" xr:uid="{00000000-0005-0000-0000-000059000000}"/>
    <cellStyle name="Normal 2 3 3" xfId="125" xr:uid="{00000000-0005-0000-0000-00005A000000}"/>
    <cellStyle name="Normal 2 4" xfId="99" xr:uid="{00000000-0005-0000-0000-00005B000000}"/>
    <cellStyle name="Normal 2 4 2" xfId="147" xr:uid="{00000000-0005-0000-0000-00005C000000}"/>
    <cellStyle name="Normal 2 5" xfId="130" xr:uid="{00000000-0005-0000-0000-00005D000000}"/>
    <cellStyle name="Normal 3" xfId="46" xr:uid="{00000000-0005-0000-0000-00005E000000}"/>
    <cellStyle name="Normal 3 2" xfId="49" xr:uid="{00000000-0005-0000-0000-00005F000000}"/>
    <cellStyle name="Normal 3 2 2" xfId="98" xr:uid="{00000000-0005-0000-0000-000060000000}"/>
    <cellStyle name="Normal 3 2 2 2" xfId="112" xr:uid="{00000000-0005-0000-0000-000061000000}"/>
    <cellStyle name="Normal 3 2 2 2 2" xfId="166" xr:uid="{00000000-0005-0000-0000-000062000000}"/>
    <cellStyle name="Normal 3 2 2 3" xfId="146" xr:uid="{00000000-0005-0000-0000-000063000000}"/>
    <cellStyle name="Normal 3 2 2 4" xfId="121" xr:uid="{00000000-0005-0000-0000-000064000000}"/>
    <cellStyle name="Normal 3 2 3" xfId="104" xr:uid="{00000000-0005-0000-0000-000065000000}"/>
    <cellStyle name="Normal 3 2 3 2" xfId="160" xr:uid="{00000000-0005-0000-0000-000066000000}"/>
    <cellStyle name="Normal 3 2 3 3" xfId="141" xr:uid="{00000000-0005-0000-0000-000067000000}"/>
    <cellStyle name="Normal 3 2 4" xfId="152" xr:uid="{00000000-0005-0000-0000-000068000000}"/>
    <cellStyle name="Normal 3 2 5" xfId="133" xr:uid="{00000000-0005-0000-0000-000069000000}"/>
    <cellStyle name="Normal 3 2 6" xfId="116" xr:uid="{00000000-0005-0000-0000-00006A000000}"/>
    <cellStyle name="Normal 3 3" xfId="95" xr:uid="{00000000-0005-0000-0000-00006B000000}"/>
    <cellStyle name="Normal 3 3 2" xfId="109" xr:uid="{00000000-0005-0000-0000-00006C000000}"/>
    <cellStyle name="Normal 3 3 2 2" xfId="159" xr:uid="{00000000-0005-0000-0000-00006D000000}"/>
    <cellStyle name="Normal 3 3 3" xfId="140" xr:uid="{00000000-0005-0000-0000-00006E000000}"/>
    <cellStyle name="Normal 3 3 4" xfId="120" xr:uid="{00000000-0005-0000-0000-00006F000000}"/>
    <cellStyle name="Normal 3 4" xfId="101" xr:uid="{00000000-0005-0000-0000-000070000000}"/>
    <cellStyle name="Normal 3 4 2" xfId="163" xr:uid="{00000000-0005-0000-0000-000071000000}"/>
    <cellStyle name="Normal 3 4 3" xfId="143" xr:uid="{00000000-0005-0000-0000-000072000000}"/>
    <cellStyle name="Normal 3 5" xfId="134" xr:uid="{00000000-0005-0000-0000-000073000000}"/>
    <cellStyle name="Normal 3 5 2" xfId="153" xr:uid="{00000000-0005-0000-0000-000074000000}"/>
    <cellStyle name="Normal 3 6" xfId="149" xr:uid="{00000000-0005-0000-0000-000075000000}"/>
    <cellStyle name="Normal 3 7" xfId="131" xr:uid="{00000000-0005-0000-0000-000076000000}"/>
    <cellStyle name="Normal 3 8" xfId="115" xr:uid="{00000000-0005-0000-0000-000077000000}"/>
    <cellStyle name="Normal 4" xfId="48" xr:uid="{00000000-0005-0000-0000-000078000000}"/>
    <cellStyle name="Normal 4 2" xfId="97" xr:uid="{00000000-0005-0000-0000-000079000000}"/>
    <cellStyle name="Normal 4 2 2" xfId="111" xr:uid="{00000000-0005-0000-0000-00007A000000}"/>
    <cellStyle name="Normal 4 2 2 2" xfId="158" xr:uid="{00000000-0005-0000-0000-00007B000000}"/>
    <cellStyle name="Normal 4 2 3" xfId="139" xr:uid="{00000000-0005-0000-0000-00007C000000}"/>
    <cellStyle name="Normal 4 2 4" xfId="119" xr:uid="{00000000-0005-0000-0000-00007D000000}"/>
    <cellStyle name="Normal 4 3" xfId="103" xr:uid="{00000000-0005-0000-0000-00007E000000}"/>
    <cellStyle name="Normal 4 3 2" xfId="165" xr:uid="{00000000-0005-0000-0000-00007F000000}"/>
    <cellStyle name="Normal 4 3 3" xfId="145" xr:uid="{00000000-0005-0000-0000-000080000000}"/>
    <cellStyle name="Normal 4 4" xfId="136" xr:uid="{00000000-0005-0000-0000-000081000000}"/>
    <cellStyle name="Normal 4 4 2" xfId="155" xr:uid="{00000000-0005-0000-0000-000082000000}"/>
    <cellStyle name="Normal 4 5" xfId="151" xr:uid="{00000000-0005-0000-0000-000083000000}"/>
    <cellStyle name="Normal 4 6" xfId="132" xr:uid="{00000000-0005-0000-0000-000084000000}"/>
    <cellStyle name="Normal 4 7" xfId="114" xr:uid="{00000000-0005-0000-0000-000085000000}"/>
    <cellStyle name="Normal 5" xfId="51" xr:uid="{00000000-0005-0000-0000-000086000000}"/>
    <cellStyle name="Normal 5 2" xfId="106" xr:uid="{00000000-0005-0000-0000-000087000000}"/>
    <cellStyle name="Normal 5 2 2" xfId="157" xr:uid="{00000000-0005-0000-0000-000088000000}"/>
    <cellStyle name="Normal 5 2 3" xfId="122" xr:uid="{00000000-0005-0000-0000-000089000000}"/>
    <cellStyle name="Normal 5 3" xfId="124" xr:uid="{00000000-0005-0000-0000-00008A000000}"/>
    <cellStyle name="Normal 5 3 2" xfId="138" xr:uid="{00000000-0005-0000-0000-00008B000000}"/>
    <cellStyle name="Normal 5 4" xfId="117" xr:uid="{00000000-0005-0000-0000-00008C000000}"/>
    <cellStyle name="Normal 6" xfId="50" xr:uid="{00000000-0005-0000-0000-00008D000000}"/>
    <cellStyle name="Normal 6 2" xfId="105" xr:uid="{00000000-0005-0000-0000-00008E000000}"/>
    <cellStyle name="Normal 6 3" xfId="118" xr:uid="{00000000-0005-0000-0000-00008F000000}"/>
    <cellStyle name="Normal 7" xfId="129" xr:uid="{00000000-0005-0000-0000-000090000000}"/>
    <cellStyle name="Normal 8" xfId="113" xr:uid="{00000000-0005-0000-0000-000091000000}"/>
    <cellStyle name="Normal 9" xfId="167" xr:uid="{00000000-0005-0000-0000-000092000000}"/>
    <cellStyle name="Note" xfId="28" builtinId="10" customBuiltin="1"/>
    <cellStyle name="Pourcentage" xfId="168" builtinId="5"/>
    <cellStyle name="Pourcentage 2" xfId="45" xr:uid="{00000000-0005-0000-0000-000093000000}"/>
    <cellStyle name="Satisfaisant" xfId="32" builtinId="26" customBuiltin="1"/>
    <cellStyle name="Satisfaisant 2" xfId="83" xr:uid="{00000000-0005-0000-0000-000095000000}"/>
    <cellStyle name="Sortie" xfId="33" builtinId="21" customBuiltin="1"/>
    <cellStyle name="Sortie 2" xfId="84" xr:uid="{00000000-0005-0000-0000-000097000000}"/>
    <cellStyle name="Texte explicatif" xfId="34" builtinId="53" customBuiltin="1"/>
    <cellStyle name="Texte explicatif 2" xfId="85" xr:uid="{00000000-0005-0000-0000-000099000000}"/>
    <cellStyle name="Titre" xfId="35" builtinId="15" customBuiltin="1"/>
    <cellStyle name="Titre 2" xfId="86" xr:uid="{00000000-0005-0000-0000-00009B000000}"/>
    <cellStyle name="Titre 1" xfId="36" builtinId="16" customBuiltin="1"/>
    <cellStyle name="Titre 1 2" xfId="87" xr:uid="{00000000-0005-0000-0000-00009D000000}"/>
    <cellStyle name="Titre 2" xfId="37" builtinId="17" customBuiltin="1"/>
    <cellStyle name="Titre 2 2" xfId="88" xr:uid="{00000000-0005-0000-0000-00009F000000}"/>
    <cellStyle name="Titre 3" xfId="38" builtinId="18" customBuiltin="1"/>
    <cellStyle name="Titre 3 2" xfId="89" xr:uid="{00000000-0005-0000-0000-0000A1000000}"/>
    <cellStyle name="Titre 4" xfId="39" builtinId="19" customBuiltin="1"/>
    <cellStyle name="Titre 4 2" xfId="90" xr:uid="{00000000-0005-0000-0000-0000A3000000}"/>
    <cellStyle name="Total" xfId="40" builtinId="25" customBuiltin="1"/>
    <cellStyle name="Total 2" xfId="91" xr:uid="{00000000-0005-0000-0000-0000A5000000}"/>
    <cellStyle name="Vérification" xfId="41" builtinId="23" customBuiltin="1"/>
    <cellStyle name="Vérification 2" xfId="92" xr:uid="{00000000-0005-0000-0000-0000A7000000}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7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Convergences Horizontales (vue depuis le</a:t>
            </a:r>
            <a:r>
              <a:rPr lang="fr-FR" baseline="0"/>
              <a:t> carrefour)</a:t>
            </a:r>
            <a:endParaRPr lang="fr-FR"/>
          </a:p>
        </c:rich>
      </c:tx>
      <c:layout>
        <c:manualLayout>
          <c:xMode val="edge"/>
          <c:yMode val="edge"/>
          <c:x val="0.24699641932523406"/>
          <c:y val="3.1417296868407989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8.2988700965762149E-2"/>
          <c:y val="7.2333803920108103E-2"/>
          <c:w val="0.81613267472675255"/>
          <c:h val="0.7416555441780629"/>
        </c:manualLayout>
      </c:layout>
      <c:scatterChart>
        <c:scatterStyle val="lineMarker"/>
        <c:varyColors val="0"/>
        <c:ser>
          <c:idx val="12"/>
          <c:order val="2"/>
          <c:tx>
            <c:strRef>
              <c:f>Convergences!$H$9</c:f>
              <c:strCache>
                <c:ptCount val="1"/>
                <c:pt idx="0">
                  <c:v>LH</c:v>
                </c:pt>
              </c:strCache>
            </c:strRef>
          </c:tx>
          <c:spPr>
            <a:ln w="158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tint val="50000"/>
                      <a:satMod val="300000"/>
                    </a:schemeClr>
                  </a:gs>
                  <a:gs pos="35000">
                    <a:schemeClr val="accent1">
                      <a:lumMod val="80000"/>
                      <a:lumOff val="20000"/>
                      <a:tint val="37000"/>
                      <a:satMod val="300000"/>
                    </a:schemeClr>
                  </a:gs>
                  <a:gs pos="100000">
                    <a:schemeClr val="accent1">
                      <a:lumMod val="80000"/>
                      <a:lumOff val="20000"/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lumMod val="80000"/>
                    <a:lumOff val="20000"/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marker>
          <c:xVal>
            <c:numRef>
              <c:f>Convergences!$B$10:$B$149</c:f>
              <c:numCache>
                <c:formatCode>dd\ /\ mm\ /\ yy</c:formatCode>
                <c:ptCount val="140"/>
                <c:pt idx="0">
                  <c:v>45324</c:v>
                </c:pt>
                <c:pt idx="1">
                  <c:v>45327</c:v>
                </c:pt>
                <c:pt idx="2">
                  <c:v>45329</c:v>
                </c:pt>
                <c:pt idx="3">
                  <c:v>45331</c:v>
                </c:pt>
                <c:pt idx="4">
                  <c:v>45334</c:v>
                </c:pt>
                <c:pt idx="5">
                  <c:v>45335</c:v>
                </c:pt>
                <c:pt idx="6">
                  <c:v>45337</c:v>
                </c:pt>
                <c:pt idx="7">
                  <c:v>45338</c:v>
                </c:pt>
                <c:pt idx="8">
                  <c:v>45341</c:v>
                </c:pt>
                <c:pt idx="9">
                  <c:v>45343</c:v>
                </c:pt>
                <c:pt idx="10">
                  <c:v>45348</c:v>
                </c:pt>
                <c:pt idx="11">
                  <c:v>45350</c:v>
                </c:pt>
                <c:pt idx="12">
                  <c:v>45364</c:v>
                </c:pt>
                <c:pt idx="13">
                  <c:v>45390</c:v>
                </c:pt>
                <c:pt idx="14">
                  <c:v>45404</c:v>
                </c:pt>
                <c:pt idx="15">
                  <c:v>45411</c:v>
                </c:pt>
                <c:pt idx="16">
                  <c:v>45426</c:v>
                </c:pt>
                <c:pt idx="17">
                  <c:v>45453</c:v>
                </c:pt>
                <c:pt idx="18">
                  <c:v>45481</c:v>
                </c:pt>
                <c:pt idx="19">
                  <c:v>45544</c:v>
                </c:pt>
                <c:pt idx="20">
                  <c:v>45601</c:v>
                </c:pt>
                <c:pt idx="21">
                  <c:v>45671</c:v>
                </c:pt>
                <c:pt idx="22">
                  <c:v>45712</c:v>
                </c:pt>
                <c:pt idx="23">
                  <c:v>45722</c:v>
                </c:pt>
                <c:pt idx="24">
                  <c:v>45726</c:v>
                </c:pt>
                <c:pt idx="25">
                  <c:v>45730</c:v>
                </c:pt>
                <c:pt idx="26">
                  <c:v>45736</c:v>
                </c:pt>
                <c:pt idx="27">
                  <c:v>45744</c:v>
                </c:pt>
                <c:pt idx="28">
                  <c:v>45748</c:v>
                </c:pt>
                <c:pt idx="29">
                  <c:v>45751</c:v>
                </c:pt>
                <c:pt idx="30">
                  <c:v>45754</c:v>
                </c:pt>
                <c:pt idx="31">
                  <c:v>45756</c:v>
                </c:pt>
                <c:pt idx="32">
                  <c:v>45762</c:v>
                </c:pt>
                <c:pt idx="33">
                  <c:v>45769</c:v>
                </c:pt>
                <c:pt idx="34">
                  <c:v>45772</c:v>
                </c:pt>
                <c:pt idx="35">
                  <c:v>45775</c:v>
                </c:pt>
                <c:pt idx="36">
                  <c:v>45792</c:v>
                </c:pt>
                <c:pt idx="37">
                  <c:v>45798</c:v>
                </c:pt>
                <c:pt idx="38">
                  <c:v>45803</c:v>
                </c:pt>
                <c:pt idx="39">
                  <c:v>45810</c:v>
                </c:pt>
                <c:pt idx="40">
                  <c:v>45818</c:v>
                </c:pt>
                <c:pt idx="41">
                  <c:v>45824</c:v>
                </c:pt>
                <c:pt idx="42">
                  <c:v>45831</c:v>
                </c:pt>
                <c:pt idx="43">
                  <c:v>45839</c:v>
                </c:pt>
                <c:pt idx="44">
                  <c:v>45846</c:v>
                </c:pt>
                <c:pt idx="45">
                  <c:v>45853</c:v>
                </c:pt>
                <c:pt idx="46">
                  <c:v>45861</c:v>
                </c:pt>
                <c:pt idx="47">
                  <c:v>45867</c:v>
                </c:pt>
              </c:numCache>
            </c:numRef>
          </c:xVal>
          <c:yVal>
            <c:numRef>
              <c:f>Convergences!$H$10:$H$149</c:f>
              <c:numCache>
                <c:formatCode>\+\ 0.0;\-\ 0.0;\±\ 0.0</c:formatCode>
                <c:ptCount val="140"/>
                <c:pt idx="0">
                  <c:v>0</c:v>
                </c:pt>
                <c:pt idx="1">
                  <c:v>-0.95321322646313433</c:v>
                </c:pt>
                <c:pt idx="2">
                  <c:v>0</c:v>
                </c:pt>
                <c:pt idx="3">
                  <c:v>-4.9362159839549946</c:v>
                </c:pt>
                <c:pt idx="4">
                  <c:v>-6.1264217735601534</c:v>
                </c:pt>
                <c:pt idx="5">
                  <c:v>-6.4279006312464304</c:v>
                </c:pt>
                <c:pt idx="6">
                  <c:v>-6.5179015837717458</c:v>
                </c:pt>
                <c:pt idx="7">
                  <c:v>-6.1309107140701258</c:v>
                </c:pt>
                <c:pt idx="8">
                  <c:v>-6.468513230201367</c:v>
                </c:pt>
                <c:pt idx="9">
                  <c:v>-7.3040050940464951</c:v>
                </c:pt>
                <c:pt idx="10">
                  <c:v>-7.4878705644874088</c:v>
                </c:pt>
                <c:pt idx="11">
                  <c:v>-7.2839904030308489</c:v>
                </c:pt>
                <c:pt idx="12">
                  <c:v>-8.1513278329206074</c:v>
                </c:pt>
                <c:pt idx="13">
                  <c:v>-7.8755742358040948</c:v>
                </c:pt>
                <c:pt idx="14">
                  <c:v>-8.3695378940733534</c:v>
                </c:pt>
                <c:pt idx="16">
                  <c:v>-8.3695378940733534</c:v>
                </c:pt>
                <c:pt idx="17">
                  <c:v>-8.7937516063743004</c:v>
                </c:pt>
                <c:pt idx="18">
                  <c:v>-9.5329278863713895</c:v>
                </c:pt>
                <c:pt idx="19">
                  <c:v>-8.4697730467260257</c:v>
                </c:pt>
                <c:pt idx="20">
                  <c:v>-8.3822633474994745</c:v>
                </c:pt>
                <c:pt idx="21">
                  <c:v>-11.095356908983334</c:v>
                </c:pt>
                <c:pt idx="22">
                  <c:v>-10.644048571512243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8BE-4462-BB5A-A1EE4FD380C5}"/>
            </c:ext>
          </c:extLst>
        </c:ser>
        <c:ser>
          <c:idx val="14"/>
          <c:order val="4"/>
          <c:tx>
            <c:strRef>
              <c:f>Convergences!$I$9</c:f>
              <c:strCache>
                <c:ptCount val="1"/>
                <c:pt idx="0">
                  <c:v>LB</c:v>
                </c:pt>
              </c:strCache>
            </c:strRef>
          </c:tx>
          <c:spPr>
            <a:ln w="158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tint val="50000"/>
                      <a:satMod val="300000"/>
                    </a:schemeClr>
                  </a:gs>
                  <a:gs pos="35000">
                    <a:schemeClr val="accent3">
                      <a:lumMod val="80000"/>
                      <a:lumOff val="20000"/>
                      <a:tint val="37000"/>
                      <a:satMod val="300000"/>
                    </a:schemeClr>
                  </a:gs>
                  <a:gs pos="100000">
                    <a:schemeClr val="accent3">
                      <a:lumMod val="80000"/>
                      <a:lumOff val="20000"/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3">
                    <a:lumMod val="80000"/>
                    <a:lumOff val="20000"/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marker>
          <c:xVal>
            <c:numRef>
              <c:f>Convergences!$B$10:$B$149</c:f>
              <c:numCache>
                <c:formatCode>dd\ /\ mm\ /\ yy</c:formatCode>
                <c:ptCount val="140"/>
                <c:pt idx="0">
                  <c:v>45324</c:v>
                </c:pt>
                <c:pt idx="1">
                  <c:v>45327</c:v>
                </c:pt>
                <c:pt idx="2">
                  <c:v>45329</c:v>
                </c:pt>
                <c:pt idx="3">
                  <c:v>45331</c:v>
                </c:pt>
                <c:pt idx="4">
                  <c:v>45334</c:v>
                </c:pt>
                <c:pt idx="5">
                  <c:v>45335</c:v>
                </c:pt>
                <c:pt idx="6">
                  <c:v>45337</c:v>
                </c:pt>
                <c:pt idx="7">
                  <c:v>45338</c:v>
                </c:pt>
                <c:pt idx="8">
                  <c:v>45341</c:v>
                </c:pt>
                <c:pt idx="9">
                  <c:v>45343</c:v>
                </c:pt>
                <c:pt idx="10">
                  <c:v>45348</c:v>
                </c:pt>
                <c:pt idx="11">
                  <c:v>45350</c:v>
                </c:pt>
                <c:pt idx="12">
                  <c:v>45364</c:v>
                </c:pt>
                <c:pt idx="13">
                  <c:v>45390</c:v>
                </c:pt>
                <c:pt idx="14">
                  <c:v>45404</c:v>
                </c:pt>
                <c:pt idx="15">
                  <c:v>45411</c:v>
                </c:pt>
                <c:pt idx="16">
                  <c:v>45426</c:v>
                </c:pt>
                <c:pt idx="17">
                  <c:v>45453</c:v>
                </c:pt>
                <c:pt idx="18">
                  <c:v>45481</c:v>
                </c:pt>
                <c:pt idx="19">
                  <c:v>45544</c:v>
                </c:pt>
                <c:pt idx="20">
                  <c:v>45601</c:v>
                </c:pt>
                <c:pt idx="21">
                  <c:v>45671</c:v>
                </c:pt>
                <c:pt idx="22">
                  <c:v>45712</c:v>
                </c:pt>
                <c:pt idx="23">
                  <c:v>45722</c:v>
                </c:pt>
                <c:pt idx="24">
                  <c:v>45726</c:v>
                </c:pt>
                <c:pt idx="25">
                  <c:v>45730</c:v>
                </c:pt>
                <c:pt idx="26">
                  <c:v>45736</c:v>
                </c:pt>
                <c:pt idx="27">
                  <c:v>45744</c:v>
                </c:pt>
                <c:pt idx="28">
                  <c:v>45748</c:v>
                </c:pt>
                <c:pt idx="29">
                  <c:v>45751</c:v>
                </c:pt>
                <c:pt idx="30">
                  <c:v>45754</c:v>
                </c:pt>
                <c:pt idx="31">
                  <c:v>45756</c:v>
                </c:pt>
                <c:pt idx="32">
                  <c:v>45762</c:v>
                </c:pt>
                <c:pt idx="33">
                  <c:v>45769</c:v>
                </c:pt>
                <c:pt idx="34">
                  <c:v>45772</c:v>
                </c:pt>
                <c:pt idx="35">
                  <c:v>45775</c:v>
                </c:pt>
                <c:pt idx="36">
                  <c:v>45792</c:v>
                </c:pt>
                <c:pt idx="37">
                  <c:v>45798</c:v>
                </c:pt>
                <c:pt idx="38">
                  <c:v>45803</c:v>
                </c:pt>
                <c:pt idx="39">
                  <c:v>45810</c:v>
                </c:pt>
                <c:pt idx="40">
                  <c:v>45818</c:v>
                </c:pt>
                <c:pt idx="41">
                  <c:v>45824</c:v>
                </c:pt>
                <c:pt idx="42">
                  <c:v>45831</c:v>
                </c:pt>
                <c:pt idx="43">
                  <c:v>45839</c:v>
                </c:pt>
                <c:pt idx="44">
                  <c:v>45846</c:v>
                </c:pt>
                <c:pt idx="45">
                  <c:v>45853</c:v>
                </c:pt>
                <c:pt idx="46">
                  <c:v>45861</c:v>
                </c:pt>
                <c:pt idx="47">
                  <c:v>45867</c:v>
                </c:pt>
              </c:numCache>
            </c:numRef>
          </c:xVal>
          <c:yVal>
            <c:numRef>
              <c:f>Convergences!$I$10:$I$149</c:f>
              <c:numCache>
                <c:formatCode>\+\ 0.0;\-\ 0.0;\±\ 0.0</c:formatCode>
                <c:ptCount val="140"/>
                <c:pt idx="0">
                  <c:v>0</c:v>
                </c:pt>
                <c:pt idx="1">
                  <c:v>-1.0549852207635269</c:v>
                </c:pt>
                <c:pt idx="2">
                  <c:v>0</c:v>
                </c:pt>
                <c:pt idx="3">
                  <c:v>-4.2722105865875548</c:v>
                </c:pt>
                <c:pt idx="4">
                  <c:v>-5.0348597655736071</c:v>
                </c:pt>
                <c:pt idx="5">
                  <c:v>-5.0249937653150667</c:v>
                </c:pt>
                <c:pt idx="6">
                  <c:v>-5.3132818038958973</c:v>
                </c:pt>
                <c:pt idx="7">
                  <c:v>-4.9281776933653987</c:v>
                </c:pt>
                <c:pt idx="8">
                  <c:v>-5.5702309828191687</c:v>
                </c:pt>
                <c:pt idx="9">
                  <c:v>-6.1121043587597512</c:v>
                </c:pt>
                <c:pt idx="10">
                  <c:v>-6.6017299236689198</c:v>
                </c:pt>
                <c:pt idx="11">
                  <c:v>-6.3728435148204809</c:v>
                </c:pt>
                <c:pt idx="12">
                  <c:v>-7.0806219622117084</c:v>
                </c:pt>
                <c:pt idx="13">
                  <c:v>-7.6235358613141457</c:v>
                </c:pt>
                <c:pt idx="14">
                  <c:v>-8.2814827761819032</c:v>
                </c:pt>
                <c:pt idx="15">
                  <c:v>-8.3910463354959219</c:v>
                </c:pt>
                <c:pt idx="16">
                  <c:v>-8.2814827761819032</c:v>
                </c:pt>
                <c:pt idx="17">
                  <c:v>-8.9969258404725139</c:v>
                </c:pt>
                <c:pt idx="18">
                  <c:v>-9.4693161413061944</c:v>
                </c:pt>
                <c:pt idx="19">
                  <c:v>-8.3101768157529676</c:v>
                </c:pt>
                <c:pt idx="20">
                  <c:v>-8.3112556817521721</c:v>
                </c:pt>
                <c:pt idx="21">
                  <c:v>-12.098385771984965</c:v>
                </c:pt>
                <c:pt idx="22">
                  <c:v>-11.456653962357954</c:v>
                </c:pt>
                <c:pt idx="23">
                  <c:v>-12.226253763563122</c:v>
                </c:pt>
                <c:pt idx="24">
                  <c:v>-12.939431810383262</c:v>
                </c:pt>
                <c:pt idx="25">
                  <c:v>-12.901069762094153</c:v>
                </c:pt>
                <c:pt idx="26">
                  <c:v>-13.535432216134069</c:v>
                </c:pt>
                <c:pt idx="27">
                  <c:v>-13.934619243910262</c:v>
                </c:pt>
                <c:pt idx="28">
                  <c:v>-15.487591978330606</c:v>
                </c:pt>
                <c:pt idx="29">
                  <c:v>-15.656916914288388</c:v>
                </c:pt>
                <c:pt idx="30">
                  <c:v>-16.602089568467093</c:v>
                </c:pt>
                <c:pt idx="31">
                  <c:v>-16.917174468589202</c:v>
                </c:pt>
                <c:pt idx="32">
                  <c:v>-16.554197287606875</c:v>
                </c:pt>
                <c:pt idx="33">
                  <c:v>-17.873000315874243</c:v>
                </c:pt>
                <c:pt idx="34">
                  <c:v>-17.591987776221174</c:v>
                </c:pt>
                <c:pt idx="35">
                  <c:v>-17.759167925651909</c:v>
                </c:pt>
                <c:pt idx="36">
                  <c:v>-18.492485741108844</c:v>
                </c:pt>
                <c:pt idx="37">
                  <c:v>-18.926787460650907</c:v>
                </c:pt>
                <c:pt idx="38">
                  <c:v>-19.568629714352248</c:v>
                </c:pt>
                <c:pt idx="39">
                  <c:v>-19.734756919268293</c:v>
                </c:pt>
                <c:pt idx="40">
                  <c:v>-20.986453449056697</c:v>
                </c:pt>
                <c:pt idx="41">
                  <c:v>-20.673532599245092</c:v>
                </c:pt>
                <c:pt idx="42">
                  <c:v>-21.531451191175499</c:v>
                </c:pt>
                <c:pt idx="43">
                  <c:v>-21.609154779748785</c:v>
                </c:pt>
                <c:pt idx="44">
                  <c:v>-23.001073972350738</c:v>
                </c:pt>
                <c:pt idx="45">
                  <c:v>-23.176758753898241</c:v>
                </c:pt>
                <c:pt idx="46">
                  <c:v>-23.811780797629467</c:v>
                </c:pt>
                <c:pt idx="47">
                  <c:v>-24.086595766220853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8BE-4462-BB5A-A1EE4FD380C5}"/>
            </c:ext>
          </c:extLst>
        </c:ser>
        <c:ser>
          <c:idx val="1"/>
          <c:order val="6"/>
          <c:tx>
            <c:strRef>
              <c:f>Graphiques!$AC$19</c:f>
              <c:strCache>
                <c:ptCount val="1"/>
                <c:pt idx="0">
                  <c:v>Seuil de vigilance CH</c:v>
                </c:pt>
              </c:strCache>
            </c:strRef>
          </c:tx>
          <c:spPr>
            <a:ln w="15875" cap="rnd">
              <a:solidFill>
                <a:srgbClr val="FFC000"/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marker>
            <c:symbol val="none"/>
          </c:marker>
          <c:dPt>
            <c:idx val="1"/>
            <c:marker>
              <c:symbol val="none"/>
            </c:marker>
            <c:bubble3D val="0"/>
            <c:spPr>
              <a:ln w="15875" cap="rnd">
                <a:solidFill>
                  <a:srgbClr val="FFC000"/>
                </a:solidFill>
                <a:prstDash val="sysDot"/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A8BE-4462-BB5A-A1EE4FD380C5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Graphiques!$AE$19:$AE$20</c:f>
              <c:numCache>
                <c:formatCode>m/d/yyyy</c:formatCode>
                <c:ptCount val="2"/>
                <c:pt idx="0">
                  <c:v>43682</c:v>
                </c:pt>
                <c:pt idx="1">
                  <c:v>46388</c:v>
                </c:pt>
              </c:numCache>
            </c:numRef>
          </c:xVal>
          <c:yVal>
            <c:numRef>
              <c:f>Graphiques!$AD$19:$AD$20</c:f>
              <c:numCache>
                <c:formatCode>General</c:formatCode>
                <c:ptCount val="2"/>
                <c:pt idx="0">
                  <c:v>-58</c:v>
                </c:pt>
                <c:pt idx="1">
                  <c:v>-58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8BE-4462-BB5A-A1EE4FD380C5}"/>
            </c:ext>
          </c:extLst>
        </c:ser>
        <c:ser>
          <c:idx val="2"/>
          <c:order val="7"/>
          <c:tx>
            <c:strRef>
              <c:f>Graphiques!$AC$21</c:f>
              <c:strCache>
                <c:ptCount val="1"/>
                <c:pt idx="0">
                  <c:v>Seuil d'alerte CH</c:v>
                </c:pt>
              </c:strCache>
            </c:strRef>
          </c:tx>
          <c:spPr>
            <a:ln w="15875" cap="rnd">
              <a:solidFill>
                <a:schemeClr val="accent3"/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Graphiques!$AE$21:$AE$22</c:f>
              <c:numCache>
                <c:formatCode>m/d/yyyy</c:formatCode>
                <c:ptCount val="2"/>
                <c:pt idx="0">
                  <c:v>43682</c:v>
                </c:pt>
                <c:pt idx="1">
                  <c:v>46388</c:v>
                </c:pt>
              </c:numCache>
            </c:numRef>
          </c:xVal>
          <c:yVal>
            <c:numRef>
              <c:f>Graphiques!$AD$21:$AD$22</c:f>
              <c:numCache>
                <c:formatCode>General</c:formatCode>
                <c:ptCount val="2"/>
                <c:pt idx="0">
                  <c:v>-72</c:v>
                </c:pt>
                <c:pt idx="1">
                  <c:v>-72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8BE-4462-BB5A-A1EE4FD380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73128"/>
        <c:axId val="469273520"/>
        <c:extLst>
          <c:ext xmlns:c15="http://schemas.microsoft.com/office/drawing/2012/chart" uri="{02D57815-91ED-43cb-92C2-25804820EDAC}">
            <c15:filteredScatterSeries>
              <c15:ser>
                <c:idx val="10"/>
                <c:order val="0"/>
                <c:tx>
                  <c:strRef>
                    <c:extLst>
                      <c:ext uri="{02D57815-91ED-43cb-92C2-25804820EDAC}">
                        <c15:formulaRef>
                          <c15:sqref>Convergences!$E$9</c15:sqref>
                        </c15:formulaRef>
                      </c:ext>
                    </c:extLst>
                    <c:strCache>
                      <c:ptCount val="1"/>
                      <c:pt idx="0">
                        <c:v>HG</c:v>
                      </c:pt>
                    </c:strCache>
                  </c:strRef>
                </c:tx>
                <c:spPr>
                  <a:ln w="15875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>
                    <a:outerShdw blurRad="40000" dist="20000" dir="5400000" rotWithShape="0">
                      <a:srgbClr val="000000">
                        <a:alpha val="38000"/>
                      </a:srgbClr>
                    </a:outerShdw>
                  </a:effectLst>
                </c:spPr>
                <c:marker>
                  <c:symbol val="circle"/>
                  <c:size val="5"/>
                  <c:spPr>
                    <a:gradFill rotWithShape="1">
                      <a:gsLst>
                        <a:gs pos="0">
                          <a:schemeClr val="accent5">
                            <a:lumMod val="60000"/>
                            <a:tint val="50000"/>
                            <a:satMod val="300000"/>
                          </a:schemeClr>
                        </a:gs>
                        <a:gs pos="35000">
                          <a:schemeClr val="accent5">
                            <a:lumMod val="60000"/>
                            <a:tint val="37000"/>
                            <a:satMod val="300000"/>
                          </a:schemeClr>
                        </a:gs>
                        <a:gs pos="100000">
                          <a:schemeClr val="accent5">
                            <a:lumMod val="60000"/>
                            <a:tint val="15000"/>
                            <a:satMod val="350000"/>
                          </a:schemeClr>
                        </a:gs>
                      </a:gsLst>
                      <a:lin ang="16200000" scaled="1"/>
                    </a:gradFill>
                    <a:ln w="9525" cap="flat" cmpd="sng" algn="ctr">
                      <a:solidFill>
                        <a:schemeClr val="accent5">
                          <a:lumMod val="60000"/>
                          <a:shade val="95000"/>
                        </a:schemeClr>
                      </a:solidFill>
                      <a:round/>
                    </a:ln>
                    <a:effectLst>
                      <a:outerShdw blurRad="40000" dist="20000" dir="5400000" rotWithShape="0">
                        <a:srgbClr val="000000">
                          <a:alpha val="38000"/>
                        </a:srgbClr>
                      </a:outerShdw>
                    </a:effectLst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Convergences!$B$10:$B$12</c15:sqref>
                        </c15:formulaRef>
                      </c:ext>
                    </c:extLst>
                    <c:numCache>
                      <c:formatCode>dd\ /\ mm\ /\ yy</c:formatCode>
                      <c:ptCount val="3"/>
                      <c:pt idx="0">
                        <c:v>45324</c:v>
                      </c:pt>
                      <c:pt idx="1">
                        <c:v>45327</c:v>
                      </c:pt>
                      <c:pt idx="2">
                        <c:v>45329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Convergences!$E$10:$E$12</c15:sqref>
                        </c15:formulaRef>
                      </c:ext>
                    </c:extLst>
                    <c:numCache>
                      <c:formatCode>\+\ 0.0;\-\ 0.0;\±\ 0.0</c:formatCode>
                      <c:ptCount val="3"/>
                      <c:pt idx="0">
                        <c:v>0</c:v>
                      </c:pt>
                      <c:pt idx="1">
                        <c:v>-0.58524815068450309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7-A8BE-4462-BB5A-A1EE4FD380C5}"/>
                  </c:ext>
                </c:extLst>
              </c15:ser>
            </c15:filteredScatterSeries>
            <c15:filteredScatterSeries>
              <c15:ser>
                <c:idx val="11"/>
                <c:order val="1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Convergences!$F$9</c15:sqref>
                        </c15:formulaRef>
                      </c:ext>
                    </c:extLst>
                    <c:strCache>
                      <c:ptCount val="1"/>
                      <c:pt idx="0">
                        <c:v>HD</c:v>
                      </c:pt>
                    </c:strCache>
                  </c:strRef>
                </c:tx>
                <c:spPr>
                  <a:ln w="15875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>
                    <a:outerShdw blurRad="40000" dist="20000" dir="5400000" rotWithShape="0">
                      <a:srgbClr val="000000">
                        <a:alpha val="38000"/>
                      </a:srgbClr>
                    </a:outerShdw>
                  </a:effectLst>
                </c:spPr>
                <c:marker>
                  <c:symbol val="circle"/>
                  <c:size val="5"/>
                  <c:spPr>
                    <a:gradFill rotWithShape="1">
                      <a:gsLst>
                        <a:gs pos="0">
                          <a:schemeClr val="accent6">
                            <a:lumMod val="60000"/>
                            <a:tint val="50000"/>
                            <a:satMod val="300000"/>
                          </a:schemeClr>
                        </a:gs>
                        <a:gs pos="35000">
                          <a:schemeClr val="accent6">
                            <a:lumMod val="60000"/>
                            <a:tint val="37000"/>
                            <a:satMod val="300000"/>
                          </a:schemeClr>
                        </a:gs>
                        <a:gs pos="100000">
                          <a:schemeClr val="accent6">
                            <a:lumMod val="60000"/>
                            <a:tint val="15000"/>
                            <a:satMod val="350000"/>
                          </a:schemeClr>
                        </a:gs>
                      </a:gsLst>
                      <a:lin ang="16200000" scaled="1"/>
                    </a:gradFill>
                    <a:ln w="9525" cap="flat" cmpd="sng" algn="ctr">
                      <a:solidFill>
                        <a:schemeClr val="accent6">
                          <a:lumMod val="60000"/>
                          <a:shade val="95000"/>
                        </a:schemeClr>
                      </a:solidFill>
                      <a:round/>
                    </a:ln>
                    <a:effectLst>
                      <a:outerShdw blurRad="40000" dist="20000" dir="5400000" rotWithShape="0">
                        <a:srgbClr val="000000">
                          <a:alpha val="38000"/>
                        </a:srgbClr>
                      </a:outerShdw>
                    </a:effectLst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Convergences!$B$10:$B$12</c15:sqref>
                        </c15:formulaRef>
                      </c:ext>
                    </c:extLst>
                    <c:numCache>
                      <c:formatCode>dd\ /\ mm\ /\ yy</c:formatCode>
                      <c:ptCount val="3"/>
                      <c:pt idx="0">
                        <c:v>45324</c:v>
                      </c:pt>
                      <c:pt idx="1">
                        <c:v>45327</c:v>
                      </c:pt>
                      <c:pt idx="2">
                        <c:v>45329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Convergences!$F$10:$F$12</c15:sqref>
                        </c15:formulaRef>
                      </c:ext>
                    </c:extLst>
                    <c:numCache>
                      <c:formatCode>\+\ 0.0;\-\ 0.0;\±\ 0.0</c:formatCode>
                      <c:ptCount val="3"/>
                      <c:pt idx="0">
                        <c:v>0</c:v>
                      </c:pt>
                      <c:pt idx="1">
                        <c:v>-0.46740537586242858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A8BE-4462-BB5A-A1EE4FD380C5}"/>
                  </c:ext>
                </c:extLst>
              </c15:ser>
            </c15:filteredScatterSeries>
            <c15:filteredScatterSeries>
              <c15:ser>
                <c:idx val="13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Convergences!$D$9</c15:sqref>
                        </c15:formulaRef>
                      </c:ext>
                    </c:extLst>
                    <c:strCache>
                      <c:ptCount val="1"/>
                      <c:pt idx="0">
                        <c:v>BG</c:v>
                      </c:pt>
                    </c:strCache>
                  </c:strRef>
                </c:tx>
                <c:spPr>
                  <a:ln w="15875" cap="rnd">
                    <a:solidFill>
                      <a:schemeClr val="accent2">
                        <a:lumMod val="80000"/>
                        <a:lumOff val="20000"/>
                      </a:schemeClr>
                    </a:solidFill>
                    <a:round/>
                  </a:ln>
                  <a:effectLst>
                    <a:outerShdw blurRad="40000" dist="20000" dir="5400000" rotWithShape="0">
                      <a:srgbClr val="000000">
                        <a:alpha val="38000"/>
                      </a:srgbClr>
                    </a:outerShdw>
                  </a:effectLst>
                </c:spPr>
                <c:marker>
                  <c:symbol val="circle"/>
                  <c:size val="5"/>
                  <c:spPr>
                    <a:gradFill rotWithShape="1">
                      <a:gsLst>
                        <a:gs pos="0">
                          <a:schemeClr val="accent2">
                            <a:lumMod val="80000"/>
                            <a:lumOff val="20000"/>
                            <a:tint val="50000"/>
                            <a:satMod val="300000"/>
                          </a:schemeClr>
                        </a:gs>
                        <a:gs pos="35000">
                          <a:schemeClr val="accent2">
                            <a:lumMod val="80000"/>
                            <a:lumOff val="20000"/>
                            <a:tint val="37000"/>
                            <a:satMod val="300000"/>
                          </a:schemeClr>
                        </a:gs>
                        <a:gs pos="100000">
                          <a:schemeClr val="accent2">
                            <a:lumMod val="80000"/>
                            <a:lumOff val="20000"/>
                            <a:tint val="15000"/>
                            <a:satMod val="350000"/>
                          </a:schemeClr>
                        </a:gs>
                      </a:gsLst>
                      <a:lin ang="16200000" scaled="1"/>
                    </a:gradFill>
                    <a:ln w="9525" cap="flat" cmpd="sng" algn="ctr">
                      <a:solidFill>
                        <a:schemeClr val="accent2">
                          <a:lumMod val="80000"/>
                          <a:lumOff val="20000"/>
                          <a:shade val="95000"/>
                        </a:schemeClr>
                      </a:solidFill>
                      <a:round/>
                    </a:ln>
                    <a:effectLst>
                      <a:outerShdw blurRad="40000" dist="20000" dir="5400000" rotWithShape="0">
                        <a:srgbClr val="000000">
                          <a:alpha val="38000"/>
                        </a:srgbClr>
                      </a:outerShdw>
                    </a:effectLst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Convergences!$B$10:$B$12</c15:sqref>
                        </c15:formulaRef>
                      </c:ext>
                    </c:extLst>
                    <c:numCache>
                      <c:formatCode>dd\ /\ mm\ /\ yy</c:formatCode>
                      <c:ptCount val="3"/>
                      <c:pt idx="0">
                        <c:v>45324</c:v>
                      </c:pt>
                      <c:pt idx="1">
                        <c:v>45327</c:v>
                      </c:pt>
                      <c:pt idx="2">
                        <c:v>45329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Convergences!$D$10:$D$12</c15:sqref>
                        </c15:formulaRef>
                      </c:ext>
                    </c:extLst>
                    <c:numCache>
                      <c:formatCode>\+\ 0.0;\-\ 0.0;\±\ 0.0</c:formatCode>
                      <c:ptCount val="3"/>
                      <c:pt idx="0">
                        <c:v>0</c:v>
                      </c:pt>
                      <c:pt idx="1">
                        <c:v>-1.0198291823373395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A8BE-4462-BB5A-A1EE4FD380C5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0"/>
          <c:order val="5"/>
          <c:tx>
            <c:v>PM</c:v>
          </c:tx>
          <c:spPr>
            <a:ln w="15875" cap="rnd">
              <a:solidFill>
                <a:schemeClr val="accent1"/>
              </a:solidFill>
              <a:prstDash val="sysDash"/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marker>
            <c:symbol val="none"/>
          </c:marker>
          <c:xVal>
            <c:numRef>
              <c:f>'Résultats observations'!$A$10:$A$60</c:f>
              <c:numCache>
                <c:formatCode>dd\ /\ mm\ /\ yy</c:formatCode>
                <c:ptCount val="51"/>
                <c:pt idx="0">
                  <c:v>45324</c:v>
                </c:pt>
                <c:pt idx="1">
                  <c:v>45327</c:v>
                </c:pt>
                <c:pt idx="2">
                  <c:v>45329</c:v>
                </c:pt>
                <c:pt idx="3">
                  <c:v>45331</c:v>
                </c:pt>
                <c:pt idx="4">
                  <c:v>45334</c:v>
                </c:pt>
                <c:pt idx="5">
                  <c:v>45335</c:v>
                </c:pt>
                <c:pt idx="6">
                  <c:v>45337</c:v>
                </c:pt>
                <c:pt idx="7">
                  <c:v>45338</c:v>
                </c:pt>
                <c:pt idx="8">
                  <c:v>45341</c:v>
                </c:pt>
                <c:pt idx="9">
                  <c:v>45343</c:v>
                </c:pt>
                <c:pt idx="10">
                  <c:v>45348</c:v>
                </c:pt>
                <c:pt idx="11">
                  <c:v>45350</c:v>
                </c:pt>
                <c:pt idx="12">
                  <c:v>45364</c:v>
                </c:pt>
                <c:pt idx="13">
                  <c:v>45390</c:v>
                </c:pt>
                <c:pt idx="14">
                  <c:v>45404</c:v>
                </c:pt>
                <c:pt idx="15">
                  <c:v>45411</c:v>
                </c:pt>
                <c:pt idx="16">
                  <c:v>45426</c:v>
                </c:pt>
                <c:pt idx="17">
                  <c:v>45453</c:v>
                </c:pt>
                <c:pt idx="18">
                  <c:v>45481</c:v>
                </c:pt>
                <c:pt idx="19">
                  <c:v>45544</c:v>
                </c:pt>
                <c:pt idx="20">
                  <c:v>45601</c:v>
                </c:pt>
                <c:pt idx="21">
                  <c:v>45671</c:v>
                </c:pt>
                <c:pt idx="22" formatCode="m/d/yyyy">
                  <c:v>45712</c:v>
                </c:pt>
                <c:pt idx="23" formatCode="m/d/yyyy">
                  <c:v>45722</c:v>
                </c:pt>
                <c:pt idx="24" formatCode="m/d/yyyy">
                  <c:v>45726</c:v>
                </c:pt>
                <c:pt idx="25" formatCode="m/d/yyyy">
                  <c:v>45730</c:v>
                </c:pt>
                <c:pt idx="26" formatCode="m/d/yyyy">
                  <c:v>45736</c:v>
                </c:pt>
                <c:pt idx="27" formatCode="m/d/yyyy">
                  <c:v>45744</c:v>
                </c:pt>
                <c:pt idx="28" formatCode="m/d/yyyy">
                  <c:v>45748</c:v>
                </c:pt>
                <c:pt idx="29" formatCode="m/d/yyyy">
                  <c:v>45751</c:v>
                </c:pt>
                <c:pt idx="30" formatCode="m/d/yyyy">
                  <c:v>45754</c:v>
                </c:pt>
                <c:pt idx="31" formatCode="m/d/yyyy">
                  <c:v>45756</c:v>
                </c:pt>
                <c:pt idx="32" formatCode="m/d/yyyy">
                  <c:v>45762</c:v>
                </c:pt>
                <c:pt idx="33" formatCode="m/d/yyyy">
                  <c:v>45769</c:v>
                </c:pt>
                <c:pt idx="34" formatCode="m/d/yyyy">
                  <c:v>45772</c:v>
                </c:pt>
                <c:pt idx="35" formatCode="m/d/yyyy">
                  <c:v>45775</c:v>
                </c:pt>
                <c:pt idx="36" formatCode="m/d/yyyy">
                  <c:v>45792</c:v>
                </c:pt>
                <c:pt idx="37" formatCode="m/d/yyyy">
                  <c:v>45798</c:v>
                </c:pt>
                <c:pt idx="38" formatCode="m/d/yyyy">
                  <c:v>45803</c:v>
                </c:pt>
                <c:pt idx="39" formatCode="m/d/yyyy">
                  <c:v>45810</c:v>
                </c:pt>
                <c:pt idx="40" formatCode="m/d/yyyy">
                  <c:v>45818</c:v>
                </c:pt>
                <c:pt idx="41" formatCode="m/d/yyyy">
                  <c:v>45824</c:v>
                </c:pt>
                <c:pt idx="42" formatCode="m/d/yyyy">
                  <c:v>45831</c:v>
                </c:pt>
                <c:pt idx="43" formatCode="m/d/yyyy">
                  <c:v>45839</c:v>
                </c:pt>
                <c:pt idx="44" formatCode="m/d/yyyy">
                  <c:v>45846</c:v>
                </c:pt>
                <c:pt idx="45" formatCode="m/d/yyyy">
                  <c:v>45853</c:v>
                </c:pt>
                <c:pt idx="46" formatCode="m/d/yyyy">
                  <c:v>45861</c:v>
                </c:pt>
                <c:pt idx="47" formatCode="m/d/yyyy">
                  <c:v>45867</c:v>
                </c:pt>
              </c:numCache>
            </c:numRef>
          </c:xVal>
          <c:yVal>
            <c:numRef>
              <c:f>'Résultats observations'!$C$10:$C$60</c:f>
              <c:numCache>
                <c:formatCode>0.0</c:formatCode>
                <c:ptCount val="51"/>
                <c:pt idx="0">
                  <c:v>9.39</c:v>
                </c:pt>
                <c:pt idx="1">
                  <c:v>9.39</c:v>
                </c:pt>
                <c:pt idx="2">
                  <c:v>11.5</c:v>
                </c:pt>
                <c:pt idx="3">
                  <c:v>11.5</c:v>
                </c:pt>
                <c:pt idx="4">
                  <c:v>11.5</c:v>
                </c:pt>
                <c:pt idx="5">
                  <c:v>11.5</c:v>
                </c:pt>
                <c:pt idx="6">
                  <c:v>11.5</c:v>
                </c:pt>
                <c:pt idx="7">
                  <c:v>11.5</c:v>
                </c:pt>
                <c:pt idx="8">
                  <c:v>11.5</c:v>
                </c:pt>
                <c:pt idx="9">
                  <c:v>11.5</c:v>
                </c:pt>
                <c:pt idx="10">
                  <c:v>11.5</c:v>
                </c:pt>
                <c:pt idx="11">
                  <c:v>11.5</c:v>
                </c:pt>
                <c:pt idx="12">
                  <c:v>11.5</c:v>
                </c:pt>
                <c:pt idx="13">
                  <c:v>11.5</c:v>
                </c:pt>
                <c:pt idx="14">
                  <c:v>11.5</c:v>
                </c:pt>
                <c:pt idx="15">
                  <c:v>11.5</c:v>
                </c:pt>
                <c:pt idx="16">
                  <c:v>11.5</c:v>
                </c:pt>
                <c:pt idx="17">
                  <c:v>11.5</c:v>
                </c:pt>
                <c:pt idx="18">
                  <c:v>11.5</c:v>
                </c:pt>
                <c:pt idx="19">
                  <c:v>11.5</c:v>
                </c:pt>
                <c:pt idx="20">
                  <c:v>11.5</c:v>
                </c:pt>
                <c:pt idx="21">
                  <c:v>11.5</c:v>
                </c:pt>
                <c:pt idx="22">
                  <c:v>11.5</c:v>
                </c:pt>
                <c:pt idx="23">
                  <c:v>13</c:v>
                </c:pt>
                <c:pt idx="24">
                  <c:v>13</c:v>
                </c:pt>
                <c:pt idx="25">
                  <c:v>14.2</c:v>
                </c:pt>
                <c:pt idx="26">
                  <c:v>14.2</c:v>
                </c:pt>
                <c:pt idx="27">
                  <c:v>15.8</c:v>
                </c:pt>
                <c:pt idx="28">
                  <c:v>15.8</c:v>
                </c:pt>
                <c:pt idx="29">
                  <c:v>17.45</c:v>
                </c:pt>
                <c:pt idx="30">
                  <c:v>18.3</c:v>
                </c:pt>
                <c:pt idx="31">
                  <c:v>19.43</c:v>
                </c:pt>
                <c:pt idx="32">
                  <c:v>19.43</c:v>
                </c:pt>
                <c:pt idx="33">
                  <c:v>19.43</c:v>
                </c:pt>
                <c:pt idx="34">
                  <c:v>21</c:v>
                </c:pt>
                <c:pt idx="35">
                  <c:v>21</c:v>
                </c:pt>
                <c:pt idx="36">
                  <c:v>21</c:v>
                </c:pt>
                <c:pt idx="37">
                  <c:v>23.2</c:v>
                </c:pt>
                <c:pt idx="38">
                  <c:v>23.7</c:v>
                </c:pt>
                <c:pt idx="39">
                  <c:v>24.6</c:v>
                </c:pt>
                <c:pt idx="40">
                  <c:v>26</c:v>
                </c:pt>
                <c:pt idx="41">
                  <c:v>26.8</c:v>
                </c:pt>
                <c:pt idx="42">
                  <c:v>28.1</c:v>
                </c:pt>
                <c:pt idx="43">
                  <c:v>29.4</c:v>
                </c:pt>
                <c:pt idx="44">
                  <c:v>29.8</c:v>
                </c:pt>
                <c:pt idx="45">
                  <c:v>31.4</c:v>
                </c:pt>
                <c:pt idx="46">
                  <c:v>33.1</c:v>
                </c:pt>
                <c:pt idx="47">
                  <c:v>33.9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8BE-4462-BB5A-A1EE4FD380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74304"/>
        <c:axId val="469273912"/>
      </c:scatterChart>
      <c:valAx>
        <c:axId val="469273128"/>
        <c:scaling>
          <c:orientation val="minMax"/>
          <c:max val="45880"/>
          <c:min val="45324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Date </a:t>
                </a:r>
              </a:p>
            </c:rich>
          </c:tx>
          <c:layout>
            <c:manualLayout>
              <c:xMode val="edge"/>
              <c:yMode val="edge"/>
              <c:x val="0.91516334573932423"/>
              <c:y val="0.874526087826465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dd/mm/yyyy" sourceLinked="0"/>
        <c:majorTickMark val="cross"/>
        <c:minorTickMark val="none"/>
        <c:tickLblPos val="low"/>
        <c:spPr>
          <a:noFill/>
          <a:ln>
            <a:solidFill>
              <a:srgbClr val="4F81BD">
                <a:lumMod val="100000"/>
              </a:srgbClr>
            </a:solidFill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69273520"/>
        <c:crossesAt val="0"/>
        <c:crossBetween val="midCat"/>
        <c:majorUnit val="14"/>
        <c:minorUnit val="0.2"/>
      </c:valAx>
      <c:valAx>
        <c:axId val="469273520"/>
        <c:scaling>
          <c:orientation val="minMax"/>
          <c:max val="35"/>
          <c:min val="-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Convergence [mm]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\+\ 0.0;\-\ 0.0;\±\ 0.0" sourceLinked="0"/>
        <c:majorTickMark val="cross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69273128"/>
        <c:crosses val="autoZero"/>
        <c:crossBetween val="midCat"/>
        <c:majorUnit val="10"/>
        <c:minorUnit val="1"/>
      </c:valAx>
      <c:valAx>
        <c:axId val="469273912"/>
        <c:scaling>
          <c:orientation val="minMax"/>
          <c:max val="60"/>
          <c:min val="-30"/>
        </c:scaling>
        <c:delete val="0"/>
        <c:axPos val="r"/>
        <c:numFmt formatCode="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69274304"/>
        <c:crosses val="max"/>
        <c:crossBetween val="midCat"/>
      </c:valAx>
      <c:valAx>
        <c:axId val="469274304"/>
        <c:scaling>
          <c:orientation val="minMax"/>
        </c:scaling>
        <c:delete val="1"/>
        <c:axPos val="b"/>
        <c:numFmt formatCode="dd\ /\ mm\ /\ yy" sourceLinked="1"/>
        <c:majorTickMark val="out"/>
        <c:minorTickMark val="none"/>
        <c:tickLblPos val="nextTo"/>
        <c:crossAx val="469273912"/>
        <c:crosses val="autoZero"/>
        <c:crossBetween val="midCat"/>
      </c:valAx>
      <c:spPr>
        <a:noFill/>
        <a:ln>
          <a:solidFill>
            <a:srgbClr val="4F81BD">
              <a:lumMod val="100000"/>
              <a:alpha val="99000"/>
            </a:srgbClr>
          </a:solidFill>
        </a:ln>
        <a:effectLst/>
      </c:spPr>
    </c:plotArea>
    <c:legend>
      <c:legendPos val="b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4912800849266597"/>
          <c:y val="0.69573061418880433"/>
          <c:w val="0.32474078769732978"/>
          <c:h val="9.993486197484864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0"/>
    <c:dispBlanksAs val="span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 alignWithMargins="0"/>
    <c:pageMargins b="0.98425196899999956" l="0.78740157499999996" r="0.78740157499999996" t="0.98425196899999956" header="0.49212598450000589" footer="0.49212598450000589"/>
    <c:pageSetup paperSize="9" orientation="landscape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Déplacement en Z</a:t>
            </a:r>
          </a:p>
        </c:rich>
      </c:tx>
      <c:layout>
        <c:manualLayout>
          <c:xMode val="edge"/>
          <c:yMode val="edge"/>
          <c:x val="0.43183990697711006"/>
          <c:y val="3.035259887873546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8.6758248843572708E-2"/>
          <c:y val="7.563240405760252E-2"/>
          <c:w val="0.81583642369330822"/>
          <c:h val="0.7252675510155826"/>
        </c:manualLayout>
      </c:layout>
      <c:scatterChart>
        <c:scatterStyle val="lineMarker"/>
        <c:varyColors val="0"/>
        <c:ser>
          <c:idx val="1"/>
          <c:order val="0"/>
          <c:tx>
            <c:strRef>
              <c:f>Déplacements!$K$9</c:f>
              <c:strCache>
                <c:ptCount val="1"/>
                <c:pt idx="0">
                  <c:v>DZ centre haut</c:v>
                </c:pt>
              </c:strCache>
            </c:strRef>
          </c:tx>
          <c:spPr>
            <a:ln w="15875" cap="rnd">
              <a:solidFill>
                <a:schemeClr val="accent2"/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tint val="50000"/>
                      <a:satMod val="300000"/>
                    </a:schemeClr>
                  </a:gs>
                  <a:gs pos="35000">
                    <a:schemeClr val="accent2">
                      <a:tint val="37000"/>
                      <a:satMod val="300000"/>
                    </a:schemeClr>
                  </a:gs>
                  <a:gs pos="100000">
                    <a:schemeClr val="accent2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marker>
          <c:xVal>
            <c:numRef>
              <c:f>Déplacements!$B$10:$B$155</c:f>
              <c:numCache>
                <c:formatCode>dd\ /\ mm\ /\ yy</c:formatCode>
                <c:ptCount val="146"/>
                <c:pt idx="0">
                  <c:v>45324</c:v>
                </c:pt>
                <c:pt idx="1">
                  <c:v>45327</c:v>
                </c:pt>
                <c:pt idx="2">
                  <c:v>45329</c:v>
                </c:pt>
                <c:pt idx="3">
                  <c:v>45331</c:v>
                </c:pt>
                <c:pt idx="4">
                  <c:v>45334</c:v>
                </c:pt>
                <c:pt idx="5">
                  <c:v>45335</c:v>
                </c:pt>
                <c:pt idx="6">
                  <c:v>45337</c:v>
                </c:pt>
                <c:pt idx="7">
                  <c:v>45338</c:v>
                </c:pt>
                <c:pt idx="8">
                  <c:v>45341</c:v>
                </c:pt>
                <c:pt idx="9">
                  <c:v>45343</c:v>
                </c:pt>
                <c:pt idx="10">
                  <c:v>45348</c:v>
                </c:pt>
                <c:pt idx="11">
                  <c:v>45350</c:v>
                </c:pt>
                <c:pt idx="12">
                  <c:v>45364</c:v>
                </c:pt>
                <c:pt idx="13">
                  <c:v>45390</c:v>
                </c:pt>
                <c:pt idx="14">
                  <c:v>45404</c:v>
                </c:pt>
                <c:pt idx="15">
                  <c:v>45411</c:v>
                </c:pt>
                <c:pt idx="16">
                  <c:v>45426</c:v>
                </c:pt>
                <c:pt idx="17">
                  <c:v>45453</c:v>
                </c:pt>
                <c:pt idx="18">
                  <c:v>45481</c:v>
                </c:pt>
                <c:pt idx="19">
                  <c:v>45544</c:v>
                </c:pt>
                <c:pt idx="20">
                  <c:v>45601</c:v>
                </c:pt>
                <c:pt idx="21">
                  <c:v>45671</c:v>
                </c:pt>
                <c:pt idx="22">
                  <c:v>45712</c:v>
                </c:pt>
                <c:pt idx="23">
                  <c:v>45722</c:v>
                </c:pt>
                <c:pt idx="24">
                  <c:v>45726</c:v>
                </c:pt>
                <c:pt idx="25">
                  <c:v>45730</c:v>
                </c:pt>
                <c:pt idx="26">
                  <c:v>45736</c:v>
                </c:pt>
                <c:pt idx="27">
                  <c:v>45744</c:v>
                </c:pt>
                <c:pt idx="28">
                  <c:v>45748</c:v>
                </c:pt>
                <c:pt idx="29">
                  <c:v>45751</c:v>
                </c:pt>
                <c:pt idx="30">
                  <c:v>45754</c:v>
                </c:pt>
                <c:pt idx="31">
                  <c:v>45756</c:v>
                </c:pt>
                <c:pt idx="32">
                  <c:v>45762</c:v>
                </c:pt>
                <c:pt idx="33">
                  <c:v>45769</c:v>
                </c:pt>
                <c:pt idx="34">
                  <c:v>45772</c:v>
                </c:pt>
                <c:pt idx="35">
                  <c:v>45775</c:v>
                </c:pt>
                <c:pt idx="36">
                  <c:v>45792</c:v>
                </c:pt>
                <c:pt idx="37">
                  <c:v>45798</c:v>
                </c:pt>
                <c:pt idx="38">
                  <c:v>45803</c:v>
                </c:pt>
                <c:pt idx="39">
                  <c:v>45810</c:v>
                </c:pt>
                <c:pt idx="40">
                  <c:v>45818</c:v>
                </c:pt>
                <c:pt idx="41">
                  <c:v>45824</c:v>
                </c:pt>
                <c:pt idx="42">
                  <c:v>45831</c:v>
                </c:pt>
                <c:pt idx="43">
                  <c:v>45839</c:v>
                </c:pt>
                <c:pt idx="44">
                  <c:v>45846</c:v>
                </c:pt>
                <c:pt idx="45">
                  <c:v>45853</c:v>
                </c:pt>
                <c:pt idx="46">
                  <c:v>45861</c:v>
                </c:pt>
                <c:pt idx="47">
                  <c:v>45867</c:v>
                </c:pt>
              </c:numCache>
            </c:numRef>
          </c:xVal>
          <c:yVal>
            <c:numRef>
              <c:f>Déplacements!$K$10:$K$155</c:f>
              <c:numCache>
                <c:formatCode>\+\ 0.0;\-\ 0.0;\±\ 0.0</c:formatCode>
                <c:ptCount val="146"/>
                <c:pt idx="0">
                  <c:v>0</c:v>
                </c:pt>
                <c:pt idx="1">
                  <c:v>5.0000000001659828E-2</c:v>
                </c:pt>
                <c:pt idx="2">
                  <c:v>0</c:v>
                </c:pt>
                <c:pt idx="3">
                  <c:v>-1.7500000000012506</c:v>
                </c:pt>
                <c:pt idx="4">
                  <c:v>-1.7500000000012506</c:v>
                </c:pt>
                <c:pt idx="5">
                  <c:v>-2.1749999999940428</c:v>
                </c:pt>
                <c:pt idx="6">
                  <c:v>-1.774999999994975</c:v>
                </c:pt>
                <c:pt idx="7">
                  <c:v>-1.7874999999918373</c:v>
                </c:pt>
                <c:pt idx="8">
                  <c:v>-1.949999999993679</c:v>
                </c:pt>
                <c:pt idx="9">
                  <c:v>-2.7499999999918145</c:v>
                </c:pt>
                <c:pt idx="10">
                  <c:v>-2.7499999999918145</c:v>
                </c:pt>
                <c:pt idx="11">
                  <c:v>-2.7499999999918145</c:v>
                </c:pt>
                <c:pt idx="12">
                  <c:v>-2.7499999999918145</c:v>
                </c:pt>
                <c:pt idx="13">
                  <c:v>-2.7499999999918145</c:v>
                </c:pt>
                <c:pt idx="14">
                  <c:v>-2.7499999999918145</c:v>
                </c:pt>
                <c:pt idx="15">
                  <c:v>-2.5499999999993861</c:v>
                </c:pt>
                <c:pt idx="16">
                  <c:v>-2.7499999999918145</c:v>
                </c:pt>
                <c:pt idx="17">
                  <c:v>-2.7499999999918145</c:v>
                </c:pt>
                <c:pt idx="18">
                  <c:v>-3.1499999999908823</c:v>
                </c:pt>
                <c:pt idx="19">
                  <c:v>-2.7499999999918145</c:v>
                </c:pt>
                <c:pt idx="20">
                  <c:v>-3.249999999994202</c:v>
                </c:pt>
                <c:pt idx="21">
                  <c:v>-4.2499999999989768</c:v>
                </c:pt>
                <c:pt idx="22">
                  <c:v>-4.0499999999923375</c:v>
                </c:pt>
                <c:pt idx="23">
                  <c:v>-4.3499999999880856</c:v>
                </c:pt>
                <c:pt idx="24">
                  <c:v>-4.6499999999980446</c:v>
                </c:pt>
                <c:pt idx="25">
                  <c:v>-5.0499999999971124</c:v>
                </c:pt>
                <c:pt idx="26">
                  <c:v>-5.4499999999961801</c:v>
                </c:pt>
                <c:pt idx="27">
                  <c:v>-7.8499999999905867</c:v>
                </c:pt>
                <c:pt idx="28">
                  <c:v>-8.8749999999890861</c:v>
                </c:pt>
                <c:pt idx="29">
                  <c:v>-9.7499999999968168</c:v>
                </c:pt>
                <c:pt idx="30">
                  <c:v>-10.349999999988313</c:v>
                </c:pt>
                <c:pt idx="31">
                  <c:v>-11.04999999999734</c:v>
                </c:pt>
                <c:pt idx="32">
                  <c:v>-11.349999999993088</c:v>
                </c:pt>
                <c:pt idx="33">
                  <c:v>-12.949999999989359</c:v>
                </c:pt>
                <c:pt idx="34">
                  <c:v>-12.949999999989359</c:v>
                </c:pt>
                <c:pt idx="35">
                  <c:v>-13.249999999999318</c:v>
                </c:pt>
                <c:pt idx="36">
                  <c:v>-14.64999999998895</c:v>
                </c:pt>
                <c:pt idx="37">
                  <c:v>-15.549999999990405</c:v>
                </c:pt>
                <c:pt idx="38">
                  <c:v>-15.649999999993724</c:v>
                </c:pt>
                <c:pt idx="39">
                  <c:v>-15.749999999997044</c:v>
                </c:pt>
                <c:pt idx="40">
                  <c:v>-16.749999999987608</c:v>
                </c:pt>
                <c:pt idx="41">
                  <c:v>-17.150000000000887</c:v>
                </c:pt>
                <c:pt idx="42">
                  <c:v>-17.749999999992383</c:v>
                </c:pt>
                <c:pt idx="43">
                  <c:v>-18.149999999991451</c:v>
                </c:pt>
                <c:pt idx="44">
                  <c:v>-19.249999999985334</c:v>
                </c:pt>
                <c:pt idx="45">
                  <c:v>-19.449999999991974</c:v>
                </c:pt>
                <c:pt idx="46">
                  <c:v>-20.049999999997681</c:v>
                </c:pt>
                <c:pt idx="47">
                  <c:v>-20.349999999993429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59-4A8A-AE36-09269BF6CAFF}"/>
            </c:ext>
          </c:extLst>
        </c:ser>
        <c:ser>
          <c:idx val="3"/>
          <c:order val="1"/>
          <c:tx>
            <c:strRef>
              <c:f>Déplacements!$H$9</c:f>
              <c:strCache>
                <c:ptCount val="1"/>
                <c:pt idx="0">
                  <c:v>DZ haut gauche</c:v>
                </c:pt>
              </c:strCache>
            </c:strRef>
          </c:tx>
          <c:spPr>
            <a:ln w="15875" cap="rnd">
              <a:solidFill>
                <a:schemeClr val="accent4"/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marker>
          <c:xVal>
            <c:numRef>
              <c:f>Déplacements!$B$10:$B$155</c:f>
              <c:numCache>
                <c:formatCode>dd\ /\ mm\ /\ yy</c:formatCode>
                <c:ptCount val="146"/>
                <c:pt idx="0">
                  <c:v>45324</c:v>
                </c:pt>
                <c:pt idx="1">
                  <c:v>45327</c:v>
                </c:pt>
                <c:pt idx="2">
                  <c:v>45329</c:v>
                </c:pt>
                <c:pt idx="3">
                  <c:v>45331</c:v>
                </c:pt>
                <c:pt idx="4">
                  <c:v>45334</c:v>
                </c:pt>
                <c:pt idx="5">
                  <c:v>45335</c:v>
                </c:pt>
                <c:pt idx="6">
                  <c:v>45337</c:v>
                </c:pt>
                <c:pt idx="7">
                  <c:v>45338</c:v>
                </c:pt>
                <c:pt idx="8">
                  <c:v>45341</c:v>
                </c:pt>
                <c:pt idx="9">
                  <c:v>45343</c:v>
                </c:pt>
                <c:pt idx="10">
                  <c:v>45348</c:v>
                </c:pt>
                <c:pt idx="11">
                  <c:v>45350</c:v>
                </c:pt>
                <c:pt idx="12">
                  <c:v>45364</c:v>
                </c:pt>
                <c:pt idx="13">
                  <c:v>45390</c:v>
                </c:pt>
                <c:pt idx="14">
                  <c:v>45404</c:v>
                </c:pt>
                <c:pt idx="15">
                  <c:v>45411</c:v>
                </c:pt>
                <c:pt idx="16">
                  <c:v>45426</c:v>
                </c:pt>
                <c:pt idx="17">
                  <c:v>45453</c:v>
                </c:pt>
                <c:pt idx="18">
                  <c:v>45481</c:v>
                </c:pt>
                <c:pt idx="19">
                  <c:v>45544</c:v>
                </c:pt>
                <c:pt idx="20">
                  <c:v>45601</c:v>
                </c:pt>
                <c:pt idx="21">
                  <c:v>45671</c:v>
                </c:pt>
                <c:pt idx="22">
                  <c:v>45712</c:v>
                </c:pt>
                <c:pt idx="23">
                  <c:v>45722</c:v>
                </c:pt>
                <c:pt idx="24">
                  <c:v>45726</c:v>
                </c:pt>
                <c:pt idx="25">
                  <c:v>45730</c:v>
                </c:pt>
                <c:pt idx="26">
                  <c:v>45736</c:v>
                </c:pt>
                <c:pt idx="27">
                  <c:v>45744</c:v>
                </c:pt>
                <c:pt idx="28">
                  <c:v>45748</c:v>
                </c:pt>
                <c:pt idx="29">
                  <c:v>45751</c:v>
                </c:pt>
                <c:pt idx="30">
                  <c:v>45754</c:v>
                </c:pt>
                <c:pt idx="31">
                  <c:v>45756</c:v>
                </c:pt>
                <c:pt idx="32">
                  <c:v>45762</c:v>
                </c:pt>
                <c:pt idx="33">
                  <c:v>45769</c:v>
                </c:pt>
                <c:pt idx="34">
                  <c:v>45772</c:v>
                </c:pt>
                <c:pt idx="35">
                  <c:v>45775</c:v>
                </c:pt>
                <c:pt idx="36">
                  <c:v>45792</c:v>
                </c:pt>
                <c:pt idx="37">
                  <c:v>45798</c:v>
                </c:pt>
                <c:pt idx="38">
                  <c:v>45803</c:v>
                </c:pt>
                <c:pt idx="39">
                  <c:v>45810</c:v>
                </c:pt>
                <c:pt idx="40">
                  <c:v>45818</c:v>
                </c:pt>
                <c:pt idx="41">
                  <c:v>45824</c:v>
                </c:pt>
                <c:pt idx="42">
                  <c:v>45831</c:v>
                </c:pt>
                <c:pt idx="43">
                  <c:v>45839</c:v>
                </c:pt>
                <c:pt idx="44">
                  <c:v>45846</c:v>
                </c:pt>
                <c:pt idx="45">
                  <c:v>45853</c:v>
                </c:pt>
                <c:pt idx="46">
                  <c:v>45861</c:v>
                </c:pt>
                <c:pt idx="47">
                  <c:v>45867</c:v>
                </c:pt>
              </c:numCache>
            </c:numRef>
          </c:xVal>
          <c:yVal>
            <c:numRef>
              <c:f>Déplacements!$H$10:$H$155</c:f>
              <c:numCache>
                <c:formatCode>\+\ 0.0;\-\ 0.0;\±\ 0.0</c:formatCode>
                <c:ptCount val="146"/>
                <c:pt idx="0">
                  <c:v>0</c:v>
                </c:pt>
                <c:pt idx="1">
                  <c:v>0.39999999999906777</c:v>
                </c:pt>
                <c:pt idx="2">
                  <c:v>0</c:v>
                </c:pt>
                <c:pt idx="3">
                  <c:v>-0.95000000000311502</c:v>
                </c:pt>
                <c:pt idx="4">
                  <c:v>-0.50000000000238742</c:v>
                </c:pt>
                <c:pt idx="5">
                  <c:v>-0.72499999998854037</c:v>
                </c:pt>
                <c:pt idx="6">
                  <c:v>-0.44999999998651674</c:v>
                </c:pt>
                <c:pt idx="7">
                  <c:v>-0.29999999998153726</c:v>
                </c:pt>
                <c:pt idx="8">
                  <c:v>-1.0999999999938836</c:v>
                </c:pt>
                <c:pt idx="9">
                  <c:v>-1.5000000000071623</c:v>
                </c:pt>
                <c:pt idx="10">
                  <c:v>-1.5000000000071623</c:v>
                </c:pt>
                <c:pt idx="11">
                  <c:v>-1.5000000000071623</c:v>
                </c:pt>
                <c:pt idx="12">
                  <c:v>-1.5000000000071623</c:v>
                </c:pt>
                <c:pt idx="13">
                  <c:v>-1.5000000000071623</c:v>
                </c:pt>
                <c:pt idx="14">
                  <c:v>-1.300000000000523</c:v>
                </c:pt>
                <c:pt idx="15">
                  <c:v>-1.1999999999972033</c:v>
                </c:pt>
                <c:pt idx="16">
                  <c:v>-1.300000000000523</c:v>
                </c:pt>
                <c:pt idx="17">
                  <c:v>-1.4666666666585115</c:v>
                </c:pt>
                <c:pt idx="18">
                  <c:v>-1.5999999999962711</c:v>
                </c:pt>
                <c:pt idx="19">
                  <c:v>-1.5000000000071623</c:v>
                </c:pt>
                <c:pt idx="20">
                  <c:v>-2.0000000000095497</c:v>
                </c:pt>
                <c:pt idx="21">
                  <c:v>-2.3999999999944066</c:v>
                </c:pt>
                <c:pt idx="22">
                  <c:v>-2.2000000000019782</c:v>
                </c:pt>
                <c:pt idx="24">
                  <c:v>-2.7000000000043656</c:v>
                </c:pt>
                <c:pt idx="25">
                  <c:v>-2.7999999999934744</c:v>
                </c:pt>
                <c:pt idx="26">
                  <c:v>-2.899999999996794</c:v>
                </c:pt>
                <c:pt idx="27">
                  <c:v>-3.2999999999958618</c:v>
                </c:pt>
                <c:pt idx="28">
                  <c:v>-3.140000000001919</c:v>
                </c:pt>
                <c:pt idx="29">
                  <c:v>-2.7999999999934744</c:v>
                </c:pt>
                <c:pt idx="30">
                  <c:v>-3.2999999999958618</c:v>
                </c:pt>
                <c:pt idx="32">
                  <c:v>-3.1000000000034333</c:v>
                </c:pt>
                <c:pt idx="33">
                  <c:v>-3.3999999999991815</c:v>
                </c:pt>
                <c:pt idx="34">
                  <c:v>-3.2999999999958618</c:v>
                </c:pt>
                <c:pt idx="35">
                  <c:v>-3.1000000000034333</c:v>
                </c:pt>
                <c:pt idx="36">
                  <c:v>-3.5000000000025011</c:v>
                </c:pt>
                <c:pt idx="37">
                  <c:v>-3.7999999999982492</c:v>
                </c:pt>
                <c:pt idx="38">
                  <c:v>-3.6000000000058208</c:v>
                </c:pt>
                <c:pt idx="39">
                  <c:v>-3.1999999999925421</c:v>
                </c:pt>
                <c:pt idx="40">
                  <c:v>-3.3999999999991815</c:v>
                </c:pt>
                <c:pt idx="41">
                  <c:v>-3.9000000000015689</c:v>
                </c:pt>
                <c:pt idx="42">
                  <c:v>-3.6999999999949296</c:v>
                </c:pt>
                <c:pt idx="43">
                  <c:v>-4.0000000000048885</c:v>
                </c:pt>
                <c:pt idx="44">
                  <c:v>-4.3000000000006366</c:v>
                </c:pt>
                <c:pt idx="45">
                  <c:v>-3.6999999999949296</c:v>
                </c:pt>
                <c:pt idx="46">
                  <c:v>-4.0000000000048885</c:v>
                </c:pt>
                <c:pt idx="47">
                  <c:v>-3.7999999999982492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359-4A8A-AE36-09269BF6CAFF}"/>
            </c:ext>
          </c:extLst>
        </c:ser>
        <c:ser>
          <c:idx val="4"/>
          <c:order val="2"/>
          <c:tx>
            <c:strRef>
              <c:f>Déplacements!$N$9</c:f>
              <c:strCache>
                <c:ptCount val="1"/>
                <c:pt idx="0">
                  <c:v>DZ haut droit</c:v>
                </c:pt>
              </c:strCache>
            </c:strRef>
          </c:tx>
          <c:spPr>
            <a:ln w="15875" cap="rnd">
              <a:solidFill>
                <a:schemeClr val="accent5"/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5">
                      <a:tint val="50000"/>
                      <a:satMod val="300000"/>
                    </a:schemeClr>
                  </a:gs>
                  <a:gs pos="35000">
                    <a:schemeClr val="accent5">
                      <a:tint val="37000"/>
                      <a:satMod val="300000"/>
                    </a:schemeClr>
                  </a:gs>
                  <a:gs pos="100000">
                    <a:schemeClr val="accent5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marker>
          <c:xVal>
            <c:numRef>
              <c:f>Déplacements!$B$10:$B$155</c:f>
              <c:numCache>
                <c:formatCode>dd\ /\ mm\ /\ yy</c:formatCode>
                <c:ptCount val="146"/>
                <c:pt idx="0">
                  <c:v>45324</c:v>
                </c:pt>
                <c:pt idx="1">
                  <c:v>45327</c:v>
                </c:pt>
                <c:pt idx="2">
                  <c:v>45329</c:v>
                </c:pt>
                <c:pt idx="3">
                  <c:v>45331</c:v>
                </c:pt>
                <c:pt idx="4">
                  <c:v>45334</c:v>
                </c:pt>
                <c:pt idx="5">
                  <c:v>45335</c:v>
                </c:pt>
                <c:pt idx="6">
                  <c:v>45337</c:v>
                </c:pt>
                <c:pt idx="7">
                  <c:v>45338</c:v>
                </c:pt>
                <c:pt idx="8">
                  <c:v>45341</c:v>
                </c:pt>
                <c:pt idx="9">
                  <c:v>45343</c:v>
                </c:pt>
                <c:pt idx="10">
                  <c:v>45348</c:v>
                </c:pt>
                <c:pt idx="11">
                  <c:v>45350</c:v>
                </c:pt>
                <c:pt idx="12">
                  <c:v>45364</c:v>
                </c:pt>
                <c:pt idx="13">
                  <c:v>45390</c:v>
                </c:pt>
                <c:pt idx="14">
                  <c:v>45404</c:v>
                </c:pt>
                <c:pt idx="15">
                  <c:v>45411</c:v>
                </c:pt>
                <c:pt idx="16">
                  <c:v>45426</c:v>
                </c:pt>
                <c:pt idx="17">
                  <c:v>45453</c:v>
                </c:pt>
                <c:pt idx="18">
                  <c:v>45481</c:v>
                </c:pt>
                <c:pt idx="19">
                  <c:v>45544</c:v>
                </c:pt>
                <c:pt idx="20">
                  <c:v>45601</c:v>
                </c:pt>
                <c:pt idx="21">
                  <c:v>45671</c:v>
                </c:pt>
                <c:pt idx="22">
                  <c:v>45712</c:v>
                </c:pt>
                <c:pt idx="23">
                  <c:v>45722</c:v>
                </c:pt>
                <c:pt idx="24">
                  <c:v>45726</c:v>
                </c:pt>
                <c:pt idx="25">
                  <c:v>45730</c:v>
                </c:pt>
                <c:pt idx="26">
                  <c:v>45736</c:v>
                </c:pt>
                <c:pt idx="27">
                  <c:v>45744</c:v>
                </c:pt>
                <c:pt idx="28">
                  <c:v>45748</c:v>
                </c:pt>
                <c:pt idx="29">
                  <c:v>45751</c:v>
                </c:pt>
                <c:pt idx="30">
                  <c:v>45754</c:v>
                </c:pt>
                <c:pt idx="31">
                  <c:v>45756</c:v>
                </c:pt>
                <c:pt idx="32">
                  <c:v>45762</c:v>
                </c:pt>
                <c:pt idx="33">
                  <c:v>45769</c:v>
                </c:pt>
                <c:pt idx="34">
                  <c:v>45772</c:v>
                </c:pt>
                <c:pt idx="35">
                  <c:v>45775</c:v>
                </c:pt>
                <c:pt idx="36">
                  <c:v>45792</c:v>
                </c:pt>
                <c:pt idx="37">
                  <c:v>45798</c:v>
                </c:pt>
                <c:pt idx="38">
                  <c:v>45803</c:v>
                </c:pt>
                <c:pt idx="39">
                  <c:v>45810</c:v>
                </c:pt>
                <c:pt idx="40">
                  <c:v>45818</c:v>
                </c:pt>
                <c:pt idx="41">
                  <c:v>45824</c:v>
                </c:pt>
                <c:pt idx="42">
                  <c:v>45831</c:v>
                </c:pt>
                <c:pt idx="43">
                  <c:v>45839</c:v>
                </c:pt>
                <c:pt idx="44">
                  <c:v>45846</c:v>
                </c:pt>
                <c:pt idx="45">
                  <c:v>45853</c:v>
                </c:pt>
                <c:pt idx="46">
                  <c:v>45861</c:v>
                </c:pt>
                <c:pt idx="47">
                  <c:v>45867</c:v>
                </c:pt>
              </c:numCache>
            </c:numRef>
          </c:xVal>
          <c:yVal>
            <c:numRef>
              <c:f>Déplacements!$N$10:$N$155</c:f>
              <c:numCache>
                <c:formatCode>\+\ 0.0;\-\ 0.0;\±\ 0.0</c:formatCode>
                <c:ptCount val="146"/>
                <c:pt idx="0">
                  <c:v>0</c:v>
                </c:pt>
                <c:pt idx="1">
                  <c:v>9.9999999989108801E-2</c:v>
                </c:pt>
                <c:pt idx="2">
                  <c:v>0</c:v>
                </c:pt>
                <c:pt idx="3">
                  <c:v>-3.1500000000050932</c:v>
                </c:pt>
                <c:pt idx="4">
                  <c:v>-3.3000000000100727</c:v>
                </c:pt>
                <c:pt idx="5">
                  <c:v>-4.0500000000065484</c:v>
                </c:pt>
                <c:pt idx="6">
                  <c:v>-3.6750000000154159</c:v>
                </c:pt>
                <c:pt idx="8">
                  <c:v>-3.6750000000154159</c:v>
                </c:pt>
                <c:pt idx="9">
                  <c:v>-4.6750000000201908</c:v>
                </c:pt>
                <c:pt idx="10">
                  <c:v>-4.6750000000201908</c:v>
                </c:pt>
                <c:pt idx="11">
                  <c:v>-4.6750000000201908</c:v>
                </c:pt>
                <c:pt idx="12">
                  <c:v>-4.6750000000201908</c:v>
                </c:pt>
                <c:pt idx="13">
                  <c:v>-4.6750000000201908</c:v>
                </c:pt>
                <c:pt idx="14">
                  <c:v>-5.3750000000292175</c:v>
                </c:pt>
                <c:pt idx="15">
                  <c:v>-4.8750000000268301</c:v>
                </c:pt>
                <c:pt idx="16">
                  <c:v>-5.3750000000292175</c:v>
                </c:pt>
                <c:pt idx="17">
                  <c:v>-5.4750000000183263</c:v>
                </c:pt>
                <c:pt idx="18">
                  <c:v>-5.9750000000207137</c:v>
                </c:pt>
                <c:pt idx="19">
                  <c:v>-5.3250000000133468</c:v>
                </c:pt>
                <c:pt idx="20">
                  <c:v>-5.7750000000282853</c:v>
                </c:pt>
                <c:pt idx="21">
                  <c:v>-7.175000000017917</c:v>
                </c:pt>
                <c:pt idx="22">
                  <c:v>-7.175000000017917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359-4A8A-AE36-09269BF6CAFF}"/>
            </c:ext>
          </c:extLst>
        </c:ser>
        <c:ser>
          <c:idx val="5"/>
          <c:order val="3"/>
          <c:tx>
            <c:strRef>
              <c:f>Déplacements!$E$9</c:f>
              <c:strCache>
                <c:ptCount val="1"/>
                <c:pt idx="0">
                  <c:v>DZ bas gauche</c:v>
                </c:pt>
              </c:strCache>
            </c:strRef>
          </c:tx>
          <c:spPr>
            <a:ln w="15875" cap="rnd">
              <a:solidFill>
                <a:schemeClr val="accent6"/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6">
                      <a:tint val="50000"/>
                      <a:satMod val="300000"/>
                    </a:schemeClr>
                  </a:gs>
                  <a:gs pos="35000">
                    <a:schemeClr val="accent6">
                      <a:tint val="37000"/>
                      <a:satMod val="300000"/>
                    </a:schemeClr>
                  </a:gs>
                  <a:gs pos="100000">
                    <a:schemeClr val="accent6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6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marker>
          <c:xVal>
            <c:numRef>
              <c:f>Déplacements!$B$10:$B$133</c:f>
              <c:numCache>
                <c:formatCode>dd\ /\ mm\ /\ yy</c:formatCode>
                <c:ptCount val="124"/>
                <c:pt idx="0">
                  <c:v>45324</c:v>
                </c:pt>
                <c:pt idx="1">
                  <c:v>45327</c:v>
                </c:pt>
                <c:pt idx="2">
                  <c:v>45329</c:v>
                </c:pt>
                <c:pt idx="3">
                  <c:v>45331</c:v>
                </c:pt>
                <c:pt idx="4">
                  <c:v>45334</c:v>
                </c:pt>
                <c:pt idx="5">
                  <c:v>45335</c:v>
                </c:pt>
                <c:pt idx="6">
                  <c:v>45337</c:v>
                </c:pt>
                <c:pt idx="7">
                  <c:v>45338</c:v>
                </c:pt>
                <c:pt idx="8">
                  <c:v>45341</c:v>
                </c:pt>
                <c:pt idx="9">
                  <c:v>45343</c:v>
                </c:pt>
                <c:pt idx="10">
                  <c:v>45348</c:v>
                </c:pt>
                <c:pt idx="11">
                  <c:v>45350</c:v>
                </c:pt>
                <c:pt idx="12">
                  <c:v>45364</c:v>
                </c:pt>
                <c:pt idx="13">
                  <c:v>45390</c:v>
                </c:pt>
                <c:pt idx="14">
                  <c:v>45404</c:v>
                </c:pt>
                <c:pt idx="15">
                  <c:v>45411</c:v>
                </c:pt>
                <c:pt idx="16">
                  <c:v>45426</c:v>
                </c:pt>
                <c:pt idx="17">
                  <c:v>45453</c:v>
                </c:pt>
                <c:pt idx="18">
                  <c:v>45481</c:v>
                </c:pt>
                <c:pt idx="19">
                  <c:v>45544</c:v>
                </c:pt>
                <c:pt idx="20">
                  <c:v>45601</c:v>
                </c:pt>
                <c:pt idx="21">
                  <c:v>45671</c:v>
                </c:pt>
                <c:pt idx="22">
                  <c:v>45712</c:v>
                </c:pt>
                <c:pt idx="23">
                  <c:v>45722</c:v>
                </c:pt>
                <c:pt idx="24">
                  <c:v>45726</c:v>
                </c:pt>
                <c:pt idx="25">
                  <c:v>45730</c:v>
                </c:pt>
                <c:pt idx="26">
                  <c:v>45736</c:v>
                </c:pt>
                <c:pt idx="27">
                  <c:v>45744</c:v>
                </c:pt>
                <c:pt idx="28">
                  <c:v>45748</c:v>
                </c:pt>
                <c:pt idx="29">
                  <c:v>45751</c:v>
                </c:pt>
                <c:pt idx="30">
                  <c:v>45754</c:v>
                </c:pt>
                <c:pt idx="31">
                  <c:v>45756</c:v>
                </c:pt>
                <c:pt idx="32">
                  <c:v>45762</c:v>
                </c:pt>
                <c:pt idx="33">
                  <c:v>45769</c:v>
                </c:pt>
                <c:pt idx="34">
                  <c:v>45772</c:v>
                </c:pt>
                <c:pt idx="35">
                  <c:v>45775</c:v>
                </c:pt>
                <c:pt idx="36">
                  <c:v>45792</c:v>
                </c:pt>
                <c:pt idx="37">
                  <c:v>45798</c:v>
                </c:pt>
                <c:pt idx="38">
                  <c:v>45803</c:v>
                </c:pt>
                <c:pt idx="39">
                  <c:v>45810</c:v>
                </c:pt>
                <c:pt idx="40">
                  <c:v>45818</c:v>
                </c:pt>
                <c:pt idx="41">
                  <c:v>45824</c:v>
                </c:pt>
                <c:pt idx="42">
                  <c:v>45831</c:v>
                </c:pt>
                <c:pt idx="43">
                  <c:v>45839</c:v>
                </c:pt>
                <c:pt idx="44">
                  <c:v>45846</c:v>
                </c:pt>
                <c:pt idx="45">
                  <c:v>45853</c:v>
                </c:pt>
                <c:pt idx="46">
                  <c:v>45861</c:v>
                </c:pt>
                <c:pt idx="47">
                  <c:v>45867</c:v>
                </c:pt>
              </c:numCache>
            </c:numRef>
          </c:xVal>
          <c:yVal>
            <c:numRef>
              <c:f>Déplacements!$E$10:$E$133</c:f>
              <c:numCache>
                <c:formatCode>\+\ 0.0;\-\ 0.0;\±\ 0.0</c:formatCode>
                <c:ptCount val="124"/>
                <c:pt idx="0">
                  <c:v>0</c:v>
                </c:pt>
                <c:pt idx="1">
                  <c:v>0.79999999999813554</c:v>
                </c:pt>
                <c:pt idx="2">
                  <c:v>0</c:v>
                </c:pt>
                <c:pt idx="3">
                  <c:v>0.20000000000663931</c:v>
                </c:pt>
                <c:pt idx="4">
                  <c:v>0.70000000000902673</c:v>
                </c:pt>
                <c:pt idx="5">
                  <c:v>0.50000000000238742</c:v>
                </c:pt>
                <c:pt idx="6">
                  <c:v>0.58000000001356966</c:v>
                </c:pt>
                <c:pt idx="7">
                  <c:v>0.40250000000696673</c:v>
                </c:pt>
                <c:pt idx="8">
                  <c:v>-9.9999999989108801E-2</c:v>
                </c:pt>
                <c:pt idx="9">
                  <c:v>-0.29999999999574811</c:v>
                </c:pt>
                <c:pt idx="10">
                  <c:v>-0.29999999999574811</c:v>
                </c:pt>
                <c:pt idx="11">
                  <c:v>-0.29999999999574811</c:v>
                </c:pt>
                <c:pt idx="12">
                  <c:v>-0.29999999999574811</c:v>
                </c:pt>
                <c:pt idx="13">
                  <c:v>-0.29999999999574811</c:v>
                </c:pt>
                <c:pt idx="14">
                  <c:v>0.70000000000902673</c:v>
                </c:pt>
                <c:pt idx="15">
                  <c:v>0.90000000000145519</c:v>
                </c:pt>
                <c:pt idx="16">
                  <c:v>0.70000000000902673</c:v>
                </c:pt>
                <c:pt idx="17">
                  <c:v>0.85000000001400622</c:v>
                </c:pt>
                <c:pt idx="18">
                  <c:v>0.29999999999574811</c:v>
                </c:pt>
                <c:pt idx="19">
                  <c:v>-0.29999999999574811</c:v>
                </c:pt>
                <c:pt idx="20">
                  <c:v>0</c:v>
                </c:pt>
                <c:pt idx="21">
                  <c:v>0.79999999999813554</c:v>
                </c:pt>
                <c:pt idx="22">
                  <c:v>0.79999999999813554</c:v>
                </c:pt>
                <c:pt idx="23">
                  <c:v>1.4000000000038426</c:v>
                </c:pt>
                <c:pt idx="24">
                  <c:v>1.1000000000080945</c:v>
                </c:pt>
                <c:pt idx="25">
                  <c:v>0.60000000000570708</c:v>
                </c:pt>
                <c:pt idx="26">
                  <c:v>0.79999999999813554</c:v>
                </c:pt>
                <c:pt idx="27">
                  <c:v>0.20000000000663931</c:v>
                </c:pt>
                <c:pt idx="28">
                  <c:v>0.55000000000404725</c:v>
                </c:pt>
                <c:pt idx="29">
                  <c:v>0.50000000000238742</c:v>
                </c:pt>
                <c:pt idx="30">
                  <c:v>0.50000000000238742</c:v>
                </c:pt>
                <c:pt idx="31">
                  <c:v>0.60000000000570708</c:v>
                </c:pt>
                <c:pt idx="32">
                  <c:v>0.39999999999906777</c:v>
                </c:pt>
                <c:pt idx="33">
                  <c:v>0.50000000000238742</c:v>
                </c:pt>
                <c:pt idx="34">
                  <c:v>0.50000000000238742</c:v>
                </c:pt>
                <c:pt idx="35">
                  <c:v>0.79999999999813554</c:v>
                </c:pt>
                <c:pt idx="36">
                  <c:v>0.29999999999574811</c:v>
                </c:pt>
                <c:pt idx="37">
                  <c:v>-0.19999999999242846</c:v>
                </c:pt>
                <c:pt idx="38">
                  <c:v>0.50000000000238742</c:v>
                </c:pt>
                <c:pt idx="39">
                  <c:v>0.79999999999813554</c:v>
                </c:pt>
                <c:pt idx="40">
                  <c:v>0.50000000000238742</c:v>
                </c:pt>
                <c:pt idx="41">
                  <c:v>0.10000000000331966</c:v>
                </c:pt>
                <c:pt idx="42">
                  <c:v>0.29999999999574811</c:v>
                </c:pt>
                <c:pt idx="43">
                  <c:v>0</c:v>
                </c:pt>
                <c:pt idx="44">
                  <c:v>0.20000000000663931</c:v>
                </c:pt>
                <c:pt idx="45">
                  <c:v>0.40000000001327862</c:v>
                </c:pt>
                <c:pt idx="46">
                  <c:v>0.60000000000570708</c:v>
                </c:pt>
                <c:pt idx="47">
                  <c:v>0.60000000000570708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9359-4A8A-AE36-09269BF6CAFF}"/>
            </c:ext>
          </c:extLst>
        </c:ser>
        <c:ser>
          <c:idx val="6"/>
          <c:order val="4"/>
          <c:tx>
            <c:strRef>
              <c:f>Déplacements!$Q$9</c:f>
              <c:strCache>
                <c:ptCount val="1"/>
                <c:pt idx="0">
                  <c:v>DZ bas droit</c:v>
                </c:pt>
              </c:strCache>
            </c:strRef>
          </c:tx>
          <c:spPr>
            <a:ln w="15875" cap="rnd">
              <a:solidFill>
                <a:schemeClr val="accent1">
                  <a:lumMod val="60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lumMod val="60000"/>
                      <a:tint val="50000"/>
                      <a:satMod val="300000"/>
                    </a:schemeClr>
                  </a:gs>
                  <a:gs pos="35000">
                    <a:schemeClr val="accent1">
                      <a:lumMod val="60000"/>
                      <a:tint val="37000"/>
                      <a:satMod val="300000"/>
                    </a:schemeClr>
                  </a:gs>
                  <a:gs pos="100000">
                    <a:schemeClr val="accent1">
                      <a:lumMod val="60000"/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lumMod val="60000"/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marker>
          <c:xVal>
            <c:numRef>
              <c:f>Déplacements!$B$10:$B$155</c:f>
              <c:numCache>
                <c:formatCode>dd\ /\ mm\ /\ yy</c:formatCode>
                <c:ptCount val="146"/>
                <c:pt idx="0">
                  <c:v>45324</c:v>
                </c:pt>
                <c:pt idx="1">
                  <c:v>45327</c:v>
                </c:pt>
                <c:pt idx="2">
                  <c:v>45329</c:v>
                </c:pt>
                <c:pt idx="3">
                  <c:v>45331</c:v>
                </c:pt>
                <c:pt idx="4">
                  <c:v>45334</c:v>
                </c:pt>
                <c:pt idx="5">
                  <c:v>45335</c:v>
                </c:pt>
                <c:pt idx="6">
                  <c:v>45337</c:v>
                </c:pt>
                <c:pt idx="7">
                  <c:v>45338</c:v>
                </c:pt>
                <c:pt idx="8">
                  <c:v>45341</c:v>
                </c:pt>
                <c:pt idx="9">
                  <c:v>45343</c:v>
                </c:pt>
                <c:pt idx="10">
                  <c:v>45348</c:v>
                </c:pt>
                <c:pt idx="11">
                  <c:v>45350</c:v>
                </c:pt>
                <c:pt idx="12">
                  <c:v>45364</c:v>
                </c:pt>
                <c:pt idx="13">
                  <c:v>45390</c:v>
                </c:pt>
                <c:pt idx="14">
                  <c:v>45404</c:v>
                </c:pt>
                <c:pt idx="15">
                  <c:v>45411</c:v>
                </c:pt>
                <c:pt idx="16">
                  <c:v>45426</c:v>
                </c:pt>
                <c:pt idx="17">
                  <c:v>45453</c:v>
                </c:pt>
                <c:pt idx="18">
                  <c:v>45481</c:v>
                </c:pt>
                <c:pt idx="19">
                  <c:v>45544</c:v>
                </c:pt>
                <c:pt idx="20">
                  <c:v>45601</c:v>
                </c:pt>
                <c:pt idx="21">
                  <c:v>45671</c:v>
                </c:pt>
                <c:pt idx="22">
                  <c:v>45712</c:v>
                </c:pt>
                <c:pt idx="23">
                  <c:v>45722</c:v>
                </c:pt>
                <c:pt idx="24">
                  <c:v>45726</c:v>
                </c:pt>
                <c:pt idx="25">
                  <c:v>45730</c:v>
                </c:pt>
                <c:pt idx="26">
                  <c:v>45736</c:v>
                </c:pt>
                <c:pt idx="27">
                  <c:v>45744</c:v>
                </c:pt>
                <c:pt idx="28">
                  <c:v>45748</c:v>
                </c:pt>
                <c:pt idx="29">
                  <c:v>45751</c:v>
                </c:pt>
                <c:pt idx="30">
                  <c:v>45754</c:v>
                </c:pt>
                <c:pt idx="31">
                  <c:v>45756</c:v>
                </c:pt>
                <c:pt idx="32">
                  <c:v>45762</c:v>
                </c:pt>
                <c:pt idx="33">
                  <c:v>45769</c:v>
                </c:pt>
                <c:pt idx="34">
                  <c:v>45772</c:v>
                </c:pt>
                <c:pt idx="35">
                  <c:v>45775</c:v>
                </c:pt>
                <c:pt idx="36">
                  <c:v>45792</c:v>
                </c:pt>
                <c:pt idx="37">
                  <c:v>45798</c:v>
                </c:pt>
                <c:pt idx="38">
                  <c:v>45803</c:v>
                </c:pt>
                <c:pt idx="39">
                  <c:v>45810</c:v>
                </c:pt>
                <c:pt idx="40">
                  <c:v>45818</c:v>
                </c:pt>
                <c:pt idx="41">
                  <c:v>45824</c:v>
                </c:pt>
                <c:pt idx="42">
                  <c:v>45831</c:v>
                </c:pt>
                <c:pt idx="43">
                  <c:v>45839</c:v>
                </c:pt>
                <c:pt idx="44">
                  <c:v>45846</c:v>
                </c:pt>
                <c:pt idx="45">
                  <c:v>45853</c:v>
                </c:pt>
                <c:pt idx="46">
                  <c:v>45861</c:v>
                </c:pt>
                <c:pt idx="47">
                  <c:v>45867</c:v>
                </c:pt>
              </c:numCache>
            </c:numRef>
          </c:xVal>
          <c:yVal>
            <c:numRef>
              <c:f>Déplacements!$Q$10:$Q$155</c:f>
              <c:numCache>
                <c:formatCode>\+\ 0.0;\-\ 0.0;\±\ 0.0</c:formatCode>
                <c:ptCount val="146"/>
                <c:pt idx="0">
                  <c:v>0</c:v>
                </c:pt>
                <c:pt idx="1">
                  <c:v>1.4499999999912916</c:v>
                </c:pt>
                <c:pt idx="2">
                  <c:v>0</c:v>
                </c:pt>
                <c:pt idx="3">
                  <c:v>1.3499999999879719</c:v>
                </c:pt>
                <c:pt idx="4">
                  <c:v>2.1999999999877673</c:v>
                </c:pt>
                <c:pt idx="5">
                  <c:v>2.174999999979832</c:v>
                </c:pt>
                <c:pt idx="6">
                  <c:v>1.8199999999808369</c:v>
                </c:pt>
                <c:pt idx="7">
                  <c:v>1.9349999999889178</c:v>
                </c:pt>
                <c:pt idx="8">
                  <c:v>1.5999999999962711</c:v>
                </c:pt>
                <c:pt idx="9">
                  <c:v>0.99999999999056399</c:v>
                </c:pt>
                <c:pt idx="10">
                  <c:v>0.99999999999056399</c:v>
                </c:pt>
                <c:pt idx="11">
                  <c:v>0.99999999999056399</c:v>
                </c:pt>
                <c:pt idx="12">
                  <c:v>0.99999999999056399</c:v>
                </c:pt>
                <c:pt idx="13">
                  <c:v>0.99999999999056399</c:v>
                </c:pt>
                <c:pt idx="14">
                  <c:v>1.6999999999995907</c:v>
                </c:pt>
                <c:pt idx="15">
                  <c:v>2.0999999999986585</c:v>
                </c:pt>
                <c:pt idx="16">
                  <c:v>1.6999999999995907</c:v>
                </c:pt>
                <c:pt idx="17">
                  <c:v>2.0499999999969987</c:v>
                </c:pt>
                <c:pt idx="18">
                  <c:v>1.6999999999995907</c:v>
                </c:pt>
                <c:pt idx="19">
                  <c:v>0.99999999999056399</c:v>
                </c:pt>
                <c:pt idx="20">
                  <c:v>1.1999999999829924</c:v>
                </c:pt>
                <c:pt idx="21">
                  <c:v>2.1999999999877673</c:v>
                </c:pt>
                <c:pt idx="22">
                  <c:v>1.9999999999953388</c:v>
                </c:pt>
                <c:pt idx="23">
                  <c:v>2.299999999991087</c:v>
                </c:pt>
                <c:pt idx="24">
                  <c:v>1.9999999999953388</c:v>
                </c:pt>
                <c:pt idx="25">
                  <c:v>1.5999999999962711</c:v>
                </c:pt>
                <c:pt idx="26">
                  <c:v>1.6999999999995907</c:v>
                </c:pt>
                <c:pt idx="27">
                  <c:v>1.0999999999938836</c:v>
                </c:pt>
                <c:pt idx="28">
                  <c:v>1.6749999999916554</c:v>
                </c:pt>
                <c:pt idx="29">
                  <c:v>1.5999999999962711</c:v>
                </c:pt>
                <c:pt idx="30">
                  <c:v>1.7999999999886995</c:v>
                </c:pt>
                <c:pt idx="31">
                  <c:v>1.7999999999886995</c:v>
                </c:pt>
                <c:pt idx="32">
                  <c:v>1.6999999999995907</c:v>
                </c:pt>
                <c:pt idx="33">
                  <c:v>1.3999999999896318</c:v>
                </c:pt>
                <c:pt idx="34">
                  <c:v>1.7999999999886995</c:v>
                </c:pt>
                <c:pt idx="35">
                  <c:v>1.8999999999920192</c:v>
                </c:pt>
                <c:pt idx="36">
                  <c:v>1.4999999999929514</c:v>
                </c:pt>
                <c:pt idx="37">
                  <c:v>1.1999999999972033</c:v>
                </c:pt>
                <c:pt idx="38">
                  <c:v>1.5999999999962711</c:v>
                </c:pt>
                <c:pt idx="39">
                  <c:v>1.7999999999886995</c:v>
                </c:pt>
                <c:pt idx="40">
                  <c:v>1.8999999999920192</c:v>
                </c:pt>
                <c:pt idx="41">
                  <c:v>1.3999999999896318</c:v>
                </c:pt>
                <c:pt idx="42">
                  <c:v>1.4999999999929514</c:v>
                </c:pt>
                <c:pt idx="43">
                  <c:v>1.3999999999896318</c:v>
                </c:pt>
                <c:pt idx="44">
                  <c:v>-8.4000000000088448</c:v>
                </c:pt>
                <c:pt idx="45">
                  <c:v>-8.2000000000022055</c:v>
                </c:pt>
                <c:pt idx="46">
                  <c:v>-8.2000000000022055</c:v>
                </c:pt>
                <c:pt idx="47">
                  <c:v>-8.0000000000097771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9359-4A8A-AE36-09269BF6CA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9275872"/>
        <c:axId val="470146720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6"/>
                <c:tx>
                  <c:strRef>
                    <c:extLst>
                      <c:ext uri="{02D57815-91ED-43cb-92C2-25804820EDAC}">
                        <c15:formulaRef>
                          <c15:sqref>Graphiques!$AC$13</c15:sqref>
                        </c15:formulaRef>
                      </c:ext>
                    </c:extLst>
                    <c:strCache>
                      <c:ptCount val="1"/>
                      <c:pt idx="0">
                        <c:v>Seuil de vigilance CV</c:v>
                      </c:pt>
                    </c:strCache>
                  </c:strRef>
                </c:tx>
                <c:spPr>
                  <a:ln w="15875" cap="rnd">
                    <a:solidFill>
                      <a:schemeClr val="accent1"/>
                    </a:solidFill>
                    <a:round/>
                  </a:ln>
                  <a:effectLst>
                    <a:outerShdw blurRad="40000" dist="20000" dir="5400000" rotWithShape="0">
                      <a:srgbClr val="000000">
                        <a:alpha val="38000"/>
                      </a:srgbClr>
                    </a:outerShdw>
                  </a:effectLst>
                </c:spPr>
                <c:marker>
                  <c:symbol val="none"/>
                </c:marke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50000"/>
                              <a:lumOff val="50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fr-FR"/>
                    </a:p>
                  </c:txPr>
                  <c:dLblPos val="r"/>
                  <c:showLegendKey val="0"/>
                  <c:showVal val="0"/>
                  <c:showCatName val="0"/>
                  <c:showSerName val="1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0"/>
                    </c:ext>
                  </c:extLst>
                </c:dLbls>
                <c:xVal>
                  <c:numRef>
                    <c:extLst>
                      <c:ext uri="{02D57815-91ED-43cb-92C2-25804820EDAC}">
                        <c15:formulaRef>
                          <c15:sqref>Graphiques!$AE$13:$AE$14</c15:sqref>
                        </c15:formulaRef>
                      </c:ext>
                    </c:extLst>
                    <c:numCache>
                      <c:formatCode>m/d/yyyy</c:formatCode>
                      <c:ptCount val="2"/>
                      <c:pt idx="0">
                        <c:v>43682</c:v>
                      </c:pt>
                      <c:pt idx="1">
                        <c:v>46388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Graphiques!$AD$13:$AD$14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-181</c:v>
                      </c:pt>
                      <c:pt idx="1">
                        <c:v>-181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6-9359-4A8A-AE36-09269BF6CAFF}"/>
                  </c:ext>
                </c:extLst>
              </c15:ser>
            </c15:filteredScatterSeries>
            <c15:filteredScatterSeries>
              <c15:ser>
                <c:idx val="2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Graphiques!$AC$15</c15:sqref>
                        </c15:formulaRef>
                      </c:ext>
                    </c:extLst>
                    <c:strCache>
                      <c:ptCount val="1"/>
                      <c:pt idx="0">
                        <c:v>Seuil d'alerte CV</c:v>
                      </c:pt>
                    </c:strCache>
                  </c:strRef>
                </c:tx>
                <c:spPr>
                  <a:ln w="15875" cap="rnd">
                    <a:solidFill>
                      <a:schemeClr val="accent3"/>
                    </a:solidFill>
                    <a:round/>
                  </a:ln>
                  <a:effectLst>
                    <a:outerShdw blurRad="40000" dist="20000" dir="5400000" rotWithShape="0">
                      <a:srgbClr val="000000">
                        <a:alpha val="38000"/>
                      </a:srgbClr>
                    </a:outerShdw>
                  </a:effectLst>
                </c:spPr>
                <c:marker>
                  <c:symbol val="none"/>
                </c:marke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50000"/>
                              <a:lumOff val="50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fr-FR"/>
                    </a:p>
                  </c:txPr>
                  <c:dLblPos val="r"/>
                  <c:showLegendKey val="0"/>
                  <c:showVal val="0"/>
                  <c:showCatName val="0"/>
                  <c:showSerName val="1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0"/>
                    </c:ext>
                  </c:extLst>
                </c:dLbl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Graphiques!$AE$15:$AE$16</c15:sqref>
                        </c15:formulaRef>
                      </c:ext>
                    </c:extLst>
                    <c:numCache>
                      <c:formatCode>m/d/yyyy</c:formatCode>
                      <c:ptCount val="2"/>
                      <c:pt idx="0">
                        <c:v>43682</c:v>
                      </c:pt>
                      <c:pt idx="1">
                        <c:v>46388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Graphiques!$AD$15:$AD$16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-226</c:v>
                      </c:pt>
                      <c:pt idx="1">
                        <c:v>-226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9359-4A8A-AE36-09269BF6CAFF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7"/>
          <c:order val="5"/>
          <c:tx>
            <c:v>PM</c:v>
          </c:tx>
          <c:spPr>
            <a:ln w="15875" cap="rnd">
              <a:solidFill>
                <a:srgbClr val="00B0F0"/>
              </a:solidFill>
              <a:prstDash val="sysDash"/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marker>
            <c:symbol val="none"/>
          </c:marker>
          <c:xVal>
            <c:numRef>
              <c:f>Déplacements!$B$10:$B$55</c:f>
              <c:numCache>
                <c:formatCode>dd\ /\ mm\ /\ yy</c:formatCode>
                <c:ptCount val="46"/>
                <c:pt idx="0">
                  <c:v>45324</c:v>
                </c:pt>
                <c:pt idx="1">
                  <c:v>45327</c:v>
                </c:pt>
                <c:pt idx="2">
                  <c:v>45329</c:v>
                </c:pt>
                <c:pt idx="3">
                  <c:v>45331</c:v>
                </c:pt>
                <c:pt idx="4">
                  <c:v>45334</c:v>
                </c:pt>
                <c:pt idx="5">
                  <c:v>45335</c:v>
                </c:pt>
                <c:pt idx="6">
                  <c:v>45337</c:v>
                </c:pt>
                <c:pt idx="7">
                  <c:v>45338</c:v>
                </c:pt>
                <c:pt idx="8">
                  <c:v>45341</c:v>
                </c:pt>
                <c:pt idx="9">
                  <c:v>45343</c:v>
                </c:pt>
                <c:pt idx="10">
                  <c:v>45348</c:v>
                </c:pt>
                <c:pt idx="11">
                  <c:v>45350</c:v>
                </c:pt>
                <c:pt idx="12">
                  <c:v>45364</c:v>
                </c:pt>
                <c:pt idx="13">
                  <c:v>45390</c:v>
                </c:pt>
                <c:pt idx="14">
                  <c:v>45404</c:v>
                </c:pt>
                <c:pt idx="15">
                  <c:v>45411</c:v>
                </c:pt>
                <c:pt idx="16">
                  <c:v>45426</c:v>
                </c:pt>
                <c:pt idx="17">
                  <c:v>45453</c:v>
                </c:pt>
                <c:pt idx="18">
                  <c:v>45481</c:v>
                </c:pt>
                <c:pt idx="19">
                  <c:v>45544</c:v>
                </c:pt>
                <c:pt idx="20">
                  <c:v>45601</c:v>
                </c:pt>
                <c:pt idx="21">
                  <c:v>45671</c:v>
                </c:pt>
                <c:pt idx="22">
                  <c:v>45712</c:v>
                </c:pt>
                <c:pt idx="23">
                  <c:v>45722</c:v>
                </c:pt>
                <c:pt idx="24">
                  <c:v>45726</c:v>
                </c:pt>
                <c:pt idx="25">
                  <c:v>45730</c:v>
                </c:pt>
                <c:pt idx="26">
                  <c:v>45736</c:v>
                </c:pt>
                <c:pt idx="27">
                  <c:v>45744</c:v>
                </c:pt>
                <c:pt idx="28">
                  <c:v>45748</c:v>
                </c:pt>
                <c:pt idx="29">
                  <c:v>45751</c:v>
                </c:pt>
                <c:pt idx="30">
                  <c:v>45754</c:v>
                </c:pt>
                <c:pt idx="31">
                  <c:v>45756</c:v>
                </c:pt>
                <c:pt idx="32">
                  <c:v>45762</c:v>
                </c:pt>
                <c:pt idx="33">
                  <c:v>45769</c:v>
                </c:pt>
                <c:pt idx="34">
                  <c:v>45772</c:v>
                </c:pt>
                <c:pt idx="35">
                  <c:v>45775</c:v>
                </c:pt>
                <c:pt idx="36">
                  <c:v>45792</c:v>
                </c:pt>
                <c:pt idx="37">
                  <c:v>45798</c:v>
                </c:pt>
                <c:pt idx="38">
                  <c:v>45803</c:v>
                </c:pt>
                <c:pt idx="39">
                  <c:v>45810</c:v>
                </c:pt>
                <c:pt idx="40">
                  <c:v>45818</c:v>
                </c:pt>
                <c:pt idx="41">
                  <c:v>45824</c:v>
                </c:pt>
                <c:pt idx="42">
                  <c:v>45831</c:v>
                </c:pt>
                <c:pt idx="43">
                  <c:v>45839</c:v>
                </c:pt>
                <c:pt idx="44">
                  <c:v>45846</c:v>
                </c:pt>
                <c:pt idx="45">
                  <c:v>45853</c:v>
                </c:pt>
              </c:numCache>
            </c:numRef>
          </c:xVal>
          <c:yVal>
            <c:numRef>
              <c:f>'Résultats observations'!$C$10:$C$55</c:f>
              <c:numCache>
                <c:formatCode>0.0</c:formatCode>
                <c:ptCount val="46"/>
                <c:pt idx="0">
                  <c:v>9.39</c:v>
                </c:pt>
                <c:pt idx="1">
                  <c:v>9.39</c:v>
                </c:pt>
                <c:pt idx="2">
                  <c:v>11.5</c:v>
                </c:pt>
                <c:pt idx="3">
                  <c:v>11.5</c:v>
                </c:pt>
                <c:pt idx="4">
                  <c:v>11.5</c:v>
                </c:pt>
                <c:pt idx="5">
                  <c:v>11.5</c:v>
                </c:pt>
                <c:pt idx="6">
                  <c:v>11.5</c:v>
                </c:pt>
                <c:pt idx="7">
                  <c:v>11.5</c:v>
                </c:pt>
                <c:pt idx="8">
                  <c:v>11.5</c:v>
                </c:pt>
                <c:pt idx="9">
                  <c:v>11.5</c:v>
                </c:pt>
                <c:pt idx="10">
                  <c:v>11.5</c:v>
                </c:pt>
                <c:pt idx="11">
                  <c:v>11.5</c:v>
                </c:pt>
                <c:pt idx="12">
                  <c:v>11.5</c:v>
                </c:pt>
                <c:pt idx="13">
                  <c:v>11.5</c:v>
                </c:pt>
                <c:pt idx="14">
                  <c:v>11.5</c:v>
                </c:pt>
                <c:pt idx="15">
                  <c:v>11.5</c:v>
                </c:pt>
                <c:pt idx="16">
                  <c:v>11.5</c:v>
                </c:pt>
                <c:pt idx="17">
                  <c:v>11.5</c:v>
                </c:pt>
                <c:pt idx="18">
                  <c:v>11.5</c:v>
                </c:pt>
                <c:pt idx="19">
                  <c:v>11.5</c:v>
                </c:pt>
                <c:pt idx="20">
                  <c:v>11.5</c:v>
                </c:pt>
                <c:pt idx="21">
                  <c:v>11.5</c:v>
                </c:pt>
                <c:pt idx="22">
                  <c:v>11.5</c:v>
                </c:pt>
                <c:pt idx="23">
                  <c:v>13</c:v>
                </c:pt>
                <c:pt idx="24">
                  <c:v>13</c:v>
                </c:pt>
                <c:pt idx="25">
                  <c:v>14.2</c:v>
                </c:pt>
                <c:pt idx="26">
                  <c:v>14.2</c:v>
                </c:pt>
                <c:pt idx="27">
                  <c:v>15.8</c:v>
                </c:pt>
                <c:pt idx="28">
                  <c:v>15.8</c:v>
                </c:pt>
                <c:pt idx="29">
                  <c:v>17.45</c:v>
                </c:pt>
                <c:pt idx="30">
                  <c:v>18.3</c:v>
                </c:pt>
                <c:pt idx="31">
                  <c:v>19.43</c:v>
                </c:pt>
                <c:pt idx="32">
                  <c:v>19.43</c:v>
                </c:pt>
                <c:pt idx="33">
                  <c:v>19.43</c:v>
                </c:pt>
                <c:pt idx="34">
                  <c:v>21</c:v>
                </c:pt>
                <c:pt idx="35">
                  <c:v>21</c:v>
                </c:pt>
                <c:pt idx="36">
                  <c:v>21</c:v>
                </c:pt>
                <c:pt idx="37">
                  <c:v>23.2</c:v>
                </c:pt>
                <c:pt idx="38">
                  <c:v>23.7</c:v>
                </c:pt>
                <c:pt idx="39">
                  <c:v>24.6</c:v>
                </c:pt>
                <c:pt idx="40">
                  <c:v>26</c:v>
                </c:pt>
                <c:pt idx="41">
                  <c:v>26.8</c:v>
                </c:pt>
                <c:pt idx="42">
                  <c:v>28.1</c:v>
                </c:pt>
                <c:pt idx="43">
                  <c:v>29.4</c:v>
                </c:pt>
                <c:pt idx="44">
                  <c:v>29.8</c:v>
                </c:pt>
                <c:pt idx="45">
                  <c:v>31.4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9359-4A8A-AE36-09269BF6CA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5550256"/>
        <c:axId val="465549864"/>
      </c:scatterChart>
      <c:valAx>
        <c:axId val="469275872"/>
        <c:scaling>
          <c:orientation val="minMax"/>
          <c:max val="45880"/>
          <c:min val="4532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Date</a:t>
                </a:r>
              </a:p>
            </c:rich>
          </c:tx>
          <c:layout>
            <c:manualLayout>
              <c:xMode val="edge"/>
              <c:yMode val="edge"/>
              <c:x val="0.91621151220831765"/>
              <c:y val="0.8522671490388025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dd/mm/yyyy" sourceLinked="0"/>
        <c:majorTickMark val="cross"/>
        <c:minorTickMark val="none"/>
        <c:tickLblPos val="low"/>
        <c:spPr>
          <a:noFill/>
          <a:ln>
            <a:solidFill>
              <a:srgbClr val="4F81BD">
                <a:lumMod val="100000"/>
              </a:srgbClr>
            </a:solidFill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70146720"/>
        <c:crossesAt val="0"/>
        <c:crossBetween val="midCat"/>
        <c:majorUnit val="14"/>
      </c:valAx>
      <c:valAx>
        <c:axId val="470146720"/>
        <c:scaling>
          <c:orientation val="minMax"/>
          <c:max val="10"/>
          <c:min val="-2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Déplacement [mm]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\+\ 0.0;\-\ 0.0;\±\ 0.0" sourceLinked="0"/>
        <c:majorTickMark val="cross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69275872"/>
        <c:crosses val="autoZero"/>
        <c:crossBetween val="midCat"/>
        <c:majorUnit val="5"/>
        <c:minorUnit val="1"/>
      </c:valAx>
      <c:valAx>
        <c:axId val="465549864"/>
        <c:scaling>
          <c:orientation val="minMax"/>
          <c:max val="60"/>
          <c:min val="-30"/>
        </c:scaling>
        <c:delete val="0"/>
        <c:axPos val="r"/>
        <c:numFmt formatCode="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65550256"/>
        <c:crosses val="max"/>
        <c:crossBetween val="midCat"/>
      </c:valAx>
      <c:valAx>
        <c:axId val="465550256"/>
        <c:scaling>
          <c:orientation val="minMax"/>
        </c:scaling>
        <c:delete val="1"/>
        <c:axPos val="b"/>
        <c:numFmt formatCode="dd\ /\ mm\ /\ yy" sourceLinked="1"/>
        <c:majorTickMark val="out"/>
        <c:minorTickMark val="none"/>
        <c:tickLblPos val="nextTo"/>
        <c:crossAx val="46554986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1128796713009016"/>
          <c:y val="0.68876867504722217"/>
          <c:w val="0.79129378342596124"/>
          <c:h val="9.049802590866182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span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 alignWithMargins="0"/>
    <c:pageMargins b="0.98425196899999956" l="0.78740157499999996" r="0.78740157499999996" t="0.98425196899999956" header="0.49212598450000578" footer="0.49212598450000578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Déplacements dans le sens</a:t>
            </a:r>
            <a:r>
              <a:rPr lang="fr-FR" baseline="0"/>
              <a:t> GGS , vue de la carrure</a:t>
            </a:r>
            <a:endParaRPr lang="fr-FR"/>
          </a:p>
        </c:rich>
      </c:tx>
      <c:layout>
        <c:manualLayout>
          <c:xMode val="edge"/>
          <c:yMode val="edge"/>
          <c:x val="0.26769877830204802"/>
          <c:y val="1.005802482891692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8.6758248843572708E-2"/>
          <c:y val="5.9742866745908424E-2"/>
          <c:w val="0.8201330150247067"/>
          <c:h val="0.7471198606751962"/>
        </c:manualLayout>
      </c:layout>
      <c:scatterChart>
        <c:scatterStyle val="lineMarker"/>
        <c:varyColors val="0"/>
        <c:ser>
          <c:idx val="1"/>
          <c:order val="0"/>
          <c:tx>
            <c:strRef>
              <c:f>Déplacements!$I$9</c:f>
              <c:strCache>
                <c:ptCount val="1"/>
                <c:pt idx="0">
                  <c:v>DPM centre haut</c:v>
                </c:pt>
              </c:strCache>
            </c:strRef>
          </c:tx>
          <c:spPr>
            <a:ln w="15875" cap="rnd">
              <a:solidFill>
                <a:schemeClr val="accent2"/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tint val="50000"/>
                      <a:satMod val="300000"/>
                    </a:schemeClr>
                  </a:gs>
                  <a:gs pos="35000">
                    <a:schemeClr val="accent2">
                      <a:tint val="37000"/>
                      <a:satMod val="300000"/>
                    </a:schemeClr>
                  </a:gs>
                  <a:gs pos="100000">
                    <a:schemeClr val="accent2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marker>
          <c:xVal>
            <c:numRef>
              <c:f>Déplacements!$B$10:$B$155</c:f>
              <c:numCache>
                <c:formatCode>dd\ /\ mm\ /\ yy</c:formatCode>
                <c:ptCount val="146"/>
                <c:pt idx="0">
                  <c:v>45324</c:v>
                </c:pt>
                <c:pt idx="1">
                  <c:v>45327</c:v>
                </c:pt>
                <c:pt idx="2">
                  <c:v>45329</c:v>
                </c:pt>
                <c:pt idx="3">
                  <c:v>45331</c:v>
                </c:pt>
                <c:pt idx="4">
                  <c:v>45334</c:v>
                </c:pt>
                <c:pt idx="5">
                  <c:v>45335</c:v>
                </c:pt>
                <c:pt idx="6">
                  <c:v>45337</c:v>
                </c:pt>
                <c:pt idx="7">
                  <c:v>45338</c:v>
                </c:pt>
                <c:pt idx="8">
                  <c:v>45341</c:v>
                </c:pt>
                <c:pt idx="9">
                  <c:v>45343</c:v>
                </c:pt>
                <c:pt idx="10">
                  <c:v>45348</c:v>
                </c:pt>
                <c:pt idx="11">
                  <c:v>45350</c:v>
                </c:pt>
                <c:pt idx="12">
                  <c:v>45364</c:v>
                </c:pt>
                <c:pt idx="13">
                  <c:v>45390</c:v>
                </c:pt>
                <c:pt idx="14">
                  <c:v>45404</c:v>
                </c:pt>
                <c:pt idx="15">
                  <c:v>45411</c:v>
                </c:pt>
                <c:pt idx="16">
                  <c:v>45426</c:v>
                </c:pt>
                <c:pt idx="17">
                  <c:v>45453</c:v>
                </c:pt>
                <c:pt idx="18">
                  <c:v>45481</c:v>
                </c:pt>
                <c:pt idx="19">
                  <c:v>45544</c:v>
                </c:pt>
                <c:pt idx="20">
                  <c:v>45601</c:v>
                </c:pt>
                <c:pt idx="21">
                  <c:v>45671</c:v>
                </c:pt>
                <c:pt idx="22">
                  <c:v>45712</c:v>
                </c:pt>
                <c:pt idx="23">
                  <c:v>45722</c:v>
                </c:pt>
                <c:pt idx="24">
                  <c:v>45726</c:v>
                </c:pt>
                <c:pt idx="25">
                  <c:v>45730</c:v>
                </c:pt>
                <c:pt idx="26">
                  <c:v>45736</c:v>
                </c:pt>
                <c:pt idx="27">
                  <c:v>45744</c:v>
                </c:pt>
                <c:pt idx="28">
                  <c:v>45748</c:v>
                </c:pt>
                <c:pt idx="29">
                  <c:v>45751</c:v>
                </c:pt>
                <c:pt idx="30">
                  <c:v>45754</c:v>
                </c:pt>
                <c:pt idx="31">
                  <c:v>45756</c:v>
                </c:pt>
                <c:pt idx="32">
                  <c:v>45762</c:v>
                </c:pt>
                <c:pt idx="33">
                  <c:v>45769</c:v>
                </c:pt>
                <c:pt idx="34">
                  <c:v>45772</c:v>
                </c:pt>
                <c:pt idx="35">
                  <c:v>45775</c:v>
                </c:pt>
                <c:pt idx="36">
                  <c:v>45792</c:v>
                </c:pt>
                <c:pt idx="37">
                  <c:v>45798</c:v>
                </c:pt>
                <c:pt idx="38">
                  <c:v>45803</c:v>
                </c:pt>
                <c:pt idx="39">
                  <c:v>45810</c:v>
                </c:pt>
                <c:pt idx="40">
                  <c:v>45818</c:v>
                </c:pt>
                <c:pt idx="41">
                  <c:v>45824</c:v>
                </c:pt>
                <c:pt idx="42">
                  <c:v>45831</c:v>
                </c:pt>
                <c:pt idx="43">
                  <c:v>45839</c:v>
                </c:pt>
                <c:pt idx="44">
                  <c:v>45846</c:v>
                </c:pt>
                <c:pt idx="45">
                  <c:v>45853</c:v>
                </c:pt>
                <c:pt idx="46">
                  <c:v>45861</c:v>
                </c:pt>
                <c:pt idx="47">
                  <c:v>45867</c:v>
                </c:pt>
              </c:numCache>
            </c:numRef>
          </c:xVal>
          <c:yVal>
            <c:numRef>
              <c:f>Déplacements!$I$10:$I$155</c:f>
              <c:numCache>
                <c:formatCode>\+\ 0.0;\-\ 0.0;\±\ 0.0</c:formatCode>
                <c:ptCount val="146"/>
                <c:pt idx="0">
                  <c:v>0</c:v>
                </c:pt>
                <c:pt idx="1">
                  <c:v>0.32611885724520562</c:v>
                </c:pt>
                <c:pt idx="2">
                  <c:v>0</c:v>
                </c:pt>
                <c:pt idx="3">
                  <c:v>4.5830123082346574E-2</c:v>
                </c:pt>
                <c:pt idx="4">
                  <c:v>-0.76322787457794306</c:v>
                </c:pt>
                <c:pt idx="5">
                  <c:v>-0.7540619497792278</c:v>
                </c:pt>
                <c:pt idx="6">
                  <c:v>-0.27684764215152313</c:v>
                </c:pt>
                <c:pt idx="7">
                  <c:v>-0.13345505734729812</c:v>
                </c:pt>
                <c:pt idx="8">
                  <c:v>0.59013322481948904</c:v>
                </c:pt>
                <c:pt idx="9">
                  <c:v>6.4676538442220988E-2</c:v>
                </c:pt>
                <c:pt idx="10">
                  <c:v>1.8111168726990812</c:v>
                </c:pt>
                <c:pt idx="11">
                  <c:v>0.95317341563561087</c:v>
                </c:pt>
                <c:pt idx="12">
                  <c:v>0.74187146067217213</c:v>
                </c:pt>
                <c:pt idx="13">
                  <c:v>1.7566350953979182</c:v>
                </c:pt>
                <c:pt idx="14">
                  <c:v>1.3757772271683066</c:v>
                </c:pt>
                <c:pt idx="15">
                  <c:v>1.4786299965034999</c:v>
                </c:pt>
                <c:pt idx="16">
                  <c:v>1.3757772271683066</c:v>
                </c:pt>
                <c:pt idx="17">
                  <c:v>1.8590469529931042</c:v>
                </c:pt>
                <c:pt idx="18">
                  <c:v>1.4847407817697444</c:v>
                </c:pt>
                <c:pt idx="19">
                  <c:v>1.9134552730601939</c:v>
                </c:pt>
                <c:pt idx="20">
                  <c:v>1.9134552730601939</c:v>
                </c:pt>
                <c:pt idx="21">
                  <c:v>0.20367903869278337</c:v>
                </c:pt>
                <c:pt idx="22">
                  <c:v>1.1038828080316421</c:v>
                </c:pt>
                <c:pt idx="23">
                  <c:v>0.33046017231175284</c:v>
                </c:pt>
                <c:pt idx="24">
                  <c:v>0.78972808373212189</c:v>
                </c:pt>
                <c:pt idx="25">
                  <c:v>1.0794401802822762</c:v>
                </c:pt>
                <c:pt idx="26">
                  <c:v>5.2455171814180801E-2</c:v>
                </c:pt>
                <c:pt idx="27">
                  <c:v>-1.0901183344804721</c:v>
                </c:pt>
                <c:pt idx="28">
                  <c:v>-3.3640574906419474</c:v>
                </c:pt>
                <c:pt idx="29">
                  <c:v>-5.2479725514773534</c:v>
                </c:pt>
                <c:pt idx="30">
                  <c:v>-5.8946140535764968</c:v>
                </c:pt>
                <c:pt idx="31">
                  <c:v>-5.9373888332219238</c:v>
                </c:pt>
                <c:pt idx="32">
                  <c:v>-6.9709988904227416</c:v>
                </c:pt>
                <c:pt idx="33">
                  <c:v>-6.5249811890879528</c:v>
                </c:pt>
                <c:pt idx="34">
                  <c:v>-7.0748806016096566</c:v>
                </c:pt>
                <c:pt idx="35">
                  <c:v>-7.612558549106474</c:v>
                </c:pt>
                <c:pt idx="36">
                  <c:v>-7.359510650839951</c:v>
                </c:pt>
                <c:pt idx="37">
                  <c:v>-8.1813043841023614</c:v>
                </c:pt>
                <c:pt idx="38">
                  <c:v>-8.6227547165043106</c:v>
                </c:pt>
                <c:pt idx="39">
                  <c:v>-8.3447497160049622</c:v>
                </c:pt>
                <c:pt idx="40">
                  <c:v>-8.5020842626422066</c:v>
                </c:pt>
                <c:pt idx="41">
                  <c:v>-8.3508602973685342</c:v>
                </c:pt>
                <c:pt idx="42">
                  <c:v>-8.5988263522205344</c:v>
                </c:pt>
                <c:pt idx="43">
                  <c:v>-8.7984213095273489</c:v>
                </c:pt>
                <c:pt idx="44">
                  <c:v>-10.356973578622863</c:v>
                </c:pt>
                <c:pt idx="45">
                  <c:v>-9.9521874445027692</c:v>
                </c:pt>
                <c:pt idx="46">
                  <c:v>-9.8676666231591881</c:v>
                </c:pt>
                <c:pt idx="47">
                  <c:v>-9.5112515865833913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F39-432B-98B9-1D559EE72A2E}"/>
            </c:ext>
          </c:extLst>
        </c:ser>
        <c:ser>
          <c:idx val="3"/>
          <c:order val="1"/>
          <c:tx>
            <c:strRef>
              <c:f>Déplacements!$F$9</c:f>
              <c:strCache>
                <c:ptCount val="1"/>
                <c:pt idx="0">
                  <c:v>DPM haut gauche</c:v>
                </c:pt>
              </c:strCache>
            </c:strRef>
          </c:tx>
          <c:spPr>
            <a:ln w="15875" cap="rnd">
              <a:solidFill>
                <a:schemeClr val="accent4"/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marker>
          <c:xVal>
            <c:numRef>
              <c:f>Déplacements!$B$10:$B$155</c:f>
              <c:numCache>
                <c:formatCode>dd\ /\ mm\ /\ yy</c:formatCode>
                <c:ptCount val="146"/>
                <c:pt idx="0">
                  <c:v>45324</c:v>
                </c:pt>
                <c:pt idx="1">
                  <c:v>45327</c:v>
                </c:pt>
                <c:pt idx="2">
                  <c:v>45329</c:v>
                </c:pt>
                <c:pt idx="3">
                  <c:v>45331</c:v>
                </c:pt>
                <c:pt idx="4">
                  <c:v>45334</c:v>
                </c:pt>
                <c:pt idx="5">
                  <c:v>45335</c:v>
                </c:pt>
                <c:pt idx="6">
                  <c:v>45337</c:v>
                </c:pt>
                <c:pt idx="7">
                  <c:v>45338</c:v>
                </c:pt>
                <c:pt idx="8">
                  <c:v>45341</c:v>
                </c:pt>
                <c:pt idx="9">
                  <c:v>45343</c:v>
                </c:pt>
                <c:pt idx="10">
                  <c:v>45348</c:v>
                </c:pt>
                <c:pt idx="11">
                  <c:v>45350</c:v>
                </c:pt>
                <c:pt idx="12">
                  <c:v>45364</c:v>
                </c:pt>
                <c:pt idx="13">
                  <c:v>45390</c:v>
                </c:pt>
                <c:pt idx="14">
                  <c:v>45404</c:v>
                </c:pt>
                <c:pt idx="15">
                  <c:v>45411</c:v>
                </c:pt>
                <c:pt idx="16">
                  <c:v>45426</c:v>
                </c:pt>
                <c:pt idx="17">
                  <c:v>45453</c:v>
                </c:pt>
                <c:pt idx="18">
                  <c:v>45481</c:v>
                </c:pt>
                <c:pt idx="19">
                  <c:v>45544</c:v>
                </c:pt>
                <c:pt idx="20">
                  <c:v>45601</c:v>
                </c:pt>
                <c:pt idx="21">
                  <c:v>45671</c:v>
                </c:pt>
                <c:pt idx="22">
                  <c:v>45712</c:v>
                </c:pt>
                <c:pt idx="23">
                  <c:v>45722</c:v>
                </c:pt>
                <c:pt idx="24">
                  <c:v>45726</c:v>
                </c:pt>
                <c:pt idx="25">
                  <c:v>45730</c:v>
                </c:pt>
                <c:pt idx="26">
                  <c:v>45736</c:v>
                </c:pt>
                <c:pt idx="27">
                  <c:v>45744</c:v>
                </c:pt>
                <c:pt idx="28">
                  <c:v>45748</c:v>
                </c:pt>
                <c:pt idx="29">
                  <c:v>45751</c:v>
                </c:pt>
                <c:pt idx="30">
                  <c:v>45754</c:v>
                </c:pt>
                <c:pt idx="31">
                  <c:v>45756</c:v>
                </c:pt>
                <c:pt idx="32">
                  <c:v>45762</c:v>
                </c:pt>
                <c:pt idx="33">
                  <c:v>45769</c:v>
                </c:pt>
                <c:pt idx="34">
                  <c:v>45772</c:v>
                </c:pt>
                <c:pt idx="35">
                  <c:v>45775</c:v>
                </c:pt>
                <c:pt idx="36">
                  <c:v>45792</c:v>
                </c:pt>
                <c:pt idx="37">
                  <c:v>45798</c:v>
                </c:pt>
                <c:pt idx="38">
                  <c:v>45803</c:v>
                </c:pt>
                <c:pt idx="39">
                  <c:v>45810</c:v>
                </c:pt>
                <c:pt idx="40">
                  <c:v>45818</c:v>
                </c:pt>
                <c:pt idx="41">
                  <c:v>45824</c:v>
                </c:pt>
                <c:pt idx="42">
                  <c:v>45831</c:v>
                </c:pt>
                <c:pt idx="43">
                  <c:v>45839</c:v>
                </c:pt>
                <c:pt idx="44">
                  <c:v>45846</c:v>
                </c:pt>
                <c:pt idx="45">
                  <c:v>45853</c:v>
                </c:pt>
                <c:pt idx="46">
                  <c:v>45861</c:v>
                </c:pt>
                <c:pt idx="47">
                  <c:v>45867</c:v>
                </c:pt>
              </c:numCache>
            </c:numRef>
          </c:xVal>
          <c:yVal>
            <c:numRef>
              <c:f>Déplacements!$F$10:$F$155</c:f>
              <c:numCache>
                <c:formatCode>\+\ 0.0;\-\ 0.0;\±\ 0.0</c:formatCode>
                <c:ptCount val="146"/>
                <c:pt idx="0">
                  <c:v>0</c:v>
                </c:pt>
                <c:pt idx="1">
                  <c:v>3.0553434333668861E-3</c:v>
                </c:pt>
                <c:pt idx="2">
                  <c:v>0</c:v>
                </c:pt>
                <c:pt idx="3">
                  <c:v>-1.1568214784096753</c:v>
                </c:pt>
                <c:pt idx="4">
                  <c:v>-0.63085042306010308</c:v>
                </c:pt>
                <c:pt idx="5">
                  <c:v>-0.40121652010505215</c:v>
                </c:pt>
                <c:pt idx="6">
                  <c:v>2.5804128888751166E-2</c:v>
                </c:pt>
                <c:pt idx="7">
                  <c:v>0.75914812171173907</c:v>
                </c:pt>
                <c:pt idx="8">
                  <c:v>0.45061635559306978</c:v>
                </c:pt>
                <c:pt idx="9">
                  <c:v>0.20927545498317102</c:v>
                </c:pt>
                <c:pt idx="10">
                  <c:v>0.36609553425126506</c:v>
                </c:pt>
                <c:pt idx="11">
                  <c:v>0.3538741676223367</c:v>
                </c:pt>
                <c:pt idx="12">
                  <c:v>-0.60029701004449265</c:v>
                </c:pt>
                <c:pt idx="13">
                  <c:v>0.11864394676841528</c:v>
                </c:pt>
                <c:pt idx="14">
                  <c:v>0.18483262332935624</c:v>
                </c:pt>
                <c:pt idx="15">
                  <c:v>7.0272856339315126E-2</c:v>
                </c:pt>
                <c:pt idx="16">
                  <c:v>0.18483262332935624</c:v>
                </c:pt>
                <c:pt idx="17">
                  <c:v>0.69841067750697761</c:v>
                </c:pt>
                <c:pt idx="18">
                  <c:v>0.13086531339912</c:v>
                </c:pt>
                <c:pt idx="19">
                  <c:v>0.55346912493003941</c:v>
                </c:pt>
                <c:pt idx="20">
                  <c:v>0.55346912493003941</c:v>
                </c:pt>
                <c:pt idx="21">
                  <c:v>-1.119643009550586</c:v>
                </c:pt>
                <c:pt idx="22">
                  <c:v>0.36660990322356923</c:v>
                </c:pt>
                <c:pt idx="24">
                  <c:v>-2.5954864264932098E-2</c:v>
                </c:pt>
                <c:pt idx="25">
                  <c:v>-0.39459136586383892</c:v>
                </c:pt>
                <c:pt idx="26">
                  <c:v>-0.29784917789132948</c:v>
                </c:pt>
                <c:pt idx="27">
                  <c:v>0.46335209119696685</c:v>
                </c:pt>
                <c:pt idx="28">
                  <c:v>-5.6096822881990249E-2</c:v>
                </c:pt>
                <c:pt idx="29">
                  <c:v>-0.5208581305113924</c:v>
                </c:pt>
                <c:pt idx="30">
                  <c:v>-0.45415498658130105</c:v>
                </c:pt>
                <c:pt idx="32">
                  <c:v>-0.38796631713466923</c:v>
                </c:pt>
                <c:pt idx="33">
                  <c:v>-0.63541789750143352</c:v>
                </c:pt>
                <c:pt idx="34">
                  <c:v>-0.49641539725442385</c:v>
                </c:pt>
                <c:pt idx="35">
                  <c:v>-1.1063929049726084</c:v>
                </c:pt>
                <c:pt idx="36">
                  <c:v>-0.44193361995059632</c:v>
                </c:pt>
                <c:pt idx="37">
                  <c:v>0.30704628250965982</c:v>
                </c:pt>
                <c:pt idx="38">
                  <c:v>-1.8737047554262531</c:v>
                </c:pt>
                <c:pt idx="39">
                  <c:v>-0.82227702081105747</c:v>
                </c:pt>
                <c:pt idx="40">
                  <c:v>-0.9673903063269762</c:v>
                </c:pt>
                <c:pt idx="41">
                  <c:v>-0.36911979626363944</c:v>
                </c:pt>
                <c:pt idx="42">
                  <c:v>-0.58653253649332271</c:v>
                </c:pt>
                <c:pt idx="43">
                  <c:v>-1.4322545285327948</c:v>
                </c:pt>
                <c:pt idx="44">
                  <c:v>-1.830930074175896</c:v>
                </c:pt>
                <c:pt idx="45">
                  <c:v>-1.2087313053354976</c:v>
                </c:pt>
                <c:pt idx="46">
                  <c:v>-1.4200331619047546</c:v>
                </c:pt>
                <c:pt idx="47">
                  <c:v>-1.0152470277846604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F39-432B-98B9-1D559EE72A2E}"/>
            </c:ext>
          </c:extLst>
        </c:ser>
        <c:ser>
          <c:idx val="4"/>
          <c:order val="2"/>
          <c:tx>
            <c:strRef>
              <c:f>Déplacements!$L$9</c:f>
              <c:strCache>
                <c:ptCount val="1"/>
                <c:pt idx="0">
                  <c:v>DPM haut droit</c:v>
                </c:pt>
              </c:strCache>
            </c:strRef>
          </c:tx>
          <c:spPr>
            <a:ln w="15875" cap="rnd">
              <a:solidFill>
                <a:schemeClr val="accent5"/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5">
                      <a:tint val="50000"/>
                      <a:satMod val="300000"/>
                    </a:schemeClr>
                  </a:gs>
                  <a:gs pos="35000">
                    <a:schemeClr val="accent5">
                      <a:tint val="37000"/>
                      <a:satMod val="300000"/>
                    </a:schemeClr>
                  </a:gs>
                  <a:gs pos="100000">
                    <a:schemeClr val="accent5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marker>
          <c:xVal>
            <c:numRef>
              <c:f>Déplacements!$B$10:$B$155</c:f>
              <c:numCache>
                <c:formatCode>dd\ /\ mm\ /\ yy</c:formatCode>
                <c:ptCount val="146"/>
                <c:pt idx="0">
                  <c:v>45324</c:v>
                </c:pt>
                <c:pt idx="1">
                  <c:v>45327</c:v>
                </c:pt>
                <c:pt idx="2">
                  <c:v>45329</c:v>
                </c:pt>
                <c:pt idx="3">
                  <c:v>45331</c:v>
                </c:pt>
                <c:pt idx="4">
                  <c:v>45334</c:v>
                </c:pt>
                <c:pt idx="5">
                  <c:v>45335</c:v>
                </c:pt>
                <c:pt idx="6">
                  <c:v>45337</c:v>
                </c:pt>
                <c:pt idx="7">
                  <c:v>45338</c:v>
                </c:pt>
                <c:pt idx="8">
                  <c:v>45341</c:v>
                </c:pt>
                <c:pt idx="9">
                  <c:v>45343</c:v>
                </c:pt>
                <c:pt idx="10">
                  <c:v>45348</c:v>
                </c:pt>
                <c:pt idx="11">
                  <c:v>45350</c:v>
                </c:pt>
                <c:pt idx="12">
                  <c:v>45364</c:v>
                </c:pt>
                <c:pt idx="13">
                  <c:v>45390</c:v>
                </c:pt>
                <c:pt idx="14">
                  <c:v>45404</c:v>
                </c:pt>
                <c:pt idx="15">
                  <c:v>45411</c:v>
                </c:pt>
                <c:pt idx="16">
                  <c:v>45426</c:v>
                </c:pt>
                <c:pt idx="17">
                  <c:v>45453</c:v>
                </c:pt>
                <c:pt idx="18">
                  <c:v>45481</c:v>
                </c:pt>
                <c:pt idx="19">
                  <c:v>45544</c:v>
                </c:pt>
                <c:pt idx="20">
                  <c:v>45601</c:v>
                </c:pt>
                <c:pt idx="21">
                  <c:v>45671</c:v>
                </c:pt>
                <c:pt idx="22">
                  <c:v>45712</c:v>
                </c:pt>
                <c:pt idx="23">
                  <c:v>45722</c:v>
                </c:pt>
                <c:pt idx="24">
                  <c:v>45726</c:v>
                </c:pt>
                <c:pt idx="25">
                  <c:v>45730</c:v>
                </c:pt>
                <c:pt idx="26">
                  <c:v>45736</c:v>
                </c:pt>
                <c:pt idx="27">
                  <c:v>45744</c:v>
                </c:pt>
                <c:pt idx="28">
                  <c:v>45748</c:v>
                </c:pt>
                <c:pt idx="29">
                  <c:v>45751</c:v>
                </c:pt>
                <c:pt idx="30">
                  <c:v>45754</c:v>
                </c:pt>
                <c:pt idx="31">
                  <c:v>45756</c:v>
                </c:pt>
                <c:pt idx="32">
                  <c:v>45762</c:v>
                </c:pt>
                <c:pt idx="33">
                  <c:v>45769</c:v>
                </c:pt>
                <c:pt idx="34">
                  <c:v>45772</c:v>
                </c:pt>
                <c:pt idx="35">
                  <c:v>45775</c:v>
                </c:pt>
                <c:pt idx="36">
                  <c:v>45792</c:v>
                </c:pt>
                <c:pt idx="37">
                  <c:v>45798</c:v>
                </c:pt>
                <c:pt idx="38">
                  <c:v>45803</c:v>
                </c:pt>
                <c:pt idx="39">
                  <c:v>45810</c:v>
                </c:pt>
                <c:pt idx="40">
                  <c:v>45818</c:v>
                </c:pt>
                <c:pt idx="41">
                  <c:v>45824</c:v>
                </c:pt>
                <c:pt idx="42">
                  <c:v>45831</c:v>
                </c:pt>
                <c:pt idx="43">
                  <c:v>45839</c:v>
                </c:pt>
                <c:pt idx="44">
                  <c:v>45846</c:v>
                </c:pt>
                <c:pt idx="45">
                  <c:v>45853</c:v>
                </c:pt>
                <c:pt idx="46">
                  <c:v>45861</c:v>
                </c:pt>
                <c:pt idx="47">
                  <c:v>45867</c:v>
                </c:pt>
              </c:numCache>
            </c:numRef>
          </c:xVal>
          <c:yVal>
            <c:numRef>
              <c:f>Déplacements!$L$10:$L$154</c:f>
              <c:numCache>
                <c:formatCode>\+\ 0.0;\-\ 0.0;\±\ 0.0</c:formatCode>
                <c:ptCount val="145"/>
                <c:pt idx="0">
                  <c:v>0</c:v>
                </c:pt>
                <c:pt idx="1">
                  <c:v>0.26858184201650204</c:v>
                </c:pt>
                <c:pt idx="2">
                  <c:v>0</c:v>
                </c:pt>
                <c:pt idx="3">
                  <c:v>-1.3032206371637045</c:v>
                </c:pt>
                <c:pt idx="4">
                  <c:v>-2.4147264598628482</c:v>
                </c:pt>
                <c:pt idx="5">
                  <c:v>-2.2123332944072871</c:v>
                </c:pt>
                <c:pt idx="6">
                  <c:v>-2.3617722523274765</c:v>
                </c:pt>
                <c:pt idx="8">
                  <c:v>-1.6535249868674384</c:v>
                </c:pt>
                <c:pt idx="9">
                  <c:v>-1.7803062188841423</c:v>
                </c:pt>
                <c:pt idx="10">
                  <c:v>-1.9860118630630197</c:v>
                </c:pt>
                <c:pt idx="11">
                  <c:v>-2.4391691931207049</c:v>
                </c:pt>
                <c:pt idx="12">
                  <c:v>-3.4177829985369002</c:v>
                </c:pt>
                <c:pt idx="13">
                  <c:v>-2.155053407355112</c:v>
                </c:pt>
                <c:pt idx="14">
                  <c:v>-2.6326533651621631</c:v>
                </c:pt>
                <c:pt idx="15">
                  <c:v>-2.3001665944759608</c:v>
                </c:pt>
                <c:pt idx="16">
                  <c:v>-2.6326533651621631</c:v>
                </c:pt>
                <c:pt idx="17">
                  <c:v>-1.8634761504916497</c:v>
                </c:pt>
                <c:pt idx="18">
                  <c:v>-2.9406974097030414</c:v>
                </c:pt>
                <c:pt idx="19">
                  <c:v>-2.5812270296921014</c:v>
                </c:pt>
                <c:pt idx="20">
                  <c:v>-2.2217565512852033</c:v>
                </c:pt>
                <c:pt idx="21">
                  <c:v>-3.919825689601808</c:v>
                </c:pt>
                <c:pt idx="22">
                  <c:v>-3.1341816872547668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F39-432B-98B9-1D559EE72A2E}"/>
            </c:ext>
          </c:extLst>
        </c:ser>
        <c:ser>
          <c:idx val="5"/>
          <c:order val="3"/>
          <c:tx>
            <c:strRef>
              <c:f>Déplacements!$C$9</c:f>
              <c:strCache>
                <c:ptCount val="1"/>
                <c:pt idx="0">
                  <c:v>DPM bas gauche</c:v>
                </c:pt>
              </c:strCache>
            </c:strRef>
          </c:tx>
          <c:spPr>
            <a:ln w="15875" cap="rnd">
              <a:solidFill>
                <a:schemeClr val="accent6"/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6">
                      <a:tint val="50000"/>
                      <a:satMod val="300000"/>
                    </a:schemeClr>
                  </a:gs>
                  <a:gs pos="35000">
                    <a:schemeClr val="accent6">
                      <a:tint val="37000"/>
                      <a:satMod val="300000"/>
                    </a:schemeClr>
                  </a:gs>
                  <a:gs pos="100000">
                    <a:schemeClr val="accent6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6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marker>
          <c:xVal>
            <c:numRef>
              <c:f>Déplacements!$B$10:$B$55</c:f>
              <c:numCache>
                <c:formatCode>dd\ /\ mm\ /\ yy</c:formatCode>
                <c:ptCount val="46"/>
                <c:pt idx="0">
                  <c:v>45324</c:v>
                </c:pt>
                <c:pt idx="1">
                  <c:v>45327</c:v>
                </c:pt>
                <c:pt idx="2">
                  <c:v>45329</c:v>
                </c:pt>
                <c:pt idx="3">
                  <c:v>45331</c:v>
                </c:pt>
                <c:pt idx="4">
                  <c:v>45334</c:v>
                </c:pt>
                <c:pt idx="5">
                  <c:v>45335</c:v>
                </c:pt>
                <c:pt idx="6">
                  <c:v>45337</c:v>
                </c:pt>
                <c:pt idx="7">
                  <c:v>45338</c:v>
                </c:pt>
                <c:pt idx="8">
                  <c:v>45341</c:v>
                </c:pt>
                <c:pt idx="9">
                  <c:v>45343</c:v>
                </c:pt>
                <c:pt idx="10">
                  <c:v>45348</c:v>
                </c:pt>
                <c:pt idx="11">
                  <c:v>45350</c:v>
                </c:pt>
                <c:pt idx="12">
                  <c:v>45364</c:v>
                </c:pt>
                <c:pt idx="13">
                  <c:v>45390</c:v>
                </c:pt>
                <c:pt idx="14">
                  <c:v>45404</c:v>
                </c:pt>
                <c:pt idx="15">
                  <c:v>45411</c:v>
                </c:pt>
                <c:pt idx="16">
                  <c:v>45426</c:v>
                </c:pt>
                <c:pt idx="17">
                  <c:v>45453</c:v>
                </c:pt>
                <c:pt idx="18">
                  <c:v>45481</c:v>
                </c:pt>
                <c:pt idx="19">
                  <c:v>45544</c:v>
                </c:pt>
                <c:pt idx="20">
                  <c:v>45601</c:v>
                </c:pt>
                <c:pt idx="21">
                  <c:v>45671</c:v>
                </c:pt>
                <c:pt idx="22">
                  <c:v>45712</c:v>
                </c:pt>
                <c:pt idx="23">
                  <c:v>45722</c:v>
                </c:pt>
                <c:pt idx="24">
                  <c:v>45726</c:v>
                </c:pt>
                <c:pt idx="25">
                  <c:v>45730</c:v>
                </c:pt>
                <c:pt idx="26">
                  <c:v>45736</c:v>
                </c:pt>
                <c:pt idx="27">
                  <c:v>45744</c:v>
                </c:pt>
                <c:pt idx="28">
                  <c:v>45748</c:v>
                </c:pt>
                <c:pt idx="29">
                  <c:v>45751</c:v>
                </c:pt>
                <c:pt idx="30">
                  <c:v>45754</c:v>
                </c:pt>
                <c:pt idx="31">
                  <c:v>45756</c:v>
                </c:pt>
                <c:pt idx="32">
                  <c:v>45762</c:v>
                </c:pt>
                <c:pt idx="33">
                  <c:v>45769</c:v>
                </c:pt>
                <c:pt idx="34">
                  <c:v>45772</c:v>
                </c:pt>
                <c:pt idx="35">
                  <c:v>45775</c:v>
                </c:pt>
                <c:pt idx="36">
                  <c:v>45792</c:v>
                </c:pt>
                <c:pt idx="37">
                  <c:v>45798</c:v>
                </c:pt>
                <c:pt idx="38">
                  <c:v>45803</c:v>
                </c:pt>
                <c:pt idx="39">
                  <c:v>45810</c:v>
                </c:pt>
                <c:pt idx="40">
                  <c:v>45818</c:v>
                </c:pt>
                <c:pt idx="41">
                  <c:v>45824</c:v>
                </c:pt>
                <c:pt idx="42">
                  <c:v>45831</c:v>
                </c:pt>
                <c:pt idx="43">
                  <c:v>45839</c:v>
                </c:pt>
                <c:pt idx="44">
                  <c:v>45846</c:v>
                </c:pt>
                <c:pt idx="45">
                  <c:v>45853</c:v>
                </c:pt>
              </c:numCache>
            </c:numRef>
          </c:xVal>
          <c:yVal>
            <c:numRef>
              <c:f>Déplacements!$C$10:$C$33</c:f>
              <c:numCache>
                <c:formatCode>\+\ 0.0;\-\ 0.0;\±\ 0.0</c:formatCode>
                <c:ptCount val="24"/>
                <c:pt idx="0">
                  <c:v>0</c:v>
                </c:pt>
                <c:pt idx="1">
                  <c:v>-1.0661901741011448</c:v>
                </c:pt>
                <c:pt idx="2">
                  <c:v>0</c:v>
                </c:pt>
                <c:pt idx="3">
                  <c:v>-1.4679209647860958</c:v>
                </c:pt>
                <c:pt idx="4">
                  <c:v>-2.2708682755734344</c:v>
                </c:pt>
                <c:pt idx="5">
                  <c:v>-2.5019013317999494</c:v>
                </c:pt>
                <c:pt idx="6">
                  <c:v>-1.8114974495757608</c:v>
                </c:pt>
                <c:pt idx="7">
                  <c:v>-1.1962246062218185</c:v>
                </c:pt>
                <c:pt idx="8">
                  <c:v>-1.6242267734734028</c:v>
                </c:pt>
                <c:pt idx="9">
                  <c:v>-1.5575236295433115</c:v>
                </c:pt>
                <c:pt idx="10">
                  <c:v>-1.2194405409600151</c:v>
                </c:pt>
                <c:pt idx="11">
                  <c:v>-1.9444921846440977</c:v>
                </c:pt>
                <c:pt idx="12">
                  <c:v>-1.8777890407148945</c:v>
                </c:pt>
                <c:pt idx="13">
                  <c:v>-1.865567674085078</c:v>
                </c:pt>
                <c:pt idx="14">
                  <c:v>-2.2703539065993539</c:v>
                </c:pt>
                <c:pt idx="15">
                  <c:v>-2.1675010317538934</c:v>
                </c:pt>
                <c:pt idx="16">
                  <c:v>-2.2703539065993539</c:v>
                </c:pt>
                <c:pt idx="17">
                  <c:v>-1.9984594874626893</c:v>
                </c:pt>
                <c:pt idx="18">
                  <c:v>-2.5478444326152427</c:v>
                </c:pt>
                <c:pt idx="19">
                  <c:v>-2.1313513079528335</c:v>
                </c:pt>
                <c:pt idx="20">
                  <c:v>-2.1313513079528335</c:v>
                </c:pt>
                <c:pt idx="21">
                  <c:v>-4.8070057105320529</c:v>
                </c:pt>
                <c:pt idx="22">
                  <c:v>-3.2784923870847749</c:v>
                </c:pt>
                <c:pt idx="23">
                  <c:v>-3.5564973875823469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F39-432B-98B9-1D559EE72A2E}"/>
            </c:ext>
          </c:extLst>
        </c:ser>
        <c:ser>
          <c:idx val="6"/>
          <c:order val="4"/>
          <c:tx>
            <c:strRef>
              <c:f>Déplacements!$O$9</c:f>
              <c:strCache>
                <c:ptCount val="1"/>
                <c:pt idx="0">
                  <c:v>DPM bas droit</c:v>
                </c:pt>
              </c:strCache>
            </c:strRef>
          </c:tx>
          <c:spPr>
            <a:ln w="15875" cap="rnd">
              <a:solidFill>
                <a:schemeClr val="accent1">
                  <a:lumMod val="60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lumMod val="60000"/>
                      <a:tint val="50000"/>
                      <a:satMod val="300000"/>
                    </a:schemeClr>
                  </a:gs>
                  <a:gs pos="35000">
                    <a:schemeClr val="accent1">
                      <a:lumMod val="60000"/>
                      <a:tint val="37000"/>
                      <a:satMod val="300000"/>
                    </a:schemeClr>
                  </a:gs>
                  <a:gs pos="100000">
                    <a:schemeClr val="accent1">
                      <a:lumMod val="60000"/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lumMod val="60000"/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marker>
          <c:xVal>
            <c:numRef>
              <c:f>Déplacements!$B$10:$B$155</c:f>
              <c:numCache>
                <c:formatCode>dd\ /\ mm\ /\ yy</c:formatCode>
                <c:ptCount val="146"/>
                <c:pt idx="0">
                  <c:v>45324</c:v>
                </c:pt>
                <c:pt idx="1">
                  <c:v>45327</c:v>
                </c:pt>
                <c:pt idx="2">
                  <c:v>45329</c:v>
                </c:pt>
                <c:pt idx="3">
                  <c:v>45331</c:v>
                </c:pt>
                <c:pt idx="4">
                  <c:v>45334</c:v>
                </c:pt>
                <c:pt idx="5">
                  <c:v>45335</c:v>
                </c:pt>
                <c:pt idx="6">
                  <c:v>45337</c:v>
                </c:pt>
                <c:pt idx="7">
                  <c:v>45338</c:v>
                </c:pt>
                <c:pt idx="8">
                  <c:v>45341</c:v>
                </c:pt>
                <c:pt idx="9">
                  <c:v>45343</c:v>
                </c:pt>
                <c:pt idx="10">
                  <c:v>45348</c:v>
                </c:pt>
                <c:pt idx="11">
                  <c:v>45350</c:v>
                </c:pt>
                <c:pt idx="12">
                  <c:v>45364</c:v>
                </c:pt>
                <c:pt idx="13">
                  <c:v>45390</c:v>
                </c:pt>
                <c:pt idx="14">
                  <c:v>45404</c:v>
                </c:pt>
                <c:pt idx="15">
                  <c:v>45411</c:v>
                </c:pt>
                <c:pt idx="16">
                  <c:v>45426</c:v>
                </c:pt>
                <c:pt idx="17">
                  <c:v>45453</c:v>
                </c:pt>
                <c:pt idx="18">
                  <c:v>45481</c:v>
                </c:pt>
                <c:pt idx="19">
                  <c:v>45544</c:v>
                </c:pt>
                <c:pt idx="20">
                  <c:v>45601</c:v>
                </c:pt>
                <c:pt idx="21">
                  <c:v>45671</c:v>
                </c:pt>
                <c:pt idx="22">
                  <c:v>45712</c:v>
                </c:pt>
                <c:pt idx="23">
                  <c:v>45722</c:v>
                </c:pt>
                <c:pt idx="24">
                  <c:v>45726</c:v>
                </c:pt>
                <c:pt idx="25">
                  <c:v>45730</c:v>
                </c:pt>
                <c:pt idx="26">
                  <c:v>45736</c:v>
                </c:pt>
                <c:pt idx="27">
                  <c:v>45744</c:v>
                </c:pt>
                <c:pt idx="28">
                  <c:v>45748</c:v>
                </c:pt>
                <c:pt idx="29">
                  <c:v>45751</c:v>
                </c:pt>
                <c:pt idx="30">
                  <c:v>45754</c:v>
                </c:pt>
                <c:pt idx="31">
                  <c:v>45756</c:v>
                </c:pt>
                <c:pt idx="32">
                  <c:v>45762</c:v>
                </c:pt>
                <c:pt idx="33">
                  <c:v>45769</c:v>
                </c:pt>
                <c:pt idx="34">
                  <c:v>45772</c:v>
                </c:pt>
                <c:pt idx="35">
                  <c:v>45775</c:v>
                </c:pt>
                <c:pt idx="36">
                  <c:v>45792</c:v>
                </c:pt>
                <c:pt idx="37">
                  <c:v>45798</c:v>
                </c:pt>
                <c:pt idx="38">
                  <c:v>45803</c:v>
                </c:pt>
                <c:pt idx="39">
                  <c:v>45810</c:v>
                </c:pt>
                <c:pt idx="40">
                  <c:v>45818</c:v>
                </c:pt>
                <c:pt idx="41">
                  <c:v>45824</c:v>
                </c:pt>
                <c:pt idx="42">
                  <c:v>45831</c:v>
                </c:pt>
                <c:pt idx="43">
                  <c:v>45839</c:v>
                </c:pt>
                <c:pt idx="44">
                  <c:v>45846</c:v>
                </c:pt>
                <c:pt idx="45">
                  <c:v>45853</c:v>
                </c:pt>
                <c:pt idx="46">
                  <c:v>45861</c:v>
                </c:pt>
                <c:pt idx="47">
                  <c:v>45867</c:v>
                </c:pt>
              </c:numCache>
            </c:numRef>
          </c:xVal>
          <c:yVal>
            <c:numRef>
              <c:f>Déplacements!$O$10:$O$155</c:f>
              <c:numCache>
                <c:formatCode>\+\ 0.0;\-\ 0.0;\±\ 0.0</c:formatCode>
                <c:ptCount val="146"/>
                <c:pt idx="0">
                  <c:v>0</c:v>
                </c:pt>
                <c:pt idx="1">
                  <c:v>-0.62551134596144919</c:v>
                </c:pt>
                <c:pt idx="2">
                  <c:v>0</c:v>
                </c:pt>
                <c:pt idx="3">
                  <c:v>-0.95876962802332599</c:v>
                </c:pt>
                <c:pt idx="4">
                  <c:v>-1.5142652529354095</c:v>
                </c:pt>
                <c:pt idx="5">
                  <c:v>-1.6108788205091429</c:v>
                </c:pt>
                <c:pt idx="6">
                  <c:v>-1.5008217546235159</c:v>
                </c:pt>
                <c:pt idx="7">
                  <c:v>-0.58321844667030831</c:v>
                </c:pt>
                <c:pt idx="8">
                  <c:v>-0.83758480518714151</c:v>
                </c:pt>
                <c:pt idx="9">
                  <c:v>-0.74084261721463207</c:v>
                </c:pt>
                <c:pt idx="10">
                  <c:v>-0.50561240347590797</c:v>
                </c:pt>
                <c:pt idx="11">
                  <c:v>-1.448076681881183</c:v>
                </c:pt>
                <c:pt idx="12">
                  <c:v>-1.713860315751603</c:v>
                </c:pt>
                <c:pt idx="13">
                  <c:v>-1.448076681881183</c:v>
                </c:pt>
                <c:pt idx="14">
                  <c:v>-0.66294695011226423</c:v>
                </c:pt>
                <c:pt idx="15">
                  <c:v>-1.5025583607890525</c:v>
                </c:pt>
                <c:pt idx="16">
                  <c:v>-0.66294695011226423</c:v>
                </c:pt>
                <c:pt idx="17">
                  <c:v>-0.94001920507835734</c:v>
                </c:pt>
                <c:pt idx="18">
                  <c:v>-1.5993005487615619</c:v>
                </c:pt>
                <c:pt idx="19">
                  <c:v>-1.0616223973594074</c:v>
                </c:pt>
                <c:pt idx="20">
                  <c:v>-1.0616223973594074</c:v>
                </c:pt>
                <c:pt idx="21">
                  <c:v>-2.4093872843700126</c:v>
                </c:pt>
                <c:pt idx="22">
                  <c:v>-1.6237432820194186</c:v>
                </c:pt>
                <c:pt idx="23">
                  <c:v>-1.6542966950350291</c:v>
                </c:pt>
                <c:pt idx="24">
                  <c:v>-2.0529721422830605</c:v>
                </c:pt>
                <c:pt idx="25">
                  <c:v>-1.2678425089092116</c:v>
                </c:pt>
                <c:pt idx="26">
                  <c:v>-1.2316928835032215</c:v>
                </c:pt>
                <c:pt idx="27">
                  <c:v>-0.79075692007357645</c:v>
                </c:pt>
                <c:pt idx="28">
                  <c:v>-1.5130103556142416</c:v>
                </c:pt>
                <c:pt idx="29">
                  <c:v>-2.8992087072010619</c:v>
                </c:pt>
                <c:pt idx="30">
                  <c:v>-2.8508375112625828</c:v>
                </c:pt>
                <c:pt idx="31">
                  <c:v>-2.4704941103994571</c:v>
                </c:pt>
                <c:pt idx="32">
                  <c:v>-2.4282336997289988</c:v>
                </c:pt>
                <c:pt idx="33">
                  <c:v>-2.2169318431597418</c:v>
                </c:pt>
                <c:pt idx="34">
                  <c:v>-2.2108211634046526</c:v>
                </c:pt>
                <c:pt idx="35">
                  <c:v>-3.4491080213259195</c:v>
                </c:pt>
                <c:pt idx="36">
                  <c:v>-2.0840400297830186</c:v>
                </c:pt>
                <c:pt idx="37">
                  <c:v>-3.6909633893058569</c:v>
                </c:pt>
                <c:pt idx="38">
                  <c:v>-3.4134727648957863</c:v>
                </c:pt>
                <c:pt idx="39">
                  <c:v>-3.0809859870943868</c:v>
                </c:pt>
                <c:pt idx="40">
                  <c:v>-3.4318048112824684</c:v>
                </c:pt>
                <c:pt idx="41">
                  <c:v>-3.1354677643955498</c:v>
                </c:pt>
                <c:pt idx="42">
                  <c:v>-3.0631683096817852</c:v>
                </c:pt>
                <c:pt idx="43">
                  <c:v>-3.4318048112824684</c:v>
                </c:pt>
                <c:pt idx="44">
                  <c:v>-2.5137833645292318</c:v>
                </c:pt>
                <c:pt idx="45">
                  <c:v>-2.7011568568111599</c:v>
                </c:pt>
                <c:pt idx="46">
                  <c:v>-2.2602209988935584</c:v>
                </c:pt>
                <c:pt idx="47">
                  <c:v>-1.4206095882167702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F39-432B-98B9-1D559EE72A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5552608"/>
        <c:axId val="465553000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6"/>
                <c:tx>
                  <c:strRef>
                    <c:extLst>
                      <c:ext uri="{02D57815-91ED-43cb-92C2-25804820EDAC}">
                        <c15:formulaRef>
                          <c15:sqref>Graphiques!$AC$13</c15:sqref>
                        </c15:formulaRef>
                      </c:ext>
                    </c:extLst>
                    <c:strCache>
                      <c:ptCount val="1"/>
                      <c:pt idx="0">
                        <c:v>Seuil de vigilance CV</c:v>
                      </c:pt>
                    </c:strCache>
                  </c:strRef>
                </c:tx>
                <c:spPr>
                  <a:ln w="15875" cap="rnd">
                    <a:solidFill>
                      <a:schemeClr val="accent1"/>
                    </a:solidFill>
                    <a:round/>
                  </a:ln>
                  <a:effectLst>
                    <a:outerShdw blurRad="40000" dist="20000" dir="5400000" rotWithShape="0">
                      <a:srgbClr val="000000">
                        <a:alpha val="38000"/>
                      </a:srgbClr>
                    </a:outerShdw>
                  </a:effectLst>
                </c:spPr>
                <c:marker>
                  <c:symbol val="none"/>
                </c:marke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50000"/>
                              <a:lumOff val="50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fr-FR"/>
                    </a:p>
                  </c:txPr>
                  <c:dLblPos val="r"/>
                  <c:showLegendKey val="0"/>
                  <c:showVal val="0"/>
                  <c:showCatName val="0"/>
                  <c:showSerName val="1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0"/>
                    </c:ext>
                  </c:extLst>
                </c:dLbls>
                <c:xVal>
                  <c:numRef>
                    <c:extLst>
                      <c:ext uri="{02D57815-91ED-43cb-92C2-25804820EDAC}">
                        <c15:formulaRef>
                          <c15:sqref>Graphiques!$AE$13:$AE$14</c15:sqref>
                        </c15:formulaRef>
                      </c:ext>
                    </c:extLst>
                    <c:numCache>
                      <c:formatCode>m/d/yyyy</c:formatCode>
                      <c:ptCount val="2"/>
                      <c:pt idx="0">
                        <c:v>43682</c:v>
                      </c:pt>
                      <c:pt idx="1">
                        <c:v>46388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Graphiques!$AD$13:$AD$14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-181</c:v>
                      </c:pt>
                      <c:pt idx="1">
                        <c:v>-181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6-1F39-432B-98B9-1D559EE72A2E}"/>
                  </c:ext>
                </c:extLst>
              </c15:ser>
            </c15:filteredScatterSeries>
            <c15:filteredScatterSeries>
              <c15:ser>
                <c:idx val="2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Graphiques!$AC$15</c15:sqref>
                        </c15:formulaRef>
                      </c:ext>
                    </c:extLst>
                    <c:strCache>
                      <c:ptCount val="1"/>
                      <c:pt idx="0">
                        <c:v>Seuil d'alerte CV</c:v>
                      </c:pt>
                    </c:strCache>
                  </c:strRef>
                </c:tx>
                <c:spPr>
                  <a:ln w="15875" cap="rnd">
                    <a:solidFill>
                      <a:schemeClr val="accent3"/>
                    </a:solidFill>
                    <a:round/>
                  </a:ln>
                  <a:effectLst>
                    <a:outerShdw blurRad="40000" dist="20000" dir="5400000" rotWithShape="0">
                      <a:srgbClr val="000000">
                        <a:alpha val="38000"/>
                      </a:srgbClr>
                    </a:outerShdw>
                  </a:effectLst>
                </c:spPr>
                <c:marker>
                  <c:symbol val="none"/>
                </c:marke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50000"/>
                              <a:lumOff val="50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fr-FR"/>
                    </a:p>
                  </c:txPr>
                  <c:dLblPos val="r"/>
                  <c:showLegendKey val="0"/>
                  <c:showVal val="0"/>
                  <c:showCatName val="0"/>
                  <c:showSerName val="1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0"/>
                    </c:ext>
                  </c:extLst>
                </c:dLbl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Graphiques!$AE$15:$AE$16</c15:sqref>
                        </c15:formulaRef>
                      </c:ext>
                    </c:extLst>
                    <c:numCache>
                      <c:formatCode>m/d/yyyy</c:formatCode>
                      <c:ptCount val="2"/>
                      <c:pt idx="0">
                        <c:v>43682</c:v>
                      </c:pt>
                      <c:pt idx="1">
                        <c:v>46388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Graphiques!$AD$15:$AD$16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-226</c:v>
                      </c:pt>
                      <c:pt idx="1">
                        <c:v>-226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1F39-432B-98B9-1D559EE72A2E}"/>
                  </c:ext>
                </c:extLst>
              </c15:ser>
            </c15:filteredScatterSeries>
            <c15:filteredScatterSeries>
              <c15:ser>
                <c:idx val="7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Graphiques!$AC$17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587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>
                    <a:outerShdw blurRad="40000" dist="20000" dir="5400000" rotWithShape="0">
                      <a:srgbClr val="000000">
                        <a:alpha val="38000"/>
                      </a:srgbClr>
                    </a:outerShdw>
                  </a:effectLst>
                </c:spPr>
                <c:marker>
                  <c:symbol val="none"/>
                </c:marke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50000"/>
                              <a:lumOff val="50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fr-FR"/>
                    </a:p>
                  </c:txPr>
                  <c:dLblPos val="r"/>
                  <c:showLegendKey val="0"/>
                  <c:showVal val="0"/>
                  <c:showCatName val="0"/>
                  <c:showSerName val="1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0"/>
                    </c:ext>
                  </c:extLst>
                </c:dLbl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Graphiques!$AE$17:$AE$18</c15:sqref>
                        </c15:formulaRef>
                      </c:ext>
                    </c:extLst>
                    <c:numCache>
                      <c:formatCode>m/d/yyyy</c:formatCode>
                      <c:ptCount val="2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Graphiques!$AD$17:$AD$18</c15:sqref>
                        </c15:formulaRef>
                      </c:ext>
                    </c:extLst>
                    <c:numCache>
                      <c:formatCode>General</c:formatCode>
                      <c:ptCount val="2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1F39-432B-98B9-1D559EE72A2E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Graphiques!$AC$19</c15:sqref>
                        </c15:formulaRef>
                      </c:ext>
                    </c:extLst>
                    <c:strCache>
                      <c:ptCount val="1"/>
                      <c:pt idx="0">
                        <c:v>Seuil de vigilance CH</c:v>
                      </c:pt>
                    </c:strCache>
                  </c:strRef>
                </c:tx>
                <c:spPr>
                  <a:ln w="15875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>
                    <a:outerShdw blurRad="40000" dist="20000" dir="5400000" rotWithShape="0">
                      <a:srgbClr val="000000">
                        <a:alpha val="38000"/>
                      </a:srgbClr>
                    </a:outerShdw>
                  </a:effectLst>
                </c:spPr>
                <c:marker>
                  <c:symbol val="none"/>
                </c:marke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50000"/>
                              <a:lumOff val="50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fr-FR"/>
                    </a:p>
                  </c:txPr>
                  <c:dLblPos val="r"/>
                  <c:showLegendKey val="0"/>
                  <c:showVal val="0"/>
                  <c:showCatName val="0"/>
                  <c:showSerName val="1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0"/>
                    </c:ext>
                  </c:extLst>
                </c:dLbl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Graphiques!$AE$19:$AE$20</c15:sqref>
                        </c15:formulaRef>
                      </c:ext>
                    </c:extLst>
                    <c:numCache>
                      <c:formatCode>m/d/yyyy</c:formatCode>
                      <c:ptCount val="2"/>
                      <c:pt idx="0">
                        <c:v>43682</c:v>
                      </c:pt>
                      <c:pt idx="1">
                        <c:v>46388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Graphiques!$AD$19:$AD$20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-58</c:v>
                      </c:pt>
                      <c:pt idx="1">
                        <c:v>-58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1F39-432B-98B9-1D559EE72A2E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8"/>
          <c:order val="5"/>
          <c:tx>
            <c:v>"PM front"</c:v>
          </c:tx>
          <c:spPr>
            <a:ln w="15875" cap="rnd">
              <a:solidFill>
                <a:schemeClr val="accent3">
                  <a:lumMod val="60000"/>
                </a:schemeClr>
              </a:solidFill>
              <a:prstDash val="sysDash"/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marker>
            <c:symbol val="none"/>
          </c:marker>
          <c:xVal>
            <c:numRef>
              <c:f>Déplacements!$B$10:$B$55</c:f>
              <c:numCache>
                <c:formatCode>dd\ /\ mm\ /\ yy</c:formatCode>
                <c:ptCount val="46"/>
                <c:pt idx="0">
                  <c:v>45324</c:v>
                </c:pt>
                <c:pt idx="1">
                  <c:v>45327</c:v>
                </c:pt>
                <c:pt idx="2">
                  <c:v>45329</c:v>
                </c:pt>
                <c:pt idx="3">
                  <c:v>45331</c:v>
                </c:pt>
                <c:pt idx="4">
                  <c:v>45334</c:v>
                </c:pt>
                <c:pt idx="5">
                  <c:v>45335</c:v>
                </c:pt>
                <c:pt idx="6">
                  <c:v>45337</c:v>
                </c:pt>
                <c:pt idx="7">
                  <c:v>45338</c:v>
                </c:pt>
                <c:pt idx="8">
                  <c:v>45341</c:v>
                </c:pt>
                <c:pt idx="9">
                  <c:v>45343</c:v>
                </c:pt>
                <c:pt idx="10">
                  <c:v>45348</c:v>
                </c:pt>
                <c:pt idx="11">
                  <c:v>45350</c:v>
                </c:pt>
                <c:pt idx="12">
                  <c:v>45364</c:v>
                </c:pt>
                <c:pt idx="13">
                  <c:v>45390</c:v>
                </c:pt>
                <c:pt idx="14">
                  <c:v>45404</c:v>
                </c:pt>
                <c:pt idx="15">
                  <c:v>45411</c:v>
                </c:pt>
                <c:pt idx="16">
                  <c:v>45426</c:v>
                </c:pt>
                <c:pt idx="17">
                  <c:v>45453</c:v>
                </c:pt>
                <c:pt idx="18">
                  <c:v>45481</c:v>
                </c:pt>
                <c:pt idx="19">
                  <c:v>45544</c:v>
                </c:pt>
                <c:pt idx="20">
                  <c:v>45601</c:v>
                </c:pt>
                <c:pt idx="21">
                  <c:v>45671</c:v>
                </c:pt>
                <c:pt idx="22">
                  <c:v>45712</c:v>
                </c:pt>
                <c:pt idx="23">
                  <c:v>45722</c:v>
                </c:pt>
                <c:pt idx="24">
                  <c:v>45726</c:v>
                </c:pt>
                <c:pt idx="25">
                  <c:v>45730</c:v>
                </c:pt>
                <c:pt idx="26">
                  <c:v>45736</c:v>
                </c:pt>
                <c:pt idx="27">
                  <c:v>45744</c:v>
                </c:pt>
                <c:pt idx="28">
                  <c:v>45748</c:v>
                </c:pt>
                <c:pt idx="29">
                  <c:v>45751</c:v>
                </c:pt>
                <c:pt idx="30">
                  <c:v>45754</c:v>
                </c:pt>
                <c:pt idx="31">
                  <c:v>45756</c:v>
                </c:pt>
                <c:pt idx="32">
                  <c:v>45762</c:v>
                </c:pt>
                <c:pt idx="33">
                  <c:v>45769</c:v>
                </c:pt>
                <c:pt idx="34">
                  <c:v>45772</c:v>
                </c:pt>
                <c:pt idx="35">
                  <c:v>45775</c:v>
                </c:pt>
                <c:pt idx="36">
                  <c:v>45792</c:v>
                </c:pt>
                <c:pt idx="37">
                  <c:v>45798</c:v>
                </c:pt>
                <c:pt idx="38">
                  <c:v>45803</c:v>
                </c:pt>
                <c:pt idx="39">
                  <c:v>45810</c:v>
                </c:pt>
                <c:pt idx="40">
                  <c:v>45818</c:v>
                </c:pt>
                <c:pt idx="41">
                  <c:v>45824</c:v>
                </c:pt>
                <c:pt idx="42">
                  <c:v>45831</c:v>
                </c:pt>
                <c:pt idx="43">
                  <c:v>45839</c:v>
                </c:pt>
                <c:pt idx="44">
                  <c:v>45846</c:v>
                </c:pt>
                <c:pt idx="45">
                  <c:v>45853</c:v>
                </c:pt>
              </c:numCache>
            </c:numRef>
          </c:xVal>
          <c:yVal>
            <c:numRef>
              <c:f>'Résultats observations'!$C$10:$C$55</c:f>
              <c:numCache>
                <c:formatCode>0.0</c:formatCode>
                <c:ptCount val="46"/>
                <c:pt idx="0">
                  <c:v>9.39</c:v>
                </c:pt>
                <c:pt idx="1">
                  <c:v>9.39</c:v>
                </c:pt>
                <c:pt idx="2">
                  <c:v>11.5</c:v>
                </c:pt>
                <c:pt idx="3">
                  <c:v>11.5</c:v>
                </c:pt>
                <c:pt idx="4">
                  <c:v>11.5</c:v>
                </c:pt>
                <c:pt idx="5">
                  <c:v>11.5</c:v>
                </c:pt>
                <c:pt idx="6">
                  <c:v>11.5</c:v>
                </c:pt>
                <c:pt idx="7">
                  <c:v>11.5</c:v>
                </c:pt>
                <c:pt idx="8">
                  <c:v>11.5</c:v>
                </c:pt>
                <c:pt idx="9">
                  <c:v>11.5</c:v>
                </c:pt>
                <c:pt idx="10">
                  <c:v>11.5</c:v>
                </c:pt>
                <c:pt idx="11">
                  <c:v>11.5</c:v>
                </c:pt>
                <c:pt idx="12">
                  <c:v>11.5</c:v>
                </c:pt>
                <c:pt idx="13">
                  <c:v>11.5</c:v>
                </c:pt>
                <c:pt idx="14">
                  <c:v>11.5</c:v>
                </c:pt>
                <c:pt idx="15">
                  <c:v>11.5</c:v>
                </c:pt>
                <c:pt idx="16">
                  <c:v>11.5</c:v>
                </c:pt>
                <c:pt idx="17">
                  <c:v>11.5</c:v>
                </c:pt>
                <c:pt idx="18">
                  <c:v>11.5</c:v>
                </c:pt>
                <c:pt idx="19">
                  <c:v>11.5</c:v>
                </c:pt>
                <c:pt idx="20">
                  <c:v>11.5</c:v>
                </c:pt>
                <c:pt idx="21">
                  <c:v>11.5</c:v>
                </c:pt>
                <c:pt idx="22">
                  <c:v>11.5</c:v>
                </c:pt>
                <c:pt idx="23">
                  <c:v>13</c:v>
                </c:pt>
                <c:pt idx="24">
                  <c:v>13</c:v>
                </c:pt>
                <c:pt idx="25">
                  <c:v>14.2</c:v>
                </c:pt>
                <c:pt idx="26">
                  <c:v>14.2</c:v>
                </c:pt>
                <c:pt idx="27">
                  <c:v>15.8</c:v>
                </c:pt>
                <c:pt idx="28">
                  <c:v>15.8</c:v>
                </c:pt>
                <c:pt idx="29">
                  <c:v>17.45</c:v>
                </c:pt>
                <c:pt idx="30">
                  <c:v>18.3</c:v>
                </c:pt>
                <c:pt idx="31">
                  <c:v>19.43</c:v>
                </c:pt>
                <c:pt idx="32">
                  <c:v>19.43</c:v>
                </c:pt>
                <c:pt idx="33">
                  <c:v>19.43</c:v>
                </c:pt>
                <c:pt idx="34">
                  <c:v>21</c:v>
                </c:pt>
                <c:pt idx="35">
                  <c:v>21</c:v>
                </c:pt>
                <c:pt idx="36">
                  <c:v>21</c:v>
                </c:pt>
                <c:pt idx="37">
                  <c:v>23.2</c:v>
                </c:pt>
                <c:pt idx="38">
                  <c:v>23.7</c:v>
                </c:pt>
                <c:pt idx="39">
                  <c:v>24.6</c:v>
                </c:pt>
                <c:pt idx="40">
                  <c:v>26</c:v>
                </c:pt>
                <c:pt idx="41">
                  <c:v>26.8</c:v>
                </c:pt>
                <c:pt idx="42">
                  <c:v>28.1</c:v>
                </c:pt>
                <c:pt idx="43">
                  <c:v>29.4</c:v>
                </c:pt>
                <c:pt idx="44">
                  <c:v>29.8</c:v>
                </c:pt>
                <c:pt idx="45">
                  <c:v>31.4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1F39-432B-98B9-1D559EE72A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1293408"/>
        <c:axId val="465553392"/>
      </c:scatterChart>
      <c:valAx>
        <c:axId val="465552608"/>
        <c:scaling>
          <c:orientation val="minMax"/>
          <c:max val="45880"/>
          <c:min val="4532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Date</a:t>
                </a:r>
              </a:p>
            </c:rich>
          </c:tx>
          <c:layout>
            <c:manualLayout>
              <c:xMode val="edge"/>
              <c:yMode val="edge"/>
              <c:x val="0.91973714230941661"/>
              <c:y val="0.8566652473436339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dd/mm/yyyy" sourceLinked="0"/>
        <c:majorTickMark val="cross"/>
        <c:minorTickMark val="none"/>
        <c:tickLblPos val="low"/>
        <c:spPr>
          <a:noFill/>
          <a:ln>
            <a:solidFill>
              <a:srgbClr val="4F81BD">
                <a:lumMod val="100000"/>
              </a:srgbClr>
            </a:solidFill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65553000"/>
        <c:crossesAt val="0"/>
        <c:crossBetween val="midCat"/>
        <c:majorUnit val="14"/>
      </c:valAx>
      <c:valAx>
        <c:axId val="465553000"/>
        <c:scaling>
          <c:orientation val="minMax"/>
          <c:max val="50"/>
          <c:min val="-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Déplacement [mm]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\+\ 0.0;\-\ 0.0;\±\ 0.0" sourceLinked="0"/>
        <c:majorTickMark val="cross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65552608"/>
        <c:crosses val="autoZero"/>
        <c:crossBetween val="midCat"/>
        <c:majorUnit val="5"/>
      </c:valAx>
      <c:valAx>
        <c:axId val="465553392"/>
        <c:scaling>
          <c:orientation val="minMax"/>
          <c:max val="60"/>
          <c:min val="-30"/>
        </c:scaling>
        <c:delete val="0"/>
        <c:axPos val="r"/>
        <c:numFmt formatCode="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61293408"/>
        <c:crosses val="max"/>
        <c:crossBetween val="midCat"/>
      </c:valAx>
      <c:valAx>
        <c:axId val="461293408"/>
        <c:scaling>
          <c:orientation val="minMax"/>
        </c:scaling>
        <c:delete val="1"/>
        <c:axPos val="b"/>
        <c:numFmt formatCode="dd\ /\ mm\ /\ yy" sourceLinked="1"/>
        <c:majorTickMark val="out"/>
        <c:minorTickMark val="none"/>
        <c:tickLblPos val="nextTo"/>
        <c:crossAx val="4655533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9377920436433802"/>
          <c:y val="0.67879604569540353"/>
          <c:w val="0.55789021032412212"/>
          <c:h val="0.1136153268936321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span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 alignWithMargins="0"/>
    <c:pageMargins b="0.98425196899999956" l="0.78740157499999996" r="0.78740157499999996" t="0.98425196899999956" header="0.49212598450000589" footer="0.49212598450000589"/>
    <c:pageSetup paperSize="9" orientation="landscape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 sz="1400" b="0" i="0" u="none" strike="noStrike" kern="1200" cap="none" spc="2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Déplacements dans le sens GRD , vue de la carrure</a:t>
            </a:r>
          </a:p>
        </c:rich>
      </c:tx>
      <c:layout>
        <c:manualLayout>
          <c:xMode val="edge"/>
          <c:yMode val="edge"/>
          <c:x val="0.20484273739130793"/>
          <c:y val="7.2591034883635495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9.3062159500593863E-2"/>
          <c:y val="6.6119187074636515E-2"/>
          <c:w val="0.81798471935900274"/>
          <c:h val="0.7454041903779145"/>
        </c:manualLayout>
      </c:layout>
      <c:scatterChart>
        <c:scatterStyle val="lineMarker"/>
        <c:varyColors val="0"/>
        <c:ser>
          <c:idx val="1"/>
          <c:order val="0"/>
          <c:tx>
            <c:strRef>
              <c:f>Déplacements!$J$9</c:f>
              <c:strCache>
                <c:ptCount val="1"/>
                <c:pt idx="0">
                  <c:v>DH centre haut</c:v>
                </c:pt>
              </c:strCache>
            </c:strRef>
          </c:tx>
          <c:spPr>
            <a:ln w="15875" cap="rnd">
              <a:solidFill>
                <a:schemeClr val="accent2"/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tint val="50000"/>
                      <a:satMod val="300000"/>
                    </a:schemeClr>
                  </a:gs>
                  <a:gs pos="35000">
                    <a:schemeClr val="accent2">
                      <a:tint val="37000"/>
                      <a:satMod val="300000"/>
                    </a:schemeClr>
                  </a:gs>
                  <a:gs pos="100000">
                    <a:schemeClr val="accent2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marker>
          <c:xVal>
            <c:numRef>
              <c:f>Déplacements!$B$10:$B$155</c:f>
              <c:numCache>
                <c:formatCode>dd\ /\ mm\ /\ yy</c:formatCode>
                <c:ptCount val="146"/>
                <c:pt idx="0">
                  <c:v>45324</c:v>
                </c:pt>
                <c:pt idx="1">
                  <c:v>45327</c:v>
                </c:pt>
                <c:pt idx="2">
                  <c:v>45329</c:v>
                </c:pt>
                <c:pt idx="3">
                  <c:v>45331</c:v>
                </c:pt>
                <c:pt idx="4">
                  <c:v>45334</c:v>
                </c:pt>
                <c:pt idx="5">
                  <c:v>45335</c:v>
                </c:pt>
                <c:pt idx="6">
                  <c:v>45337</c:v>
                </c:pt>
                <c:pt idx="7">
                  <c:v>45338</c:v>
                </c:pt>
                <c:pt idx="8">
                  <c:v>45341</c:v>
                </c:pt>
                <c:pt idx="9">
                  <c:v>45343</c:v>
                </c:pt>
                <c:pt idx="10">
                  <c:v>45348</c:v>
                </c:pt>
                <c:pt idx="11">
                  <c:v>45350</c:v>
                </c:pt>
                <c:pt idx="12">
                  <c:v>45364</c:v>
                </c:pt>
                <c:pt idx="13">
                  <c:v>45390</c:v>
                </c:pt>
                <c:pt idx="14">
                  <c:v>45404</c:v>
                </c:pt>
                <c:pt idx="15">
                  <c:v>45411</c:v>
                </c:pt>
                <c:pt idx="16">
                  <c:v>45426</c:v>
                </c:pt>
                <c:pt idx="17">
                  <c:v>45453</c:v>
                </c:pt>
                <c:pt idx="18">
                  <c:v>45481</c:v>
                </c:pt>
                <c:pt idx="19">
                  <c:v>45544</c:v>
                </c:pt>
                <c:pt idx="20">
                  <c:v>45601</c:v>
                </c:pt>
                <c:pt idx="21">
                  <c:v>45671</c:v>
                </c:pt>
                <c:pt idx="22">
                  <c:v>45712</c:v>
                </c:pt>
                <c:pt idx="23">
                  <c:v>45722</c:v>
                </c:pt>
                <c:pt idx="24">
                  <c:v>45726</c:v>
                </c:pt>
                <c:pt idx="25">
                  <c:v>45730</c:v>
                </c:pt>
                <c:pt idx="26">
                  <c:v>45736</c:v>
                </c:pt>
                <c:pt idx="27">
                  <c:v>45744</c:v>
                </c:pt>
                <c:pt idx="28">
                  <c:v>45748</c:v>
                </c:pt>
                <c:pt idx="29">
                  <c:v>45751</c:v>
                </c:pt>
                <c:pt idx="30">
                  <c:v>45754</c:v>
                </c:pt>
                <c:pt idx="31">
                  <c:v>45756</c:v>
                </c:pt>
                <c:pt idx="32">
                  <c:v>45762</c:v>
                </c:pt>
                <c:pt idx="33">
                  <c:v>45769</c:v>
                </c:pt>
                <c:pt idx="34">
                  <c:v>45772</c:v>
                </c:pt>
                <c:pt idx="35">
                  <c:v>45775</c:v>
                </c:pt>
                <c:pt idx="36">
                  <c:v>45792</c:v>
                </c:pt>
                <c:pt idx="37">
                  <c:v>45798</c:v>
                </c:pt>
                <c:pt idx="38">
                  <c:v>45803</c:v>
                </c:pt>
                <c:pt idx="39">
                  <c:v>45810</c:v>
                </c:pt>
                <c:pt idx="40">
                  <c:v>45818</c:v>
                </c:pt>
                <c:pt idx="41">
                  <c:v>45824</c:v>
                </c:pt>
                <c:pt idx="42">
                  <c:v>45831</c:v>
                </c:pt>
                <c:pt idx="43">
                  <c:v>45839</c:v>
                </c:pt>
                <c:pt idx="44">
                  <c:v>45846</c:v>
                </c:pt>
                <c:pt idx="45">
                  <c:v>45853</c:v>
                </c:pt>
                <c:pt idx="46">
                  <c:v>45861</c:v>
                </c:pt>
                <c:pt idx="47">
                  <c:v>45867</c:v>
                </c:pt>
              </c:numCache>
            </c:numRef>
          </c:xVal>
          <c:yVal>
            <c:numRef>
              <c:f>Déplacements!$J$10:$J$155</c:f>
              <c:numCache>
                <c:formatCode>\+\ 0.0;\-\ 0.0;\±\ 0.0</c:formatCode>
                <c:ptCount val="146"/>
                <c:pt idx="0">
                  <c:v>0</c:v>
                </c:pt>
                <c:pt idx="1">
                  <c:v>-0.34445090362707903</c:v>
                </c:pt>
                <c:pt idx="2">
                  <c:v>0</c:v>
                </c:pt>
                <c:pt idx="3">
                  <c:v>1.6764246624034715</c:v>
                </c:pt>
                <c:pt idx="4">
                  <c:v>3.1748988362985604</c:v>
                </c:pt>
                <c:pt idx="5">
                  <c:v>3.5101839277530531</c:v>
                </c:pt>
                <c:pt idx="6">
                  <c:v>3.3741080450322096</c:v>
                </c:pt>
                <c:pt idx="7">
                  <c:v>3.0961673582912721</c:v>
                </c:pt>
                <c:pt idx="8">
                  <c:v>3.5852814359087684</c:v>
                </c:pt>
                <c:pt idx="9">
                  <c:v>4.002288880345735</c:v>
                </c:pt>
                <c:pt idx="10">
                  <c:v>5.6993293791131574</c:v>
                </c:pt>
                <c:pt idx="11">
                  <c:v>5.4096174372700974</c:v>
                </c:pt>
                <c:pt idx="12">
                  <c:v>5.862774767324578</c:v>
                </c:pt>
                <c:pt idx="13">
                  <c:v>5.3429142933392821</c:v>
                </c:pt>
                <c:pt idx="14">
                  <c:v>4.5033029881725009</c:v>
                </c:pt>
                <c:pt idx="15">
                  <c:v>4.9926099436320612</c:v>
                </c:pt>
                <c:pt idx="16">
                  <c:v>4.5033029881725009</c:v>
                </c:pt>
                <c:pt idx="17">
                  <c:v>4.4133976374403812</c:v>
                </c:pt>
                <c:pt idx="18">
                  <c:v>5.2161331597173657</c:v>
                </c:pt>
                <c:pt idx="19">
                  <c:v>4.5333418775084668</c:v>
                </c:pt>
                <c:pt idx="20">
                  <c:v>4.5333418775084668</c:v>
                </c:pt>
                <c:pt idx="21">
                  <c:v>4.1774411607070467</c:v>
                </c:pt>
                <c:pt idx="22">
                  <c:v>4.3765218053559103</c:v>
                </c:pt>
                <c:pt idx="23">
                  <c:v>3.9055468470815535</c:v>
                </c:pt>
                <c:pt idx="24">
                  <c:v>4.3403721799498092</c:v>
                </c:pt>
                <c:pt idx="25">
                  <c:v>3.4824286665729351</c:v>
                </c:pt>
                <c:pt idx="26">
                  <c:v>3.555242286357398</c:v>
                </c:pt>
                <c:pt idx="27">
                  <c:v>1.0364081598400952</c:v>
                </c:pt>
                <c:pt idx="28">
                  <c:v>-1.9547998672086522</c:v>
                </c:pt>
                <c:pt idx="29">
                  <c:v>-3.7711118704655093</c:v>
                </c:pt>
                <c:pt idx="30">
                  <c:v>-4.5139811423662026</c:v>
                </c:pt>
                <c:pt idx="31">
                  <c:v>-6.0786440912169866</c:v>
                </c:pt>
                <c:pt idx="32">
                  <c:v>-7.8846480953874662</c:v>
                </c:pt>
                <c:pt idx="33">
                  <c:v>-11.20745831983977</c:v>
                </c:pt>
                <c:pt idx="34">
                  <c:v>-11.684543803166074</c:v>
                </c:pt>
                <c:pt idx="35">
                  <c:v>-11.714582903519302</c:v>
                </c:pt>
                <c:pt idx="36">
                  <c:v>-13.9136659878424</c:v>
                </c:pt>
                <c:pt idx="37">
                  <c:v>-14.517532865003204</c:v>
                </c:pt>
                <c:pt idx="38">
                  <c:v>-15.937082683043853</c:v>
                </c:pt>
                <c:pt idx="39">
                  <c:v>-15.586778122321908</c:v>
                </c:pt>
                <c:pt idx="40">
                  <c:v>-16.432500163557325</c:v>
                </c:pt>
                <c:pt idx="41">
                  <c:v>-15.81030150022417</c:v>
                </c:pt>
                <c:pt idx="42">
                  <c:v>-16.698283952134009</c:v>
                </c:pt>
                <c:pt idx="43">
                  <c:v>-17.453374485152693</c:v>
                </c:pt>
                <c:pt idx="44">
                  <c:v>-17.187076538622513</c:v>
                </c:pt>
                <c:pt idx="45">
                  <c:v>-17.108666291526696</c:v>
                </c:pt>
                <c:pt idx="46">
                  <c:v>-17.289929307957415</c:v>
                </c:pt>
                <c:pt idx="47">
                  <c:v>-17.344410979751309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2D-4A57-B414-E293B5040649}"/>
            </c:ext>
          </c:extLst>
        </c:ser>
        <c:ser>
          <c:idx val="3"/>
          <c:order val="1"/>
          <c:tx>
            <c:strRef>
              <c:f>Déplacements!$G$9</c:f>
              <c:strCache>
                <c:ptCount val="1"/>
                <c:pt idx="0">
                  <c:v>DH haut gauche</c:v>
                </c:pt>
              </c:strCache>
            </c:strRef>
          </c:tx>
          <c:spPr>
            <a:ln w="15875" cap="rnd">
              <a:solidFill>
                <a:schemeClr val="accent4"/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4">
                      <a:tint val="50000"/>
                      <a:satMod val="300000"/>
                    </a:schemeClr>
                  </a:gs>
                  <a:gs pos="35000">
                    <a:schemeClr val="accent4">
                      <a:tint val="37000"/>
                      <a:satMod val="300000"/>
                    </a:schemeClr>
                  </a:gs>
                  <a:gs pos="100000">
                    <a:schemeClr val="accent4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marker>
          <c:xVal>
            <c:numRef>
              <c:f>Déplacements!$B$10:$B$155</c:f>
              <c:numCache>
                <c:formatCode>dd\ /\ mm\ /\ yy</c:formatCode>
                <c:ptCount val="146"/>
                <c:pt idx="0">
                  <c:v>45324</c:v>
                </c:pt>
                <c:pt idx="1">
                  <c:v>45327</c:v>
                </c:pt>
                <c:pt idx="2">
                  <c:v>45329</c:v>
                </c:pt>
                <c:pt idx="3">
                  <c:v>45331</c:v>
                </c:pt>
                <c:pt idx="4">
                  <c:v>45334</c:v>
                </c:pt>
                <c:pt idx="5">
                  <c:v>45335</c:v>
                </c:pt>
                <c:pt idx="6">
                  <c:v>45337</c:v>
                </c:pt>
                <c:pt idx="7">
                  <c:v>45338</c:v>
                </c:pt>
                <c:pt idx="8">
                  <c:v>45341</c:v>
                </c:pt>
                <c:pt idx="9">
                  <c:v>45343</c:v>
                </c:pt>
                <c:pt idx="10">
                  <c:v>45348</c:v>
                </c:pt>
                <c:pt idx="11">
                  <c:v>45350</c:v>
                </c:pt>
                <c:pt idx="12">
                  <c:v>45364</c:v>
                </c:pt>
                <c:pt idx="13">
                  <c:v>45390</c:v>
                </c:pt>
                <c:pt idx="14">
                  <c:v>45404</c:v>
                </c:pt>
                <c:pt idx="15">
                  <c:v>45411</c:v>
                </c:pt>
                <c:pt idx="16">
                  <c:v>45426</c:v>
                </c:pt>
                <c:pt idx="17">
                  <c:v>45453</c:v>
                </c:pt>
                <c:pt idx="18">
                  <c:v>45481</c:v>
                </c:pt>
                <c:pt idx="19">
                  <c:v>45544</c:v>
                </c:pt>
                <c:pt idx="20">
                  <c:v>45601</c:v>
                </c:pt>
                <c:pt idx="21">
                  <c:v>45671</c:v>
                </c:pt>
                <c:pt idx="22">
                  <c:v>45712</c:v>
                </c:pt>
                <c:pt idx="23">
                  <c:v>45722</c:v>
                </c:pt>
                <c:pt idx="24">
                  <c:v>45726</c:v>
                </c:pt>
                <c:pt idx="25">
                  <c:v>45730</c:v>
                </c:pt>
                <c:pt idx="26">
                  <c:v>45736</c:v>
                </c:pt>
                <c:pt idx="27">
                  <c:v>45744</c:v>
                </c:pt>
                <c:pt idx="28">
                  <c:v>45748</c:v>
                </c:pt>
                <c:pt idx="29">
                  <c:v>45751</c:v>
                </c:pt>
                <c:pt idx="30">
                  <c:v>45754</c:v>
                </c:pt>
                <c:pt idx="31">
                  <c:v>45756</c:v>
                </c:pt>
                <c:pt idx="32">
                  <c:v>45762</c:v>
                </c:pt>
                <c:pt idx="33">
                  <c:v>45769</c:v>
                </c:pt>
                <c:pt idx="34">
                  <c:v>45772</c:v>
                </c:pt>
                <c:pt idx="35">
                  <c:v>45775</c:v>
                </c:pt>
                <c:pt idx="36">
                  <c:v>45792</c:v>
                </c:pt>
                <c:pt idx="37">
                  <c:v>45798</c:v>
                </c:pt>
                <c:pt idx="38">
                  <c:v>45803</c:v>
                </c:pt>
                <c:pt idx="39">
                  <c:v>45810</c:v>
                </c:pt>
                <c:pt idx="40">
                  <c:v>45818</c:v>
                </c:pt>
                <c:pt idx="41">
                  <c:v>45824</c:v>
                </c:pt>
                <c:pt idx="42">
                  <c:v>45831</c:v>
                </c:pt>
                <c:pt idx="43">
                  <c:v>45839</c:v>
                </c:pt>
                <c:pt idx="44">
                  <c:v>45846</c:v>
                </c:pt>
                <c:pt idx="45">
                  <c:v>45853</c:v>
                </c:pt>
                <c:pt idx="46">
                  <c:v>45861</c:v>
                </c:pt>
                <c:pt idx="47">
                  <c:v>45867</c:v>
                </c:pt>
              </c:numCache>
            </c:numRef>
          </c:xVal>
          <c:yVal>
            <c:numRef>
              <c:f>Déplacements!$G$10:$G$155</c:f>
              <c:numCache>
                <c:formatCode>\+\ 0.0;\-\ 0.0;\±\ 0.0</c:formatCode>
                <c:ptCount val="146"/>
                <c:pt idx="0">
                  <c:v>0</c:v>
                </c:pt>
                <c:pt idx="1">
                  <c:v>0.11176171354776443</c:v>
                </c:pt>
                <c:pt idx="2">
                  <c:v>0</c:v>
                </c:pt>
                <c:pt idx="3">
                  <c:v>0.23294648007787799</c:v>
                </c:pt>
                <c:pt idx="4">
                  <c:v>1.4712334927073911</c:v>
                </c:pt>
                <c:pt idx="5">
                  <c:v>1.68864613453934</c:v>
                </c:pt>
                <c:pt idx="6">
                  <c:v>2.0348767469364759</c:v>
                </c:pt>
                <c:pt idx="7">
                  <c:v>1.517117634662668</c:v>
                </c:pt>
                <c:pt idx="8">
                  <c:v>1.7548346984765928</c:v>
                </c:pt>
                <c:pt idx="9">
                  <c:v>2.74566991972236</c:v>
                </c:pt>
                <c:pt idx="10">
                  <c:v>1.9360977149101011</c:v>
                </c:pt>
                <c:pt idx="11">
                  <c:v>1.4890511209215695</c:v>
                </c:pt>
                <c:pt idx="12">
                  <c:v>2.5888498475690191</c:v>
                </c:pt>
                <c:pt idx="13">
                  <c:v>2.7034095090514576</c:v>
                </c:pt>
                <c:pt idx="14">
                  <c:v>1.8515769427636108</c:v>
                </c:pt>
                <c:pt idx="15">
                  <c:v>2.5705178503780957</c:v>
                </c:pt>
                <c:pt idx="16">
                  <c:v>1.8515769427636108</c:v>
                </c:pt>
                <c:pt idx="17">
                  <c:v>2.091052373647706</c:v>
                </c:pt>
                <c:pt idx="18">
                  <c:v>3.1504561030399891</c:v>
                </c:pt>
                <c:pt idx="19">
                  <c:v>2.2441416539420445</c:v>
                </c:pt>
                <c:pt idx="20">
                  <c:v>2.2441416539420445</c:v>
                </c:pt>
                <c:pt idx="21">
                  <c:v>3.2293807191061674</c:v>
                </c:pt>
                <c:pt idx="22">
                  <c:v>3.5913921719754605</c:v>
                </c:pt>
                <c:pt idx="24">
                  <c:v>3.960028518870562</c:v>
                </c:pt>
                <c:pt idx="25">
                  <c:v>3.5674638076921283</c:v>
                </c:pt>
                <c:pt idx="26">
                  <c:v>3.8332473852520366</c:v>
                </c:pt>
                <c:pt idx="27">
                  <c:v>3.8571757495322601</c:v>
                </c:pt>
                <c:pt idx="28">
                  <c:v>4.1666477620254661</c:v>
                </c:pt>
                <c:pt idx="29">
                  <c:v>5.4946525783861055</c:v>
                </c:pt>
                <c:pt idx="30">
                  <c:v>6.298114258149301</c:v>
                </c:pt>
                <c:pt idx="32">
                  <c:v>5.4462814316438291</c:v>
                </c:pt>
                <c:pt idx="33">
                  <c:v>6.2135934860045872</c:v>
                </c:pt>
                <c:pt idx="34">
                  <c:v>6.3887457663605041</c:v>
                </c:pt>
                <c:pt idx="35">
                  <c:v>6.9870162272329672</c:v>
                </c:pt>
                <c:pt idx="36">
                  <c:v>6.7451608521387207</c:v>
                </c:pt>
                <c:pt idx="37">
                  <c:v>6.3220426224330772</c:v>
                </c:pt>
                <c:pt idx="38">
                  <c:v>6.739564485040983</c:v>
                </c:pt>
                <c:pt idx="39">
                  <c:v>7.5608437930205774</c:v>
                </c:pt>
                <c:pt idx="40">
                  <c:v>7.1621682965750111</c:v>
                </c:pt>
                <c:pt idx="41">
                  <c:v>7.7721456987851489</c:v>
                </c:pt>
                <c:pt idx="42">
                  <c:v>8.001779812759402</c:v>
                </c:pt>
                <c:pt idx="43">
                  <c:v>8.1591142538854911</c:v>
                </c:pt>
                <c:pt idx="44">
                  <c:v>8.3042276449090124</c:v>
                </c:pt>
                <c:pt idx="45">
                  <c:v>8.1530037288337631</c:v>
                </c:pt>
                <c:pt idx="46">
                  <c:v>8.6061608478722462</c:v>
                </c:pt>
                <c:pt idx="47">
                  <c:v>8.6845710949670085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52D-4A57-B414-E293B5040649}"/>
            </c:ext>
          </c:extLst>
        </c:ser>
        <c:ser>
          <c:idx val="4"/>
          <c:order val="2"/>
          <c:tx>
            <c:strRef>
              <c:f>Déplacements!$M$9</c:f>
              <c:strCache>
                <c:ptCount val="1"/>
                <c:pt idx="0">
                  <c:v>DH bas droit</c:v>
                </c:pt>
              </c:strCache>
            </c:strRef>
          </c:tx>
          <c:spPr>
            <a:ln w="15875" cap="rnd">
              <a:solidFill>
                <a:schemeClr val="accent5"/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5">
                      <a:tint val="50000"/>
                      <a:satMod val="300000"/>
                    </a:schemeClr>
                  </a:gs>
                  <a:gs pos="35000">
                    <a:schemeClr val="accent5">
                      <a:tint val="37000"/>
                      <a:satMod val="300000"/>
                    </a:schemeClr>
                  </a:gs>
                  <a:gs pos="100000">
                    <a:schemeClr val="accent5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5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marker>
          <c:xVal>
            <c:numRef>
              <c:f>Déplacements!$B$10:$B$155</c:f>
              <c:numCache>
                <c:formatCode>dd\ /\ mm\ /\ yy</c:formatCode>
                <c:ptCount val="146"/>
                <c:pt idx="0">
                  <c:v>45324</c:v>
                </c:pt>
                <c:pt idx="1">
                  <c:v>45327</c:v>
                </c:pt>
                <c:pt idx="2">
                  <c:v>45329</c:v>
                </c:pt>
                <c:pt idx="3">
                  <c:v>45331</c:v>
                </c:pt>
                <c:pt idx="4">
                  <c:v>45334</c:v>
                </c:pt>
                <c:pt idx="5">
                  <c:v>45335</c:v>
                </c:pt>
                <c:pt idx="6">
                  <c:v>45337</c:v>
                </c:pt>
                <c:pt idx="7">
                  <c:v>45338</c:v>
                </c:pt>
                <c:pt idx="8">
                  <c:v>45341</c:v>
                </c:pt>
                <c:pt idx="9">
                  <c:v>45343</c:v>
                </c:pt>
                <c:pt idx="10">
                  <c:v>45348</c:v>
                </c:pt>
                <c:pt idx="11">
                  <c:v>45350</c:v>
                </c:pt>
                <c:pt idx="12">
                  <c:v>45364</c:v>
                </c:pt>
                <c:pt idx="13">
                  <c:v>45390</c:v>
                </c:pt>
                <c:pt idx="14">
                  <c:v>45404</c:v>
                </c:pt>
                <c:pt idx="15">
                  <c:v>45411</c:v>
                </c:pt>
                <c:pt idx="16">
                  <c:v>45426</c:v>
                </c:pt>
                <c:pt idx="17">
                  <c:v>45453</c:v>
                </c:pt>
                <c:pt idx="18">
                  <c:v>45481</c:v>
                </c:pt>
                <c:pt idx="19">
                  <c:v>45544</c:v>
                </c:pt>
                <c:pt idx="20">
                  <c:v>45601</c:v>
                </c:pt>
                <c:pt idx="21">
                  <c:v>45671</c:v>
                </c:pt>
                <c:pt idx="22">
                  <c:v>45712</c:v>
                </c:pt>
                <c:pt idx="23">
                  <c:v>45722</c:v>
                </c:pt>
                <c:pt idx="24">
                  <c:v>45726</c:v>
                </c:pt>
                <c:pt idx="25">
                  <c:v>45730</c:v>
                </c:pt>
                <c:pt idx="26">
                  <c:v>45736</c:v>
                </c:pt>
                <c:pt idx="27">
                  <c:v>45744</c:v>
                </c:pt>
                <c:pt idx="28">
                  <c:v>45748</c:v>
                </c:pt>
                <c:pt idx="29">
                  <c:v>45751</c:v>
                </c:pt>
                <c:pt idx="30">
                  <c:v>45754</c:v>
                </c:pt>
                <c:pt idx="31">
                  <c:v>45756</c:v>
                </c:pt>
                <c:pt idx="32">
                  <c:v>45762</c:v>
                </c:pt>
                <c:pt idx="33">
                  <c:v>45769</c:v>
                </c:pt>
                <c:pt idx="34">
                  <c:v>45772</c:v>
                </c:pt>
                <c:pt idx="35">
                  <c:v>45775</c:v>
                </c:pt>
                <c:pt idx="36">
                  <c:v>45792</c:v>
                </c:pt>
                <c:pt idx="37">
                  <c:v>45798</c:v>
                </c:pt>
                <c:pt idx="38">
                  <c:v>45803</c:v>
                </c:pt>
                <c:pt idx="39">
                  <c:v>45810</c:v>
                </c:pt>
                <c:pt idx="40">
                  <c:v>45818</c:v>
                </c:pt>
                <c:pt idx="41">
                  <c:v>45824</c:v>
                </c:pt>
                <c:pt idx="42">
                  <c:v>45831</c:v>
                </c:pt>
                <c:pt idx="43">
                  <c:v>45839</c:v>
                </c:pt>
                <c:pt idx="44">
                  <c:v>45846</c:v>
                </c:pt>
                <c:pt idx="45">
                  <c:v>45853</c:v>
                </c:pt>
                <c:pt idx="46">
                  <c:v>45861</c:v>
                </c:pt>
                <c:pt idx="47">
                  <c:v>45867</c:v>
                </c:pt>
              </c:numCache>
            </c:numRef>
          </c:xVal>
          <c:yVal>
            <c:numRef>
              <c:f>Déplacements!$M$10:$M$155</c:f>
              <c:numCache>
                <c:formatCode>\+\ 0.0;\-\ 0.0;\±\ 0.0</c:formatCode>
                <c:ptCount val="146"/>
                <c:pt idx="0">
                  <c:v>0</c:v>
                </c:pt>
                <c:pt idx="1">
                  <c:v>-0.81262765375877954</c:v>
                </c:pt>
                <c:pt idx="2">
                  <c:v>0</c:v>
                </c:pt>
                <c:pt idx="3">
                  <c:v>-4.3039652645449067</c:v>
                </c:pt>
                <c:pt idx="4">
                  <c:v>-4.0498883681163722</c:v>
                </c:pt>
                <c:pt idx="5">
                  <c:v>-4.0106834555890813</c:v>
                </c:pt>
                <c:pt idx="6">
                  <c:v>-3.7493542200284224</c:v>
                </c:pt>
                <c:pt idx="8">
                  <c:v>-4.0259601656520427</c:v>
                </c:pt>
                <c:pt idx="9">
                  <c:v>-3.7540656410071094</c:v>
                </c:pt>
                <c:pt idx="10">
                  <c:v>-4.7326796011295524</c:v>
                </c:pt>
                <c:pt idx="11">
                  <c:v>-4.9439815560941014</c:v>
                </c:pt>
                <c:pt idx="12">
                  <c:v>-4.7382759682252917</c:v>
                </c:pt>
                <c:pt idx="13">
                  <c:v>-4.3701537792875111</c:v>
                </c:pt>
                <c:pt idx="14">
                  <c:v>-5.475548873030478</c:v>
                </c:pt>
                <c:pt idx="15">
                  <c:v>-4.7688294867518355</c:v>
                </c:pt>
                <c:pt idx="16">
                  <c:v>-5.475548873030478</c:v>
                </c:pt>
                <c:pt idx="17">
                  <c:v>-5.7053543471057289</c:v>
                </c:pt>
                <c:pt idx="18">
                  <c:v>-5.288175331551459</c:v>
                </c:pt>
                <c:pt idx="19">
                  <c:v>-5.2308952897894834</c:v>
                </c:pt>
                <c:pt idx="20">
                  <c:v>-5.1736154590504846</c:v>
                </c:pt>
                <c:pt idx="21">
                  <c:v>-6.737764249947098</c:v>
                </c:pt>
                <c:pt idx="22">
                  <c:v>-5.819742697682484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52D-4A57-B414-E293B5040649}"/>
            </c:ext>
          </c:extLst>
        </c:ser>
        <c:ser>
          <c:idx val="5"/>
          <c:order val="3"/>
          <c:tx>
            <c:strRef>
              <c:f>Déplacements!$D$9</c:f>
              <c:strCache>
                <c:ptCount val="1"/>
                <c:pt idx="0">
                  <c:v>DH bas gauche</c:v>
                </c:pt>
              </c:strCache>
            </c:strRef>
          </c:tx>
          <c:spPr>
            <a:ln w="15875" cap="rnd">
              <a:solidFill>
                <a:schemeClr val="accent6"/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6">
                      <a:tint val="50000"/>
                      <a:satMod val="300000"/>
                    </a:schemeClr>
                  </a:gs>
                  <a:gs pos="35000">
                    <a:schemeClr val="accent6">
                      <a:tint val="37000"/>
                      <a:satMod val="300000"/>
                    </a:schemeClr>
                  </a:gs>
                  <a:gs pos="100000">
                    <a:schemeClr val="accent6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6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marker>
          <c:xVal>
            <c:numRef>
              <c:f>Déplacements!$B$10:$B$55</c:f>
              <c:numCache>
                <c:formatCode>dd\ /\ mm\ /\ yy</c:formatCode>
                <c:ptCount val="46"/>
                <c:pt idx="0">
                  <c:v>45324</c:v>
                </c:pt>
                <c:pt idx="1">
                  <c:v>45327</c:v>
                </c:pt>
                <c:pt idx="2">
                  <c:v>45329</c:v>
                </c:pt>
                <c:pt idx="3">
                  <c:v>45331</c:v>
                </c:pt>
                <c:pt idx="4">
                  <c:v>45334</c:v>
                </c:pt>
                <c:pt idx="5">
                  <c:v>45335</c:v>
                </c:pt>
                <c:pt idx="6">
                  <c:v>45337</c:v>
                </c:pt>
                <c:pt idx="7">
                  <c:v>45338</c:v>
                </c:pt>
                <c:pt idx="8">
                  <c:v>45341</c:v>
                </c:pt>
                <c:pt idx="9">
                  <c:v>45343</c:v>
                </c:pt>
                <c:pt idx="10">
                  <c:v>45348</c:v>
                </c:pt>
                <c:pt idx="11">
                  <c:v>45350</c:v>
                </c:pt>
                <c:pt idx="12">
                  <c:v>45364</c:v>
                </c:pt>
                <c:pt idx="13">
                  <c:v>45390</c:v>
                </c:pt>
                <c:pt idx="14">
                  <c:v>45404</c:v>
                </c:pt>
                <c:pt idx="15">
                  <c:v>45411</c:v>
                </c:pt>
                <c:pt idx="16">
                  <c:v>45426</c:v>
                </c:pt>
                <c:pt idx="17">
                  <c:v>45453</c:v>
                </c:pt>
                <c:pt idx="18">
                  <c:v>45481</c:v>
                </c:pt>
                <c:pt idx="19">
                  <c:v>45544</c:v>
                </c:pt>
                <c:pt idx="20">
                  <c:v>45601</c:v>
                </c:pt>
                <c:pt idx="21">
                  <c:v>45671</c:v>
                </c:pt>
                <c:pt idx="22">
                  <c:v>45712</c:v>
                </c:pt>
                <c:pt idx="23">
                  <c:v>45722</c:v>
                </c:pt>
                <c:pt idx="24">
                  <c:v>45726</c:v>
                </c:pt>
                <c:pt idx="25">
                  <c:v>45730</c:v>
                </c:pt>
                <c:pt idx="26">
                  <c:v>45736</c:v>
                </c:pt>
                <c:pt idx="27">
                  <c:v>45744</c:v>
                </c:pt>
                <c:pt idx="28">
                  <c:v>45748</c:v>
                </c:pt>
                <c:pt idx="29">
                  <c:v>45751</c:v>
                </c:pt>
                <c:pt idx="30">
                  <c:v>45754</c:v>
                </c:pt>
                <c:pt idx="31">
                  <c:v>45756</c:v>
                </c:pt>
                <c:pt idx="32">
                  <c:v>45762</c:v>
                </c:pt>
                <c:pt idx="33">
                  <c:v>45769</c:v>
                </c:pt>
                <c:pt idx="34">
                  <c:v>45772</c:v>
                </c:pt>
                <c:pt idx="35">
                  <c:v>45775</c:v>
                </c:pt>
                <c:pt idx="36">
                  <c:v>45792</c:v>
                </c:pt>
                <c:pt idx="37">
                  <c:v>45798</c:v>
                </c:pt>
                <c:pt idx="38">
                  <c:v>45803</c:v>
                </c:pt>
                <c:pt idx="39">
                  <c:v>45810</c:v>
                </c:pt>
                <c:pt idx="40">
                  <c:v>45818</c:v>
                </c:pt>
                <c:pt idx="41">
                  <c:v>45824</c:v>
                </c:pt>
                <c:pt idx="42">
                  <c:v>45831</c:v>
                </c:pt>
                <c:pt idx="43">
                  <c:v>45839</c:v>
                </c:pt>
                <c:pt idx="44">
                  <c:v>45846</c:v>
                </c:pt>
                <c:pt idx="45">
                  <c:v>45853</c:v>
                </c:pt>
              </c:numCache>
            </c:numRef>
          </c:xVal>
          <c:yVal>
            <c:numRef>
              <c:f>Déplacements!$D$10:$D$33</c:f>
              <c:numCache>
                <c:formatCode>\+\ 0.0;\-\ 0.0;\±\ 0.0</c:formatCode>
                <c:ptCount val="24"/>
                <c:pt idx="0">
                  <c:v>0</c:v>
                </c:pt>
                <c:pt idx="1">
                  <c:v>0.27520705256423028</c:v>
                </c:pt>
                <c:pt idx="2">
                  <c:v>0</c:v>
                </c:pt>
                <c:pt idx="3">
                  <c:v>0.30855851902078513</c:v>
                </c:pt>
                <c:pt idx="4">
                  <c:v>2.0305561200184563</c:v>
                </c:pt>
                <c:pt idx="5">
                  <c:v>2.1710863939361502</c:v>
                </c:pt>
                <c:pt idx="6">
                  <c:v>2.7964403119389303</c:v>
                </c:pt>
                <c:pt idx="7">
                  <c:v>2.228223200499091</c:v>
                </c:pt>
                <c:pt idx="8">
                  <c:v>2.7734253919189378</c:v>
                </c:pt>
                <c:pt idx="9">
                  <c:v>3.5768870716816892</c:v>
                </c:pt>
                <c:pt idx="10">
                  <c:v>2.8518354279958302</c:v>
                </c:pt>
                <c:pt idx="11">
                  <c:v>2.5137523394116457</c:v>
                </c:pt>
                <c:pt idx="12">
                  <c:v>3.3172140191721766</c:v>
                </c:pt>
                <c:pt idx="13">
                  <c:v>3.7642606131629286</c:v>
                </c:pt>
                <c:pt idx="14">
                  <c:v>3.6858505770864802</c:v>
                </c:pt>
                <c:pt idx="15">
                  <c:v>4.1751575817481346</c:v>
                </c:pt>
                <c:pt idx="16">
                  <c:v>3.6858505770864802</c:v>
                </c:pt>
                <c:pt idx="17">
                  <c:v>3.8126317599052051</c:v>
                </c:pt>
                <c:pt idx="18">
                  <c:v>4.9908405226295471</c:v>
                </c:pt>
                <c:pt idx="19">
                  <c:v>3.8610026464307445</c:v>
                </c:pt>
                <c:pt idx="20">
                  <c:v>3.8610026464307445</c:v>
                </c:pt>
                <c:pt idx="21">
                  <c:v>5.8131487795707315</c:v>
                </c:pt>
                <c:pt idx="22">
                  <c:v>6.0845287242234924</c:v>
                </c:pt>
                <c:pt idx="23">
                  <c:v>5.7342241635045532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52D-4A57-B414-E293B5040649}"/>
            </c:ext>
          </c:extLst>
        </c:ser>
        <c:ser>
          <c:idx val="6"/>
          <c:order val="4"/>
          <c:tx>
            <c:strRef>
              <c:f>Déplacements!$P$9</c:f>
              <c:strCache>
                <c:ptCount val="1"/>
                <c:pt idx="0">
                  <c:v>DH bas droit</c:v>
                </c:pt>
              </c:strCache>
            </c:strRef>
          </c:tx>
          <c:spPr>
            <a:ln w="15875" cap="rnd">
              <a:solidFill>
                <a:schemeClr val="accent1">
                  <a:lumMod val="60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lumMod val="60000"/>
                      <a:tint val="50000"/>
                      <a:satMod val="300000"/>
                    </a:schemeClr>
                  </a:gs>
                  <a:gs pos="35000">
                    <a:schemeClr val="accent1">
                      <a:lumMod val="60000"/>
                      <a:tint val="37000"/>
                      <a:satMod val="300000"/>
                    </a:schemeClr>
                  </a:gs>
                  <a:gs pos="100000">
                    <a:schemeClr val="accent1">
                      <a:lumMod val="60000"/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lumMod val="60000"/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marker>
          <c:xVal>
            <c:numRef>
              <c:f>Déplacements!$B$10:$B$155</c:f>
              <c:numCache>
                <c:formatCode>dd\ /\ mm\ /\ yy</c:formatCode>
                <c:ptCount val="146"/>
                <c:pt idx="0">
                  <c:v>45324</c:v>
                </c:pt>
                <c:pt idx="1">
                  <c:v>45327</c:v>
                </c:pt>
                <c:pt idx="2">
                  <c:v>45329</c:v>
                </c:pt>
                <c:pt idx="3">
                  <c:v>45331</c:v>
                </c:pt>
                <c:pt idx="4">
                  <c:v>45334</c:v>
                </c:pt>
                <c:pt idx="5">
                  <c:v>45335</c:v>
                </c:pt>
                <c:pt idx="6">
                  <c:v>45337</c:v>
                </c:pt>
                <c:pt idx="7">
                  <c:v>45338</c:v>
                </c:pt>
                <c:pt idx="8">
                  <c:v>45341</c:v>
                </c:pt>
                <c:pt idx="9">
                  <c:v>45343</c:v>
                </c:pt>
                <c:pt idx="10">
                  <c:v>45348</c:v>
                </c:pt>
                <c:pt idx="11">
                  <c:v>45350</c:v>
                </c:pt>
                <c:pt idx="12">
                  <c:v>45364</c:v>
                </c:pt>
                <c:pt idx="13">
                  <c:v>45390</c:v>
                </c:pt>
                <c:pt idx="14">
                  <c:v>45404</c:v>
                </c:pt>
                <c:pt idx="15">
                  <c:v>45411</c:v>
                </c:pt>
                <c:pt idx="16">
                  <c:v>45426</c:v>
                </c:pt>
                <c:pt idx="17">
                  <c:v>45453</c:v>
                </c:pt>
                <c:pt idx="18">
                  <c:v>45481</c:v>
                </c:pt>
                <c:pt idx="19">
                  <c:v>45544</c:v>
                </c:pt>
                <c:pt idx="20">
                  <c:v>45601</c:v>
                </c:pt>
                <c:pt idx="21">
                  <c:v>45671</c:v>
                </c:pt>
                <c:pt idx="22">
                  <c:v>45712</c:v>
                </c:pt>
                <c:pt idx="23">
                  <c:v>45722</c:v>
                </c:pt>
                <c:pt idx="24">
                  <c:v>45726</c:v>
                </c:pt>
                <c:pt idx="25">
                  <c:v>45730</c:v>
                </c:pt>
                <c:pt idx="26">
                  <c:v>45736</c:v>
                </c:pt>
                <c:pt idx="27">
                  <c:v>45744</c:v>
                </c:pt>
                <c:pt idx="28">
                  <c:v>45748</c:v>
                </c:pt>
                <c:pt idx="29">
                  <c:v>45751</c:v>
                </c:pt>
                <c:pt idx="30">
                  <c:v>45754</c:v>
                </c:pt>
                <c:pt idx="31">
                  <c:v>45756</c:v>
                </c:pt>
                <c:pt idx="32">
                  <c:v>45762</c:v>
                </c:pt>
                <c:pt idx="33">
                  <c:v>45769</c:v>
                </c:pt>
                <c:pt idx="34">
                  <c:v>45772</c:v>
                </c:pt>
                <c:pt idx="35">
                  <c:v>45775</c:v>
                </c:pt>
                <c:pt idx="36">
                  <c:v>45792</c:v>
                </c:pt>
                <c:pt idx="37">
                  <c:v>45798</c:v>
                </c:pt>
                <c:pt idx="38">
                  <c:v>45803</c:v>
                </c:pt>
                <c:pt idx="39">
                  <c:v>45810</c:v>
                </c:pt>
                <c:pt idx="40">
                  <c:v>45818</c:v>
                </c:pt>
                <c:pt idx="41">
                  <c:v>45824</c:v>
                </c:pt>
                <c:pt idx="42">
                  <c:v>45831</c:v>
                </c:pt>
                <c:pt idx="43">
                  <c:v>45839</c:v>
                </c:pt>
                <c:pt idx="44">
                  <c:v>45846</c:v>
                </c:pt>
                <c:pt idx="45">
                  <c:v>45853</c:v>
                </c:pt>
                <c:pt idx="46">
                  <c:v>45861</c:v>
                </c:pt>
                <c:pt idx="47">
                  <c:v>45867</c:v>
                </c:pt>
              </c:numCache>
            </c:numRef>
          </c:xVal>
          <c:yVal>
            <c:numRef>
              <c:f>Déplacements!$P$10:$P$155</c:f>
              <c:numCache>
                <c:formatCode>\+\ 0.0;\-\ 0.0;\±\ 0.0</c:formatCode>
                <c:ptCount val="146"/>
                <c:pt idx="0">
                  <c:v>0</c:v>
                </c:pt>
                <c:pt idx="1">
                  <c:v>-0.78818492049848032</c:v>
                </c:pt>
                <c:pt idx="2">
                  <c:v>0</c:v>
                </c:pt>
                <c:pt idx="3">
                  <c:v>-3.9778463581048307</c:v>
                </c:pt>
                <c:pt idx="4">
                  <c:v>-3.0231607622646095</c:v>
                </c:pt>
                <c:pt idx="5">
                  <c:v>-2.8751206482020564</c:v>
                </c:pt>
                <c:pt idx="6">
                  <c:v>-2.5314096910271644</c:v>
                </c:pt>
                <c:pt idx="7">
                  <c:v>-2.7186705738744266</c:v>
                </c:pt>
                <c:pt idx="8">
                  <c:v>-2.8179693815513218</c:v>
                </c:pt>
                <c:pt idx="9">
                  <c:v>-2.5521858039914136</c:v>
                </c:pt>
                <c:pt idx="10">
                  <c:v>-3.7665444523362623</c:v>
                </c:pt>
                <c:pt idx="11">
                  <c:v>-3.8749933777522116</c:v>
                </c:pt>
                <c:pt idx="12">
                  <c:v>-3.7782513444848398</c:v>
                </c:pt>
                <c:pt idx="13">
                  <c:v>-3.8749933777522116</c:v>
                </c:pt>
                <c:pt idx="14">
                  <c:v>-4.6122664935719371</c:v>
                </c:pt>
                <c:pt idx="15">
                  <c:v>-4.2314086745403046</c:v>
                </c:pt>
                <c:pt idx="16">
                  <c:v>-4.6122664935719371</c:v>
                </c:pt>
                <c:pt idx="17">
                  <c:v>-5.2011992475042845</c:v>
                </c:pt>
                <c:pt idx="18">
                  <c:v>-4.4971922520988805</c:v>
                </c:pt>
                <c:pt idx="19">
                  <c:v>-4.4671533135680619</c:v>
                </c:pt>
                <c:pt idx="20">
                  <c:v>-4.4671533135680619</c:v>
                </c:pt>
                <c:pt idx="21">
                  <c:v>-6.3093069923372269</c:v>
                </c:pt>
                <c:pt idx="22">
                  <c:v>-5.3912854400759436</c:v>
                </c:pt>
                <c:pt idx="23">
                  <c:v>-6.5089017949415684</c:v>
                </c:pt>
                <c:pt idx="24">
                  <c:v>-6.3637886149336964</c:v>
                </c:pt>
                <c:pt idx="25">
                  <c:v>-7.1010615197377724</c:v>
                </c:pt>
                <c:pt idx="26">
                  <c:v>-7.4152162440381808</c:v>
                </c:pt>
                <c:pt idx="27">
                  <c:v>-7.6509608830646059</c:v>
                </c:pt>
                <c:pt idx="28">
                  <c:v>-8.7049295921350911</c:v>
                </c:pt>
                <c:pt idx="29">
                  <c:v>-7.8617484690504114</c:v>
                </c:pt>
                <c:pt idx="30">
                  <c:v>-7.7288567611804027</c:v>
                </c:pt>
                <c:pt idx="31">
                  <c:v>-8.5445397020667002</c:v>
                </c:pt>
                <c:pt idx="32">
                  <c:v>-8.6351712102810119</c:v>
                </c:pt>
                <c:pt idx="33">
                  <c:v>-9.0883283293217154</c:v>
                </c:pt>
                <c:pt idx="34">
                  <c:v>-8.8648051624304891</c:v>
                </c:pt>
                <c:pt idx="35">
                  <c:v>-8.3388341633949814</c:v>
                </c:pt>
                <c:pt idx="36">
                  <c:v>-9.1366994760599951</c:v>
                </c:pt>
                <c:pt idx="37">
                  <c:v>-9.0032931882020328</c:v>
                </c:pt>
                <c:pt idx="38">
                  <c:v>-10.308283344758529</c:v>
                </c:pt>
                <c:pt idx="39">
                  <c:v>-9.6015636982658137</c:v>
                </c:pt>
                <c:pt idx="40">
                  <c:v>-10.978853105635178</c:v>
                </c:pt>
                <c:pt idx="41">
                  <c:v>-9.9579787840387013</c:v>
                </c:pt>
                <c:pt idx="42">
                  <c:v>-10.586288394457188</c:v>
                </c:pt>
                <c:pt idx="43">
                  <c:v>-10.978853105635178</c:v>
                </c:pt>
                <c:pt idx="44">
                  <c:v>-11.764497157181975</c:v>
                </c:pt>
                <c:pt idx="45">
                  <c:v>-12.07254130723312</c:v>
                </c:pt>
                <c:pt idx="46">
                  <c:v>-12.308285995454415</c:v>
                </c:pt>
                <c:pt idx="47">
                  <c:v>-12.689143814486492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52D-4A57-B414-E293B5040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5551432"/>
        <c:axId val="465551040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6"/>
                <c:tx>
                  <c:strRef>
                    <c:extLst>
                      <c:ext uri="{02D57815-91ED-43cb-92C2-25804820EDAC}">
                        <c15:formulaRef>
                          <c15:sqref>Graphiques!$AC$13</c15:sqref>
                        </c15:formulaRef>
                      </c:ext>
                    </c:extLst>
                    <c:strCache>
                      <c:ptCount val="1"/>
                      <c:pt idx="0">
                        <c:v>Seuil de vigilance CV</c:v>
                      </c:pt>
                    </c:strCache>
                  </c:strRef>
                </c:tx>
                <c:spPr>
                  <a:ln w="15875" cap="rnd">
                    <a:solidFill>
                      <a:schemeClr val="accent1"/>
                    </a:solidFill>
                    <a:round/>
                  </a:ln>
                  <a:effectLst>
                    <a:outerShdw blurRad="40000" dist="20000" dir="5400000" rotWithShape="0">
                      <a:srgbClr val="000000">
                        <a:alpha val="38000"/>
                      </a:srgbClr>
                    </a:outerShdw>
                  </a:effectLst>
                </c:spPr>
                <c:marker>
                  <c:symbol val="none"/>
                </c:marke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50000"/>
                              <a:lumOff val="50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fr-FR"/>
                    </a:p>
                  </c:txPr>
                  <c:showLegendKey val="0"/>
                  <c:showVal val="0"/>
                  <c:showCatName val="0"/>
                  <c:showSerName val="1"/>
                  <c:showPercent val="0"/>
                  <c:showBubbleSize val="0"/>
                  <c:showLeaderLines val="0"/>
                  <c:extLst>
                    <c:ext uri="{CE6537A1-D6FC-4f65-9D91-7224C49458BB}">
                      <c15:showLeaderLines val="0"/>
                    </c:ext>
                  </c:extLst>
                </c:dLbls>
                <c:xVal>
                  <c:numRef>
                    <c:extLst>
                      <c:ext uri="{02D57815-91ED-43cb-92C2-25804820EDAC}">
                        <c15:formulaRef>
                          <c15:sqref>Graphiques!$AE$13:$AE$14</c15:sqref>
                        </c15:formulaRef>
                      </c:ext>
                    </c:extLst>
                    <c:numCache>
                      <c:formatCode>m/d/yyyy</c:formatCode>
                      <c:ptCount val="2"/>
                      <c:pt idx="0">
                        <c:v>43682</c:v>
                      </c:pt>
                      <c:pt idx="1">
                        <c:v>46388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Graphiques!$AD$13:$AD$14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-181</c:v>
                      </c:pt>
                      <c:pt idx="1">
                        <c:v>-181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6-D52D-4A57-B414-E293B5040649}"/>
                  </c:ext>
                </c:extLst>
              </c15:ser>
            </c15:filteredScatterSeries>
            <c15:filteredScatterSeries>
              <c15:ser>
                <c:idx val="2"/>
                <c:order val="7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Graphiques!$AC$15</c15:sqref>
                        </c15:formulaRef>
                      </c:ext>
                    </c:extLst>
                    <c:strCache>
                      <c:ptCount val="1"/>
                      <c:pt idx="0">
                        <c:v>Seuil d'alerte CV</c:v>
                      </c:pt>
                    </c:strCache>
                  </c:strRef>
                </c:tx>
                <c:spPr>
                  <a:ln w="15875" cap="rnd">
                    <a:solidFill>
                      <a:schemeClr val="accent3"/>
                    </a:solidFill>
                    <a:round/>
                  </a:ln>
                  <a:effectLst>
                    <a:outerShdw blurRad="40000" dist="20000" dir="5400000" rotWithShape="0">
                      <a:srgbClr val="000000">
                        <a:alpha val="38000"/>
                      </a:srgbClr>
                    </a:outerShdw>
                  </a:effectLst>
                </c:spPr>
                <c:marker>
                  <c:symbol val="none"/>
                </c:marke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50000"/>
                              <a:lumOff val="50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fr-FR"/>
                    </a:p>
                  </c:txPr>
                  <c:showLegendKey val="0"/>
                  <c:showVal val="0"/>
                  <c:showCatName val="0"/>
                  <c:showSerName val="1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0"/>
                    </c:ext>
                  </c:extLst>
                </c:dLbl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Graphiques!$AE$15:$AE$16</c15:sqref>
                        </c15:formulaRef>
                      </c:ext>
                    </c:extLst>
                    <c:numCache>
                      <c:formatCode>m/d/yyyy</c:formatCode>
                      <c:ptCount val="2"/>
                      <c:pt idx="0">
                        <c:v>43682</c:v>
                      </c:pt>
                      <c:pt idx="1">
                        <c:v>46388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Graphiques!$AD$15:$AD$16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-226</c:v>
                      </c:pt>
                      <c:pt idx="1">
                        <c:v>-226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D52D-4A57-B414-E293B5040649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Graphiques!$AC$17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5875" cap="rnd">
                    <a:solidFill>
                      <a:schemeClr val="accent3">
                        <a:lumMod val="60000"/>
                      </a:schemeClr>
                    </a:solidFill>
                    <a:round/>
                  </a:ln>
                  <a:effectLst>
                    <a:outerShdw blurRad="40000" dist="20000" dir="5400000" rotWithShape="0">
                      <a:srgbClr val="000000">
                        <a:alpha val="38000"/>
                      </a:srgbClr>
                    </a:outerShdw>
                  </a:effectLst>
                </c:spPr>
                <c:marker>
                  <c:symbol val="none"/>
                </c:marker>
                <c:dPt>
                  <c:idx val="1"/>
                  <c:marker>
                    <c:symbol val="none"/>
                  </c:marker>
                  <c:bubble3D val="0"/>
                  <c:extLst xmlns:c15="http://schemas.microsoft.com/office/drawing/2012/chart">
                    <c:ext xmlns:c16="http://schemas.microsoft.com/office/drawing/2014/chart" uri="{C3380CC4-5D6E-409C-BE32-E72D297353CC}">
                      <c16:uniqueId val="{00000008-D52D-4A57-B414-E293B5040649}"/>
                    </c:ext>
                  </c:extLst>
                </c:dPt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50000"/>
                              <a:lumOff val="50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fr-FR"/>
                    </a:p>
                  </c:txPr>
                  <c:showLegendKey val="0"/>
                  <c:showVal val="0"/>
                  <c:showCatName val="0"/>
                  <c:showSerName val="1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0"/>
                    </c:ext>
                  </c:extLst>
                </c:dLbl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Graphiques!$AE$17:$AE$18</c15:sqref>
                        </c15:formulaRef>
                      </c:ext>
                    </c:extLst>
                    <c:numCache>
                      <c:formatCode>m/d/yyyy</c:formatCode>
                      <c:ptCount val="2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Graphiques!$AD$17:$AD$18</c15:sqref>
                        </c15:formulaRef>
                      </c:ext>
                    </c:extLst>
                    <c:numCache>
                      <c:formatCode>General</c:formatCode>
                      <c:ptCount val="2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D52D-4A57-B414-E293B5040649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Graphiques!$AC$19</c15:sqref>
                        </c15:formulaRef>
                      </c:ext>
                    </c:extLst>
                    <c:strCache>
                      <c:ptCount val="1"/>
                      <c:pt idx="0">
                        <c:v>Seuil de vigilance CH</c:v>
                      </c:pt>
                    </c:strCache>
                  </c:strRef>
                </c:tx>
                <c:spPr>
                  <a:ln w="15875" cap="rnd">
                    <a:solidFill>
                      <a:schemeClr val="accent4">
                        <a:lumMod val="60000"/>
                      </a:schemeClr>
                    </a:solidFill>
                    <a:round/>
                  </a:ln>
                  <a:effectLst>
                    <a:outerShdw blurRad="40000" dist="20000" dir="5400000" rotWithShape="0">
                      <a:srgbClr val="000000">
                        <a:alpha val="38000"/>
                      </a:srgbClr>
                    </a:outerShdw>
                  </a:effectLst>
                </c:spPr>
                <c:marker>
                  <c:symbol val="none"/>
                </c:marker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chemeClr val="tx1">
                              <a:lumMod val="50000"/>
                              <a:lumOff val="50000"/>
                            </a:schemeClr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fr-FR"/>
                    </a:p>
                  </c:txPr>
                  <c:showLegendKey val="0"/>
                  <c:showVal val="0"/>
                  <c:showCatName val="0"/>
                  <c:showSerName val="1"/>
                  <c:showPercent val="0"/>
                  <c:showBubbleSize val="0"/>
                  <c:showLeaderLines val="0"/>
                  <c:extLst xmlns:c15="http://schemas.microsoft.com/office/drawing/2012/chart">
                    <c:ext xmlns:c15="http://schemas.microsoft.com/office/drawing/2012/chart" uri="{CE6537A1-D6FC-4f65-9D91-7224C49458BB}">
                      <c15:showLeaderLines val="0"/>
                    </c:ext>
                  </c:extLst>
                </c:dLbls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Graphiques!$AE$19:$AE$20</c15:sqref>
                        </c15:formulaRef>
                      </c:ext>
                    </c:extLst>
                    <c:numCache>
                      <c:formatCode>m/d/yyyy</c:formatCode>
                      <c:ptCount val="2"/>
                      <c:pt idx="0">
                        <c:v>43682</c:v>
                      </c:pt>
                      <c:pt idx="1">
                        <c:v>46388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Graphiques!$AD$19:$AD$20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-58</c:v>
                      </c:pt>
                      <c:pt idx="1">
                        <c:v>-58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D52D-4A57-B414-E293B5040649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7"/>
          <c:order val="5"/>
          <c:tx>
            <c:v>"PM front"</c:v>
          </c:tx>
          <c:spPr>
            <a:ln w="15875" cap="rnd">
              <a:solidFill>
                <a:schemeClr val="accent2">
                  <a:lumMod val="60000"/>
                </a:schemeClr>
              </a:solidFill>
              <a:prstDash val="sysDash"/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marker>
            <c:symbol val="none"/>
          </c:marker>
          <c:xVal>
            <c:numRef>
              <c:f>Déplacements!$B$10:$B$60</c:f>
              <c:numCache>
                <c:formatCode>dd\ /\ mm\ /\ yy</c:formatCode>
                <c:ptCount val="51"/>
                <c:pt idx="0">
                  <c:v>45324</c:v>
                </c:pt>
                <c:pt idx="1">
                  <c:v>45327</c:v>
                </c:pt>
                <c:pt idx="2">
                  <c:v>45329</c:v>
                </c:pt>
                <c:pt idx="3">
                  <c:v>45331</c:v>
                </c:pt>
                <c:pt idx="4">
                  <c:v>45334</c:v>
                </c:pt>
                <c:pt idx="5">
                  <c:v>45335</c:v>
                </c:pt>
                <c:pt idx="6">
                  <c:v>45337</c:v>
                </c:pt>
                <c:pt idx="7">
                  <c:v>45338</c:v>
                </c:pt>
                <c:pt idx="8">
                  <c:v>45341</c:v>
                </c:pt>
                <c:pt idx="9">
                  <c:v>45343</c:v>
                </c:pt>
                <c:pt idx="10">
                  <c:v>45348</c:v>
                </c:pt>
                <c:pt idx="11">
                  <c:v>45350</c:v>
                </c:pt>
                <c:pt idx="12">
                  <c:v>45364</c:v>
                </c:pt>
                <c:pt idx="13">
                  <c:v>45390</c:v>
                </c:pt>
                <c:pt idx="14">
                  <c:v>45404</c:v>
                </c:pt>
                <c:pt idx="15">
                  <c:v>45411</c:v>
                </c:pt>
                <c:pt idx="16">
                  <c:v>45426</c:v>
                </c:pt>
                <c:pt idx="17">
                  <c:v>45453</c:v>
                </c:pt>
                <c:pt idx="18">
                  <c:v>45481</c:v>
                </c:pt>
                <c:pt idx="19">
                  <c:v>45544</c:v>
                </c:pt>
                <c:pt idx="20">
                  <c:v>45601</c:v>
                </c:pt>
                <c:pt idx="21">
                  <c:v>45671</c:v>
                </c:pt>
                <c:pt idx="22">
                  <c:v>45712</c:v>
                </c:pt>
                <c:pt idx="23">
                  <c:v>45722</c:v>
                </c:pt>
                <c:pt idx="24">
                  <c:v>45726</c:v>
                </c:pt>
                <c:pt idx="25">
                  <c:v>45730</c:v>
                </c:pt>
                <c:pt idx="26">
                  <c:v>45736</c:v>
                </c:pt>
                <c:pt idx="27">
                  <c:v>45744</c:v>
                </c:pt>
                <c:pt idx="28">
                  <c:v>45748</c:v>
                </c:pt>
                <c:pt idx="29">
                  <c:v>45751</c:v>
                </c:pt>
                <c:pt idx="30">
                  <c:v>45754</c:v>
                </c:pt>
                <c:pt idx="31">
                  <c:v>45756</c:v>
                </c:pt>
                <c:pt idx="32">
                  <c:v>45762</c:v>
                </c:pt>
                <c:pt idx="33">
                  <c:v>45769</c:v>
                </c:pt>
                <c:pt idx="34">
                  <c:v>45772</c:v>
                </c:pt>
                <c:pt idx="35">
                  <c:v>45775</c:v>
                </c:pt>
                <c:pt idx="36">
                  <c:v>45792</c:v>
                </c:pt>
                <c:pt idx="37">
                  <c:v>45798</c:v>
                </c:pt>
                <c:pt idx="38">
                  <c:v>45803</c:v>
                </c:pt>
                <c:pt idx="39">
                  <c:v>45810</c:v>
                </c:pt>
                <c:pt idx="40">
                  <c:v>45818</c:v>
                </c:pt>
                <c:pt idx="41">
                  <c:v>45824</c:v>
                </c:pt>
                <c:pt idx="42">
                  <c:v>45831</c:v>
                </c:pt>
                <c:pt idx="43">
                  <c:v>45839</c:v>
                </c:pt>
                <c:pt idx="44">
                  <c:v>45846</c:v>
                </c:pt>
                <c:pt idx="45">
                  <c:v>45853</c:v>
                </c:pt>
                <c:pt idx="46">
                  <c:v>45861</c:v>
                </c:pt>
                <c:pt idx="47">
                  <c:v>45867</c:v>
                </c:pt>
              </c:numCache>
            </c:numRef>
          </c:xVal>
          <c:yVal>
            <c:numRef>
              <c:f>'Résultats observations'!$C$10:$C$60</c:f>
              <c:numCache>
                <c:formatCode>0.0</c:formatCode>
                <c:ptCount val="51"/>
                <c:pt idx="0">
                  <c:v>9.39</c:v>
                </c:pt>
                <c:pt idx="1">
                  <c:v>9.39</c:v>
                </c:pt>
                <c:pt idx="2">
                  <c:v>11.5</c:v>
                </c:pt>
                <c:pt idx="3">
                  <c:v>11.5</c:v>
                </c:pt>
                <c:pt idx="4">
                  <c:v>11.5</c:v>
                </c:pt>
                <c:pt idx="5">
                  <c:v>11.5</c:v>
                </c:pt>
                <c:pt idx="6">
                  <c:v>11.5</c:v>
                </c:pt>
                <c:pt idx="7">
                  <c:v>11.5</c:v>
                </c:pt>
                <c:pt idx="8">
                  <c:v>11.5</c:v>
                </c:pt>
                <c:pt idx="9">
                  <c:v>11.5</c:v>
                </c:pt>
                <c:pt idx="10">
                  <c:v>11.5</c:v>
                </c:pt>
                <c:pt idx="11">
                  <c:v>11.5</c:v>
                </c:pt>
                <c:pt idx="12">
                  <c:v>11.5</c:v>
                </c:pt>
                <c:pt idx="13">
                  <c:v>11.5</c:v>
                </c:pt>
                <c:pt idx="14">
                  <c:v>11.5</c:v>
                </c:pt>
                <c:pt idx="15">
                  <c:v>11.5</c:v>
                </c:pt>
                <c:pt idx="16">
                  <c:v>11.5</c:v>
                </c:pt>
                <c:pt idx="17">
                  <c:v>11.5</c:v>
                </c:pt>
                <c:pt idx="18">
                  <c:v>11.5</c:v>
                </c:pt>
                <c:pt idx="19">
                  <c:v>11.5</c:v>
                </c:pt>
                <c:pt idx="20">
                  <c:v>11.5</c:v>
                </c:pt>
                <c:pt idx="21">
                  <c:v>11.5</c:v>
                </c:pt>
                <c:pt idx="22">
                  <c:v>11.5</c:v>
                </c:pt>
                <c:pt idx="23">
                  <c:v>13</c:v>
                </c:pt>
                <c:pt idx="24">
                  <c:v>13</c:v>
                </c:pt>
                <c:pt idx="25">
                  <c:v>14.2</c:v>
                </c:pt>
                <c:pt idx="26">
                  <c:v>14.2</c:v>
                </c:pt>
                <c:pt idx="27">
                  <c:v>15.8</c:v>
                </c:pt>
                <c:pt idx="28">
                  <c:v>15.8</c:v>
                </c:pt>
                <c:pt idx="29">
                  <c:v>17.45</c:v>
                </c:pt>
                <c:pt idx="30">
                  <c:v>18.3</c:v>
                </c:pt>
                <c:pt idx="31">
                  <c:v>19.43</c:v>
                </c:pt>
                <c:pt idx="32">
                  <c:v>19.43</c:v>
                </c:pt>
                <c:pt idx="33">
                  <c:v>19.43</c:v>
                </c:pt>
                <c:pt idx="34">
                  <c:v>21</c:v>
                </c:pt>
                <c:pt idx="35">
                  <c:v>21</c:v>
                </c:pt>
                <c:pt idx="36">
                  <c:v>21</c:v>
                </c:pt>
                <c:pt idx="37">
                  <c:v>23.2</c:v>
                </c:pt>
                <c:pt idx="38">
                  <c:v>23.7</c:v>
                </c:pt>
                <c:pt idx="39">
                  <c:v>24.6</c:v>
                </c:pt>
                <c:pt idx="40">
                  <c:v>26</c:v>
                </c:pt>
                <c:pt idx="41">
                  <c:v>26.8</c:v>
                </c:pt>
                <c:pt idx="42">
                  <c:v>28.1</c:v>
                </c:pt>
                <c:pt idx="43">
                  <c:v>29.4</c:v>
                </c:pt>
                <c:pt idx="44">
                  <c:v>29.8</c:v>
                </c:pt>
                <c:pt idx="45">
                  <c:v>31.4</c:v>
                </c:pt>
                <c:pt idx="46">
                  <c:v>33.1</c:v>
                </c:pt>
                <c:pt idx="47">
                  <c:v>33.9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D52D-4A57-B414-E293B50406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1293800"/>
        <c:axId val="465550648"/>
      </c:scatterChart>
      <c:valAx>
        <c:axId val="465551432"/>
        <c:scaling>
          <c:orientation val="minMax"/>
          <c:max val="45880"/>
          <c:min val="4532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Date</a:t>
                </a:r>
              </a:p>
            </c:rich>
          </c:tx>
          <c:layout>
            <c:manualLayout>
              <c:xMode val="edge"/>
              <c:yMode val="edge"/>
              <c:x val="0.90567826207873303"/>
              <c:y val="0.87306883069511798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dd/mm/yyyy" sourceLinked="0"/>
        <c:majorTickMark val="cross"/>
        <c:minorTickMark val="none"/>
        <c:tickLblPos val="low"/>
        <c:spPr>
          <a:noFill/>
          <a:ln>
            <a:solidFill>
              <a:srgbClr val="4F81BD">
                <a:lumMod val="100000"/>
              </a:srgbClr>
            </a:solidFill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65551040"/>
        <c:crossesAt val="0"/>
        <c:crossBetween val="midCat"/>
        <c:majorUnit val="14"/>
      </c:valAx>
      <c:valAx>
        <c:axId val="465551040"/>
        <c:scaling>
          <c:orientation val="minMax"/>
          <c:max val="50"/>
          <c:min val="-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Déplacement [mm]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\+\ 0.0;\-\ 0.0;\±\ 0.0" sourceLinked="0"/>
        <c:majorTickMark val="cross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65551432"/>
        <c:crosses val="autoZero"/>
        <c:crossBetween val="midCat"/>
        <c:majorUnit val="10"/>
        <c:minorUnit val="2"/>
      </c:valAx>
      <c:valAx>
        <c:axId val="465550648"/>
        <c:scaling>
          <c:orientation val="minMax"/>
          <c:max val="60"/>
          <c:min val="-30"/>
        </c:scaling>
        <c:delete val="0"/>
        <c:axPos val="r"/>
        <c:numFmt formatCode="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61293800"/>
        <c:crosses val="max"/>
        <c:crossBetween val="midCat"/>
      </c:valAx>
      <c:valAx>
        <c:axId val="461293800"/>
        <c:scaling>
          <c:orientation val="minMax"/>
        </c:scaling>
        <c:delete val="1"/>
        <c:axPos val="b"/>
        <c:numFmt formatCode="dd\ /\ mm\ /\ yy" sourceLinked="1"/>
        <c:majorTickMark val="out"/>
        <c:minorTickMark val="none"/>
        <c:tickLblPos val="nextTo"/>
        <c:crossAx val="465550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0504100652678745"/>
          <c:y val="0.6687813360560213"/>
          <c:w val="0.54104734552042988"/>
          <c:h val="0.1267706524228151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span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 alignWithMargins="0"/>
    <c:pageMargins b="0.98425196899999956" l="0.78740157499999996" r="0.78740157499999996" t="0.98425196899999956" header="0.492125984500006" footer="0.492125984500006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Toutes les convergences , vue depuis le carrefour</a:t>
            </a:r>
          </a:p>
        </c:rich>
      </c:tx>
      <c:layout>
        <c:manualLayout>
          <c:xMode val="edge"/>
          <c:yMode val="edge"/>
          <c:x val="0.25006131288141975"/>
          <c:y val="9.5976033559660497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8.6758248843572708E-2"/>
          <c:y val="6.6421383425726496E-2"/>
          <c:w val="0.81613267472675255"/>
          <c:h val="0.7416555441780629"/>
        </c:manualLayout>
      </c:layout>
      <c:scatterChart>
        <c:scatterStyle val="lineMarker"/>
        <c:varyColors val="0"/>
        <c:ser>
          <c:idx val="10"/>
          <c:order val="0"/>
          <c:tx>
            <c:strRef>
              <c:f>Convergences!$E$9</c:f>
              <c:strCache>
                <c:ptCount val="1"/>
                <c:pt idx="0">
                  <c:v>HG</c:v>
                </c:pt>
              </c:strCache>
            </c:strRef>
          </c:tx>
          <c:spPr>
            <a:ln w="15875" cap="rnd">
              <a:solidFill>
                <a:schemeClr val="accent5">
                  <a:lumMod val="60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5">
                      <a:lumMod val="60000"/>
                      <a:tint val="50000"/>
                      <a:satMod val="300000"/>
                    </a:schemeClr>
                  </a:gs>
                  <a:gs pos="35000">
                    <a:schemeClr val="accent5">
                      <a:lumMod val="60000"/>
                      <a:tint val="37000"/>
                      <a:satMod val="300000"/>
                    </a:schemeClr>
                  </a:gs>
                  <a:gs pos="100000">
                    <a:schemeClr val="accent5">
                      <a:lumMod val="60000"/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5">
                    <a:lumMod val="60000"/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marker>
          <c:xVal>
            <c:numRef>
              <c:f>Convergences!$B$10:$B$149</c:f>
              <c:numCache>
                <c:formatCode>dd\ /\ mm\ /\ yy</c:formatCode>
                <c:ptCount val="140"/>
                <c:pt idx="0">
                  <c:v>45324</c:v>
                </c:pt>
                <c:pt idx="1">
                  <c:v>45327</c:v>
                </c:pt>
                <c:pt idx="2">
                  <c:v>45329</c:v>
                </c:pt>
                <c:pt idx="3">
                  <c:v>45331</c:v>
                </c:pt>
                <c:pt idx="4">
                  <c:v>45334</c:v>
                </c:pt>
                <c:pt idx="5">
                  <c:v>45335</c:v>
                </c:pt>
                <c:pt idx="6">
                  <c:v>45337</c:v>
                </c:pt>
                <c:pt idx="7">
                  <c:v>45338</c:v>
                </c:pt>
                <c:pt idx="8">
                  <c:v>45341</c:v>
                </c:pt>
                <c:pt idx="9">
                  <c:v>45343</c:v>
                </c:pt>
                <c:pt idx="10">
                  <c:v>45348</c:v>
                </c:pt>
                <c:pt idx="11">
                  <c:v>45350</c:v>
                </c:pt>
                <c:pt idx="12">
                  <c:v>45364</c:v>
                </c:pt>
                <c:pt idx="13">
                  <c:v>45390</c:v>
                </c:pt>
                <c:pt idx="14">
                  <c:v>45404</c:v>
                </c:pt>
                <c:pt idx="15">
                  <c:v>45411</c:v>
                </c:pt>
                <c:pt idx="16">
                  <c:v>45426</c:v>
                </c:pt>
                <c:pt idx="17">
                  <c:v>45453</c:v>
                </c:pt>
                <c:pt idx="18">
                  <c:v>45481</c:v>
                </c:pt>
                <c:pt idx="19">
                  <c:v>45544</c:v>
                </c:pt>
                <c:pt idx="20">
                  <c:v>45601</c:v>
                </c:pt>
                <c:pt idx="21">
                  <c:v>45671</c:v>
                </c:pt>
                <c:pt idx="22">
                  <c:v>45712</c:v>
                </c:pt>
                <c:pt idx="23">
                  <c:v>45722</c:v>
                </c:pt>
                <c:pt idx="24">
                  <c:v>45726</c:v>
                </c:pt>
                <c:pt idx="25">
                  <c:v>45730</c:v>
                </c:pt>
                <c:pt idx="26">
                  <c:v>45736</c:v>
                </c:pt>
                <c:pt idx="27">
                  <c:v>45744</c:v>
                </c:pt>
                <c:pt idx="28">
                  <c:v>45748</c:v>
                </c:pt>
                <c:pt idx="29">
                  <c:v>45751</c:v>
                </c:pt>
                <c:pt idx="30">
                  <c:v>45754</c:v>
                </c:pt>
                <c:pt idx="31">
                  <c:v>45756</c:v>
                </c:pt>
                <c:pt idx="32">
                  <c:v>45762</c:v>
                </c:pt>
                <c:pt idx="33">
                  <c:v>45769</c:v>
                </c:pt>
                <c:pt idx="34">
                  <c:v>45772</c:v>
                </c:pt>
                <c:pt idx="35">
                  <c:v>45775</c:v>
                </c:pt>
                <c:pt idx="36">
                  <c:v>45792</c:v>
                </c:pt>
                <c:pt idx="37">
                  <c:v>45798</c:v>
                </c:pt>
                <c:pt idx="38">
                  <c:v>45803</c:v>
                </c:pt>
                <c:pt idx="39">
                  <c:v>45810</c:v>
                </c:pt>
                <c:pt idx="40">
                  <c:v>45818</c:v>
                </c:pt>
                <c:pt idx="41">
                  <c:v>45824</c:v>
                </c:pt>
                <c:pt idx="42">
                  <c:v>45831</c:v>
                </c:pt>
                <c:pt idx="43">
                  <c:v>45839</c:v>
                </c:pt>
                <c:pt idx="44">
                  <c:v>45846</c:v>
                </c:pt>
                <c:pt idx="45">
                  <c:v>45853</c:v>
                </c:pt>
                <c:pt idx="46">
                  <c:v>45861</c:v>
                </c:pt>
                <c:pt idx="47">
                  <c:v>45867</c:v>
                </c:pt>
              </c:numCache>
            </c:numRef>
          </c:xVal>
          <c:yVal>
            <c:numRef>
              <c:f>Convergences!$E$10:$E$149</c:f>
              <c:numCache>
                <c:formatCode>\+\ 0.0;\-\ 0.0;\±\ 0.0</c:formatCode>
                <c:ptCount val="140"/>
                <c:pt idx="0">
                  <c:v>0</c:v>
                </c:pt>
                <c:pt idx="1">
                  <c:v>-0.58524815068450309</c:v>
                </c:pt>
                <c:pt idx="2">
                  <c:v>0</c:v>
                </c:pt>
                <c:pt idx="3">
                  <c:v>0.79387237141093081</c:v>
                </c:pt>
                <c:pt idx="4">
                  <c:v>0.86233178911454544</c:v>
                </c:pt>
                <c:pt idx="5">
                  <c:v>0.87626770996918069</c:v>
                </c:pt>
                <c:pt idx="6">
                  <c:v>0.51774158193529374</c:v>
                </c:pt>
                <c:pt idx="7">
                  <c:v>0.6744950474053546</c:v>
                </c:pt>
                <c:pt idx="8">
                  <c:v>1.157177661003761</c:v>
                </c:pt>
                <c:pt idx="9">
                  <c:v>0.47547008104142918</c:v>
                </c:pt>
                <c:pt idx="10">
                  <c:v>2.5694418605906044</c:v>
                </c:pt>
                <c:pt idx="11">
                  <c:v>2.7476705056059814</c:v>
                </c:pt>
                <c:pt idx="12">
                  <c:v>2.1503194211875964</c:v>
                </c:pt>
                <c:pt idx="13">
                  <c:v>1.5857621122079557</c:v>
                </c:pt>
                <c:pt idx="14">
                  <c:v>1.5191979127626709</c:v>
                </c:pt>
                <c:pt idx="16">
                  <c:v>1.5191979127626709</c:v>
                </c:pt>
                <c:pt idx="17">
                  <c:v>1.3178517474741192</c:v>
                </c:pt>
                <c:pt idx="18">
                  <c:v>0.95351371152263553</c:v>
                </c:pt>
                <c:pt idx="19">
                  <c:v>1.295811569526073</c:v>
                </c:pt>
                <c:pt idx="20">
                  <c:v>1.295811569526073</c:v>
                </c:pt>
                <c:pt idx="21">
                  <c:v>-0.16260504784426644</c:v>
                </c:pt>
                <c:pt idx="22">
                  <c:v>-0.27482086104724246</c:v>
                </c:pt>
                <c:pt idx="24">
                  <c:v>-0.67918941105027386</c:v>
                </c:pt>
                <c:pt idx="25">
                  <c:v>-1.2640127871694773</c:v>
                </c:pt>
                <c:pt idx="26">
                  <c:v>-1.5244458468863797</c:v>
                </c:pt>
                <c:pt idx="27">
                  <c:v>-4.6253578328121492</c:v>
                </c:pt>
                <c:pt idx="28">
                  <c:v>-7.9850498162974404</c:v>
                </c:pt>
                <c:pt idx="29">
                  <c:v>-11.240067614308291</c:v>
                </c:pt>
                <c:pt idx="30">
                  <c:v>-12.592681250370497</c:v>
                </c:pt>
                <c:pt idx="32">
                  <c:v>-15.311337742978992</c:v>
                </c:pt>
                <c:pt idx="33">
                  <c:v>-19.536754565204095</c:v>
                </c:pt>
                <c:pt idx="34">
                  <c:v>-20.115360337892962</c:v>
                </c:pt>
                <c:pt idx="35">
                  <c:v>-20.911860145848227</c:v>
                </c:pt>
                <c:pt idx="36">
                  <c:v>-23.08251196322697</c:v>
                </c:pt>
                <c:pt idx="37">
                  <c:v>-23.454043441604178</c:v>
                </c:pt>
                <c:pt idx="38">
                  <c:v>-25.286435370374782</c:v>
                </c:pt>
                <c:pt idx="39">
                  <c:v>-25.902036649849691</c:v>
                </c:pt>
                <c:pt idx="40">
                  <c:v>-26.686110477442515</c:v>
                </c:pt>
                <c:pt idx="41">
                  <c:v>-26.602145097386121</c:v>
                </c:pt>
                <c:pt idx="42">
                  <c:v>-27.966081270908827</c:v>
                </c:pt>
                <c:pt idx="43">
                  <c:v>-28.840397410013985</c:v>
                </c:pt>
                <c:pt idx="44">
                  <c:v>-29.071206149116069</c:v>
                </c:pt>
                <c:pt idx="45">
                  <c:v>-29.257859450069645</c:v>
                </c:pt>
                <c:pt idx="46">
                  <c:v>-29.972259794943223</c:v>
                </c:pt>
                <c:pt idx="47">
                  <c:v>-30.333003997105923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57-4AF3-85A7-93F74B92419D}"/>
            </c:ext>
          </c:extLst>
        </c:ser>
        <c:ser>
          <c:idx val="11"/>
          <c:order val="1"/>
          <c:tx>
            <c:strRef>
              <c:f>Convergences!$F$9</c:f>
              <c:strCache>
                <c:ptCount val="1"/>
                <c:pt idx="0">
                  <c:v>HD</c:v>
                </c:pt>
              </c:strCache>
            </c:strRef>
          </c:tx>
          <c:spPr>
            <a:ln w="15875" cap="rnd">
              <a:solidFill>
                <a:schemeClr val="accent6">
                  <a:lumMod val="60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6">
                      <a:lumMod val="60000"/>
                      <a:tint val="50000"/>
                      <a:satMod val="300000"/>
                    </a:schemeClr>
                  </a:gs>
                  <a:gs pos="35000">
                    <a:schemeClr val="accent6">
                      <a:lumMod val="60000"/>
                      <a:tint val="37000"/>
                      <a:satMod val="300000"/>
                    </a:schemeClr>
                  </a:gs>
                  <a:gs pos="100000">
                    <a:schemeClr val="accent6">
                      <a:lumMod val="60000"/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6">
                    <a:lumMod val="60000"/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marker>
          <c:xVal>
            <c:numRef>
              <c:f>Convergences!$B$10:$B$149</c:f>
              <c:numCache>
                <c:formatCode>dd\ /\ mm\ /\ yy</c:formatCode>
                <c:ptCount val="140"/>
                <c:pt idx="0">
                  <c:v>45324</c:v>
                </c:pt>
                <c:pt idx="1">
                  <c:v>45327</c:v>
                </c:pt>
                <c:pt idx="2">
                  <c:v>45329</c:v>
                </c:pt>
                <c:pt idx="3">
                  <c:v>45331</c:v>
                </c:pt>
                <c:pt idx="4">
                  <c:v>45334</c:v>
                </c:pt>
                <c:pt idx="5">
                  <c:v>45335</c:v>
                </c:pt>
                <c:pt idx="6">
                  <c:v>45337</c:v>
                </c:pt>
                <c:pt idx="7">
                  <c:v>45338</c:v>
                </c:pt>
                <c:pt idx="8">
                  <c:v>45341</c:v>
                </c:pt>
                <c:pt idx="9">
                  <c:v>45343</c:v>
                </c:pt>
                <c:pt idx="10">
                  <c:v>45348</c:v>
                </c:pt>
                <c:pt idx="11">
                  <c:v>45350</c:v>
                </c:pt>
                <c:pt idx="12">
                  <c:v>45364</c:v>
                </c:pt>
                <c:pt idx="13">
                  <c:v>45390</c:v>
                </c:pt>
                <c:pt idx="14">
                  <c:v>45404</c:v>
                </c:pt>
                <c:pt idx="15">
                  <c:v>45411</c:v>
                </c:pt>
                <c:pt idx="16">
                  <c:v>45426</c:v>
                </c:pt>
                <c:pt idx="17">
                  <c:v>45453</c:v>
                </c:pt>
                <c:pt idx="18">
                  <c:v>45481</c:v>
                </c:pt>
                <c:pt idx="19">
                  <c:v>45544</c:v>
                </c:pt>
                <c:pt idx="20">
                  <c:v>45601</c:v>
                </c:pt>
                <c:pt idx="21">
                  <c:v>45671</c:v>
                </c:pt>
                <c:pt idx="22">
                  <c:v>45712</c:v>
                </c:pt>
                <c:pt idx="23">
                  <c:v>45722</c:v>
                </c:pt>
                <c:pt idx="24">
                  <c:v>45726</c:v>
                </c:pt>
                <c:pt idx="25">
                  <c:v>45730</c:v>
                </c:pt>
                <c:pt idx="26">
                  <c:v>45736</c:v>
                </c:pt>
                <c:pt idx="27">
                  <c:v>45744</c:v>
                </c:pt>
                <c:pt idx="28">
                  <c:v>45748</c:v>
                </c:pt>
                <c:pt idx="29">
                  <c:v>45751</c:v>
                </c:pt>
                <c:pt idx="30">
                  <c:v>45754</c:v>
                </c:pt>
                <c:pt idx="31">
                  <c:v>45756</c:v>
                </c:pt>
                <c:pt idx="32">
                  <c:v>45762</c:v>
                </c:pt>
                <c:pt idx="33">
                  <c:v>45769</c:v>
                </c:pt>
                <c:pt idx="34">
                  <c:v>45772</c:v>
                </c:pt>
                <c:pt idx="35">
                  <c:v>45775</c:v>
                </c:pt>
                <c:pt idx="36">
                  <c:v>45792</c:v>
                </c:pt>
                <c:pt idx="37">
                  <c:v>45798</c:v>
                </c:pt>
                <c:pt idx="38">
                  <c:v>45803</c:v>
                </c:pt>
                <c:pt idx="39">
                  <c:v>45810</c:v>
                </c:pt>
                <c:pt idx="40">
                  <c:v>45818</c:v>
                </c:pt>
                <c:pt idx="41">
                  <c:v>45824</c:v>
                </c:pt>
                <c:pt idx="42">
                  <c:v>45831</c:v>
                </c:pt>
                <c:pt idx="43">
                  <c:v>45839</c:v>
                </c:pt>
                <c:pt idx="44">
                  <c:v>45846</c:v>
                </c:pt>
                <c:pt idx="45">
                  <c:v>45853</c:v>
                </c:pt>
                <c:pt idx="46">
                  <c:v>45861</c:v>
                </c:pt>
                <c:pt idx="47">
                  <c:v>45867</c:v>
                </c:pt>
              </c:numCache>
            </c:numRef>
          </c:xVal>
          <c:yVal>
            <c:numRef>
              <c:f>Convergences!$F$10:$F$149</c:f>
              <c:numCache>
                <c:formatCode>\+\ 0.0;\-\ 0.0;\±\ 0.0</c:formatCode>
                <c:ptCount val="140"/>
                <c:pt idx="0">
                  <c:v>0</c:v>
                </c:pt>
                <c:pt idx="1">
                  <c:v>-0.46740537586242858</c:v>
                </c:pt>
                <c:pt idx="2">
                  <c:v>0</c:v>
                </c:pt>
                <c:pt idx="3">
                  <c:v>-5.6248608949049927</c:v>
                </c:pt>
                <c:pt idx="4">
                  <c:v>-6.8331583894654102</c:v>
                </c:pt>
                <c:pt idx="5">
                  <c:v>-6.9924661847353686</c:v>
                </c:pt>
                <c:pt idx="6">
                  <c:v>-6.7510748112522556</c:v>
                </c:pt>
                <c:pt idx="8">
                  <c:v>-7.1642831153819753</c:v>
                </c:pt>
                <c:pt idx="9">
                  <c:v>-7.1646578336492794</c:v>
                </c:pt>
                <c:pt idx="10">
                  <c:v>-10.129404324134006</c:v>
                </c:pt>
                <c:pt idx="11">
                  <c:v>-9.9650146458134525</c:v>
                </c:pt>
                <c:pt idx="12">
                  <c:v>-10.369962576478375</c:v>
                </c:pt>
                <c:pt idx="13">
                  <c:v>-9.4753988562237268</c:v>
                </c:pt>
                <c:pt idx="14">
                  <c:v>-9.580985787380536</c:v>
                </c:pt>
                <c:pt idx="15">
                  <c:v>-9.3960218854740596</c:v>
                </c:pt>
                <c:pt idx="16">
                  <c:v>-9.580985787380536</c:v>
                </c:pt>
                <c:pt idx="17">
                  <c:v>-9.6255925549115773</c:v>
                </c:pt>
                <c:pt idx="18">
                  <c:v>-10.122622638021994</c:v>
                </c:pt>
                <c:pt idx="19">
                  <c:v>-9.4983223343905188</c:v>
                </c:pt>
                <c:pt idx="20">
                  <c:v>-9.3761367900890846</c:v>
                </c:pt>
                <c:pt idx="21">
                  <c:v>-10.419793455767046</c:v>
                </c:pt>
                <c:pt idx="22">
                  <c:v>-9.7180005803276792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757-4AF3-85A7-93F74B92419D}"/>
            </c:ext>
          </c:extLst>
        </c:ser>
        <c:ser>
          <c:idx val="12"/>
          <c:order val="2"/>
          <c:tx>
            <c:strRef>
              <c:f>Convergences!$H$9</c:f>
              <c:strCache>
                <c:ptCount val="1"/>
                <c:pt idx="0">
                  <c:v>LH</c:v>
                </c:pt>
              </c:strCache>
            </c:strRef>
          </c:tx>
          <c:spPr>
            <a:ln w="15875" cap="rnd">
              <a:solidFill>
                <a:schemeClr val="accent1">
                  <a:lumMod val="80000"/>
                  <a:lumOff val="20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1">
                      <a:lumMod val="80000"/>
                      <a:lumOff val="20000"/>
                      <a:tint val="50000"/>
                      <a:satMod val="300000"/>
                    </a:schemeClr>
                  </a:gs>
                  <a:gs pos="35000">
                    <a:schemeClr val="accent1">
                      <a:lumMod val="80000"/>
                      <a:lumOff val="20000"/>
                      <a:tint val="37000"/>
                      <a:satMod val="300000"/>
                    </a:schemeClr>
                  </a:gs>
                  <a:gs pos="100000">
                    <a:schemeClr val="accent1">
                      <a:lumMod val="80000"/>
                      <a:lumOff val="20000"/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1">
                    <a:lumMod val="80000"/>
                    <a:lumOff val="20000"/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marker>
          <c:xVal>
            <c:numRef>
              <c:f>Convergences!$B$10:$B$149</c:f>
              <c:numCache>
                <c:formatCode>dd\ /\ mm\ /\ yy</c:formatCode>
                <c:ptCount val="140"/>
                <c:pt idx="0">
                  <c:v>45324</c:v>
                </c:pt>
                <c:pt idx="1">
                  <c:v>45327</c:v>
                </c:pt>
                <c:pt idx="2">
                  <c:v>45329</c:v>
                </c:pt>
                <c:pt idx="3">
                  <c:v>45331</c:v>
                </c:pt>
                <c:pt idx="4">
                  <c:v>45334</c:v>
                </c:pt>
                <c:pt idx="5">
                  <c:v>45335</c:v>
                </c:pt>
                <c:pt idx="6">
                  <c:v>45337</c:v>
                </c:pt>
                <c:pt idx="7">
                  <c:v>45338</c:v>
                </c:pt>
                <c:pt idx="8">
                  <c:v>45341</c:v>
                </c:pt>
                <c:pt idx="9">
                  <c:v>45343</c:v>
                </c:pt>
                <c:pt idx="10">
                  <c:v>45348</c:v>
                </c:pt>
                <c:pt idx="11">
                  <c:v>45350</c:v>
                </c:pt>
                <c:pt idx="12">
                  <c:v>45364</c:v>
                </c:pt>
                <c:pt idx="13">
                  <c:v>45390</c:v>
                </c:pt>
                <c:pt idx="14">
                  <c:v>45404</c:v>
                </c:pt>
                <c:pt idx="15">
                  <c:v>45411</c:v>
                </c:pt>
                <c:pt idx="16">
                  <c:v>45426</c:v>
                </c:pt>
                <c:pt idx="17">
                  <c:v>45453</c:v>
                </c:pt>
                <c:pt idx="18">
                  <c:v>45481</c:v>
                </c:pt>
                <c:pt idx="19">
                  <c:v>45544</c:v>
                </c:pt>
                <c:pt idx="20">
                  <c:v>45601</c:v>
                </c:pt>
                <c:pt idx="21">
                  <c:v>45671</c:v>
                </c:pt>
                <c:pt idx="22">
                  <c:v>45712</c:v>
                </c:pt>
                <c:pt idx="23">
                  <c:v>45722</c:v>
                </c:pt>
                <c:pt idx="24">
                  <c:v>45726</c:v>
                </c:pt>
                <c:pt idx="25">
                  <c:v>45730</c:v>
                </c:pt>
                <c:pt idx="26">
                  <c:v>45736</c:v>
                </c:pt>
                <c:pt idx="27">
                  <c:v>45744</c:v>
                </c:pt>
                <c:pt idx="28">
                  <c:v>45748</c:v>
                </c:pt>
                <c:pt idx="29">
                  <c:v>45751</c:v>
                </c:pt>
                <c:pt idx="30">
                  <c:v>45754</c:v>
                </c:pt>
                <c:pt idx="31">
                  <c:v>45756</c:v>
                </c:pt>
                <c:pt idx="32">
                  <c:v>45762</c:v>
                </c:pt>
                <c:pt idx="33">
                  <c:v>45769</c:v>
                </c:pt>
                <c:pt idx="34">
                  <c:v>45772</c:v>
                </c:pt>
                <c:pt idx="35">
                  <c:v>45775</c:v>
                </c:pt>
                <c:pt idx="36">
                  <c:v>45792</c:v>
                </c:pt>
                <c:pt idx="37">
                  <c:v>45798</c:v>
                </c:pt>
                <c:pt idx="38">
                  <c:v>45803</c:v>
                </c:pt>
                <c:pt idx="39">
                  <c:v>45810</c:v>
                </c:pt>
                <c:pt idx="40">
                  <c:v>45818</c:v>
                </c:pt>
                <c:pt idx="41">
                  <c:v>45824</c:v>
                </c:pt>
                <c:pt idx="42">
                  <c:v>45831</c:v>
                </c:pt>
                <c:pt idx="43">
                  <c:v>45839</c:v>
                </c:pt>
                <c:pt idx="44">
                  <c:v>45846</c:v>
                </c:pt>
                <c:pt idx="45">
                  <c:v>45853</c:v>
                </c:pt>
                <c:pt idx="46">
                  <c:v>45861</c:v>
                </c:pt>
                <c:pt idx="47">
                  <c:v>45867</c:v>
                </c:pt>
              </c:numCache>
            </c:numRef>
          </c:xVal>
          <c:yVal>
            <c:numRef>
              <c:f>Convergences!$H$10:$H$149</c:f>
              <c:numCache>
                <c:formatCode>\+\ 0.0;\-\ 0.0;\±\ 0.0</c:formatCode>
                <c:ptCount val="140"/>
                <c:pt idx="0">
                  <c:v>0</c:v>
                </c:pt>
                <c:pt idx="1">
                  <c:v>-0.95321322646313433</c:v>
                </c:pt>
                <c:pt idx="2">
                  <c:v>0</c:v>
                </c:pt>
                <c:pt idx="3">
                  <c:v>-4.9362159839549946</c:v>
                </c:pt>
                <c:pt idx="4">
                  <c:v>-6.1264217735601534</c:v>
                </c:pt>
                <c:pt idx="5">
                  <c:v>-6.4279006312464304</c:v>
                </c:pt>
                <c:pt idx="6">
                  <c:v>-6.5179015837717458</c:v>
                </c:pt>
                <c:pt idx="7">
                  <c:v>-6.1309107140701258</c:v>
                </c:pt>
                <c:pt idx="8">
                  <c:v>-6.468513230201367</c:v>
                </c:pt>
                <c:pt idx="9">
                  <c:v>-7.3040050940464951</c:v>
                </c:pt>
                <c:pt idx="10">
                  <c:v>-7.4878705644874088</c:v>
                </c:pt>
                <c:pt idx="11">
                  <c:v>-7.2839904030308489</c:v>
                </c:pt>
                <c:pt idx="12">
                  <c:v>-8.1513278329206074</c:v>
                </c:pt>
                <c:pt idx="13">
                  <c:v>-7.8755742358040948</c:v>
                </c:pt>
                <c:pt idx="14">
                  <c:v>-8.3695378940733534</c:v>
                </c:pt>
                <c:pt idx="16">
                  <c:v>-8.3695378940733534</c:v>
                </c:pt>
                <c:pt idx="17">
                  <c:v>-8.7937516063743004</c:v>
                </c:pt>
                <c:pt idx="18">
                  <c:v>-9.5329278863713895</c:v>
                </c:pt>
                <c:pt idx="19">
                  <c:v>-8.4697730467260257</c:v>
                </c:pt>
                <c:pt idx="20">
                  <c:v>-8.3822633474994745</c:v>
                </c:pt>
                <c:pt idx="21">
                  <c:v>-11.095356908983334</c:v>
                </c:pt>
                <c:pt idx="22">
                  <c:v>-10.644048571512243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757-4AF3-85A7-93F74B92419D}"/>
            </c:ext>
          </c:extLst>
        </c:ser>
        <c:ser>
          <c:idx val="13"/>
          <c:order val="3"/>
          <c:tx>
            <c:strRef>
              <c:f>Convergences!$D$9</c:f>
              <c:strCache>
                <c:ptCount val="1"/>
                <c:pt idx="0">
                  <c:v>BG</c:v>
                </c:pt>
              </c:strCache>
            </c:strRef>
          </c:tx>
          <c:spPr>
            <a:ln w="15875" cap="rnd">
              <a:solidFill>
                <a:schemeClr val="accent2">
                  <a:lumMod val="80000"/>
                  <a:lumOff val="20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tint val="50000"/>
                      <a:satMod val="300000"/>
                    </a:schemeClr>
                  </a:gs>
                  <a:gs pos="35000">
                    <a:schemeClr val="accent2">
                      <a:lumMod val="80000"/>
                      <a:lumOff val="20000"/>
                      <a:tint val="37000"/>
                      <a:satMod val="300000"/>
                    </a:schemeClr>
                  </a:gs>
                  <a:gs pos="100000">
                    <a:schemeClr val="accent2">
                      <a:lumMod val="80000"/>
                      <a:lumOff val="20000"/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lumMod val="80000"/>
                    <a:lumOff val="20000"/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marker>
          <c:xVal>
            <c:numRef>
              <c:f>Convergences!$B$10:$B$149</c:f>
              <c:numCache>
                <c:formatCode>dd\ /\ mm\ /\ yy</c:formatCode>
                <c:ptCount val="140"/>
                <c:pt idx="0">
                  <c:v>45324</c:v>
                </c:pt>
                <c:pt idx="1">
                  <c:v>45327</c:v>
                </c:pt>
                <c:pt idx="2">
                  <c:v>45329</c:v>
                </c:pt>
                <c:pt idx="3">
                  <c:v>45331</c:v>
                </c:pt>
                <c:pt idx="4">
                  <c:v>45334</c:v>
                </c:pt>
                <c:pt idx="5">
                  <c:v>45335</c:v>
                </c:pt>
                <c:pt idx="6">
                  <c:v>45337</c:v>
                </c:pt>
                <c:pt idx="7">
                  <c:v>45338</c:v>
                </c:pt>
                <c:pt idx="8">
                  <c:v>45341</c:v>
                </c:pt>
                <c:pt idx="9">
                  <c:v>45343</c:v>
                </c:pt>
                <c:pt idx="10">
                  <c:v>45348</c:v>
                </c:pt>
                <c:pt idx="11">
                  <c:v>45350</c:v>
                </c:pt>
                <c:pt idx="12">
                  <c:v>45364</c:v>
                </c:pt>
                <c:pt idx="13">
                  <c:v>45390</c:v>
                </c:pt>
                <c:pt idx="14">
                  <c:v>45404</c:v>
                </c:pt>
                <c:pt idx="15">
                  <c:v>45411</c:v>
                </c:pt>
                <c:pt idx="16">
                  <c:v>45426</c:v>
                </c:pt>
                <c:pt idx="17">
                  <c:v>45453</c:v>
                </c:pt>
                <c:pt idx="18">
                  <c:v>45481</c:v>
                </c:pt>
                <c:pt idx="19">
                  <c:v>45544</c:v>
                </c:pt>
                <c:pt idx="20">
                  <c:v>45601</c:v>
                </c:pt>
                <c:pt idx="21">
                  <c:v>45671</c:v>
                </c:pt>
                <c:pt idx="22">
                  <c:v>45712</c:v>
                </c:pt>
                <c:pt idx="23">
                  <c:v>45722</c:v>
                </c:pt>
                <c:pt idx="24">
                  <c:v>45726</c:v>
                </c:pt>
                <c:pt idx="25">
                  <c:v>45730</c:v>
                </c:pt>
                <c:pt idx="26">
                  <c:v>45736</c:v>
                </c:pt>
                <c:pt idx="27">
                  <c:v>45744</c:v>
                </c:pt>
                <c:pt idx="28">
                  <c:v>45748</c:v>
                </c:pt>
                <c:pt idx="29">
                  <c:v>45751</c:v>
                </c:pt>
                <c:pt idx="30">
                  <c:v>45754</c:v>
                </c:pt>
                <c:pt idx="31">
                  <c:v>45756</c:v>
                </c:pt>
                <c:pt idx="32">
                  <c:v>45762</c:v>
                </c:pt>
                <c:pt idx="33">
                  <c:v>45769</c:v>
                </c:pt>
                <c:pt idx="34">
                  <c:v>45772</c:v>
                </c:pt>
                <c:pt idx="35">
                  <c:v>45775</c:v>
                </c:pt>
                <c:pt idx="36">
                  <c:v>45792</c:v>
                </c:pt>
                <c:pt idx="37">
                  <c:v>45798</c:v>
                </c:pt>
                <c:pt idx="38">
                  <c:v>45803</c:v>
                </c:pt>
                <c:pt idx="39">
                  <c:v>45810</c:v>
                </c:pt>
                <c:pt idx="40">
                  <c:v>45818</c:v>
                </c:pt>
                <c:pt idx="41">
                  <c:v>45824</c:v>
                </c:pt>
                <c:pt idx="42">
                  <c:v>45831</c:v>
                </c:pt>
                <c:pt idx="43">
                  <c:v>45839</c:v>
                </c:pt>
                <c:pt idx="44">
                  <c:v>45846</c:v>
                </c:pt>
                <c:pt idx="45">
                  <c:v>45853</c:v>
                </c:pt>
                <c:pt idx="46">
                  <c:v>45861</c:v>
                </c:pt>
                <c:pt idx="47">
                  <c:v>45867</c:v>
                </c:pt>
              </c:numCache>
            </c:numRef>
          </c:xVal>
          <c:yVal>
            <c:numRef>
              <c:f>Convergences!$D$10:$D$149</c:f>
              <c:numCache>
                <c:formatCode>\+\ 0.0;\-\ 0.0;\±\ 0.0</c:formatCode>
                <c:ptCount val="140"/>
                <c:pt idx="0">
                  <c:v>0</c:v>
                </c:pt>
                <c:pt idx="1">
                  <c:v>-1.0198291823373395</c:v>
                </c:pt>
                <c:pt idx="2">
                  <c:v>0</c:v>
                </c:pt>
                <c:pt idx="3">
                  <c:v>-0.75778666059278521</c:v>
                </c:pt>
                <c:pt idx="4">
                  <c:v>-1.2895055902388819</c:v>
                </c:pt>
                <c:pt idx="5">
                  <c:v>-1.3564881585992339</c:v>
                </c:pt>
                <c:pt idx="6">
                  <c:v>-1.5618565760275871</c:v>
                </c:pt>
                <c:pt idx="7">
                  <c:v>-1.2377026443814998</c:v>
                </c:pt>
                <c:pt idx="8">
                  <c:v>-1.0427145260081261</c:v>
                </c:pt>
                <c:pt idx="9">
                  <c:v>-1.7330650113205337</c:v>
                </c:pt>
                <c:pt idx="10">
                  <c:v>-0.29973736509880666</c:v>
                </c:pt>
                <c:pt idx="11">
                  <c:v>-0.26562763320647775</c:v>
                </c:pt>
                <c:pt idx="12">
                  <c:v>-0.47047721922144348</c:v>
                </c:pt>
                <c:pt idx="13">
                  <c:v>-1.0959588970660405</c:v>
                </c:pt>
                <c:pt idx="14">
                  <c:v>-2.3527622302532691</c:v>
                </c:pt>
                <c:pt idx="15">
                  <c:v>-2.3527622567733886</c:v>
                </c:pt>
                <c:pt idx="16">
                  <c:v>-2.3527622302532691</c:v>
                </c:pt>
                <c:pt idx="17">
                  <c:v>-2.6110035034800916</c:v>
                </c:pt>
                <c:pt idx="18">
                  <c:v>-2.7279751038085109</c:v>
                </c:pt>
                <c:pt idx="19">
                  <c:v>-1.6644982628104543</c:v>
                </c:pt>
                <c:pt idx="20">
                  <c:v>-2.2968966341707642</c:v>
                </c:pt>
                <c:pt idx="21">
                  <c:v>-5.1637277646472413</c:v>
                </c:pt>
                <c:pt idx="22">
                  <c:v>-5.0286971250708135</c:v>
                </c:pt>
                <c:pt idx="23">
                  <c:v>-5.7972657169775843</c:v>
                </c:pt>
                <c:pt idx="24">
                  <c:v>-6.081245872671559</c:v>
                </c:pt>
                <c:pt idx="25">
                  <c:v>-6.0477644521208518</c:v>
                </c:pt>
                <c:pt idx="26">
                  <c:v>-6.647498544621655</c:v>
                </c:pt>
                <c:pt idx="27">
                  <c:v>-9.6512029498976304</c:v>
                </c:pt>
                <c:pt idx="28">
                  <c:v>-12.820670753272978</c:v>
                </c:pt>
                <c:pt idx="29">
                  <c:v>-15.15049832497084</c:v>
                </c:pt>
                <c:pt idx="30">
                  <c:v>-16.726192940041074</c:v>
                </c:pt>
                <c:pt idx="31">
                  <c:v>-17.99453060358136</c:v>
                </c:pt>
                <c:pt idx="32">
                  <c:v>-18.85512368427289</c:v>
                </c:pt>
                <c:pt idx="33">
                  <c:v>-22.788453692509592</c:v>
                </c:pt>
                <c:pt idx="34">
                  <c:v>-23.013969407668533</c:v>
                </c:pt>
                <c:pt idx="35">
                  <c:v>-23.931447234644132</c:v>
                </c:pt>
                <c:pt idx="36">
                  <c:v>-25.935942407284251</c:v>
                </c:pt>
                <c:pt idx="37">
                  <c:v>-26.978532255611753</c:v>
                </c:pt>
                <c:pt idx="38">
                  <c:v>-28.065207321910535</c:v>
                </c:pt>
                <c:pt idx="39">
                  <c:v>-28.675616678678573</c:v>
                </c:pt>
                <c:pt idx="40">
                  <c:v>-29.683933519178751</c:v>
                </c:pt>
                <c:pt idx="41">
                  <c:v>-29.728943959215215</c:v>
                </c:pt>
                <c:pt idx="42">
                  <c:v>-31.042411584015106</c:v>
                </c:pt>
                <c:pt idx="43">
                  <c:v>-31.381747573236751</c:v>
                </c:pt>
                <c:pt idx="44">
                  <c:v>-32.534930019572528</c:v>
                </c:pt>
                <c:pt idx="45">
                  <c:v>-32.739410234977839</c:v>
                </c:pt>
                <c:pt idx="46">
                  <c:v>-33.724296654089159</c:v>
                </c:pt>
                <c:pt idx="47">
                  <c:v>-33.927714885791715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757-4AF3-85A7-93F74B92419D}"/>
            </c:ext>
          </c:extLst>
        </c:ser>
        <c:ser>
          <c:idx val="14"/>
          <c:order val="4"/>
          <c:tx>
            <c:strRef>
              <c:f>Convergences!$I$9</c:f>
              <c:strCache>
                <c:ptCount val="1"/>
                <c:pt idx="0">
                  <c:v>LB</c:v>
                </c:pt>
              </c:strCache>
            </c:strRef>
          </c:tx>
          <c:spPr>
            <a:ln w="15875" cap="rnd">
              <a:solidFill>
                <a:schemeClr val="accent3">
                  <a:lumMod val="80000"/>
                  <a:lumOff val="20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3">
                      <a:lumMod val="80000"/>
                      <a:lumOff val="20000"/>
                      <a:tint val="50000"/>
                      <a:satMod val="300000"/>
                    </a:schemeClr>
                  </a:gs>
                  <a:gs pos="35000">
                    <a:schemeClr val="accent3">
                      <a:lumMod val="80000"/>
                      <a:lumOff val="20000"/>
                      <a:tint val="37000"/>
                      <a:satMod val="300000"/>
                    </a:schemeClr>
                  </a:gs>
                  <a:gs pos="100000">
                    <a:schemeClr val="accent3">
                      <a:lumMod val="80000"/>
                      <a:lumOff val="20000"/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3">
                    <a:lumMod val="80000"/>
                    <a:lumOff val="20000"/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marker>
          <c:xVal>
            <c:numRef>
              <c:f>Convergences!$B$10:$B$149</c:f>
              <c:numCache>
                <c:formatCode>dd\ /\ mm\ /\ yy</c:formatCode>
                <c:ptCount val="140"/>
                <c:pt idx="0">
                  <c:v>45324</c:v>
                </c:pt>
                <c:pt idx="1">
                  <c:v>45327</c:v>
                </c:pt>
                <c:pt idx="2">
                  <c:v>45329</c:v>
                </c:pt>
                <c:pt idx="3">
                  <c:v>45331</c:v>
                </c:pt>
                <c:pt idx="4">
                  <c:v>45334</c:v>
                </c:pt>
                <c:pt idx="5">
                  <c:v>45335</c:v>
                </c:pt>
                <c:pt idx="6">
                  <c:v>45337</c:v>
                </c:pt>
                <c:pt idx="7">
                  <c:v>45338</c:v>
                </c:pt>
                <c:pt idx="8">
                  <c:v>45341</c:v>
                </c:pt>
                <c:pt idx="9">
                  <c:v>45343</c:v>
                </c:pt>
                <c:pt idx="10">
                  <c:v>45348</c:v>
                </c:pt>
                <c:pt idx="11">
                  <c:v>45350</c:v>
                </c:pt>
                <c:pt idx="12">
                  <c:v>45364</c:v>
                </c:pt>
                <c:pt idx="13">
                  <c:v>45390</c:v>
                </c:pt>
                <c:pt idx="14">
                  <c:v>45404</c:v>
                </c:pt>
                <c:pt idx="15">
                  <c:v>45411</c:v>
                </c:pt>
                <c:pt idx="16">
                  <c:v>45426</c:v>
                </c:pt>
                <c:pt idx="17">
                  <c:v>45453</c:v>
                </c:pt>
                <c:pt idx="18">
                  <c:v>45481</c:v>
                </c:pt>
                <c:pt idx="19">
                  <c:v>45544</c:v>
                </c:pt>
                <c:pt idx="20">
                  <c:v>45601</c:v>
                </c:pt>
                <c:pt idx="21">
                  <c:v>45671</c:v>
                </c:pt>
                <c:pt idx="22">
                  <c:v>45712</c:v>
                </c:pt>
                <c:pt idx="23">
                  <c:v>45722</c:v>
                </c:pt>
                <c:pt idx="24">
                  <c:v>45726</c:v>
                </c:pt>
                <c:pt idx="25">
                  <c:v>45730</c:v>
                </c:pt>
                <c:pt idx="26">
                  <c:v>45736</c:v>
                </c:pt>
                <c:pt idx="27">
                  <c:v>45744</c:v>
                </c:pt>
                <c:pt idx="28">
                  <c:v>45748</c:v>
                </c:pt>
                <c:pt idx="29">
                  <c:v>45751</c:v>
                </c:pt>
                <c:pt idx="30">
                  <c:v>45754</c:v>
                </c:pt>
                <c:pt idx="31">
                  <c:v>45756</c:v>
                </c:pt>
                <c:pt idx="32">
                  <c:v>45762</c:v>
                </c:pt>
                <c:pt idx="33">
                  <c:v>45769</c:v>
                </c:pt>
                <c:pt idx="34">
                  <c:v>45772</c:v>
                </c:pt>
                <c:pt idx="35">
                  <c:v>45775</c:v>
                </c:pt>
                <c:pt idx="36">
                  <c:v>45792</c:v>
                </c:pt>
                <c:pt idx="37">
                  <c:v>45798</c:v>
                </c:pt>
                <c:pt idx="38">
                  <c:v>45803</c:v>
                </c:pt>
                <c:pt idx="39">
                  <c:v>45810</c:v>
                </c:pt>
                <c:pt idx="40">
                  <c:v>45818</c:v>
                </c:pt>
                <c:pt idx="41">
                  <c:v>45824</c:v>
                </c:pt>
                <c:pt idx="42">
                  <c:v>45831</c:v>
                </c:pt>
                <c:pt idx="43">
                  <c:v>45839</c:v>
                </c:pt>
                <c:pt idx="44">
                  <c:v>45846</c:v>
                </c:pt>
                <c:pt idx="45">
                  <c:v>45853</c:v>
                </c:pt>
                <c:pt idx="46">
                  <c:v>45861</c:v>
                </c:pt>
                <c:pt idx="47">
                  <c:v>45867</c:v>
                </c:pt>
              </c:numCache>
            </c:numRef>
          </c:xVal>
          <c:yVal>
            <c:numRef>
              <c:f>Convergences!$I$10:$I$149</c:f>
              <c:numCache>
                <c:formatCode>\+\ 0.0;\-\ 0.0;\±\ 0.0</c:formatCode>
                <c:ptCount val="140"/>
                <c:pt idx="0">
                  <c:v>0</c:v>
                </c:pt>
                <c:pt idx="1">
                  <c:v>-1.0549852207635269</c:v>
                </c:pt>
                <c:pt idx="2">
                  <c:v>0</c:v>
                </c:pt>
                <c:pt idx="3">
                  <c:v>-4.2722105865875548</c:v>
                </c:pt>
                <c:pt idx="4">
                  <c:v>-5.0348597655736071</c:v>
                </c:pt>
                <c:pt idx="5">
                  <c:v>-5.0249937653150667</c:v>
                </c:pt>
                <c:pt idx="6">
                  <c:v>-5.3132818038958973</c:v>
                </c:pt>
                <c:pt idx="7">
                  <c:v>-4.9281776933653987</c:v>
                </c:pt>
                <c:pt idx="8">
                  <c:v>-5.5702309828191687</c:v>
                </c:pt>
                <c:pt idx="9">
                  <c:v>-6.1121043587597512</c:v>
                </c:pt>
                <c:pt idx="10">
                  <c:v>-6.6017299236689198</c:v>
                </c:pt>
                <c:pt idx="11">
                  <c:v>-6.3728435148204809</c:v>
                </c:pt>
                <c:pt idx="12">
                  <c:v>-7.0806219622117084</c:v>
                </c:pt>
                <c:pt idx="13">
                  <c:v>-7.6235358613141457</c:v>
                </c:pt>
                <c:pt idx="14">
                  <c:v>-8.2814827761819032</c:v>
                </c:pt>
                <c:pt idx="15">
                  <c:v>-8.3910463354959219</c:v>
                </c:pt>
                <c:pt idx="16">
                  <c:v>-8.2814827761819032</c:v>
                </c:pt>
                <c:pt idx="17">
                  <c:v>-8.9969258404725139</c:v>
                </c:pt>
                <c:pt idx="18">
                  <c:v>-9.4693161413061944</c:v>
                </c:pt>
                <c:pt idx="19">
                  <c:v>-8.3101768157529676</c:v>
                </c:pt>
                <c:pt idx="20">
                  <c:v>-8.3112556817521721</c:v>
                </c:pt>
                <c:pt idx="21">
                  <c:v>-12.098385771984965</c:v>
                </c:pt>
                <c:pt idx="22">
                  <c:v>-11.456653962357954</c:v>
                </c:pt>
                <c:pt idx="23">
                  <c:v>-12.226253763563122</c:v>
                </c:pt>
                <c:pt idx="24">
                  <c:v>-12.939431810383262</c:v>
                </c:pt>
                <c:pt idx="25">
                  <c:v>-12.901069762094153</c:v>
                </c:pt>
                <c:pt idx="26">
                  <c:v>-13.535432216134069</c:v>
                </c:pt>
                <c:pt idx="27">
                  <c:v>-13.934619243910262</c:v>
                </c:pt>
                <c:pt idx="28">
                  <c:v>-15.487591978330606</c:v>
                </c:pt>
                <c:pt idx="29">
                  <c:v>-15.656916914288388</c:v>
                </c:pt>
                <c:pt idx="30">
                  <c:v>-16.602089568467093</c:v>
                </c:pt>
                <c:pt idx="31">
                  <c:v>-16.917174468589202</c:v>
                </c:pt>
                <c:pt idx="32">
                  <c:v>-16.554197287606875</c:v>
                </c:pt>
                <c:pt idx="33">
                  <c:v>-17.873000315874243</c:v>
                </c:pt>
                <c:pt idx="34">
                  <c:v>-17.591987776221174</c:v>
                </c:pt>
                <c:pt idx="35">
                  <c:v>-17.759167925651909</c:v>
                </c:pt>
                <c:pt idx="36">
                  <c:v>-18.492485741108844</c:v>
                </c:pt>
                <c:pt idx="37">
                  <c:v>-18.926787460650907</c:v>
                </c:pt>
                <c:pt idx="38">
                  <c:v>-19.568629714352248</c:v>
                </c:pt>
                <c:pt idx="39">
                  <c:v>-19.734756919268293</c:v>
                </c:pt>
                <c:pt idx="40">
                  <c:v>-20.986453449056697</c:v>
                </c:pt>
                <c:pt idx="41">
                  <c:v>-20.673532599245092</c:v>
                </c:pt>
                <c:pt idx="42">
                  <c:v>-21.531451191175499</c:v>
                </c:pt>
                <c:pt idx="43">
                  <c:v>-21.609154779748785</c:v>
                </c:pt>
                <c:pt idx="44">
                  <c:v>-23.001073972350738</c:v>
                </c:pt>
                <c:pt idx="45">
                  <c:v>-23.176758753898241</c:v>
                </c:pt>
                <c:pt idx="46">
                  <c:v>-23.811780797629467</c:v>
                </c:pt>
                <c:pt idx="47">
                  <c:v>-24.086595766220853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757-4AF3-85A7-93F74B9241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1294584"/>
        <c:axId val="461294976"/>
      </c:scatterChart>
      <c:scatterChart>
        <c:scatterStyle val="lineMarker"/>
        <c:varyColors val="0"/>
        <c:ser>
          <c:idx val="0"/>
          <c:order val="5"/>
          <c:tx>
            <c:v>PM</c:v>
          </c:tx>
          <c:spPr>
            <a:ln w="15875" cap="rnd">
              <a:solidFill>
                <a:schemeClr val="accent1"/>
              </a:solidFill>
              <a:prstDash val="sysDash"/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marker>
            <c:symbol val="none"/>
          </c:marker>
          <c:xVal>
            <c:numRef>
              <c:f>'Résultats observations'!$A$10:$A$55</c:f>
              <c:numCache>
                <c:formatCode>dd\ /\ mm\ /\ yy</c:formatCode>
                <c:ptCount val="46"/>
                <c:pt idx="0">
                  <c:v>45324</c:v>
                </c:pt>
                <c:pt idx="1">
                  <c:v>45327</c:v>
                </c:pt>
                <c:pt idx="2">
                  <c:v>45329</c:v>
                </c:pt>
                <c:pt idx="3">
                  <c:v>45331</c:v>
                </c:pt>
                <c:pt idx="4">
                  <c:v>45334</c:v>
                </c:pt>
                <c:pt idx="5">
                  <c:v>45335</c:v>
                </c:pt>
                <c:pt idx="6">
                  <c:v>45337</c:v>
                </c:pt>
                <c:pt idx="7">
                  <c:v>45338</c:v>
                </c:pt>
                <c:pt idx="8">
                  <c:v>45341</c:v>
                </c:pt>
                <c:pt idx="9">
                  <c:v>45343</c:v>
                </c:pt>
                <c:pt idx="10">
                  <c:v>45348</c:v>
                </c:pt>
                <c:pt idx="11">
                  <c:v>45350</c:v>
                </c:pt>
                <c:pt idx="12">
                  <c:v>45364</c:v>
                </c:pt>
                <c:pt idx="13">
                  <c:v>45390</c:v>
                </c:pt>
                <c:pt idx="14">
                  <c:v>45404</c:v>
                </c:pt>
                <c:pt idx="15">
                  <c:v>45411</c:v>
                </c:pt>
                <c:pt idx="16">
                  <c:v>45426</c:v>
                </c:pt>
                <c:pt idx="17">
                  <c:v>45453</c:v>
                </c:pt>
                <c:pt idx="18">
                  <c:v>45481</c:v>
                </c:pt>
                <c:pt idx="19">
                  <c:v>45544</c:v>
                </c:pt>
                <c:pt idx="20">
                  <c:v>45601</c:v>
                </c:pt>
                <c:pt idx="21">
                  <c:v>45671</c:v>
                </c:pt>
                <c:pt idx="22" formatCode="m/d/yyyy">
                  <c:v>45712</c:v>
                </c:pt>
                <c:pt idx="23" formatCode="m/d/yyyy">
                  <c:v>45722</c:v>
                </c:pt>
                <c:pt idx="24" formatCode="m/d/yyyy">
                  <c:v>45726</c:v>
                </c:pt>
                <c:pt idx="25" formatCode="m/d/yyyy">
                  <c:v>45730</c:v>
                </c:pt>
                <c:pt idx="26" formatCode="m/d/yyyy">
                  <c:v>45736</c:v>
                </c:pt>
                <c:pt idx="27" formatCode="m/d/yyyy">
                  <c:v>45744</c:v>
                </c:pt>
                <c:pt idx="28" formatCode="m/d/yyyy">
                  <c:v>45748</c:v>
                </c:pt>
                <c:pt idx="29" formatCode="m/d/yyyy">
                  <c:v>45751</c:v>
                </c:pt>
                <c:pt idx="30" formatCode="m/d/yyyy">
                  <c:v>45754</c:v>
                </c:pt>
                <c:pt idx="31" formatCode="m/d/yyyy">
                  <c:v>45756</c:v>
                </c:pt>
                <c:pt idx="32" formatCode="m/d/yyyy">
                  <c:v>45762</c:v>
                </c:pt>
                <c:pt idx="33" formatCode="m/d/yyyy">
                  <c:v>45769</c:v>
                </c:pt>
                <c:pt idx="34" formatCode="m/d/yyyy">
                  <c:v>45772</c:v>
                </c:pt>
                <c:pt idx="35" formatCode="m/d/yyyy">
                  <c:v>45775</c:v>
                </c:pt>
                <c:pt idx="36" formatCode="m/d/yyyy">
                  <c:v>45792</c:v>
                </c:pt>
                <c:pt idx="37" formatCode="m/d/yyyy">
                  <c:v>45798</c:v>
                </c:pt>
                <c:pt idx="38" formatCode="m/d/yyyy">
                  <c:v>45803</c:v>
                </c:pt>
                <c:pt idx="39" formatCode="m/d/yyyy">
                  <c:v>45810</c:v>
                </c:pt>
                <c:pt idx="40" formatCode="m/d/yyyy">
                  <c:v>45818</c:v>
                </c:pt>
                <c:pt idx="41" formatCode="m/d/yyyy">
                  <c:v>45824</c:v>
                </c:pt>
                <c:pt idx="42" formatCode="m/d/yyyy">
                  <c:v>45831</c:v>
                </c:pt>
                <c:pt idx="43" formatCode="m/d/yyyy">
                  <c:v>45839</c:v>
                </c:pt>
                <c:pt idx="44" formatCode="m/d/yyyy">
                  <c:v>45846</c:v>
                </c:pt>
                <c:pt idx="45" formatCode="m/d/yyyy">
                  <c:v>45853</c:v>
                </c:pt>
              </c:numCache>
            </c:numRef>
          </c:xVal>
          <c:yVal>
            <c:numRef>
              <c:f>'Résultats observations'!$C$10:$C$55</c:f>
              <c:numCache>
                <c:formatCode>0.0</c:formatCode>
                <c:ptCount val="46"/>
                <c:pt idx="0">
                  <c:v>9.39</c:v>
                </c:pt>
                <c:pt idx="1">
                  <c:v>9.39</c:v>
                </c:pt>
                <c:pt idx="2">
                  <c:v>11.5</c:v>
                </c:pt>
                <c:pt idx="3">
                  <c:v>11.5</c:v>
                </c:pt>
                <c:pt idx="4">
                  <c:v>11.5</c:v>
                </c:pt>
                <c:pt idx="5">
                  <c:v>11.5</c:v>
                </c:pt>
                <c:pt idx="6">
                  <c:v>11.5</c:v>
                </c:pt>
                <c:pt idx="7">
                  <c:v>11.5</c:v>
                </c:pt>
                <c:pt idx="8">
                  <c:v>11.5</c:v>
                </c:pt>
                <c:pt idx="9">
                  <c:v>11.5</c:v>
                </c:pt>
                <c:pt idx="10">
                  <c:v>11.5</c:v>
                </c:pt>
                <c:pt idx="11">
                  <c:v>11.5</c:v>
                </c:pt>
                <c:pt idx="12">
                  <c:v>11.5</c:v>
                </c:pt>
                <c:pt idx="13">
                  <c:v>11.5</c:v>
                </c:pt>
                <c:pt idx="14">
                  <c:v>11.5</c:v>
                </c:pt>
                <c:pt idx="15">
                  <c:v>11.5</c:v>
                </c:pt>
                <c:pt idx="16">
                  <c:v>11.5</c:v>
                </c:pt>
                <c:pt idx="17">
                  <c:v>11.5</c:v>
                </c:pt>
                <c:pt idx="18">
                  <c:v>11.5</c:v>
                </c:pt>
                <c:pt idx="19">
                  <c:v>11.5</c:v>
                </c:pt>
                <c:pt idx="20">
                  <c:v>11.5</c:v>
                </c:pt>
                <c:pt idx="21">
                  <c:v>11.5</c:v>
                </c:pt>
                <c:pt idx="22">
                  <c:v>11.5</c:v>
                </c:pt>
                <c:pt idx="23">
                  <c:v>13</c:v>
                </c:pt>
                <c:pt idx="24">
                  <c:v>13</c:v>
                </c:pt>
                <c:pt idx="25">
                  <c:v>14.2</c:v>
                </c:pt>
                <c:pt idx="26">
                  <c:v>14.2</c:v>
                </c:pt>
                <c:pt idx="27">
                  <c:v>15.8</c:v>
                </c:pt>
                <c:pt idx="28">
                  <c:v>15.8</c:v>
                </c:pt>
                <c:pt idx="29">
                  <c:v>17.45</c:v>
                </c:pt>
                <c:pt idx="30">
                  <c:v>18.3</c:v>
                </c:pt>
                <c:pt idx="31">
                  <c:v>19.43</c:v>
                </c:pt>
                <c:pt idx="32">
                  <c:v>19.43</c:v>
                </c:pt>
                <c:pt idx="33">
                  <c:v>19.43</c:v>
                </c:pt>
                <c:pt idx="34">
                  <c:v>21</c:v>
                </c:pt>
                <c:pt idx="35">
                  <c:v>21</c:v>
                </c:pt>
                <c:pt idx="36">
                  <c:v>21</c:v>
                </c:pt>
                <c:pt idx="37">
                  <c:v>23.2</c:v>
                </c:pt>
                <c:pt idx="38">
                  <c:v>23.7</c:v>
                </c:pt>
                <c:pt idx="39">
                  <c:v>24.6</c:v>
                </c:pt>
                <c:pt idx="40">
                  <c:v>26</c:v>
                </c:pt>
                <c:pt idx="41">
                  <c:v>26.8</c:v>
                </c:pt>
                <c:pt idx="42">
                  <c:v>28.1</c:v>
                </c:pt>
                <c:pt idx="43">
                  <c:v>29.4</c:v>
                </c:pt>
                <c:pt idx="44">
                  <c:v>29.8</c:v>
                </c:pt>
                <c:pt idx="45">
                  <c:v>31.4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757-4AF3-85A7-93F74B9241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1295760"/>
        <c:axId val="461295368"/>
      </c:scatterChart>
      <c:valAx>
        <c:axId val="461294584"/>
        <c:scaling>
          <c:orientation val="minMax"/>
          <c:max val="45880"/>
          <c:min val="4532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Date </a:t>
                </a:r>
              </a:p>
            </c:rich>
          </c:tx>
          <c:layout>
            <c:manualLayout>
              <c:xMode val="edge"/>
              <c:yMode val="edge"/>
              <c:x val="0.91516334573932423"/>
              <c:y val="0.874526087826465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dd/mm/yyyy" sourceLinked="0"/>
        <c:majorTickMark val="cross"/>
        <c:minorTickMark val="none"/>
        <c:tickLblPos val="low"/>
        <c:spPr>
          <a:noFill/>
          <a:ln>
            <a:solidFill>
              <a:srgbClr val="4F81BD">
                <a:lumMod val="100000"/>
              </a:srgbClr>
            </a:solidFill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61294976"/>
        <c:crossesAt val="0"/>
        <c:crossBetween val="midCat"/>
        <c:majorUnit val="14"/>
      </c:valAx>
      <c:valAx>
        <c:axId val="461294976"/>
        <c:scaling>
          <c:orientation val="minMax"/>
          <c:max val="40"/>
          <c:min val="-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Convergence [mm]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\+\ 0.0;\-\ 0.0;\±\ 0.0" sourceLinked="0"/>
        <c:majorTickMark val="cross"/>
        <c:minorTickMark val="none"/>
        <c:tickLblPos val="nextTo"/>
        <c:spPr>
          <a:noFill/>
          <a:ln>
            <a:noFill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61294584"/>
        <c:crosses val="autoZero"/>
        <c:crossBetween val="midCat"/>
        <c:majorUnit val="5"/>
        <c:minorUnit val="1"/>
      </c:valAx>
      <c:valAx>
        <c:axId val="461295368"/>
        <c:scaling>
          <c:orientation val="minMax"/>
          <c:max val="60"/>
          <c:min val="-10"/>
        </c:scaling>
        <c:delete val="0"/>
        <c:axPos val="r"/>
        <c:numFmt formatCode="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61295760"/>
        <c:crosses val="max"/>
        <c:crossBetween val="midCat"/>
      </c:valAx>
      <c:valAx>
        <c:axId val="461295760"/>
        <c:scaling>
          <c:orientation val="minMax"/>
        </c:scaling>
        <c:delete val="1"/>
        <c:axPos val="b"/>
        <c:numFmt formatCode="dd\ /\ mm\ /\ yy" sourceLinked="1"/>
        <c:majorTickMark val="out"/>
        <c:minorTickMark val="none"/>
        <c:tickLblPos val="nextTo"/>
        <c:crossAx val="4612953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41741586444019563"/>
          <c:y val="0.694324303624126"/>
          <c:w val="0.42832430292007473"/>
          <c:h val="8.870401733349780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0"/>
    <c:dispBlanksAs val="span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 alignWithMargins="0"/>
    <c:pageMargins b="0.98425196899999956" l="0.78740157499999996" r="0.78740157499999996" t="0.98425196899999956" header="0.49212598450000589" footer="0.49212598450000589"/>
    <c:pageSetup paperSize="9" orientation="landscape"/>
  </c:printSettings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cap="none" spc="2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Convergences </a:t>
            </a:r>
            <a:r>
              <a:rPr lang="fr-FR" sz="1400"/>
              <a:t>Verticales </a:t>
            </a:r>
            <a:r>
              <a:rPr lang="fr-FR" sz="1400" b="0" i="0" u="none" strike="noStrike" kern="1200" cap="none" spc="20" baseline="0">
                <a:solidFill>
                  <a:sysClr val="windowText" lastClr="000000">
                    <a:lumMod val="50000"/>
                    <a:lumOff val="50000"/>
                  </a:sysClr>
                </a:solidFill>
              </a:rPr>
              <a:t>(vue depuis le carrefour) </a:t>
            </a:r>
            <a:endParaRPr lang="fr-FR" sz="1400"/>
          </a:p>
        </c:rich>
      </c:tx>
      <c:layout>
        <c:manualLayout>
          <c:xMode val="edge"/>
          <c:yMode val="edge"/>
          <c:x val="0.27901719253072055"/>
          <c:y val="3.6143739096017474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cap="none" spc="2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8.6758248843572708E-2"/>
          <c:y val="6.6421383425726496E-2"/>
          <c:w val="0.81613267472675255"/>
          <c:h val="0.7416555441780629"/>
        </c:manualLayout>
      </c:layout>
      <c:scatterChart>
        <c:scatterStyle val="lineMarker"/>
        <c:varyColors val="0"/>
        <c:ser>
          <c:idx val="1"/>
          <c:order val="0"/>
          <c:tx>
            <c:strRef>
              <c:f>Déplacements!$S$9</c:f>
              <c:strCache>
                <c:ptCount val="1"/>
                <c:pt idx="0">
                  <c:v>DZ centre haut x2
(interpolé)</c:v>
                </c:pt>
              </c:strCache>
            </c:strRef>
          </c:tx>
          <c:spPr>
            <a:ln w="25400" cap="rnd">
              <a:solidFill>
                <a:srgbClr val="FF0000"/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tint val="50000"/>
                      <a:satMod val="300000"/>
                    </a:schemeClr>
                  </a:gs>
                  <a:gs pos="35000">
                    <a:schemeClr val="accent2">
                      <a:tint val="37000"/>
                      <a:satMod val="300000"/>
                    </a:schemeClr>
                  </a:gs>
                  <a:gs pos="100000">
                    <a:schemeClr val="accent2"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marker>
          <c:xVal>
            <c:numRef>
              <c:f>Déplacements!$B$10:$B$155</c:f>
              <c:numCache>
                <c:formatCode>dd\ /\ mm\ /\ yy</c:formatCode>
                <c:ptCount val="146"/>
                <c:pt idx="0">
                  <c:v>45324</c:v>
                </c:pt>
                <c:pt idx="1">
                  <c:v>45327</c:v>
                </c:pt>
                <c:pt idx="2">
                  <c:v>45329</c:v>
                </c:pt>
                <c:pt idx="3">
                  <c:v>45331</c:v>
                </c:pt>
                <c:pt idx="4">
                  <c:v>45334</c:v>
                </c:pt>
                <c:pt idx="5">
                  <c:v>45335</c:v>
                </c:pt>
                <c:pt idx="6">
                  <c:v>45337</c:v>
                </c:pt>
                <c:pt idx="7">
                  <c:v>45338</c:v>
                </c:pt>
                <c:pt idx="8">
                  <c:v>45341</c:v>
                </c:pt>
                <c:pt idx="9">
                  <c:v>45343</c:v>
                </c:pt>
                <c:pt idx="10">
                  <c:v>45348</c:v>
                </c:pt>
                <c:pt idx="11">
                  <c:v>45350</c:v>
                </c:pt>
                <c:pt idx="12">
                  <c:v>45364</c:v>
                </c:pt>
                <c:pt idx="13">
                  <c:v>45390</c:v>
                </c:pt>
                <c:pt idx="14">
                  <c:v>45404</c:v>
                </c:pt>
                <c:pt idx="15">
                  <c:v>45411</c:v>
                </c:pt>
                <c:pt idx="16">
                  <c:v>45426</c:v>
                </c:pt>
                <c:pt idx="17">
                  <c:v>45453</c:v>
                </c:pt>
                <c:pt idx="18">
                  <c:v>45481</c:v>
                </c:pt>
                <c:pt idx="19">
                  <c:v>45544</c:v>
                </c:pt>
                <c:pt idx="20">
                  <c:v>45601</c:v>
                </c:pt>
                <c:pt idx="21">
                  <c:v>45671</c:v>
                </c:pt>
                <c:pt idx="22">
                  <c:v>45712</c:v>
                </c:pt>
                <c:pt idx="23">
                  <c:v>45722</c:v>
                </c:pt>
                <c:pt idx="24">
                  <c:v>45726</c:v>
                </c:pt>
                <c:pt idx="25">
                  <c:v>45730</c:v>
                </c:pt>
                <c:pt idx="26">
                  <c:v>45736</c:v>
                </c:pt>
                <c:pt idx="27">
                  <c:v>45744</c:v>
                </c:pt>
                <c:pt idx="28">
                  <c:v>45748</c:v>
                </c:pt>
                <c:pt idx="29">
                  <c:v>45751</c:v>
                </c:pt>
                <c:pt idx="30">
                  <c:v>45754</c:v>
                </c:pt>
                <c:pt idx="31">
                  <c:v>45756</c:v>
                </c:pt>
                <c:pt idx="32">
                  <c:v>45762</c:v>
                </c:pt>
                <c:pt idx="33">
                  <c:v>45769</c:v>
                </c:pt>
                <c:pt idx="34">
                  <c:v>45772</c:v>
                </c:pt>
                <c:pt idx="35">
                  <c:v>45775</c:v>
                </c:pt>
                <c:pt idx="36">
                  <c:v>45792</c:v>
                </c:pt>
                <c:pt idx="37">
                  <c:v>45798</c:v>
                </c:pt>
                <c:pt idx="38">
                  <c:v>45803</c:v>
                </c:pt>
                <c:pt idx="39">
                  <c:v>45810</c:v>
                </c:pt>
                <c:pt idx="40">
                  <c:v>45818</c:v>
                </c:pt>
                <c:pt idx="41">
                  <c:v>45824</c:v>
                </c:pt>
                <c:pt idx="42">
                  <c:v>45831</c:v>
                </c:pt>
                <c:pt idx="43">
                  <c:v>45839</c:v>
                </c:pt>
                <c:pt idx="44">
                  <c:v>45846</c:v>
                </c:pt>
                <c:pt idx="45">
                  <c:v>45853</c:v>
                </c:pt>
                <c:pt idx="46">
                  <c:v>45861</c:v>
                </c:pt>
                <c:pt idx="47">
                  <c:v>45867</c:v>
                </c:pt>
              </c:numCache>
            </c:numRef>
          </c:xVal>
          <c:yVal>
            <c:numRef>
              <c:f>Déplacements!$S$10:$S$155</c:f>
              <c:numCache>
                <c:formatCode>0.0</c:formatCode>
                <c:ptCount val="146"/>
                <c:pt idx="0">
                  <c:v>0</c:v>
                </c:pt>
                <c:pt idx="1">
                  <c:v>0.10000000000331966</c:v>
                </c:pt>
                <c:pt idx="2">
                  <c:v>0</c:v>
                </c:pt>
                <c:pt idx="3">
                  <c:v>-3.5000000000025011</c:v>
                </c:pt>
                <c:pt idx="4">
                  <c:v>-3.5000000000025011</c:v>
                </c:pt>
                <c:pt idx="5">
                  <c:v>-4.3499999999880856</c:v>
                </c:pt>
                <c:pt idx="6">
                  <c:v>-3.5499999999899501</c:v>
                </c:pt>
                <c:pt idx="7">
                  <c:v>-3.5749999999836746</c:v>
                </c:pt>
                <c:pt idx="8">
                  <c:v>-3.899999999987358</c:v>
                </c:pt>
                <c:pt idx="9">
                  <c:v>-5.4999999999836291</c:v>
                </c:pt>
                <c:pt idx="10">
                  <c:v>-5.4999999999836291</c:v>
                </c:pt>
                <c:pt idx="11">
                  <c:v>-5.4999999999836291</c:v>
                </c:pt>
                <c:pt idx="12">
                  <c:v>-5.4999999999836291</c:v>
                </c:pt>
                <c:pt idx="13">
                  <c:v>-5.4999999999836291</c:v>
                </c:pt>
                <c:pt idx="14">
                  <c:v>-5.4999999999836291</c:v>
                </c:pt>
                <c:pt idx="15">
                  <c:v>-5.0999999999987722</c:v>
                </c:pt>
                <c:pt idx="16">
                  <c:v>-5.4999999999836291</c:v>
                </c:pt>
                <c:pt idx="17">
                  <c:v>-5.4999999999836291</c:v>
                </c:pt>
                <c:pt idx="18">
                  <c:v>-6.2999999999817646</c:v>
                </c:pt>
                <c:pt idx="19">
                  <c:v>-5.4999999999836291</c:v>
                </c:pt>
                <c:pt idx="20">
                  <c:v>-6.4999999999884039</c:v>
                </c:pt>
                <c:pt idx="21">
                  <c:v>-8.4999999999979536</c:v>
                </c:pt>
                <c:pt idx="22">
                  <c:v>-8.099999999984675</c:v>
                </c:pt>
                <c:pt idx="23">
                  <c:v>-8.6999999999761712</c:v>
                </c:pt>
                <c:pt idx="24">
                  <c:v>-9.2999999999960892</c:v>
                </c:pt>
                <c:pt idx="25">
                  <c:v>-10.099999999994225</c:v>
                </c:pt>
                <c:pt idx="26">
                  <c:v>-10.89999999999236</c:v>
                </c:pt>
                <c:pt idx="27">
                  <c:v>-15.699999999981173</c:v>
                </c:pt>
                <c:pt idx="28">
                  <c:v>-17.749999999978172</c:v>
                </c:pt>
                <c:pt idx="29">
                  <c:v>-19.499999999993634</c:v>
                </c:pt>
                <c:pt idx="30">
                  <c:v>-20.699999999976626</c:v>
                </c:pt>
                <c:pt idx="31">
                  <c:v>-22.099999999994679</c:v>
                </c:pt>
                <c:pt idx="32">
                  <c:v>-22.699999999986176</c:v>
                </c:pt>
                <c:pt idx="33">
                  <c:v>-25.899999999978718</c:v>
                </c:pt>
                <c:pt idx="34">
                  <c:v>-25.899999999978718</c:v>
                </c:pt>
                <c:pt idx="35">
                  <c:v>-26.499999999998636</c:v>
                </c:pt>
                <c:pt idx="36">
                  <c:v>-29.299999999977899</c:v>
                </c:pt>
                <c:pt idx="37">
                  <c:v>-31.09999999998081</c:v>
                </c:pt>
                <c:pt idx="38">
                  <c:v>-31.299999999987449</c:v>
                </c:pt>
                <c:pt idx="39">
                  <c:v>-31.499999999994088</c:v>
                </c:pt>
                <c:pt idx="40">
                  <c:v>-33.499999999975216</c:v>
                </c:pt>
                <c:pt idx="41">
                  <c:v>-34.300000000001774</c:v>
                </c:pt>
                <c:pt idx="42">
                  <c:v>-35.499999999984766</c:v>
                </c:pt>
                <c:pt idx="43">
                  <c:v>-36.299999999982901</c:v>
                </c:pt>
                <c:pt idx="44">
                  <c:v>-38.499999999970669</c:v>
                </c:pt>
                <c:pt idx="45">
                  <c:v>-38.899999999983947</c:v>
                </c:pt>
                <c:pt idx="46">
                  <c:v>-40.099999999995362</c:v>
                </c:pt>
                <c:pt idx="47">
                  <c:v>-40.699999999986858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D9-48D2-8D2F-31758037E897}"/>
            </c:ext>
          </c:extLst>
        </c:ser>
        <c:ser>
          <c:idx val="13"/>
          <c:order val="11"/>
          <c:tx>
            <c:strRef>
              <c:f>Convergences!$D$9</c:f>
              <c:strCache>
                <c:ptCount val="1"/>
                <c:pt idx="0">
                  <c:v>BG</c:v>
                </c:pt>
              </c:strCache>
            </c:strRef>
          </c:tx>
          <c:spPr>
            <a:ln w="15875" cap="rnd">
              <a:solidFill>
                <a:schemeClr val="accent3">
                  <a:lumMod val="75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2">
                      <a:lumMod val="80000"/>
                      <a:lumOff val="20000"/>
                      <a:tint val="50000"/>
                      <a:satMod val="300000"/>
                    </a:schemeClr>
                  </a:gs>
                  <a:gs pos="35000">
                    <a:schemeClr val="accent2">
                      <a:lumMod val="80000"/>
                      <a:lumOff val="20000"/>
                      <a:tint val="37000"/>
                      <a:satMod val="300000"/>
                    </a:schemeClr>
                  </a:gs>
                  <a:gs pos="100000">
                    <a:schemeClr val="accent2">
                      <a:lumMod val="80000"/>
                      <a:lumOff val="20000"/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2">
                    <a:lumMod val="80000"/>
                    <a:lumOff val="20000"/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marker>
          <c:xVal>
            <c:numRef>
              <c:f>Convergences!$B$10:$B$149</c:f>
              <c:numCache>
                <c:formatCode>dd\ /\ mm\ /\ yy</c:formatCode>
                <c:ptCount val="140"/>
                <c:pt idx="0">
                  <c:v>45324</c:v>
                </c:pt>
                <c:pt idx="1">
                  <c:v>45327</c:v>
                </c:pt>
                <c:pt idx="2">
                  <c:v>45329</c:v>
                </c:pt>
                <c:pt idx="3">
                  <c:v>45331</c:v>
                </c:pt>
                <c:pt idx="4">
                  <c:v>45334</c:v>
                </c:pt>
                <c:pt idx="5">
                  <c:v>45335</c:v>
                </c:pt>
                <c:pt idx="6">
                  <c:v>45337</c:v>
                </c:pt>
                <c:pt idx="7">
                  <c:v>45338</c:v>
                </c:pt>
                <c:pt idx="8">
                  <c:v>45341</c:v>
                </c:pt>
                <c:pt idx="9">
                  <c:v>45343</c:v>
                </c:pt>
                <c:pt idx="10">
                  <c:v>45348</c:v>
                </c:pt>
                <c:pt idx="11">
                  <c:v>45350</c:v>
                </c:pt>
                <c:pt idx="12">
                  <c:v>45364</c:v>
                </c:pt>
                <c:pt idx="13">
                  <c:v>45390</c:v>
                </c:pt>
                <c:pt idx="14">
                  <c:v>45404</c:v>
                </c:pt>
                <c:pt idx="15">
                  <c:v>45411</c:v>
                </c:pt>
                <c:pt idx="16">
                  <c:v>45426</c:v>
                </c:pt>
                <c:pt idx="17">
                  <c:v>45453</c:v>
                </c:pt>
                <c:pt idx="18">
                  <c:v>45481</c:v>
                </c:pt>
                <c:pt idx="19">
                  <c:v>45544</c:v>
                </c:pt>
                <c:pt idx="20">
                  <c:v>45601</c:v>
                </c:pt>
                <c:pt idx="21">
                  <c:v>45671</c:v>
                </c:pt>
                <c:pt idx="22">
                  <c:v>45712</c:v>
                </c:pt>
                <c:pt idx="23">
                  <c:v>45722</c:v>
                </c:pt>
                <c:pt idx="24">
                  <c:v>45726</c:v>
                </c:pt>
                <c:pt idx="25">
                  <c:v>45730</c:v>
                </c:pt>
                <c:pt idx="26">
                  <c:v>45736</c:v>
                </c:pt>
                <c:pt idx="27">
                  <c:v>45744</c:v>
                </c:pt>
                <c:pt idx="28">
                  <c:v>45748</c:v>
                </c:pt>
                <c:pt idx="29">
                  <c:v>45751</c:v>
                </c:pt>
                <c:pt idx="30">
                  <c:v>45754</c:v>
                </c:pt>
                <c:pt idx="31">
                  <c:v>45756</c:v>
                </c:pt>
                <c:pt idx="32">
                  <c:v>45762</c:v>
                </c:pt>
                <c:pt idx="33">
                  <c:v>45769</c:v>
                </c:pt>
                <c:pt idx="34">
                  <c:v>45772</c:v>
                </c:pt>
                <c:pt idx="35">
                  <c:v>45775</c:v>
                </c:pt>
                <c:pt idx="36">
                  <c:v>45792</c:v>
                </c:pt>
                <c:pt idx="37">
                  <c:v>45798</c:v>
                </c:pt>
                <c:pt idx="38">
                  <c:v>45803</c:v>
                </c:pt>
                <c:pt idx="39">
                  <c:v>45810</c:v>
                </c:pt>
                <c:pt idx="40">
                  <c:v>45818</c:v>
                </c:pt>
                <c:pt idx="41">
                  <c:v>45824</c:v>
                </c:pt>
                <c:pt idx="42">
                  <c:v>45831</c:v>
                </c:pt>
                <c:pt idx="43">
                  <c:v>45839</c:v>
                </c:pt>
                <c:pt idx="44">
                  <c:v>45846</c:v>
                </c:pt>
                <c:pt idx="45">
                  <c:v>45853</c:v>
                </c:pt>
                <c:pt idx="46">
                  <c:v>45861</c:v>
                </c:pt>
                <c:pt idx="47">
                  <c:v>45867</c:v>
                </c:pt>
              </c:numCache>
            </c:numRef>
          </c:xVal>
          <c:yVal>
            <c:numRef>
              <c:f>Convergences!$D$10:$D$149</c:f>
              <c:numCache>
                <c:formatCode>\+\ 0.0;\-\ 0.0;\±\ 0.0</c:formatCode>
                <c:ptCount val="140"/>
                <c:pt idx="0">
                  <c:v>0</c:v>
                </c:pt>
                <c:pt idx="1">
                  <c:v>-1.0198291823373395</c:v>
                </c:pt>
                <c:pt idx="2">
                  <c:v>0</c:v>
                </c:pt>
                <c:pt idx="3">
                  <c:v>-0.75778666059278521</c:v>
                </c:pt>
                <c:pt idx="4">
                  <c:v>-1.2895055902388819</c:v>
                </c:pt>
                <c:pt idx="5">
                  <c:v>-1.3564881585992339</c:v>
                </c:pt>
                <c:pt idx="6">
                  <c:v>-1.5618565760275871</c:v>
                </c:pt>
                <c:pt idx="7">
                  <c:v>-1.2377026443814998</c:v>
                </c:pt>
                <c:pt idx="8">
                  <c:v>-1.0427145260081261</c:v>
                </c:pt>
                <c:pt idx="9">
                  <c:v>-1.7330650113205337</c:v>
                </c:pt>
                <c:pt idx="10">
                  <c:v>-0.29973736509880666</c:v>
                </c:pt>
                <c:pt idx="11">
                  <c:v>-0.26562763320647775</c:v>
                </c:pt>
                <c:pt idx="12">
                  <c:v>-0.47047721922144348</c:v>
                </c:pt>
                <c:pt idx="13">
                  <c:v>-1.0959588970660405</c:v>
                </c:pt>
                <c:pt idx="14">
                  <c:v>-2.3527622302532691</c:v>
                </c:pt>
                <c:pt idx="15">
                  <c:v>-2.3527622567733886</c:v>
                </c:pt>
                <c:pt idx="16">
                  <c:v>-2.3527622302532691</c:v>
                </c:pt>
                <c:pt idx="17">
                  <c:v>-2.6110035034800916</c:v>
                </c:pt>
                <c:pt idx="18">
                  <c:v>-2.7279751038085109</c:v>
                </c:pt>
                <c:pt idx="19">
                  <c:v>-1.6644982628104543</c:v>
                </c:pt>
                <c:pt idx="20">
                  <c:v>-2.2968966341707642</c:v>
                </c:pt>
                <c:pt idx="21">
                  <c:v>-5.1637277646472413</c:v>
                </c:pt>
                <c:pt idx="22">
                  <c:v>-5.0286971250708135</c:v>
                </c:pt>
                <c:pt idx="23">
                  <c:v>-5.7972657169775843</c:v>
                </c:pt>
                <c:pt idx="24">
                  <c:v>-6.081245872671559</c:v>
                </c:pt>
                <c:pt idx="25">
                  <c:v>-6.0477644521208518</c:v>
                </c:pt>
                <c:pt idx="26">
                  <c:v>-6.647498544621655</c:v>
                </c:pt>
                <c:pt idx="27">
                  <c:v>-9.6512029498976304</c:v>
                </c:pt>
                <c:pt idx="28">
                  <c:v>-12.820670753272978</c:v>
                </c:pt>
                <c:pt idx="29">
                  <c:v>-15.15049832497084</c:v>
                </c:pt>
                <c:pt idx="30">
                  <c:v>-16.726192940041074</c:v>
                </c:pt>
                <c:pt idx="31">
                  <c:v>-17.99453060358136</c:v>
                </c:pt>
                <c:pt idx="32">
                  <c:v>-18.85512368427289</c:v>
                </c:pt>
                <c:pt idx="33">
                  <c:v>-22.788453692509592</c:v>
                </c:pt>
                <c:pt idx="34">
                  <c:v>-23.013969407668533</c:v>
                </c:pt>
                <c:pt idx="35">
                  <c:v>-23.931447234644132</c:v>
                </c:pt>
                <c:pt idx="36">
                  <c:v>-25.935942407284251</c:v>
                </c:pt>
                <c:pt idx="37">
                  <c:v>-26.978532255611753</c:v>
                </c:pt>
                <c:pt idx="38">
                  <c:v>-28.065207321910535</c:v>
                </c:pt>
                <c:pt idx="39">
                  <c:v>-28.675616678678573</c:v>
                </c:pt>
                <c:pt idx="40">
                  <c:v>-29.683933519178751</c:v>
                </c:pt>
                <c:pt idx="41">
                  <c:v>-29.728943959215215</c:v>
                </c:pt>
                <c:pt idx="42">
                  <c:v>-31.042411584015106</c:v>
                </c:pt>
                <c:pt idx="43">
                  <c:v>-31.381747573236751</c:v>
                </c:pt>
                <c:pt idx="44">
                  <c:v>-32.534930019572528</c:v>
                </c:pt>
                <c:pt idx="45">
                  <c:v>-32.739410234977839</c:v>
                </c:pt>
                <c:pt idx="46">
                  <c:v>-33.724296654089159</c:v>
                </c:pt>
                <c:pt idx="47">
                  <c:v>-33.927714885791715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4D9-48D2-8D2F-31758037E897}"/>
            </c:ext>
          </c:extLst>
        </c:ser>
        <c:ser>
          <c:idx val="9"/>
          <c:order val="14"/>
          <c:tx>
            <c:strRef>
              <c:f>Convergences!$G$9</c:f>
              <c:strCache>
                <c:ptCount val="1"/>
                <c:pt idx="0">
                  <c:v>BD</c:v>
                </c:pt>
              </c:strCache>
            </c:strRef>
          </c:tx>
          <c:spPr>
            <a:ln w="15875" cap="rnd">
              <a:solidFill>
                <a:schemeClr val="accent4">
                  <a:lumMod val="60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marker>
            <c:symbol val="circle"/>
            <c:size val="5"/>
            <c:spPr>
              <a:gradFill rotWithShape="1">
                <a:gsLst>
                  <a:gs pos="0">
                    <a:schemeClr val="accent4">
                      <a:lumMod val="60000"/>
                      <a:tint val="50000"/>
                      <a:satMod val="300000"/>
                    </a:schemeClr>
                  </a:gs>
                  <a:gs pos="35000">
                    <a:schemeClr val="accent4">
                      <a:lumMod val="60000"/>
                      <a:tint val="37000"/>
                      <a:satMod val="300000"/>
                    </a:schemeClr>
                  </a:gs>
                  <a:gs pos="100000">
                    <a:schemeClr val="accent4">
                      <a:lumMod val="60000"/>
                      <a:tint val="15000"/>
                      <a:satMod val="350000"/>
                    </a:schemeClr>
                  </a:gs>
                </a:gsLst>
                <a:lin ang="16200000" scaled="1"/>
              </a:gradFill>
              <a:ln w="9525" cap="flat" cmpd="sng" algn="ctr">
                <a:solidFill>
                  <a:schemeClr val="accent4">
                    <a:lumMod val="60000"/>
                    <a:shade val="95000"/>
                  </a:schemeClr>
                </a:solidFill>
                <a:round/>
              </a:ln>
              <a:effectLst>
                <a:outerShdw blurRad="40000" dist="20000" dir="5400000" rotWithShape="0">
                  <a:srgbClr val="000000">
                    <a:alpha val="38000"/>
                  </a:srgbClr>
                </a:outerShdw>
              </a:effectLst>
            </c:spPr>
          </c:marker>
          <c:xVal>
            <c:numRef>
              <c:f>Convergences!$B$10:$B$116</c:f>
              <c:numCache>
                <c:formatCode>dd\ /\ mm\ /\ yy</c:formatCode>
                <c:ptCount val="107"/>
                <c:pt idx="0">
                  <c:v>45324</c:v>
                </c:pt>
                <c:pt idx="1">
                  <c:v>45327</c:v>
                </c:pt>
                <c:pt idx="2">
                  <c:v>45329</c:v>
                </c:pt>
                <c:pt idx="3">
                  <c:v>45331</c:v>
                </c:pt>
                <c:pt idx="4">
                  <c:v>45334</c:v>
                </c:pt>
                <c:pt idx="5">
                  <c:v>45335</c:v>
                </c:pt>
                <c:pt idx="6">
                  <c:v>45337</c:v>
                </c:pt>
                <c:pt idx="7">
                  <c:v>45338</c:v>
                </c:pt>
                <c:pt idx="8">
                  <c:v>45341</c:v>
                </c:pt>
                <c:pt idx="9">
                  <c:v>45343</c:v>
                </c:pt>
                <c:pt idx="10">
                  <c:v>45348</c:v>
                </c:pt>
                <c:pt idx="11">
                  <c:v>45350</c:v>
                </c:pt>
                <c:pt idx="12">
                  <c:v>45364</c:v>
                </c:pt>
                <c:pt idx="13">
                  <c:v>45390</c:v>
                </c:pt>
                <c:pt idx="14">
                  <c:v>45404</c:v>
                </c:pt>
                <c:pt idx="15">
                  <c:v>45411</c:v>
                </c:pt>
                <c:pt idx="16">
                  <c:v>45426</c:v>
                </c:pt>
                <c:pt idx="17">
                  <c:v>45453</c:v>
                </c:pt>
                <c:pt idx="18">
                  <c:v>45481</c:v>
                </c:pt>
                <c:pt idx="19">
                  <c:v>45544</c:v>
                </c:pt>
                <c:pt idx="20">
                  <c:v>45601</c:v>
                </c:pt>
                <c:pt idx="21">
                  <c:v>45671</c:v>
                </c:pt>
                <c:pt idx="22">
                  <c:v>45712</c:v>
                </c:pt>
                <c:pt idx="23">
                  <c:v>45722</c:v>
                </c:pt>
                <c:pt idx="24">
                  <c:v>45726</c:v>
                </c:pt>
                <c:pt idx="25">
                  <c:v>45730</c:v>
                </c:pt>
                <c:pt idx="26">
                  <c:v>45736</c:v>
                </c:pt>
                <c:pt idx="27">
                  <c:v>45744</c:v>
                </c:pt>
                <c:pt idx="28">
                  <c:v>45748</c:v>
                </c:pt>
                <c:pt idx="29">
                  <c:v>45751</c:v>
                </c:pt>
                <c:pt idx="30">
                  <c:v>45754</c:v>
                </c:pt>
                <c:pt idx="31">
                  <c:v>45756</c:v>
                </c:pt>
                <c:pt idx="32">
                  <c:v>45762</c:v>
                </c:pt>
                <c:pt idx="33">
                  <c:v>45769</c:v>
                </c:pt>
                <c:pt idx="34">
                  <c:v>45772</c:v>
                </c:pt>
                <c:pt idx="35">
                  <c:v>45775</c:v>
                </c:pt>
                <c:pt idx="36">
                  <c:v>45792</c:v>
                </c:pt>
                <c:pt idx="37">
                  <c:v>45798</c:v>
                </c:pt>
                <c:pt idx="38">
                  <c:v>45803</c:v>
                </c:pt>
                <c:pt idx="39">
                  <c:v>45810</c:v>
                </c:pt>
                <c:pt idx="40">
                  <c:v>45818</c:v>
                </c:pt>
                <c:pt idx="41">
                  <c:v>45824</c:v>
                </c:pt>
                <c:pt idx="42">
                  <c:v>45831</c:v>
                </c:pt>
                <c:pt idx="43">
                  <c:v>45839</c:v>
                </c:pt>
                <c:pt idx="44">
                  <c:v>45846</c:v>
                </c:pt>
                <c:pt idx="45">
                  <c:v>45853</c:v>
                </c:pt>
                <c:pt idx="46">
                  <c:v>45861</c:v>
                </c:pt>
                <c:pt idx="47">
                  <c:v>45867</c:v>
                </c:pt>
              </c:numCache>
            </c:numRef>
          </c:xVal>
          <c:yVal>
            <c:numRef>
              <c:f>Convergences!$G$10:$G$116</c:f>
              <c:numCache>
                <c:formatCode>\+\ 0.0;\-\ 0.0;\±\ 0.0</c:formatCode>
                <c:ptCount val="107"/>
                <c:pt idx="0">
                  <c:v>0</c:v>
                </c:pt>
                <c:pt idx="1">
                  <c:v>-1.401986805518618</c:v>
                </c:pt>
                <c:pt idx="2">
                  <c:v>0</c:v>
                </c:pt>
                <c:pt idx="3">
                  <c:v>-6.0050012240848716</c:v>
                </c:pt>
                <c:pt idx="4">
                  <c:v>-6.9971782981657071</c:v>
                </c:pt>
                <c:pt idx="5">
                  <c:v>-7.4295125853778288</c:v>
                </c:pt>
                <c:pt idx="6">
                  <c:v>-6.5557055159652933</c:v>
                </c:pt>
                <c:pt idx="7">
                  <c:v>-6.5677425051493543</c:v>
                </c:pt>
                <c:pt idx="8">
                  <c:v>-6.8420014613161939</c:v>
                </c:pt>
                <c:pt idx="9">
                  <c:v>-7.0685051104248942</c:v>
                </c:pt>
                <c:pt idx="10">
                  <c:v>-8.9588702832870126</c:v>
                </c:pt>
                <c:pt idx="11">
                  <c:v>-8.8480396801013939</c:v>
                </c:pt>
                <c:pt idx="12">
                  <c:v>-9.074375897783149</c:v>
                </c:pt>
                <c:pt idx="13">
                  <c:v>-8.8366273568452058</c:v>
                </c:pt>
                <c:pt idx="14">
                  <c:v>-9.2711922409129954</c:v>
                </c:pt>
                <c:pt idx="15">
                  <c:v>-9.5305988852194545</c:v>
                </c:pt>
                <c:pt idx="16">
                  <c:v>-9.2711922409129954</c:v>
                </c:pt>
                <c:pt idx="17">
                  <c:v>-9.8859072404486881</c:v>
                </c:pt>
                <c:pt idx="18">
                  <c:v>-9.9976816631341947</c:v>
                </c:pt>
                <c:pt idx="19">
                  <c:v>-8.6910995064188867</c:v>
                </c:pt>
                <c:pt idx="20">
                  <c:v>-9.2344536375899011</c:v>
                </c:pt>
                <c:pt idx="21">
                  <c:v>-11.708429409598153</c:v>
                </c:pt>
                <c:pt idx="22">
                  <c:v>-10.949832111083246</c:v>
                </c:pt>
                <c:pt idx="23">
                  <c:v>-11.794167233700747</c:v>
                </c:pt>
                <c:pt idx="24">
                  <c:v>-12.009241220713562</c:v>
                </c:pt>
                <c:pt idx="25">
                  <c:v>-11.91441310636332</c:v>
                </c:pt>
                <c:pt idx="26">
                  <c:v>-12.505325485924423</c:v>
                </c:pt>
                <c:pt idx="27">
                  <c:v>-12.403344444091857</c:v>
                </c:pt>
                <c:pt idx="28">
                  <c:v>-12.363001570567356</c:v>
                </c:pt>
                <c:pt idx="29">
                  <c:v>-11.286580172634508</c:v>
                </c:pt>
                <c:pt idx="30">
                  <c:v>-11.326587948942368</c:v>
                </c:pt>
                <c:pt idx="31">
                  <c:v>-11.3794756835226</c:v>
                </c:pt>
                <c:pt idx="32">
                  <c:v>-10.408749208841606</c:v>
                </c:pt>
                <c:pt idx="33">
                  <c:v>-9.6116177385550117</c:v>
                </c:pt>
                <c:pt idx="34">
                  <c:v>-9.4562102438420226</c:v>
                </c:pt>
                <c:pt idx="35">
                  <c:v>-9.442048482897647</c:v>
                </c:pt>
                <c:pt idx="36">
                  <c:v>-9.2851952962087481</c:v>
                </c:pt>
                <c:pt idx="37">
                  <c:v>-9.3140515317058359</c:v>
                </c:pt>
                <c:pt idx="38">
                  <c:v>-9.5995653708849105</c:v>
                </c:pt>
                <c:pt idx="39">
                  <c:v>-9.6037897148280038</c:v>
                </c:pt>
                <c:pt idx="40">
                  <c:v>-10.798448965614327</c:v>
                </c:pt>
                <c:pt idx="41">
                  <c:v>-10.462985177452921</c:v>
                </c:pt>
                <c:pt idx="42">
                  <c:v>-10.826934921047915</c:v>
                </c:pt>
                <c:pt idx="43">
                  <c:v>-10.836045351044099</c:v>
                </c:pt>
                <c:pt idx="44">
                  <c:v>-4.6733133556671191</c:v>
                </c:pt>
                <c:pt idx="45">
                  <c:v>-5.2510574003443722</c:v>
                </c:pt>
                <c:pt idx="46">
                  <c:v>-5.7354037991936835</c:v>
                </c:pt>
                <c:pt idx="47">
                  <c:v>-6.3090479885650197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4D9-48D2-8D2F-31758037E897}"/>
            </c:ext>
          </c:extLst>
        </c:ser>
        <c:ser>
          <c:idx val="15"/>
          <c:order val="15"/>
          <c:tx>
            <c:strRef>
              <c:f>Graphiques!$AC$13</c:f>
              <c:strCache>
                <c:ptCount val="1"/>
                <c:pt idx="0">
                  <c:v>Seuil de vigilance CV</c:v>
                </c:pt>
              </c:strCache>
            </c:strRef>
          </c:tx>
          <c:spPr>
            <a:ln w="15875" cap="rnd">
              <a:solidFill>
                <a:srgbClr val="FFC000"/>
              </a:solidFill>
              <a:prstDash val="sysDot"/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Graphiques!$AE$13:$AE$14</c:f>
              <c:numCache>
                <c:formatCode>m/d/yyyy</c:formatCode>
                <c:ptCount val="2"/>
                <c:pt idx="0">
                  <c:v>43682</c:v>
                </c:pt>
                <c:pt idx="1">
                  <c:v>46388</c:v>
                </c:pt>
              </c:numCache>
            </c:numRef>
          </c:xVal>
          <c:yVal>
            <c:numRef>
              <c:f>Graphiques!$AD$13:$AD$14</c:f>
              <c:numCache>
                <c:formatCode>General</c:formatCode>
                <c:ptCount val="2"/>
                <c:pt idx="0">
                  <c:v>-181</c:v>
                </c:pt>
                <c:pt idx="1">
                  <c:v>-181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4D9-48D2-8D2F-31758037E897}"/>
            </c:ext>
          </c:extLst>
        </c:ser>
        <c:ser>
          <c:idx val="16"/>
          <c:order val="16"/>
          <c:tx>
            <c:strRef>
              <c:f>Graphiques!$AC$15</c:f>
              <c:strCache>
                <c:ptCount val="1"/>
                <c:pt idx="0">
                  <c:v>Seuil d'alerte CV</c:v>
                </c:pt>
              </c:strCache>
            </c:strRef>
          </c:tx>
          <c:spPr>
            <a:ln w="15875" cap="rnd">
              <a:solidFill>
                <a:schemeClr val="accent5">
                  <a:lumMod val="80000"/>
                  <a:lumOff val="20000"/>
                </a:schemeClr>
              </a:solidFill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xVal>
            <c:numRef>
              <c:f>Graphiques!$AE$15:$AE$16</c:f>
              <c:numCache>
                <c:formatCode>m/d/yyyy</c:formatCode>
                <c:ptCount val="2"/>
                <c:pt idx="0">
                  <c:v>43682</c:v>
                </c:pt>
                <c:pt idx="1">
                  <c:v>46388</c:v>
                </c:pt>
              </c:numCache>
            </c:numRef>
          </c:xVal>
          <c:yVal>
            <c:numRef>
              <c:f>Graphiques!$AD$15:$AD$16</c:f>
              <c:numCache>
                <c:formatCode>General</c:formatCode>
                <c:ptCount val="2"/>
                <c:pt idx="0">
                  <c:v>-226</c:v>
                </c:pt>
                <c:pt idx="1">
                  <c:v>-226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4D9-48D2-8D2F-31758037E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1296544"/>
        <c:axId val="461296936"/>
        <c:extLst>
          <c:ext xmlns:c15="http://schemas.microsoft.com/office/drawing/2012/chart" uri="{02D57815-91ED-43cb-92C2-25804820EDAC}">
            <c15:filteredScatterSeries>
              <c15:ser>
                <c:idx val="2"/>
                <c:order val="1"/>
                <c:tx>
                  <c:strRef>
                    <c:extLst>
                      <c:ext uri="{02D57815-91ED-43cb-92C2-25804820EDAC}">
                        <c15:formulaRef>
                          <c15:sqref>Déplacements!$H$9</c15:sqref>
                        </c15:formulaRef>
                      </c:ext>
                    </c:extLst>
                    <c:strCache>
                      <c:ptCount val="1"/>
                      <c:pt idx="0">
                        <c:v>DZ haut gauche</c:v>
                      </c:pt>
                    </c:strCache>
                  </c:strRef>
                </c:tx>
                <c:spPr>
                  <a:ln w="15875" cap="rnd">
                    <a:solidFill>
                      <a:schemeClr val="accent3"/>
                    </a:solidFill>
                    <a:round/>
                  </a:ln>
                  <a:effectLst>
                    <a:outerShdw blurRad="40000" dist="20000" dir="5400000" rotWithShape="0">
                      <a:srgbClr val="000000">
                        <a:alpha val="38000"/>
                      </a:srgbClr>
                    </a:outerShdw>
                  </a:effectLst>
                </c:spPr>
                <c:marker>
                  <c:symbol val="circle"/>
                  <c:size val="5"/>
                  <c:spPr>
                    <a:gradFill rotWithShape="1">
                      <a:gsLst>
                        <a:gs pos="0">
                          <a:schemeClr val="accent3">
                            <a:tint val="50000"/>
                            <a:satMod val="300000"/>
                          </a:schemeClr>
                        </a:gs>
                        <a:gs pos="35000">
                          <a:schemeClr val="accent3">
                            <a:tint val="37000"/>
                            <a:satMod val="300000"/>
                          </a:schemeClr>
                        </a:gs>
                        <a:gs pos="100000">
                          <a:schemeClr val="accent3">
                            <a:tint val="15000"/>
                            <a:satMod val="350000"/>
                          </a:schemeClr>
                        </a:gs>
                      </a:gsLst>
                      <a:lin ang="16200000" scaled="1"/>
                    </a:gradFill>
                    <a:ln w="9525" cap="flat" cmpd="sng" algn="ctr">
                      <a:solidFill>
                        <a:schemeClr val="accent3">
                          <a:shade val="95000"/>
                        </a:schemeClr>
                      </a:solidFill>
                      <a:round/>
                    </a:ln>
                    <a:effectLst>
                      <a:outerShdw blurRad="40000" dist="20000" dir="5400000" rotWithShape="0">
                        <a:srgbClr val="000000">
                          <a:alpha val="38000"/>
                        </a:srgbClr>
                      </a:outerShdw>
                    </a:effectLst>
                  </c:spPr>
                </c:marker>
                <c:xVal>
                  <c:numRef>
                    <c:extLst>
                      <c:ext uri="{02D57815-91ED-43cb-92C2-25804820EDAC}">
                        <c15:formulaRef>
                          <c15:sqref>Déplacements!$B$10:$B$12</c15:sqref>
                        </c15:formulaRef>
                      </c:ext>
                    </c:extLst>
                    <c:numCache>
                      <c:formatCode>dd\ /\ mm\ /\ yy</c:formatCode>
                      <c:ptCount val="3"/>
                      <c:pt idx="0">
                        <c:v>45324</c:v>
                      </c:pt>
                      <c:pt idx="1">
                        <c:v>45327</c:v>
                      </c:pt>
                      <c:pt idx="2">
                        <c:v>45329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Déplacements!$H$10:$H$12</c15:sqref>
                        </c15:formulaRef>
                      </c:ext>
                    </c:extLst>
                    <c:numCache>
                      <c:formatCode>\+\ 0.0;\-\ 0.0;\±\ 0.0</c:formatCode>
                      <c:ptCount val="3"/>
                      <c:pt idx="0">
                        <c:v>0</c:v>
                      </c:pt>
                      <c:pt idx="1">
                        <c:v>0.39999999999906777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7-74D9-48D2-8D2F-31758037E897}"/>
                  </c:ext>
                </c:extLst>
              </c15:ser>
            </c15:filteredScatterSeries>
            <c15:filteredScatterSeries>
              <c15:ser>
                <c:idx val="3"/>
                <c:order val="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Déplacements!$N$9</c15:sqref>
                        </c15:formulaRef>
                      </c:ext>
                    </c:extLst>
                    <c:strCache>
                      <c:ptCount val="1"/>
                      <c:pt idx="0">
                        <c:v>DZ haut droit</c:v>
                      </c:pt>
                    </c:strCache>
                  </c:strRef>
                </c:tx>
                <c:spPr>
                  <a:ln w="15875" cap="rnd">
                    <a:solidFill>
                      <a:schemeClr val="accent4"/>
                    </a:solidFill>
                    <a:round/>
                  </a:ln>
                  <a:effectLst>
                    <a:outerShdw blurRad="40000" dist="20000" dir="5400000" rotWithShape="0">
                      <a:srgbClr val="000000">
                        <a:alpha val="38000"/>
                      </a:srgbClr>
                    </a:outerShdw>
                  </a:effectLst>
                </c:spPr>
                <c:marker>
                  <c:symbol val="circle"/>
                  <c:size val="5"/>
                  <c:spPr>
                    <a:gradFill rotWithShape="1">
                      <a:gsLst>
                        <a:gs pos="0">
                          <a:schemeClr val="accent4">
                            <a:tint val="50000"/>
                            <a:satMod val="300000"/>
                          </a:schemeClr>
                        </a:gs>
                        <a:gs pos="35000">
                          <a:schemeClr val="accent4">
                            <a:tint val="37000"/>
                            <a:satMod val="300000"/>
                          </a:schemeClr>
                        </a:gs>
                        <a:gs pos="100000">
                          <a:schemeClr val="accent4">
                            <a:tint val="15000"/>
                            <a:satMod val="350000"/>
                          </a:schemeClr>
                        </a:gs>
                      </a:gsLst>
                      <a:lin ang="16200000" scaled="1"/>
                    </a:gradFill>
                    <a:ln w="9525" cap="flat" cmpd="sng" algn="ctr">
                      <a:solidFill>
                        <a:schemeClr val="accent4">
                          <a:shade val="95000"/>
                        </a:schemeClr>
                      </a:solidFill>
                      <a:round/>
                    </a:ln>
                    <a:effectLst>
                      <a:outerShdw blurRad="40000" dist="20000" dir="5400000" rotWithShape="0">
                        <a:srgbClr val="000000">
                          <a:alpha val="38000"/>
                        </a:srgbClr>
                      </a:outerShdw>
                    </a:effectLst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Déplacements!$B$10:$B$12</c15:sqref>
                        </c15:formulaRef>
                      </c:ext>
                    </c:extLst>
                    <c:numCache>
                      <c:formatCode>dd\ /\ mm\ /\ yy</c:formatCode>
                      <c:ptCount val="3"/>
                      <c:pt idx="0">
                        <c:v>45324</c:v>
                      </c:pt>
                      <c:pt idx="1">
                        <c:v>45327</c:v>
                      </c:pt>
                      <c:pt idx="2">
                        <c:v>45329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Déplacements!$N$10:$N$12</c15:sqref>
                        </c15:formulaRef>
                      </c:ext>
                    </c:extLst>
                    <c:numCache>
                      <c:formatCode>\+\ 0.0;\-\ 0.0;\±\ 0.0</c:formatCode>
                      <c:ptCount val="3"/>
                      <c:pt idx="0">
                        <c:v>0</c:v>
                      </c:pt>
                      <c:pt idx="1">
                        <c:v>9.9999999989108801E-2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74D9-48D2-8D2F-31758037E897}"/>
                  </c:ext>
                </c:extLst>
              </c15:ser>
            </c15:filteredScatterSeries>
            <c15:filteredScatterSeries>
              <c15:ser>
                <c:idx val="4"/>
                <c:order val="3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Déplacements!$E$9</c15:sqref>
                        </c15:formulaRef>
                      </c:ext>
                    </c:extLst>
                    <c:strCache>
                      <c:ptCount val="1"/>
                      <c:pt idx="0">
                        <c:v>DZ bas gauche</c:v>
                      </c:pt>
                    </c:strCache>
                  </c:strRef>
                </c:tx>
                <c:spPr>
                  <a:ln w="15875" cap="rnd">
                    <a:solidFill>
                      <a:schemeClr val="accent5"/>
                    </a:solidFill>
                    <a:round/>
                  </a:ln>
                  <a:effectLst>
                    <a:outerShdw blurRad="40000" dist="20000" dir="5400000" rotWithShape="0">
                      <a:srgbClr val="000000">
                        <a:alpha val="38000"/>
                      </a:srgbClr>
                    </a:outerShdw>
                  </a:effectLst>
                </c:spPr>
                <c:marker>
                  <c:symbol val="circle"/>
                  <c:size val="5"/>
                  <c:spPr>
                    <a:gradFill rotWithShape="1">
                      <a:gsLst>
                        <a:gs pos="0">
                          <a:schemeClr val="accent5">
                            <a:tint val="50000"/>
                            <a:satMod val="300000"/>
                          </a:schemeClr>
                        </a:gs>
                        <a:gs pos="35000">
                          <a:schemeClr val="accent5">
                            <a:tint val="37000"/>
                            <a:satMod val="300000"/>
                          </a:schemeClr>
                        </a:gs>
                        <a:gs pos="100000">
                          <a:schemeClr val="accent5">
                            <a:tint val="15000"/>
                            <a:satMod val="350000"/>
                          </a:schemeClr>
                        </a:gs>
                      </a:gsLst>
                      <a:lin ang="16200000" scaled="1"/>
                    </a:gradFill>
                    <a:ln w="9525" cap="flat" cmpd="sng" algn="ctr">
                      <a:solidFill>
                        <a:schemeClr val="accent5">
                          <a:shade val="95000"/>
                        </a:schemeClr>
                      </a:solidFill>
                      <a:round/>
                    </a:ln>
                    <a:effectLst>
                      <a:outerShdw blurRad="40000" dist="20000" dir="5400000" rotWithShape="0">
                        <a:srgbClr val="000000">
                          <a:alpha val="38000"/>
                        </a:srgbClr>
                      </a:outerShdw>
                    </a:effectLst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Déplacements!$B$10:$B$12</c15:sqref>
                        </c15:formulaRef>
                      </c:ext>
                    </c:extLst>
                    <c:numCache>
                      <c:formatCode>dd\ /\ mm\ /\ yy</c:formatCode>
                      <c:ptCount val="3"/>
                      <c:pt idx="0">
                        <c:v>45324</c:v>
                      </c:pt>
                      <c:pt idx="1">
                        <c:v>45327</c:v>
                      </c:pt>
                      <c:pt idx="2">
                        <c:v>45329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Déplacements!$E$10:$E$11</c15:sqref>
                        </c15:formulaRef>
                      </c:ext>
                    </c:extLst>
                    <c:numCache>
                      <c:formatCode>\+\ 0.0;\-\ 0.0;\±\ 0.0</c:formatCode>
                      <c:ptCount val="2"/>
                      <c:pt idx="0">
                        <c:v>0</c:v>
                      </c:pt>
                      <c:pt idx="1">
                        <c:v>0.79999999999813554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9-74D9-48D2-8D2F-31758037E897}"/>
                  </c:ext>
                </c:extLst>
              </c15:ser>
            </c15:filteredScatterSeries>
            <c15:filteredScatterSeries>
              <c15:ser>
                <c:idx val="5"/>
                <c:order val="4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Déplacements!$Q$9</c15:sqref>
                        </c15:formulaRef>
                      </c:ext>
                    </c:extLst>
                    <c:strCache>
                      <c:ptCount val="1"/>
                      <c:pt idx="0">
                        <c:v>DZ bas droit</c:v>
                      </c:pt>
                    </c:strCache>
                  </c:strRef>
                </c:tx>
                <c:spPr>
                  <a:ln w="15875" cap="rnd">
                    <a:solidFill>
                      <a:schemeClr val="accent6"/>
                    </a:solidFill>
                    <a:round/>
                  </a:ln>
                  <a:effectLst>
                    <a:outerShdw blurRad="40000" dist="20000" dir="5400000" rotWithShape="0">
                      <a:srgbClr val="000000">
                        <a:alpha val="38000"/>
                      </a:srgbClr>
                    </a:outerShdw>
                  </a:effectLst>
                </c:spPr>
                <c:marker>
                  <c:symbol val="circle"/>
                  <c:size val="5"/>
                  <c:spPr>
                    <a:gradFill rotWithShape="1">
                      <a:gsLst>
                        <a:gs pos="0">
                          <a:schemeClr val="accent6">
                            <a:tint val="50000"/>
                            <a:satMod val="300000"/>
                          </a:schemeClr>
                        </a:gs>
                        <a:gs pos="35000">
                          <a:schemeClr val="accent6">
                            <a:tint val="37000"/>
                            <a:satMod val="300000"/>
                          </a:schemeClr>
                        </a:gs>
                        <a:gs pos="100000">
                          <a:schemeClr val="accent6">
                            <a:tint val="15000"/>
                            <a:satMod val="350000"/>
                          </a:schemeClr>
                        </a:gs>
                      </a:gsLst>
                      <a:lin ang="16200000" scaled="1"/>
                    </a:gradFill>
                    <a:ln w="9525" cap="flat" cmpd="sng" algn="ctr">
                      <a:solidFill>
                        <a:schemeClr val="accent6">
                          <a:shade val="95000"/>
                        </a:schemeClr>
                      </a:solidFill>
                      <a:round/>
                    </a:ln>
                    <a:effectLst>
                      <a:outerShdw blurRad="40000" dist="20000" dir="5400000" rotWithShape="0">
                        <a:srgbClr val="000000">
                          <a:alpha val="38000"/>
                        </a:srgbClr>
                      </a:outerShdw>
                    </a:effectLst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Déplacements!$B$10:$B$12</c15:sqref>
                        </c15:formulaRef>
                      </c:ext>
                    </c:extLst>
                    <c:numCache>
                      <c:formatCode>dd\ /\ mm\ /\ yy</c:formatCode>
                      <c:ptCount val="3"/>
                      <c:pt idx="0">
                        <c:v>45324</c:v>
                      </c:pt>
                      <c:pt idx="1">
                        <c:v>45327</c:v>
                      </c:pt>
                      <c:pt idx="2">
                        <c:v>45329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Déplacements!$Q$10:$Q$12</c15:sqref>
                        </c15:formulaRef>
                      </c:ext>
                    </c:extLst>
                    <c:numCache>
                      <c:formatCode>\+\ 0.0;\-\ 0.0;\±\ 0.0</c:formatCode>
                      <c:ptCount val="3"/>
                      <c:pt idx="0">
                        <c:v>0</c:v>
                      </c:pt>
                      <c:pt idx="1">
                        <c:v>1.4499999999912916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74D9-48D2-8D2F-31758037E897}"/>
                  </c:ext>
                </c:extLst>
              </c15:ser>
            </c15:filteredScatterSeries>
            <c15:filteredScatterSeries>
              <c15:ser>
                <c:idx val="6"/>
                <c:order val="5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Graphiques!$AC$17</c15:sqref>
                        </c15:formulaRef>
                      </c:ext>
                    </c:extLst>
                    <c:strCache>
                      <c:ptCount val="1"/>
                    </c:strCache>
                  </c:strRef>
                </c:tx>
                <c:spPr>
                  <a:ln w="15875" cap="rnd">
                    <a:solidFill>
                      <a:schemeClr val="accent1">
                        <a:lumMod val="60000"/>
                      </a:schemeClr>
                    </a:solidFill>
                    <a:round/>
                  </a:ln>
                  <a:effectLst>
                    <a:outerShdw blurRad="40000" dist="20000" dir="5400000" rotWithShape="0">
                      <a:srgbClr val="000000">
                        <a:alpha val="38000"/>
                      </a:srgbClr>
                    </a:outerShdw>
                  </a:effectLst>
                </c:spPr>
                <c:marker>
                  <c:symbol val="circle"/>
                  <c:size val="5"/>
                  <c:spPr>
                    <a:gradFill rotWithShape="1">
                      <a:gsLst>
                        <a:gs pos="0">
                          <a:schemeClr val="accent1">
                            <a:lumMod val="60000"/>
                            <a:tint val="50000"/>
                            <a:satMod val="300000"/>
                          </a:schemeClr>
                        </a:gs>
                        <a:gs pos="35000">
                          <a:schemeClr val="accent1">
                            <a:lumMod val="60000"/>
                            <a:tint val="37000"/>
                            <a:satMod val="300000"/>
                          </a:schemeClr>
                        </a:gs>
                        <a:gs pos="100000">
                          <a:schemeClr val="accent1">
                            <a:lumMod val="60000"/>
                            <a:tint val="15000"/>
                            <a:satMod val="350000"/>
                          </a:schemeClr>
                        </a:gs>
                      </a:gsLst>
                      <a:lin ang="16200000" scaled="1"/>
                    </a:gradFill>
                    <a:ln w="9525" cap="flat" cmpd="sng" algn="ctr">
                      <a:solidFill>
                        <a:schemeClr val="accent1">
                          <a:lumMod val="60000"/>
                          <a:shade val="95000"/>
                        </a:schemeClr>
                      </a:solidFill>
                      <a:round/>
                    </a:ln>
                    <a:effectLst>
                      <a:outerShdw blurRad="40000" dist="20000" dir="5400000" rotWithShape="0">
                        <a:srgbClr val="000000">
                          <a:alpha val="38000"/>
                        </a:srgbClr>
                      </a:outerShdw>
                    </a:effectLst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Graphiques!$AE$17:$AE$18</c15:sqref>
                        </c15:formulaRef>
                      </c:ext>
                    </c:extLst>
                    <c:numCache>
                      <c:formatCode>m/d/yyyy</c:formatCode>
                      <c:ptCount val="2"/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Graphiques!$AD$17:$AD$18</c15:sqref>
                        </c15:formulaRef>
                      </c:ext>
                    </c:extLst>
                    <c:numCache>
                      <c:formatCode>General</c:formatCode>
                      <c:ptCount val="2"/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B-74D9-48D2-8D2F-31758037E897}"/>
                  </c:ext>
                </c:extLst>
              </c15:ser>
            </c15:filteredScatterSeries>
            <c15:filteredScatterSeries>
              <c15:ser>
                <c:idx val="7"/>
                <c:order val="6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Graphiques!$AC$19</c15:sqref>
                        </c15:formulaRef>
                      </c:ext>
                    </c:extLst>
                    <c:strCache>
                      <c:ptCount val="1"/>
                      <c:pt idx="0">
                        <c:v>Seuil de vigilance CH</c:v>
                      </c:pt>
                    </c:strCache>
                  </c:strRef>
                </c:tx>
                <c:spPr>
                  <a:ln w="15875" cap="rnd">
                    <a:solidFill>
                      <a:schemeClr val="accent2">
                        <a:lumMod val="60000"/>
                      </a:schemeClr>
                    </a:solidFill>
                    <a:round/>
                  </a:ln>
                  <a:effectLst>
                    <a:outerShdw blurRad="40000" dist="20000" dir="5400000" rotWithShape="0">
                      <a:srgbClr val="000000">
                        <a:alpha val="38000"/>
                      </a:srgbClr>
                    </a:outerShdw>
                  </a:effectLst>
                </c:spPr>
                <c:marker>
                  <c:symbol val="circle"/>
                  <c:size val="5"/>
                  <c:spPr>
                    <a:gradFill rotWithShape="1">
                      <a:gsLst>
                        <a:gs pos="0">
                          <a:schemeClr val="accent2">
                            <a:lumMod val="60000"/>
                            <a:tint val="50000"/>
                            <a:satMod val="300000"/>
                          </a:schemeClr>
                        </a:gs>
                        <a:gs pos="35000">
                          <a:schemeClr val="accent2">
                            <a:lumMod val="60000"/>
                            <a:tint val="37000"/>
                            <a:satMod val="300000"/>
                          </a:schemeClr>
                        </a:gs>
                        <a:gs pos="100000">
                          <a:schemeClr val="accent2">
                            <a:lumMod val="60000"/>
                            <a:tint val="15000"/>
                            <a:satMod val="350000"/>
                          </a:schemeClr>
                        </a:gs>
                      </a:gsLst>
                      <a:lin ang="16200000" scaled="1"/>
                    </a:gradFill>
                    <a:ln w="9525" cap="flat" cmpd="sng" algn="ctr">
                      <a:solidFill>
                        <a:schemeClr val="accent2">
                          <a:lumMod val="60000"/>
                          <a:shade val="95000"/>
                        </a:schemeClr>
                      </a:solidFill>
                      <a:round/>
                    </a:ln>
                    <a:effectLst>
                      <a:outerShdw blurRad="40000" dist="20000" dir="5400000" rotWithShape="0">
                        <a:srgbClr val="000000">
                          <a:alpha val="38000"/>
                        </a:srgbClr>
                      </a:outerShdw>
                    </a:effectLst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Graphiques!$AE$19:$AE$20</c15:sqref>
                        </c15:formulaRef>
                      </c:ext>
                    </c:extLst>
                    <c:numCache>
                      <c:formatCode>m/d/yyyy</c:formatCode>
                      <c:ptCount val="2"/>
                      <c:pt idx="0">
                        <c:v>43682</c:v>
                      </c:pt>
                      <c:pt idx="1">
                        <c:v>46388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Graphiques!$AD$19:$AD$20</c15:sqref>
                        </c15:formulaRef>
                      </c:ext>
                    </c:extLst>
                    <c:numCache>
                      <c:formatCode>General</c:formatCode>
                      <c:ptCount val="2"/>
                      <c:pt idx="0">
                        <c:v>-58</c:v>
                      </c:pt>
                      <c:pt idx="1">
                        <c:v>-58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74D9-48D2-8D2F-31758037E897}"/>
                  </c:ext>
                </c:extLst>
              </c15:ser>
            </c15:filteredScatterSeries>
            <c15:filteredScatterSeries>
              <c15:ser>
                <c:idx val="10"/>
                <c:order val="8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Convergences!$E$9</c15:sqref>
                        </c15:formulaRef>
                      </c:ext>
                    </c:extLst>
                    <c:strCache>
                      <c:ptCount val="1"/>
                      <c:pt idx="0">
                        <c:v>HG</c:v>
                      </c:pt>
                    </c:strCache>
                  </c:strRef>
                </c:tx>
                <c:spPr>
                  <a:ln w="15875" cap="rnd">
                    <a:solidFill>
                      <a:schemeClr val="accent5">
                        <a:lumMod val="60000"/>
                      </a:schemeClr>
                    </a:solidFill>
                    <a:round/>
                  </a:ln>
                  <a:effectLst>
                    <a:outerShdw blurRad="40000" dist="20000" dir="5400000" rotWithShape="0">
                      <a:srgbClr val="000000">
                        <a:alpha val="38000"/>
                      </a:srgbClr>
                    </a:outerShdw>
                  </a:effectLst>
                </c:spPr>
                <c:marker>
                  <c:symbol val="circle"/>
                  <c:size val="5"/>
                  <c:spPr>
                    <a:gradFill rotWithShape="1">
                      <a:gsLst>
                        <a:gs pos="0">
                          <a:schemeClr val="accent5">
                            <a:lumMod val="60000"/>
                            <a:tint val="50000"/>
                            <a:satMod val="300000"/>
                          </a:schemeClr>
                        </a:gs>
                        <a:gs pos="35000">
                          <a:schemeClr val="accent5">
                            <a:lumMod val="60000"/>
                            <a:tint val="37000"/>
                            <a:satMod val="300000"/>
                          </a:schemeClr>
                        </a:gs>
                        <a:gs pos="100000">
                          <a:schemeClr val="accent5">
                            <a:lumMod val="60000"/>
                            <a:tint val="15000"/>
                            <a:satMod val="350000"/>
                          </a:schemeClr>
                        </a:gs>
                      </a:gsLst>
                      <a:lin ang="16200000" scaled="1"/>
                    </a:gradFill>
                    <a:ln w="9525" cap="flat" cmpd="sng" algn="ctr">
                      <a:solidFill>
                        <a:schemeClr val="accent5">
                          <a:lumMod val="60000"/>
                          <a:shade val="95000"/>
                        </a:schemeClr>
                      </a:solidFill>
                      <a:round/>
                    </a:ln>
                    <a:effectLst>
                      <a:outerShdw blurRad="40000" dist="20000" dir="5400000" rotWithShape="0">
                        <a:srgbClr val="000000">
                          <a:alpha val="38000"/>
                        </a:srgbClr>
                      </a:outerShdw>
                    </a:effectLst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Convergences!$B$10:$B$12</c15:sqref>
                        </c15:formulaRef>
                      </c:ext>
                    </c:extLst>
                    <c:numCache>
                      <c:formatCode>dd\ /\ mm\ /\ yy</c:formatCode>
                      <c:ptCount val="3"/>
                      <c:pt idx="0">
                        <c:v>45324</c:v>
                      </c:pt>
                      <c:pt idx="1">
                        <c:v>45327</c:v>
                      </c:pt>
                      <c:pt idx="2">
                        <c:v>45329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Convergences!$E$10:$E$12</c15:sqref>
                        </c15:formulaRef>
                      </c:ext>
                    </c:extLst>
                    <c:numCache>
                      <c:formatCode>\+\ 0.0;\-\ 0.0;\±\ 0.0</c:formatCode>
                      <c:ptCount val="3"/>
                      <c:pt idx="0">
                        <c:v>0</c:v>
                      </c:pt>
                      <c:pt idx="1">
                        <c:v>-0.58524815068450309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D-74D9-48D2-8D2F-31758037E897}"/>
                  </c:ext>
                </c:extLst>
              </c15:ser>
            </c15:filteredScatterSeries>
            <c15:filteredScatterSeries>
              <c15:ser>
                <c:idx val="11"/>
                <c:order val="9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Convergences!$F$9</c15:sqref>
                        </c15:formulaRef>
                      </c:ext>
                    </c:extLst>
                    <c:strCache>
                      <c:ptCount val="1"/>
                      <c:pt idx="0">
                        <c:v>HD</c:v>
                      </c:pt>
                    </c:strCache>
                  </c:strRef>
                </c:tx>
                <c:spPr>
                  <a:ln w="15875" cap="rnd">
                    <a:solidFill>
                      <a:schemeClr val="accent6">
                        <a:lumMod val="60000"/>
                      </a:schemeClr>
                    </a:solidFill>
                    <a:round/>
                  </a:ln>
                  <a:effectLst>
                    <a:outerShdw blurRad="40000" dist="20000" dir="5400000" rotWithShape="0">
                      <a:srgbClr val="000000">
                        <a:alpha val="38000"/>
                      </a:srgbClr>
                    </a:outerShdw>
                  </a:effectLst>
                </c:spPr>
                <c:marker>
                  <c:symbol val="circle"/>
                  <c:size val="5"/>
                  <c:spPr>
                    <a:gradFill rotWithShape="1">
                      <a:gsLst>
                        <a:gs pos="0">
                          <a:schemeClr val="accent6">
                            <a:lumMod val="60000"/>
                            <a:tint val="50000"/>
                            <a:satMod val="300000"/>
                          </a:schemeClr>
                        </a:gs>
                        <a:gs pos="35000">
                          <a:schemeClr val="accent6">
                            <a:lumMod val="60000"/>
                            <a:tint val="37000"/>
                            <a:satMod val="300000"/>
                          </a:schemeClr>
                        </a:gs>
                        <a:gs pos="100000">
                          <a:schemeClr val="accent6">
                            <a:lumMod val="60000"/>
                            <a:tint val="15000"/>
                            <a:satMod val="350000"/>
                          </a:schemeClr>
                        </a:gs>
                      </a:gsLst>
                      <a:lin ang="16200000" scaled="1"/>
                    </a:gradFill>
                    <a:ln w="9525" cap="flat" cmpd="sng" algn="ctr">
                      <a:solidFill>
                        <a:schemeClr val="accent6">
                          <a:lumMod val="60000"/>
                          <a:shade val="95000"/>
                        </a:schemeClr>
                      </a:solidFill>
                      <a:round/>
                    </a:ln>
                    <a:effectLst>
                      <a:outerShdw blurRad="40000" dist="20000" dir="5400000" rotWithShape="0">
                        <a:srgbClr val="000000">
                          <a:alpha val="38000"/>
                        </a:srgbClr>
                      </a:outerShdw>
                    </a:effectLst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Convergences!$B$10:$B$12</c15:sqref>
                        </c15:formulaRef>
                      </c:ext>
                    </c:extLst>
                    <c:numCache>
                      <c:formatCode>dd\ /\ mm\ /\ yy</c:formatCode>
                      <c:ptCount val="3"/>
                      <c:pt idx="0">
                        <c:v>45324</c:v>
                      </c:pt>
                      <c:pt idx="1">
                        <c:v>45327</c:v>
                      </c:pt>
                      <c:pt idx="2">
                        <c:v>45329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Convergences!$F$10:$F$12</c15:sqref>
                        </c15:formulaRef>
                      </c:ext>
                    </c:extLst>
                    <c:numCache>
                      <c:formatCode>\+\ 0.0;\-\ 0.0;\±\ 0.0</c:formatCode>
                      <c:ptCount val="3"/>
                      <c:pt idx="0">
                        <c:v>0</c:v>
                      </c:pt>
                      <c:pt idx="1">
                        <c:v>-0.46740537586242858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74D9-48D2-8D2F-31758037E897}"/>
                  </c:ext>
                </c:extLst>
              </c15:ser>
            </c15:filteredScatterSeries>
            <c15:filteredScatterSeries>
              <c15:ser>
                <c:idx val="12"/>
                <c:order val="10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Convergences!$H$9</c15:sqref>
                        </c15:formulaRef>
                      </c:ext>
                    </c:extLst>
                    <c:strCache>
                      <c:ptCount val="1"/>
                      <c:pt idx="0">
                        <c:v>LH</c:v>
                      </c:pt>
                    </c:strCache>
                  </c:strRef>
                </c:tx>
                <c:spPr>
                  <a:ln w="15875" cap="rnd">
                    <a:solidFill>
                      <a:schemeClr val="accent1">
                        <a:lumMod val="80000"/>
                        <a:lumOff val="20000"/>
                      </a:schemeClr>
                    </a:solidFill>
                    <a:round/>
                  </a:ln>
                  <a:effectLst>
                    <a:outerShdw blurRad="40000" dist="20000" dir="5400000" rotWithShape="0">
                      <a:srgbClr val="000000">
                        <a:alpha val="38000"/>
                      </a:srgbClr>
                    </a:outerShdw>
                  </a:effectLst>
                </c:spPr>
                <c:marker>
                  <c:symbol val="circle"/>
                  <c:size val="5"/>
                  <c:spPr>
                    <a:gradFill rotWithShape="1">
                      <a:gsLst>
                        <a:gs pos="0">
                          <a:schemeClr val="accent1">
                            <a:lumMod val="80000"/>
                            <a:lumOff val="20000"/>
                            <a:tint val="50000"/>
                            <a:satMod val="300000"/>
                          </a:schemeClr>
                        </a:gs>
                        <a:gs pos="35000">
                          <a:schemeClr val="accent1">
                            <a:lumMod val="80000"/>
                            <a:lumOff val="20000"/>
                            <a:tint val="37000"/>
                            <a:satMod val="300000"/>
                          </a:schemeClr>
                        </a:gs>
                        <a:gs pos="100000">
                          <a:schemeClr val="accent1">
                            <a:lumMod val="80000"/>
                            <a:lumOff val="20000"/>
                            <a:tint val="15000"/>
                            <a:satMod val="350000"/>
                          </a:schemeClr>
                        </a:gs>
                      </a:gsLst>
                      <a:lin ang="16200000" scaled="1"/>
                    </a:gradFill>
                    <a:ln w="9525" cap="flat" cmpd="sng" algn="ctr">
                      <a:solidFill>
                        <a:schemeClr val="accent1">
                          <a:lumMod val="80000"/>
                          <a:lumOff val="20000"/>
                          <a:shade val="95000"/>
                        </a:schemeClr>
                      </a:solidFill>
                      <a:round/>
                    </a:ln>
                    <a:effectLst>
                      <a:outerShdw blurRad="40000" dist="20000" dir="5400000" rotWithShape="0">
                        <a:srgbClr val="000000">
                          <a:alpha val="38000"/>
                        </a:srgbClr>
                      </a:outerShdw>
                    </a:effectLst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Convergences!$B$10:$B$12</c15:sqref>
                        </c15:formulaRef>
                      </c:ext>
                    </c:extLst>
                    <c:numCache>
                      <c:formatCode>dd\ /\ mm\ /\ yy</c:formatCode>
                      <c:ptCount val="3"/>
                      <c:pt idx="0">
                        <c:v>45324</c:v>
                      </c:pt>
                      <c:pt idx="1">
                        <c:v>45327</c:v>
                      </c:pt>
                      <c:pt idx="2">
                        <c:v>45329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Convergences!$H$10:$H$12</c15:sqref>
                        </c15:formulaRef>
                      </c:ext>
                    </c:extLst>
                    <c:numCache>
                      <c:formatCode>\+\ 0.0;\-\ 0.0;\±\ 0.0</c:formatCode>
                      <c:ptCount val="3"/>
                      <c:pt idx="0">
                        <c:v>0</c:v>
                      </c:pt>
                      <c:pt idx="1">
                        <c:v>-0.95321322646313433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F-74D9-48D2-8D2F-31758037E897}"/>
                  </c:ext>
                </c:extLst>
              </c15:ser>
            </c15:filteredScatterSeries>
            <c15:filteredScatterSeries>
              <c15:ser>
                <c:idx val="14"/>
                <c:order val="12"/>
                <c:tx>
                  <c:str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Convergences!$I$9</c15:sqref>
                        </c15:formulaRef>
                      </c:ext>
                    </c:extLst>
                    <c:strCache>
                      <c:ptCount val="1"/>
                      <c:pt idx="0">
                        <c:v>LB</c:v>
                      </c:pt>
                    </c:strCache>
                  </c:strRef>
                </c:tx>
                <c:spPr>
                  <a:ln w="15875" cap="rnd">
                    <a:solidFill>
                      <a:schemeClr val="accent3">
                        <a:lumMod val="80000"/>
                        <a:lumOff val="20000"/>
                      </a:schemeClr>
                    </a:solidFill>
                    <a:round/>
                  </a:ln>
                  <a:effectLst>
                    <a:outerShdw blurRad="40000" dist="20000" dir="5400000" rotWithShape="0">
                      <a:srgbClr val="000000">
                        <a:alpha val="38000"/>
                      </a:srgbClr>
                    </a:outerShdw>
                  </a:effectLst>
                </c:spPr>
                <c:marker>
                  <c:symbol val="circle"/>
                  <c:size val="5"/>
                  <c:spPr>
                    <a:gradFill rotWithShape="1">
                      <a:gsLst>
                        <a:gs pos="0">
                          <a:schemeClr val="accent3">
                            <a:lumMod val="80000"/>
                            <a:lumOff val="20000"/>
                            <a:tint val="50000"/>
                            <a:satMod val="300000"/>
                          </a:schemeClr>
                        </a:gs>
                        <a:gs pos="35000">
                          <a:schemeClr val="accent3">
                            <a:lumMod val="80000"/>
                            <a:lumOff val="20000"/>
                            <a:tint val="37000"/>
                            <a:satMod val="300000"/>
                          </a:schemeClr>
                        </a:gs>
                        <a:gs pos="100000">
                          <a:schemeClr val="accent3">
                            <a:lumMod val="80000"/>
                            <a:lumOff val="20000"/>
                            <a:tint val="15000"/>
                            <a:satMod val="350000"/>
                          </a:schemeClr>
                        </a:gs>
                      </a:gsLst>
                      <a:lin ang="16200000" scaled="1"/>
                    </a:gradFill>
                    <a:ln w="9525" cap="flat" cmpd="sng" algn="ctr">
                      <a:solidFill>
                        <a:schemeClr val="accent3">
                          <a:lumMod val="80000"/>
                          <a:lumOff val="20000"/>
                          <a:shade val="95000"/>
                        </a:schemeClr>
                      </a:solidFill>
                      <a:round/>
                    </a:ln>
                    <a:effectLst>
                      <a:outerShdw blurRad="40000" dist="20000" dir="5400000" rotWithShape="0">
                        <a:srgbClr val="000000">
                          <a:alpha val="38000"/>
                        </a:srgbClr>
                      </a:outerShdw>
                    </a:effectLst>
                  </c:spPr>
                </c:marke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Convergences!$B$10:$B$12</c15:sqref>
                        </c15:formulaRef>
                      </c:ext>
                    </c:extLst>
                    <c:numCache>
                      <c:formatCode>dd\ /\ mm\ /\ yy</c:formatCode>
                      <c:ptCount val="3"/>
                      <c:pt idx="0">
                        <c:v>45324</c:v>
                      </c:pt>
                      <c:pt idx="1">
                        <c:v>45327</c:v>
                      </c:pt>
                      <c:pt idx="2">
                        <c:v>45329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Convergences!$I$10:$I$12</c15:sqref>
                        </c15:formulaRef>
                      </c:ext>
                    </c:extLst>
                    <c:numCache>
                      <c:formatCode>\+\ 0.0;\-\ 0.0;\±\ 0.0</c:formatCode>
                      <c:ptCount val="3"/>
                      <c:pt idx="0">
                        <c:v>0</c:v>
                      </c:pt>
                      <c:pt idx="1">
                        <c:v>-1.0549852207635269</c:v>
                      </c:pt>
                      <c:pt idx="2">
                        <c:v>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74D9-48D2-8D2F-31758037E897}"/>
                  </c:ext>
                </c:extLst>
              </c15:ser>
            </c15:filteredScatterSeries>
          </c:ext>
        </c:extLst>
      </c:scatterChart>
      <c:scatterChart>
        <c:scatterStyle val="lineMarker"/>
        <c:varyColors val="0"/>
        <c:ser>
          <c:idx val="8"/>
          <c:order val="7"/>
          <c:tx>
            <c:v>PM</c:v>
          </c:tx>
          <c:spPr>
            <a:ln w="15875" cap="rnd">
              <a:solidFill>
                <a:srgbClr val="00B0F0"/>
              </a:solidFill>
              <a:prstDash val="sysDash"/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marker>
            <c:symbol val="none"/>
          </c:marker>
          <c:xVal>
            <c:numRef>
              <c:f>Déplacements!$B$10:$B$60</c:f>
              <c:numCache>
                <c:formatCode>dd\ /\ mm\ /\ yy</c:formatCode>
                <c:ptCount val="51"/>
                <c:pt idx="0">
                  <c:v>45324</c:v>
                </c:pt>
                <c:pt idx="1">
                  <c:v>45327</c:v>
                </c:pt>
                <c:pt idx="2">
                  <c:v>45329</c:v>
                </c:pt>
                <c:pt idx="3">
                  <c:v>45331</c:v>
                </c:pt>
                <c:pt idx="4">
                  <c:v>45334</c:v>
                </c:pt>
                <c:pt idx="5">
                  <c:v>45335</c:v>
                </c:pt>
                <c:pt idx="6">
                  <c:v>45337</c:v>
                </c:pt>
                <c:pt idx="7">
                  <c:v>45338</c:v>
                </c:pt>
                <c:pt idx="8">
                  <c:v>45341</c:v>
                </c:pt>
                <c:pt idx="9">
                  <c:v>45343</c:v>
                </c:pt>
                <c:pt idx="10">
                  <c:v>45348</c:v>
                </c:pt>
                <c:pt idx="11">
                  <c:v>45350</c:v>
                </c:pt>
                <c:pt idx="12">
                  <c:v>45364</c:v>
                </c:pt>
                <c:pt idx="13">
                  <c:v>45390</c:v>
                </c:pt>
                <c:pt idx="14">
                  <c:v>45404</c:v>
                </c:pt>
                <c:pt idx="15">
                  <c:v>45411</c:v>
                </c:pt>
                <c:pt idx="16">
                  <c:v>45426</c:v>
                </c:pt>
                <c:pt idx="17">
                  <c:v>45453</c:v>
                </c:pt>
                <c:pt idx="18">
                  <c:v>45481</c:v>
                </c:pt>
                <c:pt idx="19">
                  <c:v>45544</c:v>
                </c:pt>
                <c:pt idx="20">
                  <c:v>45601</c:v>
                </c:pt>
                <c:pt idx="21">
                  <c:v>45671</c:v>
                </c:pt>
                <c:pt idx="22">
                  <c:v>45712</c:v>
                </c:pt>
                <c:pt idx="23">
                  <c:v>45722</c:v>
                </c:pt>
                <c:pt idx="24">
                  <c:v>45726</c:v>
                </c:pt>
                <c:pt idx="25">
                  <c:v>45730</c:v>
                </c:pt>
                <c:pt idx="26">
                  <c:v>45736</c:v>
                </c:pt>
                <c:pt idx="27">
                  <c:v>45744</c:v>
                </c:pt>
                <c:pt idx="28">
                  <c:v>45748</c:v>
                </c:pt>
                <c:pt idx="29">
                  <c:v>45751</c:v>
                </c:pt>
                <c:pt idx="30">
                  <c:v>45754</c:v>
                </c:pt>
                <c:pt idx="31">
                  <c:v>45756</c:v>
                </c:pt>
                <c:pt idx="32">
                  <c:v>45762</c:v>
                </c:pt>
                <c:pt idx="33">
                  <c:v>45769</c:v>
                </c:pt>
                <c:pt idx="34">
                  <c:v>45772</c:v>
                </c:pt>
                <c:pt idx="35">
                  <c:v>45775</c:v>
                </c:pt>
                <c:pt idx="36">
                  <c:v>45792</c:v>
                </c:pt>
                <c:pt idx="37">
                  <c:v>45798</c:v>
                </c:pt>
                <c:pt idx="38">
                  <c:v>45803</c:v>
                </c:pt>
                <c:pt idx="39">
                  <c:v>45810</c:v>
                </c:pt>
                <c:pt idx="40">
                  <c:v>45818</c:v>
                </c:pt>
                <c:pt idx="41">
                  <c:v>45824</c:v>
                </c:pt>
                <c:pt idx="42">
                  <c:v>45831</c:v>
                </c:pt>
                <c:pt idx="43">
                  <c:v>45839</c:v>
                </c:pt>
                <c:pt idx="44">
                  <c:v>45846</c:v>
                </c:pt>
                <c:pt idx="45">
                  <c:v>45853</c:v>
                </c:pt>
                <c:pt idx="46">
                  <c:v>45861</c:v>
                </c:pt>
                <c:pt idx="47">
                  <c:v>45867</c:v>
                </c:pt>
              </c:numCache>
            </c:numRef>
          </c:xVal>
          <c:yVal>
            <c:numRef>
              <c:f>'Résultats observations'!$C$10:$C$60</c:f>
              <c:numCache>
                <c:formatCode>0.0</c:formatCode>
                <c:ptCount val="51"/>
                <c:pt idx="0">
                  <c:v>9.39</c:v>
                </c:pt>
                <c:pt idx="1">
                  <c:v>9.39</c:v>
                </c:pt>
                <c:pt idx="2">
                  <c:v>11.5</c:v>
                </c:pt>
                <c:pt idx="3">
                  <c:v>11.5</c:v>
                </c:pt>
                <c:pt idx="4">
                  <c:v>11.5</c:v>
                </c:pt>
                <c:pt idx="5">
                  <c:v>11.5</c:v>
                </c:pt>
                <c:pt idx="6">
                  <c:v>11.5</c:v>
                </c:pt>
                <c:pt idx="7">
                  <c:v>11.5</c:v>
                </c:pt>
                <c:pt idx="8">
                  <c:v>11.5</c:v>
                </c:pt>
                <c:pt idx="9">
                  <c:v>11.5</c:v>
                </c:pt>
                <c:pt idx="10">
                  <c:v>11.5</c:v>
                </c:pt>
                <c:pt idx="11">
                  <c:v>11.5</c:v>
                </c:pt>
                <c:pt idx="12">
                  <c:v>11.5</c:v>
                </c:pt>
                <c:pt idx="13">
                  <c:v>11.5</c:v>
                </c:pt>
                <c:pt idx="14">
                  <c:v>11.5</c:v>
                </c:pt>
                <c:pt idx="15">
                  <c:v>11.5</c:v>
                </c:pt>
                <c:pt idx="16">
                  <c:v>11.5</c:v>
                </c:pt>
                <c:pt idx="17">
                  <c:v>11.5</c:v>
                </c:pt>
                <c:pt idx="18">
                  <c:v>11.5</c:v>
                </c:pt>
                <c:pt idx="19">
                  <c:v>11.5</c:v>
                </c:pt>
                <c:pt idx="20">
                  <c:v>11.5</c:v>
                </c:pt>
                <c:pt idx="21">
                  <c:v>11.5</c:v>
                </c:pt>
                <c:pt idx="22">
                  <c:v>11.5</c:v>
                </c:pt>
                <c:pt idx="23">
                  <c:v>13</c:v>
                </c:pt>
                <c:pt idx="24">
                  <c:v>13</c:v>
                </c:pt>
                <c:pt idx="25">
                  <c:v>14.2</c:v>
                </c:pt>
                <c:pt idx="26">
                  <c:v>14.2</c:v>
                </c:pt>
                <c:pt idx="27">
                  <c:v>15.8</c:v>
                </c:pt>
                <c:pt idx="28">
                  <c:v>15.8</c:v>
                </c:pt>
                <c:pt idx="29">
                  <c:v>17.45</c:v>
                </c:pt>
                <c:pt idx="30">
                  <c:v>18.3</c:v>
                </c:pt>
                <c:pt idx="31">
                  <c:v>19.43</c:v>
                </c:pt>
                <c:pt idx="32">
                  <c:v>19.43</c:v>
                </c:pt>
                <c:pt idx="33">
                  <c:v>19.43</c:v>
                </c:pt>
                <c:pt idx="34">
                  <c:v>21</c:v>
                </c:pt>
                <c:pt idx="35">
                  <c:v>21</c:v>
                </c:pt>
                <c:pt idx="36">
                  <c:v>21</c:v>
                </c:pt>
                <c:pt idx="37">
                  <c:v>23.2</c:v>
                </c:pt>
                <c:pt idx="38">
                  <c:v>23.7</c:v>
                </c:pt>
                <c:pt idx="39">
                  <c:v>24.6</c:v>
                </c:pt>
                <c:pt idx="40">
                  <c:v>26</c:v>
                </c:pt>
                <c:pt idx="41">
                  <c:v>26.8</c:v>
                </c:pt>
                <c:pt idx="42">
                  <c:v>28.1</c:v>
                </c:pt>
                <c:pt idx="43">
                  <c:v>29.4</c:v>
                </c:pt>
                <c:pt idx="44">
                  <c:v>29.8</c:v>
                </c:pt>
                <c:pt idx="45">
                  <c:v>31.4</c:v>
                </c:pt>
                <c:pt idx="46">
                  <c:v>33.1</c:v>
                </c:pt>
                <c:pt idx="47">
                  <c:v>33.9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4D9-48D2-8D2F-31758037E897}"/>
            </c:ext>
          </c:extLst>
        </c:ser>
        <c:ser>
          <c:idx val="0"/>
          <c:order val="13"/>
          <c:tx>
            <c:v>PM</c:v>
          </c:tx>
          <c:spPr>
            <a:ln w="15875" cap="rnd">
              <a:solidFill>
                <a:schemeClr val="accent1"/>
              </a:solidFill>
              <a:prstDash val="sysDash"/>
              <a:round/>
            </a:ln>
            <a:effectLst>
              <a:outerShdw blurRad="40000" dist="20000" dir="5400000" rotWithShape="0">
                <a:srgbClr val="000000">
                  <a:alpha val="38000"/>
                </a:srgbClr>
              </a:outerShdw>
            </a:effectLst>
          </c:spPr>
          <c:marker>
            <c:symbol val="none"/>
          </c:marker>
          <c:xVal>
            <c:numRef>
              <c:f>'Résultats observations'!$A$10:$A$12</c:f>
              <c:numCache>
                <c:formatCode>dd\ /\ mm\ /\ yy</c:formatCode>
                <c:ptCount val="3"/>
                <c:pt idx="0">
                  <c:v>45324</c:v>
                </c:pt>
                <c:pt idx="1">
                  <c:v>45327</c:v>
                </c:pt>
                <c:pt idx="2">
                  <c:v>45329</c:v>
                </c:pt>
              </c:numCache>
            </c:numRef>
          </c:xVal>
          <c:yVal>
            <c:numRef>
              <c:f>'Résultats observations'!$C$10:$C$12</c:f>
              <c:numCache>
                <c:formatCode>0.0</c:formatCode>
                <c:ptCount val="3"/>
                <c:pt idx="0">
                  <c:v>9.39</c:v>
                </c:pt>
                <c:pt idx="1">
                  <c:v>9.39</c:v>
                </c:pt>
                <c:pt idx="2">
                  <c:v>11.5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4D9-48D2-8D2F-31758037E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199984"/>
        <c:axId val="478199592"/>
      </c:scatterChart>
      <c:valAx>
        <c:axId val="461296544"/>
        <c:scaling>
          <c:orientation val="minMax"/>
          <c:max val="45880"/>
          <c:min val="4532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Date </a:t>
                </a:r>
              </a:p>
            </c:rich>
          </c:tx>
          <c:layout>
            <c:manualLayout>
              <c:xMode val="edge"/>
              <c:yMode val="edge"/>
              <c:x val="0.91516334573932423"/>
              <c:y val="0.8745260878264655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dd/mm/yyyy" sourceLinked="0"/>
        <c:majorTickMark val="cross"/>
        <c:minorTickMark val="none"/>
        <c:tickLblPos val="low"/>
        <c:spPr>
          <a:noFill/>
          <a:ln>
            <a:solidFill>
              <a:srgbClr val="4F81BD">
                <a:lumMod val="100000"/>
              </a:srgbClr>
            </a:solidFill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61296936"/>
        <c:crossesAt val="0"/>
        <c:crossBetween val="midCat"/>
        <c:majorUnit val="14"/>
      </c:valAx>
      <c:valAx>
        <c:axId val="461296936"/>
        <c:scaling>
          <c:orientation val="minMax"/>
          <c:max val="30"/>
          <c:min val="-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solidFill>
                <a:schemeClr val="tx1">
                  <a:lumMod val="5000"/>
                  <a:lumOff val="9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fr-FR"/>
                  <a:t>Convergence [mm]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50000"/>
                      <a:lumOff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</c:title>
        <c:numFmt formatCode="\+\ 0.0;\-\ 0.0;\±\ 0.0" sourceLinked="0"/>
        <c:majorTickMark val="cross"/>
        <c:minorTickMark val="none"/>
        <c:tickLblPos val="nextTo"/>
        <c:spPr>
          <a:noFill/>
          <a:ln>
            <a:solidFill>
              <a:schemeClr val="accent1"/>
            </a:solidFill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61296544"/>
        <c:crosses val="autoZero"/>
        <c:crossBetween val="midCat"/>
        <c:majorUnit val="5"/>
        <c:minorUnit val="1"/>
      </c:valAx>
      <c:valAx>
        <c:axId val="478199592"/>
        <c:scaling>
          <c:orientation val="minMax"/>
          <c:max val="60"/>
          <c:min val="-30"/>
        </c:scaling>
        <c:delete val="0"/>
        <c:axPos val="r"/>
        <c:numFmt formatCode="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78199984"/>
        <c:crosses val="max"/>
        <c:crossBetween val="midCat"/>
      </c:valAx>
      <c:valAx>
        <c:axId val="478199984"/>
        <c:scaling>
          <c:orientation val="minMax"/>
        </c:scaling>
        <c:delete val="1"/>
        <c:axPos val="b"/>
        <c:numFmt formatCode="dd\ /\ mm\ /\ yy" sourceLinked="1"/>
        <c:majorTickMark val="out"/>
        <c:minorTickMark val="none"/>
        <c:tickLblPos val="nextTo"/>
        <c:crossAx val="478199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37576584303867422"/>
          <c:y val="0.6889711607757466"/>
          <c:w val="0.48815081127043158"/>
          <c:h val="0.1273127230079387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0"/>
    <c:dispBlanksAs val="span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 alignWithMargins="0"/>
    <c:pageMargins b="0.98425196899999956" l="0.78740157499999996" r="0.78740157499999996" t="0.98425196899999956" header="0.49212598450000589" footer="0.49212598450000589"/>
    <c:pageSetup paperSize="9" orientation="landscape"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fr-FR"/>
              <a:t>Convergences
</a:t>
            </a:r>
          </a:p>
        </c:rich>
      </c:tx>
      <c:layout>
        <c:manualLayout>
          <c:xMode val="edge"/>
          <c:yMode val="edge"/>
          <c:x val="0.47259673730495122"/>
          <c:y val="6.3170321198639412E-2"/>
        </c:manualLayout>
      </c:layout>
      <c:overlay val="0"/>
      <c:spPr>
        <a:solidFill>
          <a:schemeClr val="bg1"/>
        </a:solidFill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6758248843572708E-2"/>
          <c:y val="2.1578345894185801E-2"/>
          <c:w val="0.81613267472675233"/>
          <c:h val="0.80144620006483069"/>
        </c:manualLayout>
      </c:layout>
      <c:scatterChart>
        <c:scatterStyle val="lineMarker"/>
        <c:varyColors val="0"/>
        <c:ser>
          <c:idx val="10"/>
          <c:order val="0"/>
          <c:tx>
            <c:strRef>
              <c:f>Convergences!$E$9</c:f>
              <c:strCache>
                <c:ptCount val="1"/>
                <c:pt idx="0">
                  <c:v>HG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"/>
          </c:marker>
          <c:xVal>
            <c:numRef>
              <c:f>'Résultats observations'!$C$10:$C$36</c:f>
              <c:numCache>
                <c:formatCode>0.0</c:formatCode>
                <c:ptCount val="27"/>
                <c:pt idx="0">
                  <c:v>9.39</c:v>
                </c:pt>
                <c:pt idx="1">
                  <c:v>9.39</c:v>
                </c:pt>
                <c:pt idx="2">
                  <c:v>11.5</c:v>
                </c:pt>
                <c:pt idx="3">
                  <c:v>11.5</c:v>
                </c:pt>
                <c:pt idx="4">
                  <c:v>11.5</c:v>
                </c:pt>
                <c:pt idx="5">
                  <c:v>11.5</c:v>
                </c:pt>
                <c:pt idx="6">
                  <c:v>11.5</c:v>
                </c:pt>
                <c:pt idx="7">
                  <c:v>11.5</c:v>
                </c:pt>
                <c:pt idx="8">
                  <c:v>11.5</c:v>
                </c:pt>
                <c:pt idx="9">
                  <c:v>11.5</c:v>
                </c:pt>
                <c:pt idx="10">
                  <c:v>11.5</c:v>
                </c:pt>
                <c:pt idx="11">
                  <c:v>11.5</c:v>
                </c:pt>
                <c:pt idx="12">
                  <c:v>11.5</c:v>
                </c:pt>
                <c:pt idx="13">
                  <c:v>11.5</c:v>
                </c:pt>
                <c:pt idx="14">
                  <c:v>11.5</c:v>
                </c:pt>
                <c:pt idx="15">
                  <c:v>11.5</c:v>
                </c:pt>
                <c:pt idx="16">
                  <c:v>11.5</c:v>
                </c:pt>
                <c:pt idx="17">
                  <c:v>11.5</c:v>
                </c:pt>
                <c:pt idx="18">
                  <c:v>11.5</c:v>
                </c:pt>
                <c:pt idx="19">
                  <c:v>11.5</c:v>
                </c:pt>
                <c:pt idx="20">
                  <c:v>11.5</c:v>
                </c:pt>
                <c:pt idx="21">
                  <c:v>11.5</c:v>
                </c:pt>
                <c:pt idx="22">
                  <c:v>11.5</c:v>
                </c:pt>
                <c:pt idx="23">
                  <c:v>13</c:v>
                </c:pt>
                <c:pt idx="24">
                  <c:v>13</c:v>
                </c:pt>
                <c:pt idx="25">
                  <c:v>14.2</c:v>
                </c:pt>
                <c:pt idx="26">
                  <c:v>14.2</c:v>
                </c:pt>
              </c:numCache>
            </c:numRef>
          </c:xVal>
          <c:yVal>
            <c:numRef>
              <c:f>Convergences!$E$10:$E$49</c:f>
              <c:numCache>
                <c:formatCode>\+\ 0.0;\-\ 0.0;\±\ 0.0</c:formatCode>
                <c:ptCount val="40"/>
                <c:pt idx="0">
                  <c:v>0</c:v>
                </c:pt>
                <c:pt idx="1">
                  <c:v>-0.58524815068450309</c:v>
                </c:pt>
                <c:pt idx="2">
                  <c:v>0</c:v>
                </c:pt>
                <c:pt idx="3">
                  <c:v>0.79387237141093081</c:v>
                </c:pt>
                <c:pt idx="4">
                  <c:v>0.86233178911454544</c:v>
                </c:pt>
                <c:pt idx="5">
                  <c:v>0.87626770996918069</c:v>
                </c:pt>
                <c:pt idx="6">
                  <c:v>0.51774158193529374</c:v>
                </c:pt>
                <c:pt idx="7">
                  <c:v>0.6744950474053546</c:v>
                </c:pt>
                <c:pt idx="8">
                  <c:v>1.157177661003761</c:v>
                </c:pt>
                <c:pt idx="9">
                  <c:v>0.47547008104142918</c:v>
                </c:pt>
                <c:pt idx="10">
                  <c:v>2.5694418605906044</c:v>
                </c:pt>
                <c:pt idx="11">
                  <c:v>2.7476705056059814</c:v>
                </c:pt>
                <c:pt idx="12">
                  <c:v>2.1503194211875964</c:v>
                </c:pt>
                <c:pt idx="13">
                  <c:v>1.5857621122079557</c:v>
                </c:pt>
                <c:pt idx="14">
                  <c:v>1.5191979127626709</c:v>
                </c:pt>
                <c:pt idx="16">
                  <c:v>1.5191979127626709</c:v>
                </c:pt>
                <c:pt idx="17">
                  <c:v>1.3178517474741192</c:v>
                </c:pt>
                <c:pt idx="18">
                  <c:v>0.95351371152263553</c:v>
                </c:pt>
                <c:pt idx="19">
                  <c:v>1.295811569526073</c:v>
                </c:pt>
                <c:pt idx="20">
                  <c:v>1.295811569526073</c:v>
                </c:pt>
                <c:pt idx="21">
                  <c:v>-0.16260504784426644</c:v>
                </c:pt>
                <c:pt idx="22">
                  <c:v>-0.27482086104724246</c:v>
                </c:pt>
                <c:pt idx="24">
                  <c:v>-0.67918941105027386</c:v>
                </c:pt>
                <c:pt idx="25">
                  <c:v>-1.2640127871694773</c:v>
                </c:pt>
                <c:pt idx="26">
                  <c:v>-1.5244458468863797</c:v>
                </c:pt>
                <c:pt idx="27">
                  <c:v>-4.6253578328121492</c:v>
                </c:pt>
                <c:pt idx="28">
                  <c:v>-7.9850498162974404</c:v>
                </c:pt>
                <c:pt idx="29">
                  <c:v>-11.240067614308291</c:v>
                </c:pt>
                <c:pt idx="30">
                  <c:v>-12.592681250370497</c:v>
                </c:pt>
                <c:pt idx="32">
                  <c:v>-15.311337742978992</c:v>
                </c:pt>
                <c:pt idx="33">
                  <c:v>-19.536754565204095</c:v>
                </c:pt>
                <c:pt idx="34">
                  <c:v>-20.115360337892962</c:v>
                </c:pt>
                <c:pt idx="35">
                  <c:v>-20.911860145848227</c:v>
                </c:pt>
                <c:pt idx="36">
                  <c:v>-23.08251196322697</c:v>
                </c:pt>
                <c:pt idx="37">
                  <c:v>-23.454043441604178</c:v>
                </c:pt>
                <c:pt idx="38">
                  <c:v>-25.286435370374782</c:v>
                </c:pt>
                <c:pt idx="39">
                  <c:v>-25.902036649849691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04B-4162-B9BA-C646C88B9BA8}"/>
            </c:ext>
          </c:extLst>
        </c:ser>
        <c:ser>
          <c:idx val="11"/>
          <c:order val="1"/>
          <c:tx>
            <c:strRef>
              <c:f>Convergences!$F$9</c:f>
              <c:strCache>
                <c:ptCount val="1"/>
                <c:pt idx="0">
                  <c:v>HD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circle"/>
            <c:size val="3"/>
          </c:marker>
          <c:xVal>
            <c:numRef>
              <c:f>'Résultats observations'!$C$10:$C$12</c:f>
              <c:numCache>
                <c:formatCode>0.0</c:formatCode>
                <c:ptCount val="3"/>
                <c:pt idx="0">
                  <c:v>9.39</c:v>
                </c:pt>
                <c:pt idx="1">
                  <c:v>9.39</c:v>
                </c:pt>
                <c:pt idx="2">
                  <c:v>11.5</c:v>
                </c:pt>
              </c:numCache>
            </c:numRef>
          </c:xVal>
          <c:yVal>
            <c:numRef>
              <c:f>Convergences!$F$10:$F$12</c:f>
              <c:numCache>
                <c:formatCode>\+\ 0.0;\-\ 0.0;\±\ 0.0</c:formatCode>
                <c:ptCount val="3"/>
                <c:pt idx="0">
                  <c:v>0</c:v>
                </c:pt>
                <c:pt idx="1">
                  <c:v>-0.46740537586242858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04B-4162-B9BA-C646C88B9BA8}"/>
            </c:ext>
          </c:extLst>
        </c:ser>
        <c:ser>
          <c:idx val="12"/>
          <c:order val="2"/>
          <c:tx>
            <c:strRef>
              <c:f>Convergences!$H$9</c:f>
              <c:strCache>
                <c:ptCount val="1"/>
                <c:pt idx="0">
                  <c:v>LH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</c:marker>
          <c:xVal>
            <c:numRef>
              <c:f>'Résultats observations'!$C$10:$C$36</c:f>
              <c:numCache>
                <c:formatCode>0.0</c:formatCode>
                <c:ptCount val="27"/>
                <c:pt idx="0">
                  <c:v>9.39</c:v>
                </c:pt>
                <c:pt idx="1">
                  <c:v>9.39</c:v>
                </c:pt>
                <c:pt idx="2">
                  <c:v>11.5</c:v>
                </c:pt>
                <c:pt idx="3">
                  <c:v>11.5</c:v>
                </c:pt>
                <c:pt idx="4">
                  <c:v>11.5</c:v>
                </c:pt>
                <c:pt idx="5">
                  <c:v>11.5</c:v>
                </c:pt>
                <c:pt idx="6">
                  <c:v>11.5</c:v>
                </c:pt>
                <c:pt idx="7">
                  <c:v>11.5</c:v>
                </c:pt>
                <c:pt idx="8">
                  <c:v>11.5</c:v>
                </c:pt>
                <c:pt idx="9">
                  <c:v>11.5</c:v>
                </c:pt>
                <c:pt idx="10">
                  <c:v>11.5</c:v>
                </c:pt>
                <c:pt idx="11">
                  <c:v>11.5</c:v>
                </c:pt>
                <c:pt idx="12">
                  <c:v>11.5</c:v>
                </c:pt>
                <c:pt idx="13">
                  <c:v>11.5</c:v>
                </c:pt>
                <c:pt idx="14">
                  <c:v>11.5</c:v>
                </c:pt>
                <c:pt idx="15">
                  <c:v>11.5</c:v>
                </c:pt>
                <c:pt idx="16">
                  <c:v>11.5</c:v>
                </c:pt>
                <c:pt idx="17">
                  <c:v>11.5</c:v>
                </c:pt>
                <c:pt idx="18">
                  <c:v>11.5</c:v>
                </c:pt>
                <c:pt idx="19">
                  <c:v>11.5</c:v>
                </c:pt>
                <c:pt idx="20">
                  <c:v>11.5</c:v>
                </c:pt>
                <c:pt idx="21">
                  <c:v>11.5</c:v>
                </c:pt>
                <c:pt idx="22">
                  <c:v>11.5</c:v>
                </c:pt>
                <c:pt idx="23">
                  <c:v>13</c:v>
                </c:pt>
                <c:pt idx="24">
                  <c:v>13</c:v>
                </c:pt>
                <c:pt idx="25">
                  <c:v>14.2</c:v>
                </c:pt>
                <c:pt idx="26">
                  <c:v>14.2</c:v>
                </c:pt>
              </c:numCache>
            </c:numRef>
          </c:xVal>
          <c:yVal>
            <c:numRef>
              <c:f>Convergences!$H$10:$H$49</c:f>
              <c:numCache>
                <c:formatCode>\+\ 0.0;\-\ 0.0;\±\ 0.0</c:formatCode>
                <c:ptCount val="40"/>
                <c:pt idx="0">
                  <c:v>0</c:v>
                </c:pt>
                <c:pt idx="1">
                  <c:v>-0.95321322646313433</c:v>
                </c:pt>
                <c:pt idx="2">
                  <c:v>0</c:v>
                </c:pt>
                <c:pt idx="3">
                  <c:v>-4.9362159839549946</c:v>
                </c:pt>
                <c:pt idx="4">
                  <c:v>-6.1264217735601534</c:v>
                </c:pt>
                <c:pt idx="5">
                  <c:v>-6.4279006312464304</c:v>
                </c:pt>
                <c:pt idx="6">
                  <c:v>-6.5179015837717458</c:v>
                </c:pt>
                <c:pt idx="7">
                  <c:v>-6.1309107140701258</c:v>
                </c:pt>
                <c:pt idx="8">
                  <c:v>-6.468513230201367</c:v>
                </c:pt>
                <c:pt idx="9">
                  <c:v>-7.3040050940464951</c:v>
                </c:pt>
                <c:pt idx="10">
                  <c:v>-7.4878705644874088</c:v>
                </c:pt>
                <c:pt idx="11">
                  <c:v>-7.2839904030308489</c:v>
                </c:pt>
                <c:pt idx="12">
                  <c:v>-8.1513278329206074</c:v>
                </c:pt>
                <c:pt idx="13">
                  <c:v>-7.8755742358040948</c:v>
                </c:pt>
                <c:pt idx="14">
                  <c:v>-8.3695378940733534</c:v>
                </c:pt>
                <c:pt idx="16">
                  <c:v>-8.3695378940733534</c:v>
                </c:pt>
                <c:pt idx="17">
                  <c:v>-8.7937516063743004</c:v>
                </c:pt>
                <c:pt idx="18">
                  <c:v>-9.5329278863713895</c:v>
                </c:pt>
                <c:pt idx="19">
                  <c:v>-8.4697730467260257</c:v>
                </c:pt>
                <c:pt idx="20">
                  <c:v>-8.3822633474994745</c:v>
                </c:pt>
                <c:pt idx="21">
                  <c:v>-11.095356908983334</c:v>
                </c:pt>
                <c:pt idx="22">
                  <c:v>-10.644048571512243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04B-4162-B9BA-C646C88B9BA8}"/>
            </c:ext>
          </c:extLst>
        </c:ser>
        <c:ser>
          <c:idx val="13"/>
          <c:order val="3"/>
          <c:tx>
            <c:strRef>
              <c:f>Convergences!$D$9</c:f>
              <c:strCache>
                <c:ptCount val="1"/>
                <c:pt idx="0">
                  <c:v>BG</c:v>
                </c:pt>
              </c:strCache>
            </c:strRef>
          </c:tx>
          <c:spPr>
            <a:ln w="12700"/>
          </c:spPr>
          <c:marker>
            <c:symbol val="circle"/>
            <c:size val="3"/>
          </c:marker>
          <c:xVal>
            <c:numRef>
              <c:f>'Résultats observations'!$C$10:$C$36</c:f>
              <c:numCache>
                <c:formatCode>0.0</c:formatCode>
                <c:ptCount val="27"/>
                <c:pt idx="0">
                  <c:v>9.39</c:v>
                </c:pt>
                <c:pt idx="1">
                  <c:v>9.39</c:v>
                </c:pt>
                <c:pt idx="2">
                  <c:v>11.5</c:v>
                </c:pt>
                <c:pt idx="3">
                  <c:v>11.5</c:v>
                </c:pt>
                <c:pt idx="4">
                  <c:v>11.5</c:v>
                </c:pt>
                <c:pt idx="5">
                  <c:v>11.5</c:v>
                </c:pt>
                <c:pt idx="6">
                  <c:v>11.5</c:v>
                </c:pt>
                <c:pt idx="7">
                  <c:v>11.5</c:v>
                </c:pt>
                <c:pt idx="8">
                  <c:v>11.5</c:v>
                </c:pt>
                <c:pt idx="9">
                  <c:v>11.5</c:v>
                </c:pt>
                <c:pt idx="10">
                  <c:v>11.5</c:v>
                </c:pt>
                <c:pt idx="11">
                  <c:v>11.5</c:v>
                </c:pt>
                <c:pt idx="12">
                  <c:v>11.5</c:v>
                </c:pt>
                <c:pt idx="13">
                  <c:v>11.5</c:v>
                </c:pt>
                <c:pt idx="14">
                  <c:v>11.5</c:v>
                </c:pt>
                <c:pt idx="15">
                  <c:v>11.5</c:v>
                </c:pt>
                <c:pt idx="16">
                  <c:v>11.5</c:v>
                </c:pt>
                <c:pt idx="17">
                  <c:v>11.5</c:v>
                </c:pt>
                <c:pt idx="18">
                  <c:v>11.5</c:v>
                </c:pt>
                <c:pt idx="19">
                  <c:v>11.5</c:v>
                </c:pt>
                <c:pt idx="20">
                  <c:v>11.5</c:v>
                </c:pt>
                <c:pt idx="21">
                  <c:v>11.5</c:v>
                </c:pt>
                <c:pt idx="22">
                  <c:v>11.5</c:v>
                </c:pt>
                <c:pt idx="23">
                  <c:v>13</c:v>
                </c:pt>
                <c:pt idx="24">
                  <c:v>13</c:v>
                </c:pt>
                <c:pt idx="25">
                  <c:v>14.2</c:v>
                </c:pt>
                <c:pt idx="26">
                  <c:v>14.2</c:v>
                </c:pt>
              </c:numCache>
            </c:numRef>
          </c:xVal>
          <c:yVal>
            <c:numRef>
              <c:f>Convergences!$D$10:$D$49</c:f>
              <c:numCache>
                <c:formatCode>\+\ 0.0;\-\ 0.0;\±\ 0.0</c:formatCode>
                <c:ptCount val="40"/>
                <c:pt idx="0">
                  <c:v>0</c:v>
                </c:pt>
                <c:pt idx="1">
                  <c:v>-1.0198291823373395</c:v>
                </c:pt>
                <c:pt idx="2">
                  <c:v>0</c:v>
                </c:pt>
                <c:pt idx="3">
                  <c:v>-0.75778666059278521</c:v>
                </c:pt>
                <c:pt idx="4">
                  <c:v>-1.2895055902388819</c:v>
                </c:pt>
                <c:pt idx="5">
                  <c:v>-1.3564881585992339</c:v>
                </c:pt>
                <c:pt idx="6">
                  <c:v>-1.5618565760275871</c:v>
                </c:pt>
                <c:pt idx="7">
                  <c:v>-1.2377026443814998</c:v>
                </c:pt>
                <c:pt idx="8">
                  <c:v>-1.0427145260081261</c:v>
                </c:pt>
                <c:pt idx="9">
                  <c:v>-1.7330650113205337</c:v>
                </c:pt>
                <c:pt idx="10">
                  <c:v>-0.29973736509880666</c:v>
                </c:pt>
                <c:pt idx="11">
                  <c:v>-0.26562763320647775</c:v>
                </c:pt>
                <c:pt idx="12">
                  <c:v>-0.47047721922144348</c:v>
                </c:pt>
                <c:pt idx="13">
                  <c:v>-1.0959588970660405</c:v>
                </c:pt>
                <c:pt idx="14">
                  <c:v>-2.3527622302532691</c:v>
                </c:pt>
                <c:pt idx="15">
                  <c:v>-2.3527622567733886</c:v>
                </c:pt>
                <c:pt idx="16">
                  <c:v>-2.3527622302532691</c:v>
                </c:pt>
                <c:pt idx="17">
                  <c:v>-2.6110035034800916</c:v>
                </c:pt>
                <c:pt idx="18">
                  <c:v>-2.7279751038085109</c:v>
                </c:pt>
                <c:pt idx="19">
                  <c:v>-1.6644982628104543</c:v>
                </c:pt>
                <c:pt idx="20">
                  <c:v>-2.2968966341707642</c:v>
                </c:pt>
                <c:pt idx="21">
                  <c:v>-5.1637277646472413</c:v>
                </c:pt>
                <c:pt idx="22">
                  <c:v>-5.0286971250708135</c:v>
                </c:pt>
                <c:pt idx="23">
                  <c:v>-5.7972657169775843</c:v>
                </c:pt>
                <c:pt idx="24">
                  <c:v>-6.081245872671559</c:v>
                </c:pt>
                <c:pt idx="25">
                  <c:v>-6.0477644521208518</c:v>
                </c:pt>
                <c:pt idx="26">
                  <c:v>-6.647498544621655</c:v>
                </c:pt>
                <c:pt idx="27">
                  <c:v>-9.6512029498976304</c:v>
                </c:pt>
                <c:pt idx="28">
                  <c:v>-12.820670753272978</c:v>
                </c:pt>
                <c:pt idx="29">
                  <c:v>-15.15049832497084</c:v>
                </c:pt>
                <c:pt idx="30">
                  <c:v>-16.726192940041074</c:v>
                </c:pt>
                <c:pt idx="31">
                  <c:v>-17.99453060358136</c:v>
                </c:pt>
                <c:pt idx="32">
                  <c:v>-18.85512368427289</c:v>
                </c:pt>
                <c:pt idx="33">
                  <c:v>-22.788453692509592</c:v>
                </c:pt>
                <c:pt idx="34">
                  <c:v>-23.013969407668533</c:v>
                </c:pt>
                <c:pt idx="35">
                  <c:v>-23.931447234644132</c:v>
                </c:pt>
                <c:pt idx="36">
                  <c:v>-25.935942407284251</c:v>
                </c:pt>
                <c:pt idx="37">
                  <c:v>-26.978532255611753</c:v>
                </c:pt>
                <c:pt idx="38">
                  <c:v>-28.065207321910535</c:v>
                </c:pt>
                <c:pt idx="39">
                  <c:v>-28.675616678678573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104B-4162-B9BA-C646C88B9BA8}"/>
            </c:ext>
          </c:extLst>
        </c:ser>
        <c:ser>
          <c:idx val="14"/>
          <c:order val="4"/>
          <c:tx>
            <c:strRef>
              <c:f>Convergences!$I$9</c:f>
              <c:strCache>
                <c:ptCount val="1"/>
                <c:pt idx="0">
                  <c:v>LB</c:v>
                </c:pt>
              </c:strCache>
            </c:strRef>
          </c:tx>
          <c:spPr>
            <a:ln w="12700"/>
          </c:spPr>
          <c:marker>
            <c:symbol val="circle"/>
            <c:size val="3"/>
          </c:marker>
          <c:xVal>
            <c:numRef>
              <c:f>'Résultats observations'!$C$10:$C$36</c:f>
              <c:numCache>
                <c:formatCode>0.0</c:formatCode>
                <c:ptCount val="27"/>
                <c:pt idx="0">
                  <c:v>9.39</c:v>
                </c:pt>
                <c:pt idx="1">
                  <c:v>9.39</c:v>
                </c:pt>
                <c:pt idx="2">
                  <c:v>11.5</c:v>
                </c:pt>
                <c:pt idx="3">
                  <c:v>11.5</c:v>
                </c:pt>
                <c:pt idx="4">
                  <c:v>11.5</c:v>
                </c:pt>
                <c:pt idx="5">
                  <c:v>11.5</c:v>
                </c:pt>
                <c:pt idx="6">
                  <c:v>11.5</c:v>
                </c:pt>
                <c:pt idx="7">
                  <c:v>11.5</c:v>
                </c:pt>
                <c:pt idx="8">
                  <c:v>11.5</c:v>
                </c:pt>
                <c:pt idx="9">
                  <c:v>11.5</c:v>
                </c:pt>
                <c:pt idx="10">
                  <c:v>11.5</c:v>
                </c:pt>
                <c:pt idx="11">
                  <c:v>11.5</c:v>
                </c:pt>
                <c:pt idx="12">
                  <c:v>11.5</c:v>
                </c:pt>
                <c:pt idx="13">
                  <c:v>11.5</c:v>
                </c:pt>
                <c:pt idx="14">
                  <c:v>11.5</c:v>
                </c:pt>
                <c:pt idx="15">
                  <c:v>11.5</c:v>
                </c:pt>
                <c:pt idx="16">
                  <c:v>11.5</c:v>
                </c:pt>
                <c:pt idx="17">
                  <c:v>11.5</c:v>
                </c:pt>
                <c:pt idx="18">
                  <c:v>11.5</c:v>
                </c:pt>
                <c:pt idx="19">
                  <c:v>11.5</c:v>
                </c:pt>
                <c:pt idx="20">
                  <c:v>11.5</c:v>
                </c:pt>
                <c:pt idx="21">
                  <c:v>11.5</c:v>
                </c:pt>
                <c:pt idx="22">
                  <c:v>11.5</c:v>
                </c:pt>
                <c:pt idx="23">
                  <c:v>13</c:v>
                </c:pt>
                <c:pt idx="24">
                  <c:v>13</c:v>
                </c:pt>
                <c:pt idx="25">
                  <c:v>14.2</c:v>
                </c:pt>
                <c:pt idx="26">
                  <c:v>14.2</c:v>
                </c:pt>
              </c:numCache>
            </c:numRef>
          </c:xVal>
          <c:yVal>
            <c:numRef>
              <c:f>Convergences!$I$10:$I$49</c:f>
              <c:numCache>
                <c:formatCode>\+\ 0.0;\-\ 0.0;\±\ 0.0</c:formatCode>
                <c:ptCount val="40"/>
                <c:pt idx="0">
                  <c:v>0</c:v>
                </c:pt>
                <c:pt idx="1">
                  <c:v>-1.0549852207635269</c:v>
                </c:pt>
                <c:pt idx="2">
                  <c:v>0</c:v>
                </c:pt>
                <c:pt idx="3">
                  <c:v>-4.2722105865875548</c:v>
                </c:pt>
                <c:pt idx="4">
                  <c:v>-5.0348597655736071</c:v>
                </c:pt>
                <c:pt idx="5">
                  <c:v>-5.0249937653150667</c:v>
                </c:pt>
                <c:pt idx="6">
                  <c:v>-5.3132818038958973</c:v>
                </c:pt>
                <c:pt idx="7">
                  <c:v>-4.9281776933653987</c:v>
                </c:pt>
                <c:pt idx="8">
                  <c:v>-5.5702309828191687</c:v>
                </c:pt>
                <c:pt idx="9">
                  <c:v>-6.1121043587597512</c:v>
                </c:pt>
                <c:pt idx="10">
                  <c:v>-6.6017299236689198</c:v>
                </c:pt>
                <c:pt idx="11">
                  <c:v>-6.3728435148204809</c:v>
                </c:pt>
                <c:pt idx="12">
                  <c:v>-7.0806219622117084</c:v>
                </c:pt>
                <c:pt idx="13">
                  <c:v>-7.6235358613141457</c:v>
                </c:pt>
                <c:pt idx="14">
                  <c:v>-8.2814827761819032</c:v>
                </c:pt>
                <c:pt idx="15">
                  <c:v>-8.3910463354959219</c:v>
                </c:pt>
                <c:pt idx="16">
                  <c:v>-8.2814827761819032</c:v>
                </c:pt>
                <c:pt idx="17">
                  <c:v>-8.9969258404725139</c:v>
                </c:pt>
                <c:pt idx="18">
                  <c:v>-9.4693161413061944</c:v>
                </c:pt>
                <c:pt idx="19">
                  <c:v>-8.3101768157529676</c:v>
                </c:pt>
                <c:pt idx="20">
                  <c:v>-8.3112556817521721</c:v>
                </c:pt>
                <c:pt idx="21">
                  <c:v>-12.098385771984965</c:v>
                </c:pt>
                <c:pt idx="22">
                  <c:v>-11.456653962357954</c:v>
                </c:pt>
                <c:pt idx="23">
                  <c:v>-12.226253763563122</c:v>
                </c:pt>
                <c:pt idx="24">
                  <c:v>-12.939431810383262</c:v>
                </c:pt>
                <c:pt idx="25">
                  <c:v>-12.901069762094153</c:v>
                </c:pt>
                <c:pt idx="26">
                  <c:v>-13.535432216134069</c:v>
                </c:pt>
                <c:pt idx="27">
                  <c:v>-13.934619243910262</c:v>
                </c:pt>
                <c:pt idx="28">
                  <c:v>-15.487591978330606</c:v>
                </c:pt>
                <c:pt idx="29">
                  <c:v>-15.656916914288388</c:v>
                </c:pt>
                <c:pt idx="30">
                  <c:v>-16.602089568467093</c:v>
                </c:pt>
                <c:pt idx="31">
                  <c:v>-16.917174468589202</c:v>
                </c:pt>
                <c:pt idx="32">
                  <c:v>-16.554197287606875</c:v>
                </c:pt>
                <c:pt idx="33">
                  <c:v>-17.873000315874243</c:v>
                </c:pt>
                <c:pt idx="34">
                  <c:v>-17.591987776221174</c:v>
                </c:pt>
                <c:pt idx="35">
                  <c:v>-17.759167925651909</c:v>
                </c:pt>
                <c:pt idx="36">
                  <c:v>-18.492485741108844</c:v>
                </c:pt>
                <c:pt idx="37">
                  <c:v>-18.926787460650907</c:v>
                </c:pt>
                <c:pt idx="38">
                  <c:v>-19.568629714352248</c:v>
                </c:pt>
                <c:pt idx="39">
                  <c:v>-19.734756919268293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04B-4162-B9BA-C646C88B9B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201160"/>
        <c:axId val="478201552"/>
      </c:scatterChart>
      <c:valAx>
        <c:axId val="478201160"/>
        <c:scaling>
          <c:orientation val="minMax"/>
          <c:min val="3.1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PM front</a:t>
                </a:r>
                <a:r>
                  <a:rPr lang="fr-FR" baseline="0"/>
                  <a:t> </a:t>
                </a:r>
                <a:r>
                  <a:rPr lang="fr-FR"/>
                  <a:t> </a:t>
                </a:r>
              </a:p>
            </c:rich>
          </c:tx>
          <c:layout>
            <c:manualLayout>
              <c:xMode val="edge"/>
              <c:yMode val="edge"/>
              <c:x val="0.43927910136635301"/>
              <c:y val="0.93730635688476149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" sourceLinked="0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478201552"/>
        <c:crossesAt val="0"/>
        <c:crossBetween val="midCat"/>
      </c:valAx>
      <c:valAx>
        <c:axId val="478201552"/>
        <c:scaling>
          <c:orientation val="minMax"/>
          <c:max val="40"/>
          <c:min val="-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fr-FR" b="1"/>
                  <a:t>Convergences  [mm]</a:t>
                </a:r>
              </a:p>
            </c:rich>
          </c:tx>
          <c:overlay val="0"/>
        </c:title>
        <c:numFmt formatCode="\+\ 0.0;\-\ 0.0;\±\ 0.0" sourceLinked="0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478201160"/>
        <c:crosses val="autoZero"/>
        <c:crossBetween val="midCat"/>
        <c:majorUnit val="5"/>
        <c:minorUnit val="1"/>
      </c:valAx>
    </c:plotArea>
    <c:legend>
      <c:legendPos val="r"/>
      <c:layout>
        <c:manualLayout>
          <c:xMode val="edge"/>
          <c:yMode val="edge"/>
          <c:x val="0.10816646929636417"/>
          <c:y val="3.6162237203630522E-2"/>
          <c:w val="0.24517664360597907"/>
          <c:h val="0.2301634084033094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0"/>
    <c:dispBlanksAs val="span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899999956" l="0.78740157499999996" r="0.78740157499999996" t="0.98425196899999956" header="0.492125984500006" footer="0.492125984500006"/>
    <c:pageSetup paperSize="9" orientation="landscape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fr-FR"/>
              <a:t>Déplacement en Z
</a:t>
            </a:r>
          </a:p>
        </c:rich>
      </c:tx>
      <c:layout>
        <c:manualLayout>
          <c:xMode val="edge"/>
          <c:yMode val="edge"/>
          <c:x val="0.48552406794562319"/>
          <c:y val="6.0355867678702317E-2"/>
        </c:manualLayout>
      </c:layout>
      <c:overlay val="0"/>
      <c:spPr>
        <a:solidFill>
          <a:schemeClr val="bg1"/>
        </a:solidFill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6758248843572708E-2"/>
          <c:y val="2.1578345894185801E-2"/>
          <c:w val="0.81613267472675211"/>
          <c:h val="0.80144620006483069"/>
        </c:manualLayout>
      </c:layout>
      <c:scatterChart>
        <c:scatterStyle val="lineMarker"/>
        <c:varyColors val="0"/>
        <c:ser>
          <c:idx val="10"/>
          <c:order val="0"/>
          <c:tx>
            <c:strRef>
              <c:f>Déplacements!$K$9</c:f>
              <c:strCache>
                <c:ptCount val="1"/>
                <c:pt idx="0">
                  <c:v>DZ centre haut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"/>
          </c:marker>
          <c:xVal>
            <c:numRef>
              <c:f>'Résultats observations'!$C$10:$C$12</c:f>
              <c:numCache>
                <c:formatCode>0.0</c:formatCode>
                <c:ptCount val="3"/>
                <c:pt idx="0">
                  <c:v>9.39</c:v>
                </c:pt>
                <c:pt idx="1">
                  <c:v>9.39</c:v>
                </c:pt>
                <c:pt idx="2">
                  <c:v>11.5</c:v>
                </c:pt>
              </c:numCache>
            </c:numRef>
          </c:xVal>
          <c:yVal>
            <c:numRef>
              <c:f>Déplacements!$K$10:$K$54</c:f>
              <c:numCache>
                <c:formatCode>\+\ 0.0;\-\ 0.0;\±\ 0.0</c:formatCode>
                <c:ptCount val="45"/>
                <c:pt idx="0">
                  <c:v>0</c:v>
                </c:pt>
                <c:pt idx="1">
                  <c:v>5.0000000001659828E-2</c:v>
                </c:pt>
                <c:pt idx="2">
                  <c:v>0</c:v>
                </c:pt>
                <c:pt idx="3">
                  <c:v>-1.7500000000012506</c:v>
                </c:pt>
                <c:pt idx="4">
                  <c:v>-1.7500000000012506</c:v>
                </c:pt>
                <c:pt idx="5">
                  <c:v>-2.1749999999940428</c:v>
                </c:pt>
                <c:pt idx="6">
                  <c:v>-1.774999999994975</c:v>
                </c:pt>
                <c:pt idx="7">
                  <c:v>-1.7874999999918373</c:v>
                </c:pt>
                <c:pt idx="8">
                  <c:v>-1.949999999993679</c:v>
                </c:pt>
                <c:pt idx="9">
                  <c:v>-2.7499999999918145</c:v>
                </c:pt>
                <c:pt idx="10">
                  <c:v>-2.7499999999918145</c:v>
                </c:pt>
                <c:pt idx="11">
                  <c:v>-2.7499999999918145</c:v>
                </c:pt>
                <c:pt idx="12">
                  <c:v>-2.7499999999918145</c:v>
                </c:pt>
                <c:pt idx="13">
                  <c:v>-2.7499999999918145</c:v>
                </c:pt>
                <c:pt idx="14">
                  <c:v>-2.7499999999918145</c:v>
                </c:pt>
                <c:pt idx="15">
                  <c:v>-2.5499999999993861</c:v>
                </c:pt>
                <c:pt idx="16">
                  <c:v>-2.7499999999918145</c:v>
                </c:pt>
                <c:pt idx="17">
                  <c:v>-2.7499999999918145</c:v>
                </c:pt>
                <c:pt idx="18">
                  <c:v>-3.1499999999908823</c:v>
                </c:pt>
                <c:pt idx="19">
                  <c:v>-2.7499999999918145</c:v>
                </c:pt>
                <c:pt idx="20">
                  <c:v>-3.249999999994202</c:v>
                </c:pt>
                <c:pt idx="21">
                  <c:v>-4.2499999999989768</c:v>
                </c:pt>
                <c:pt idx="22">
                  <c:v>-4.0499999999923375</c:v>
                </c:pt>
                <c:pt idx="23">
                  <c:v>-4.3499999999880856</c:v>
                </c:pt>
                <c:pt idx="24">
                  <c:v>-4.6499999999980446</c:v>
                </c:pt>
                <c:pt idx="25">
                  <c:v>-5.0499999999971124</c:v>
                </c:pt>
                <c:pt idx="26">
                  <c:v>-5.4499999999961801</c:v>
                </c:pt>
                <c:pt idx="27">
                  <c:v>-7.8499999999905867</c:v>
                </c:pt>
                <c:pt idx="28">
                  <c:v>-8.8749999999890861</c:v>
                </c:pt>
                <c:pt idx="29">
                  <c:v>-9.7499999999968168</c:v>
                </c:pt>
                <c:pt idx="30">
                  <c:v>-10.349999999988313</c:v>
                </c:pt>
                <c:pt idx="31">
                  <c:v>-11.04999999999734</c:v>
                </c:pt>
                <c:pt idx="32">
                  <c:v>-11.349999999993088</c:v>
                </c:pt>
                <c:pt idx="33">
                  <c:v>-12.949999999989359</c:v>
                </c:pt>
                <c:pt idx="34">
                  <c:v>-12.949999999989359</c:v>
                </c:pt>
                <c:pt idx="35">
                  <c:v>-13.249999999999318</c:v>
                </c:pt>
                <c:pt idx="36">
                  <c:v>-14.64999999998895</c:v>
                </c:pt>
                <c:pt idx="37">
                  <c:v>-15.549999999990405</c:v>
                </c:pt>
                <c:pt idx="38">
                  <c:v>-15.649999999993724</c:v>
                </c:pt>
                <c:pt idx="39">
                  <c:v>-15.749999999997044</c:v>
                </c:pt>
                <c:pt idx="40">
                  <c:v>-16.749999999987608</c:v>
                </c:pt>
                <c:pt idx="41">
                  <c:v>-17.150000000000887</c:v>
                </c:pt>
                <c:pt idx="42">
                  <c:v>-17.749999999992383</c:v>
                </c:pt>
                <c:pt idx="43">
                  <c:v>-18.149999999991451</c:v>
                </c:pt>
                <c:pt idx="44">
                  <c:v>-19.249999999985334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1F-40B3-83C8-2F0184D5A28A}"/>
            </c:ext>
          </c:extLst>
        </c:ser>
        <c:ser>
          <c:idx val="11"/>
          <c:order val="1"/>
          <c:tx>
            <c:strRef>
              <c:f>Déplacements!$H$9</c:f>
              <c:strCache>
                <c:ptCount val="1"/>
                <c:pt idx="0">
                  <c:v>DZ haut gauche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circle"/>
            <c:size val="3"/>
          </c:marker>
          <c:xVal>
            <c:numRef>
              <c:f>'Résultats observations'!$C$10:$C$53</c:f>
              <c:numCache>
                <c:formatCode>0.0</c:formatCode>
                <c:ptCount val="44"/>
                <c:pt idx="0">
                  <c:v>9.39</c:v>
                </c:pt>
                <c:pt idx="1">
                  <c:v>9.39</c:v>
                </c:pt>
                <c:pt idx="2">
                  <c:v>11.5</c:v>
                </c:pt>
                <c:pt idx="3">
                  <c:v>11.5</c:v>
                </c:pt>
                <c:pt idx="4">
                  <c:v>11.5</c:v>
                </c:pt>
                <c:pt idx="5">
                  <c:v>11.5</c:v>
                </c:pt>
                <c:pt idx="6">
                  <c:v>11.5</c:v>
                </c:pt>
                <c:pt idx="7">
                  <c:v>11.5</c:v>
                </c:pt>
                <c:pt idx="8">
                  <c:v>11.5</c:v>
                </c:pt>
                <c:pt idx="9">
                  <c:v>11.5</c:v>
                </c:pt>
                <c:pt idx="10">
                  <c:v>11.5</c:v>
                </c:pt>
                <c:pt idx="11">
                  <c:v>11.5</c:v>
                </c:pt>
                <c:pt idx="12">
                  <c:v>11.5</c:v>
                </c:pt>
                <c:pt idx="13">
                  <c:v>11.5</c:v>
                </c:pt>
                <c:pt idx="14">
                  <c:v>11.5</c:v>
                </c:pt>
                <c:pt idx="15">
                  <c:v>11.5</c:v>
                </c:pt>
                <c:pt idx="16">
                  <c:v>11.5</c:v>
                </c:pt>
                <c:pt idx="17">
                  <c:v>11.5</c:v>
                </c:pt>
                <c:pt idx="18">
                  <c:v>11.5</c:v>
                </c:pt>
                <c:pt idx="19">
                  <c:v>11.5</c:v>
                </c:pt>
                <c:pt idx="20">
                  <c:v>11.5</c:v>
                </c:pt>
                <c:pt idx="21">
                  <c:v>11.5</c:v>
                </c:pt>
                <c:pt idx="22">
                  <c:v>11.5</c:v>
                </c:pt>
                <c:pt idx="23">
                  <c:v>13</c:v>
                </c:pt>
                <c:pt idx="24">
                  <c:v>13</c:v>
                </c:pt>
                <c:pt idx="25">
                  <c:v>14.2</c:v>
                </c:pt>
                <c:pt idx="26">
                  <c:v>14.2</c:v>
                </c:pt>
                <c:pt idx="27">
                  <c:v>15.8</c:v>
                </c:pt>
                <c:pt idx="28">
                  <c:v>15.8</c:v>
                </c:pt>
                <c:pt idx="29">
                  <c:v>17.45</c:v>
                </c:pt>
                <c:pt idx="30">
                  <c:v>18.3</c:v>
                </c:pt>
                <c:pt idx="31">
                  <c:v>19.43</c:v>
                </c:pt>
                <c:pt idx="32">
                  <c:v>19.43</c:v>
                </c:pt>
                <c:pt idx="33">
                  <c:v>19.43</c:v>
                </c:pt>
                <c:pt idx="34">
                  <c:v>21</c:v>
                </c:pt>
                <c:pt idx="35">
                  <c:v>21</c:v>
                </c:pt>
                <c:pt idx="36">
                  <c:v>21</c:v>
                </c:pt>
                <c:pt idx="37">
                  <c:v>23.2</c:v>
                </c:pt>
                <c:pt idx="38">
                  <c:v>23.7</c:v>
                </c:pt>
                <c:pt idx="39">
                  <c:v>24.6</c:v>
                </c:pt>
                <c:pt idx="40">
                  <c:v>26</c:v>
                </c:pt>
                <c:pt idx="41">
                  <c:v>26.8</c:v>
                </c:pt>
                <c:pt idx="42">
                  <c:v>28.1</c:v>
                </c:pt>
                <c:pt idx="43">
                  <c:v>29.4</c:v>
                </c:pt>
              </c:numCache>
            </c:numRef>
          </c:xVal>
          <c:yVal>
            <c:numRef>
              <c:f>Déplacements!$H$10:$H$54</c:f>
              <c:numCache>
                <c:formatCode>\+\ 0.0;\-\ 0.0;\±\ 0.0</c:formatCode>
                <c:ptCount val="45"/>
                <c:pt idx="0">
                  <c:v>0</c:v>
                </c:pt>
                <c:pt idx="1">
                  <c:v>0.39999999999906777</c:v>
                </c:pt>
                <c:pt idx="2">
                  <c:v>0</c:v>
                </c:pt>
                <c:pt idx="3">
                  <c:v>-0.95000000000311502</c:v>
                </c:pt>
                <c:pt idx="4">
                  <c:v>-0.50000000000238742</c:v>
                </c:pt>
                <c:pt idx="5">
                  <c:v>-0.72499999998854037</c:v>
                </c:pt>
                <c:pt idx="6">
                  <c:v>-0.44999999998651674</c:v>
                </c:pt>
                <c:pt idx="7">
                  <c:v>-0.29999999998153726</c:v>
                </c:pt>
                <c:pt idx="8">
                  <c:v>-1.0999999999938836</c:v>
                </c:pt>
                <c:pt idx="9">
                  <c:v>-1.5000000000071623</c:v>
                </c:pt>
                <c:pt idx="10">
                  <c:v>-1.5000000000071623</c:v>
                </c:pt>
                <c:pt idx="11">
                  <c:v>-1.5000000000071623</c:v>
                </c:pt>
                <c:pt idx="12">
                  <c:v>-1.5000000000071623</c:v>
                </c:pt>
                <c:pt idx="13">
                  <c:v>-1.5000000000071623</c:v>
                </c:pt>
                <c:pt idx="14">
                  <c:v>-1.300000000000523</c:v>
                </c:pt>
                <c:pt idx="15">
                  <c:v>-1.1999999999972033</c:v>
                </c:pt>
                <c:pt idx="16">
                  <c:v>-1.300000000000523</c:v>
                </c:pt>
                <c:pt idx="17">
                  <c:v>-1.4666666666585115</c:v>
                </c:pt>
                <c:pt idx="18">
                  <c:v>-1.5999999999962711</c:v>
                </c:pt>
                <c:pt idx="19">
                  <c:v>-1.5000000000071623</c:v>
                </c:pt>
                <c:pt idx="20">
                  <c:v>-2.0000000000095497</c:v>
                </c:pt>
                <c:pt idx="21">
                  <c:v>-2.3999999999944066</c:v>
                </c:pt>
                <c:pt idx="22">
                  <c:v>-2.2000000000019782</c:v>
                </c:pt>
                <c:pt idx="24">
                  <c:v>-2.7000000000043656</c:v>
                </c:pt>
                <c:pt idx="25">
                  <c:v>-2.7999999999934744</c:v>
                </c:pt>
                <c:pt idx="26">
                  <c:v>-2.899999999996794</c:v>
                </c:pt>
                <c:pt idx="27">
                  <c:v>-3.2999999999958618</c:v>
                </c:pt>
                <c:pt idx="28">
                  <c:v>-3.140000000001919</c:v>
                </c:pt>
                <c:pt idx="29">
                  <c:v>-2.7999999999934744</c:v>
                </c:pt>
                <c:pt idx="30">
                  <c:v>-3.2999999999958618</c:v>
                </c:pt>
                <c:pt idx="32">
                  <c:v>-3.1000000000034333</c:v>
                </c:pt>
                <c:pt idx="33">
                  <c:v>-3.3999999999991815</c:v>
                </c:pt>
                <c:pt idx="34">
                  <c:v>-3.2999999999958618</c:v>
                </c:pt>
                <c:pt idx="35">
                  <c:v>-3.1000000000034333</c:v>
                </c:pt>
                <c:pt idx="36">
                  <c:v>-3.5000000000025011</c:v>
                </c:pt>
                <c:pt idx="37">
                  <c:v>-3.7999999999982492</c:v>
                </c:pt>
                <c:pt idx="38">
                  <c:v>-3.6000000000058208</c:v>
                </c:pt>
                <c:pt idx="39">
                  <c:v>-3.1999999999925421</c:v>
                </c:pt>
                <c:pt idx="40">
                  <c:v>-3.3999999999991815</c:v>
                </c:pt>
                <c:pt idx="41">
                  <c:v>-3.9000000000015689</c:v>
                </c:pt>
                <c:pt idx="42">
                  <c:v>-3.6999999999949296</c:v>
                </c:pt>
                <c:pt idx="43">
                  <c:v>-4.0000000000048885</c:v>
                </c:pt>
                <c:pt idx="44">
                  <c:v>-4.3000000000006366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11F-40B3-83C8-2F0184D5A28A}"/>
            </c:ext>
          </c:extLst>
        </c:ser>
        <c:ser>
          <c:idx val="12"/>
          <c:order val="2"/>
          <c:tx>
            <c:strRef>
              <c:f>Déplacements!$N$9</c:f>
              <c:strCache>
                <c:ptCount val="1"/>
                <c:pt idx="0">
                  <c:v>DZ haut droit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</c:marker>
          <c:xVal>
            <c:numRef>
              <c:f>'Résultats observations'!$C$10:$C$53</c:f>
              <c:numCache>
                <c:formatCode>0.0</c:formatCode>
                <c:ptCount val="44"/>
                <c:pt idx="0">
                  <c:v>9.39</c:v>
                </c:pt>
                <c:pt idx="1">
                  <c:v>9.39</c:v>
                </c:pt>
                <c:pt idx="2">
                  <c:v>11.5</c:v>
                </c:pt>
                <c:pt idx="3">
                  <c:v>11.5</c:v>
                </c:pt>
                <c:pt idx="4">
                  <c:v>11.5</c:v>
                </c:pt>
                <c:pt idx="5">
                  <c:v>11.5</c:v>
                </c:pt>
                <c:pt idx="6">
                  <c:v>11.5</c:v>
                </c:pt>
                <c:pt idx="7">
                  <c:v>11.5</c:v>
                </c:pt>
                <c:pt idx="8">
                  <c:v>11.5</c:v>
                </c:pt>
                <c:pt idx="9">
                  <c:v>11.5</c:v>
                </c:pt>
                <c:pt idx="10">
                  <c:v>11.5</c:v>
                </c:pt>
                <c:pt idx="11">
                  <c:v>11.5</c:v>
                </c:pt>
                <c:pt idx="12">
                  <c:v>11.5</c:v>
                </c:pt>
                <c:pt idx="13">
                  <c:v>11.5</c:v>
                </c:pt>
                <c:pt idx="14">
                  <c:v>11.5</c:v>
                </c:pt>
                <c:pt idx="15">
                  <c:v>11.5</c:v>
                </c:pt>
                <c:pt idx="16">
                  <c:v>11.5</c:v>
                </c:pt>
                <c:pt idx="17">
                  <c:v>11.5</c:v>
                </c:pt>
                <c:pt idx="18">
                  <c:v>11.5</c:v>
                </c:pt>
                <c:pt idx="19">
                  <c:v>11.5</c:v>
                </c:pt>
                <c:pt idx="20">
                  <c:v>11.5</c:v>
                </c:pt>
                <c:pt idx="21">
                  <c:v>11.5</c:v>
                </c:pt>
                <c:pt idx="22">
                  <c:v>11.5</c:v>
                </c:pt>
                <c:pt idx="23">
                  <c:v>13</c:v>
                </c:pt>
                <c:pt idx="24">
                  <c:v>13</c:v>
                </c:pt>
                <c:pt idx="25">
                  <c:v>14.2</c:v>
                </c:pt>
                <c:pt idx="26">
                  <c:v>14.2</c:v>
                </c:pt>
                <c:pt idx="27">
                  <c:v>15.8</c:v>
                </c:pt>
                <c:pt idx="28">
                  <c:v>15.8</c:v>
                </c:pt>
                <c:pt idx="29">
                  <c:v>17.45</c:v>
                </c:pt>
                <c:pt idx="30">
                  <c:v>18.3</c:v>
                </c:pt>
                <c:pt idx="31">
                  <c:v>19.43</c:v>
                </c:pt>
                <c:pt idx="32">
                  <c:v>19.43</c:v>
                </c:pt>
                <c:pt idx="33">
                  <c:v>19.43</c:v>
                </c:pt>
                <c:pt idx="34">
                  <c:v>21</c:v>
                </c:pt>
                <c:pt idx="35">
                  <c:v>21</c:v>
                </c:pt>
                <c:pt idx="36">
                  <c:v>21</c:v>
                </c:pt>
                <c:pt idx="37">
                  <c:v>23.2</c:v>
                </c:pt>
                <c:pt idx="38">
                  <c:v>23.7</c:v>
                </c:pt>
                <c:pt idx="39">
                  <c:v>24.6</c:v>
                </c:pt>
                <c:pt idx="40">
                  <c:v>26</c:v>
                </c:pt>
                <c:pt idx="41">
                  <c:v>26.8</c:v>
                </c:pt>
                <c:pt idx="42">
                  <c:v>28.1</c:v>
                </c:pt>
                <c:pt idx="43">
                  <c:v>29.4</c:v>
                </c:pt>
              </c:numCache>
            </c:numRef>
          </c:xVal>
          <c:yVal>
            <c:numRef>
              <c:f>Déplacements!$N$10:$N$54</c:f>
              <c:numCache>
                <c:formatCode>\+\ 0.0;\-\ 0.0;\±\ 0.0</c:formatCode>
                <c:ptCount val="45"/>
                <c:pt idx="0">
                  <c:v>0</c:v>
                </c:pt>
                <c:pt idx="1">
                  <c:v>9.9999999989108801E-2</c:v>
                </c:pt>
                <c:pt idx="2">
                  <c:v>0</c:v>
                </c:pt>
                <c:pt idx="3">
                  <c:v>-3.1500000000050932</c:v>
                </c:pt>
                <c:pt idx="4">
                  <c:v>-3.3000000000100727</c:v>
                </c:pt>
                <c:pt idx="5">
                  <c:v>-4.0500000000065484</c:v>
                </c:pt>
                <c:pt idx="6">
                  <c:v>-3.6750000000154159</c:v>
                </c:pt>
                <c:pt idx="8">
                  <c:v>-3.6750000000154159</c:v>
                </c:pt>
                <c:pt idx="9">
                  <c:v>-4.6750000000201908</c:v>
                </c:pt>
                <c:pt idx="10">
                  <c:v>-4.6750000000201908</c:v>
                </c:pt>
                <c:pt idx="11">
                  <c:v>-4.6750000000201908</c:v>
                </c:pt>
                <c:pt idx="12">
                  <c:v>-4.6750000000201908</c:v>
                </c:pt>
                <c:pt idx="13">
                  <c:v>-4.6750000000201908</c:v>
                </c:pt>
                <c:pt idx="14">
                  <c:v>-5.3750000000292175</c:v>
                </c:pt>
                <c:pt idx="15">
                  <c:v>-4.8750000000268301</c:v>
                </c:pt>
                <c:pt idx="16">
                  <c:v>-5.3750000000292175</c:v>
                </c:pt>
                <c:pt idx="17">
                  <c:v>-5.4750000000183263</c:v>
                </c:pt>
                <c:pt idx="18">
                  <c:v>-5.9750000000207137</c:v>
                </c:pt>
                <c:pt idx="19">
                  <c:v>-5.3250000000133468</c:v>
                </c:pt>
                <c:pt idx="20">
                  <c:v>-5.7750000000282853</c:v>
                </c:pt>
                <c:pt idx="21">
                  <c:v>-7.175000000017917</c:v>
                </c:pt>
                <c:pt idx="22">
                  <c:v>-7.175000000017917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11F-40B3-83C8-2F0184D5A28A}"/>
            </c:ext>
          </c:extLst>
        </c:ser>
        <c:ser>
          <c:idx val="13"/>
          <c:order val="3"/>
          <c:tx>
            <c:strRef>
              <c:f>Déplacements!$E$9</c:f>
              <c:strCache>
                <c:ptCount val="1"/>
                <c:pt idx="0">
                  <c:v>DZ bas gauche</c:v>
                </c:pt>
              </c:strCache>
            </c:strRef>
          </c:tx>
          <c:spPr>
            <a:ln w="12700"/>
          </c:spPr>
          <c:marker>
            <c:symbol val="circle"/>
            <c:size val="3"/>
          </c:marker>
          <c:xVal>
            <c:numRef>
              <c:f>'Résultats observations'!$C$10:$C$12</c:f>
              <c:numCache>
                <c:formatCode>0.0</c:formatCode>
                <c:ptCount val="3"/>
                <c:pt idx="0">
                  <c:v>9.39</c:v>
                </c:pt>
                <c:pt idx="1">
                  <c:v>9.39</c:v>
                </c:pt>
                <c:pt idx="2">
                  <c:v>11.5</c:v>
                </c:pt>
              </c:numCache>
            </c:numRef>
          </c:xVal>
          <c:yVal>
            <c:numRef>
              <c:f>Déplacements!$E$10:$E$11</c:f>
              <c:numCache>
                <c:formatCode>\+\ 0.0;\-\ 0.0;\±\ 0.0</c:formatCode>
                <c:ptCount val="2"/>
                <c:pt idx="0">
                  <c:v>0</c:v>
                </c:pt>
                <c:pt idx="1">
                  <c:v>0.79999999999813554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11F-40B3-83C8-2F0184D5A28A}"/>
            </c:ext>
          </c:extLst>
        </c:ser>
        <c:ser>
          <c:idx val="14"/>
          <c:order val="4"/>
          <c:tx>
            <c:strRef>
              <c:f>Déplacements!$Q$9</c:f>
              <c:strCache>
                <c:ptCount val="1"/>
                <c:pt idx="0">
                  <c:v>DZ bas droit</c:v>
                </c:pt>
              </c:strCache>
            </c:strRef>
          </c:tx>
          <c:spPr>
            <a:ln w="12700"/>
          </c:spPr>
          <c:marker>
            <c:symbol val="circle"/>
            <c:size val="3"/>
          </c:marker>
          <c:xVal>
            <c:numRef>
              <c:f>'Résultats observations'!$C$10:$C$53</c:f>
              <c:numCache>
                <c:formatCode>0.0</c:formatCode>
                <c:ptCount val="44"/>
                <c:pt idx="0">
                  <c:v>9.39</c:v>
                </c:pt>
                <c:pt idx="1">
                  <c:v>9.39</c:v>
                </c:pt>
                <c:pt idx="2">
                  <c:v>11.5</c:v>
                </c:pt>
                <c:pt idx="3">
                  <c:v>11.5</c:v>
                </c:pt>
                <c:pt idx="4">
                  <c:v>11.5</c:v>
                </c:pt>
                <c:pt idx="5">
                  <c:v>11.5</c:v>
                </c:pt>
                <c:pt idx="6">
                  <c:v>11.5</c:v>
                </c:pt>
                <c:pt idx="7">
                  <c:v>11.5</c:v>
                </c:pt>
                <c:pt idx="8">
                  <c:v>11.5</c:v>
                </c:pt>
                <c:pt idx="9">
                  <c:v>11.5</c:v>
                </c:pt>
                <c:pt idx="10">
                  <c:v>11.5</c:v>
                </c:pt>
                <c:pt idx="11">
                  <c:v>11.5</c:v>
                </c:pt>
                <c:pt idx="12">
                  <c:v>11.5</c:v>
                </c:pt>
                <c:pt idx="13">
                  <c:v>11.5</c:v>
                </c:pt>
                <c:pt idx="14">
                  <c:v>11.5</c:v>
                </c:pt>
                <c:pt idx="15">
                  <c:v>11.5</c:v>
                </c:pt>
                <c:pt idx="16">
                  <c:v>11.5</c:v>
                </c:pt>
                <c:pt idx="17">
                  <c:v>11.5</c:v>
                </c:pt>
                <c:pt idx="18">
                  <c:v>11.5</c:v>
                </c:pt>
                <c:pt idx="19">
                  <c:v>11.5</c:v>
                </c:pt>
                <c:pt idx="20">
                  <c:v>11.5</c:v>
                </c:pt>
                <c:pt idx="21">
                  <c:v>11.5</c:v>
                </c:pt>
                <c:pt idx="22">
                  <c:v>11.5</c:v>
                </c:pt>
                <c:pt idx="23">
                  <c:v>13</c:v>
                </c:pt>
                <c:pt idx="24">
                  <c:v>13</c:v>
                </c:pt>
                <c:pt idx="25">
                  <c:v>14.2</c:v>
                </c:pt>
                <c:pt idx="26">
                  <c:v>14.2</c:v>
                </c:pt>
                <c:pt idx="27">
                  <c:v>15.8</c:v>
                </c:pt>
                <c:pt idx="28">
                  <c:v>15.8</c:v>
                </c:pt>
                <c:pt idx="29">
                  <c:v>17.45</c:v>
                </c:pt>
                <c:pt idx="30">
                  <c:v>18.3</c:v>
                </c:pt>
                <c:pt idx="31">
                  <c:v>19.43</c:v>
                </c:pt>
                <c:pt idx="32">
                  <c:v>19.43</c:v>
                </c:pt>
                <c:pt idx="33">
                  <c:v>19.43</c:v>
                </c:pt>
                <c:pt idx="34">
                  <c:v>21</c:v>
                </c:pt>
                <c:pt idx="35">
                  <c:v>21</c:v>
                </c:pt>
                <c:pt idx="36">
                  <c:v>21</c:v>
                </c:pt>
                <c:pt idx="37">
                  <c:v>23.2</c:v>
                </c:pt>
                <c:pt idx="38">
                  <c:v>23.7</c:v>
                </c:pt>
                <c:pt idx="39">
                  <c:v>24.6</c:v>
                </c:pt>
                <c:pt idx="40">
                  <c:v>26</c:v>
                </c:pt>
                <c:pt idx="41">
                  <c:v>26.8</c:v>
                </c:pt>
                <c:pt idx="42">
                  <c:v>28.1</c:v>
                </c:pt>
                <c:pt idx="43">
                  <c:v>29.4</c:v>
                </c:pt>
              </c:numCache>
            </c:numRef>
          </c:xVal>
          <c:yVal>
            <c:numRef>
              <c:f>Déplacements!$Q$10:$Q$54</c:f>
              <c:numCache>
                <c:formatCode>\+\ 0.0;\-\ 0.0;\±\ 0.0</c:formatCode>
                <c:ptCount val="45"/>
                <c:pt idx="0">
                  <c:v>0</c:v>
                </c:pt>
                <c:pt idx="1">
                  <c:v>1.4499999999912916</c:v>
                </c:pt>
                <c:pt idx="2">
                  <c:v>0</c:v>
                </c:pt>
                <c:pt idx="3">
                  <c:v>1.3499999999879719</c:v>
                </c:pt>
                <c:pt idx="4">
                  <c:v>2.1999999999877673</c:v>
                </c:pt>
                <c:pt idx="5">
                  <c:v>2.174999999979832</c:v>
                </c:pt>
                <c:pt idx="6">
                  <c:v>1.8199999999808369</c:v>
                </c:pt>
                <c:pt idx="7">
                  <c:v>1.9349999999889178</c:v>
                </c:pt>
                <c:pt idx="8">
                  <c:v>1.5999999999962711</c:v>
                </c:pt>
                <c:pt idx="9">
                  <c:v>0.99999999999056399</c:v>
                </c:pt>
                <c:pt idx="10">
                  <c:v>0.99999999999056399</c:v>
                </c:pt>
                <c:pt idx="11">
                  <c:v>0.99999999999056399</c:v>
                </c:pt>
                <c:pt idx="12">
                  <c:v>0.99999999999056399</c:v>
                </c:pt>
                <c:pt idx="13">
                  <c:v>0.99999999999056399</c:v>
                </c:pt>
                <c:pt idx="14">
                  <c:v>1.6999999999995907</c:v>
                </c:pt>
                <c:pt idx="15">
                  <c:v>2.0999999999986585</c:v>
                </c:pt>
                <c:pt idx="16">
                  <c:v>1.6999999999995907</c:v>
                </c:pt>
                <c:pt idx="17">
                  <c:v>2.0499999999969987</c:v>
                </c:pt>
                <c:pt idx="18">
                  <c:v>1.6999999999995907</c:v>
                </c:pt>
                <c:pt idx="19">
                  <c:v>0.99999999999056399</c:v>
                </c:pt>
                <c:pt idx="20">
                  <c:v>1.1999999999829924</c:v>
                </c:pt>
                <c:pt idx="21">
                  <c:v>2.1999999999877673</c:v>
                </c:pt>
                <c:pt idx="22">
                  <c:v>1.9999999999953388</c:v>
                </c:pt>
                <c:pt idx="23">
                  <c:v>2.299999999991087</c:v>
                </c:pt>
                <c:pt idx="24">
                  <c:v>1.9999999999953388</c:v>
                </c:pt>
                <c:pt idx="25">
                  <c:v>1.5999999999962711</c:v>
                </c:pt>
                <c:pt idx="26">
                  <c:v>1.6999999999995907</c:v>
                </c:pt>
                <c:pt idx="27">
                  <c:v>1.0999999999938836</c:v>
                </c:pt>
                <c:pt idx="28">
                  <c:v>1.6749999999916554</c:v>
                </c:pt>
                <c:pt idx="29">
                  <c:v>1.5999999999962711</c:v>
                </c:pt>
                <c:pt idx="30">
                  <c:v>1.7999999999886995</c:v>
                </c:pt>
                <c:pt idx="31">
                  <c:v>1.7999999999886995</c:v>
                </c:pt>
                <c:pt idx="32">
                  <c:v>1.6999999999995907</c:v>
                </c:pt>
                <c:pt idx="33">
                  <c:v>1.3999999999896318</c:v>
                </c:pt>
                <c:pt idx="34">
                  <c:v>1.7999999999886995</c:v>
                </c:pt>
                <c:pt idx="35">
                  <c:v>1.8999999999920192</c:v>
                </c:pt>
                <c:pt idx="36">
                  <c:v>1.4999999999929514</c:v>
                </c:pt>
                <c:pt idx="37">
                  <c:v>1.1999999999972033</c:v>
                </c:pt>
                <c:pt idx="38">
                  <c:v>1.5999999999962711</c:v>
                </c:pt>
                <c:pt idx="39">
                  <c:v>1.7999999999886995</c:v>
                </c:pt>
                <c:pt idx="40">
                  <c:v>1.8999999999920192</c:v>
                </c:pt>
                <c:pt idx="41">
                  <c:v>1.3999999999896318</c:v>
                </c:pt>
                <c:pt idx="42">
                  <c:v>1.4999999999929514</c:v>
                </c:pt>
                <c:pt idx="43">
                  <c:v>1.3999999999896318</c:v>
                </c:pt>
                <c:pt idx="44">
                  <c:v>-8.4000000000088448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211F-40B3-83C8-2F0184D5A2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202336"/>
        <c:axId val="478202728"/>
      </c:scatterChart>
      <c:valAx>
        <c:axId val="478202336"/>
        <c:scaling>
          <c:orientation val="minMax"/>
          <c:min val="3.1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PM front</a:t>
                </a:r>
              </a:p>
            </c:rich>
          </c:tx>
          <c:layout>
            <c:manualLayout>
              <c:xMode val="edge"/>
              <c:yMode val="edge"/>
              <c:x val="0.43927912392593438"/>
              <c:y val="0.9432044643068267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" sourceLinked="0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478202728"/>
        <c:crossesAt val="0"/>
        <c:crossBetween val="midCat"/>
      </c:valAx>
      <c:valAx>
        <c:axId val="478202728"/>
        <c:scaling>
          <c:orientation val="minMax"/>
          <c:max val="15"/>
          <c:min val="-1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fr-FR" b="1"/>
                  <a:t>D2placements en Z  [mm]</a:t>
                </a:r>
              </a:p>
            </c:rich>
          </c:tx>
          <c:overlay val="0"/>
        </c:title>
        <c:numFmt formatCode="\+\ 0.0;\-\ 0.0;\±\ 0.0" sourceLinked="0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478202336"/>
        <c:crosses val="autoZero"/>
        <c:crossBetween val="midCat"/>
        <c:majorUnit val="5"/>
        <c:minorUnit val="1"/>
      </c:valAx>
    </c:plotArea>
    <c:legend>
      <c:legendPos val="r"/>
      <c:layout>
        <c:manualLayout>
          <c:xMode val="edge"/>
          <c:yMode val="edge"/>
          <c:x val="0.10816646929636417"/>
          <c:y val="3.6162237203630522E-2"/>
          <c:w val="0.24517664360597907"/>
          <c:h val="0.2301634084033094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0"/>
    <c:dispBlanksAs val="span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899999956" l="0.78740157499999996" r="0.78740157499999996" t="0.98425196899999956" header="0.49212598450000611" footer="0.49212598450000611"/>
    <c:pageSetup paperSize="9" orientation="landscape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fr-FR"/>
              <a:t>Déplacement en PM
</a:t>
            </a:r>
          </a:p>
        </c:rich>
      </c:tx>
      <c:layout>
        <c:manualLayout>
          <c:xMode val="edge"/>
          <c:yMode val="edge"/>
          <c:x val="0.48552406794562347"/>
          <c:y val="6.0355867678702317E-2"/>
        </c:manualLayout>
      </c:layout>
      <c:overlay val="0"/>
      <c:spPr>
        <a:solidFill>
          <a:schemeClr val="bg1"/>
        </a:solidFill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6758248843572708E-2"/>
          <c:y val="2.1578345894185801E-2"/>
          <c:w val="0.81613267472675188"/>
          <c:h val="0.80144620006483069"/>
        </c:manualLayout>
      </c:layout>
      <c:scatterChart>
        <c:scatterStyle val="lineMarker"/>
        <c:varyColors val="0"/>
        <c:ser>
          <c:idx val="10"/>
          <c:order val="0"/>
          <c:tx>
            <c:strRef>
              <c:f>Déplacements!$I$9</c:f>
              <c:strCache>
                <c:ptCount val="1"/>
                <c:pt idx="0">
                  <c:v>DPM centre haut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"/>
          </c:marker>
          <c:xVal>
            <c:numRef>
              <c:f>'Résultats observations'!$C$10:$C$53</c:f>
              <c:numCache>
                <c:formatCode>0.0</c:formatCode>
                <c:ptCount val="44"/>
                <c:pt idx="0">
                  <c:v>9.39</c:v>
                </c:pt>
                <c:pt idx="1">
                  <c:v>9.39</c:v>
                </c:pt>
                <c:pt idx="2">
                  <c:v>11.5</c:v>
                </c:pt>
                <c:pt idx="3">
                  <c:v>11.5</c:v>
                </c:pt>
                <c:pt idx="4">
                  <c:v>11.5</c:v>
                </c:pt>
                <c:pt idx="5">
                  <c:v>11.5</c:v>
                </c:pt>
                <c:pt idx="6">
                  <c:v>11.5</c:v>
                </c:pt>
                <c:pt idx="7">
                  <c:v>11.5</c:v>
                </c:pt>
                <c:pt idx="8">
                  <c:v>11.5</c:v>
                </c:pt>
                <c:pt idx="9">
                  <c:v>11.5</c:v>
                </c:pt>
                <c:pt idx="10">
                  <c:v>11.5</c:v>
                </c:pt>
                <c:pt idx="11">
                  <c:v>11.5</c:v>
                </c:pt>
                <c:pt idx="12">
                  <c:v>11.5</c:v>
                </c:pt>
                <c:pt idx="13">
                  <c:v>11.5</c:v>
                </c:pt>
                <c:pt idx="14">
                  <c:v>11.5</c:v>
                </c:pt>
                <c:pt idx="15">
                  <c:v>11.5</c:v>
                </c:pt>
                <c:pt idx="16">
                  <c:v>11.5</c:v>
                </c:pt>
                <c:pt idx="17">
                  <c:v>11.5</c:v>
                </c:pt>
                <c:pt idx="18">
                  <c:v>11.5</c:v>
                </c:pt>
                <c:pt idx="19">
                  <c:v>11.5</c:v>
                </c:pt>
                <c:pt idx="20">
                  <c:v>11.5</c:v>
                </c:pt>
                <c:pt idx="21">
                  <c:v>11.5</c:v>
                </c:pt>
                <c:pt idx="22">
                  <c:v>11.5</c:v>
                </c:pt>
                <c:pt idx="23">
                  <c:v>13</c:v>
                </c:pt>
                <c:pt idx="24">
                  <c:v>13</c:v>
                </c:pt>
                <c:pt idx="25">
                  <c:v>14.2</c:v>
                </c:pt>
                <c:pt idx="26">
                  <c:v>14.2</c:v>
                </c:pt>
                <c:pt idx="27">
                  <c:v>15.8</c:v>
                </c:pt>
                <c:pt idx="28">
                  <c:v>15.8</c:v>
                </c:pt>
                <c:pt idx="29">
                  <c:v>17.45</c:v>
                </c:pt>
                <c:pt idx="30">
                  <c:v>18.3</c:v>
                </c:pt>
                <c:pt idx="31">
                  <c:v>19.43</c:v>
                </c:pt>
                <c:pt idx="32">
                  <c:v>19.43</c:v>
                </c:pt>
                <c:pt idx="33">
                  <c:v>19.43</c:v>
                </c:pt>
                <c:pt idx="34">
                  <c:v>21</c:v>
                </c:pt>
                <c:pt idx="35">
                  <c:v>21</c:v>
                </c:pt>
                <c:pt idx="36">
                  <c:v>21</c:v>
                </c:pt>
                <c:pt idx="37">
                  <c:v>23.2</c:v>
                </c:pt>
                <c:pt idx="38">
                  <c:v>23.7</c:v>
                </c:pt>
                <c:pt idx="39">
                  <c:v>24.6</c:v>
                </c:pt>
                <c:pt idx="40">
                  <c:v>26</c:v>
                </c:pt>
                <c:pt idx="41">
                  <c:v>26.8</c:v>
                </c:pt>
                <c:pt idx="42">
                  <c:v>28.1</c:v>
                </c:pt>
                <c:pt idx="43">
                  <c:v>29.4</c:v>
                </c:pt>
              </c:numCache>
            </c:numRef>
          </c:xVal>
          <c:yVal>
            <c:numRef>
              <c:f>Déplacements!$I$10:$I$54</c:f>
              <c:numCache>
                <c:formatCode>\+\ 0.0;\-\ 0.0;\±\ 0.0</c:formatCode>
                <c:ptCount val="45"/>
                <c:pt idx="0">
                  <c:v>0</c:v>
                </c:pt>
                <c:pt idx="1">
                  <c:v>0.32611885724520562</c:v>
                </c:pt>
                <c:pt idx="2">
                  <c:v>0</c:v>
                </c:pt>
                <c:pt idx="3">
                  <c:v>4.5830123082346574E-2</c:v>
                </c:pt>
                <c:pt idx="4">
                  <c:v>-0.76322787457794306</c:v>
                </c:pt>
                <c:pt idx="5">
                  <c:v>-0.7540619497792278</c:v>
                </c:pt>
                <c:pt idx="6">
                  <c:v>-0.27684764215152313</c:v>
                </c:pt>
                <c:pt idx="7">
                  <c:v>-0.13345505734729812</c:v>
                </c:pt>
                <c:pt idx="8">
                  <c:v>0.59013322481948904</c:v>
                </c:pt>
                <c:pt idx="9">
                  <c:v>6.4676538442220988E-2</c:v>
                </c:pt>
                <c:pt idx="10">
                  <c:v>1.8111168726990812</c:v>
                </c:pt>
                <c:pt idx="11">
                  <c:v>0.95317341563561087</c:v>
                </c:pt>
                <c:pt idx="12">
                  <c:v>0.74187146067217213</c:v>
                </c:pt>
                <c:pt idx="13">
                  <c:v>1.7566350953979182</c:v>
                </c:pt>
                <c:pt idx="14">
                  <c:v>1.3757772271683066</c:v>
                </c:pt>
                <c:pt idx="15">
                  <c:v>1.4786299965034999</c:v>
                </c:pt>
                <c:pt idx="16">
                  <c:v>1.3757772271683066</c:v>
                </c:pt>
                <c:pt idx="17">
                  <c:v>1.8590469529931042</c:v>
                </c:pt>
                <c:pt idx="18">
                  <c:v>1.4847407817697444</c:v>
                </c:pt>
                <c:pt idx="19">
                  <c:v>1.9134552730601939</c:v>
                </c:pt>
                <c:pt idx="20">
                  <c:v>1.9134552730601939</c:v>
                </c:pt>
                <c:pt idx="21">
                  <c:v>0.20367903869278337</c:v>
                </c:pt>
                <c:pt idx="22">
                  <c:v>1.1038828080316421</c:v>
                </c:pt>
                <c:pt idx="23">
                  <c:v>0.33046017231175284</c:v>
                </c:pt>
                <c:pt idx="24">
                  <c:v>0.78972808373212189</c:v>
                </c:pt>
                <c:pt idx="25">
                  <c:v>1.0794401802822762</c:v>
                </c:pt>
                <c:pt idx="26">
                  <c:v>5.2455171814180801E-2</c:v>
                </c:pt>
                <c:pt idx="27">
                  <c:v>-1.0901183344804721</c:v>
                </c:pt>
                <c:pt idx="28">
                  <c:v>-3.3640574906419474</c:v>
                </c:pt>
                <c:pt idx="29">
                  <c:v>-5.2479725514773534</c:v>
                </c:pt>
                <c:pt idx="30">
                  <c:v>-5.8946140535764968</c:v>
                </c:pt>
                <c:pt idx="31">
                  <c:v>-5.9373888332219238</c:v>
                </c:pt>
                <c:pt idx="32">
                  <c:v>-6.9709988904227416</c:v>
                </c:pt>
                <c:pt idx="33">
                  <c:v>-6.5249811890879528</c:v>
                </c:pt>
                <c:pt idx="34">
                  <c:v>-7.0748806016096566</c:v>
                </c:pt>
                <c:pt idx="35">
                  <c:v>-7.612558549106474</c:v>
                </c:pt>
                <c:pt idx="36">
                  <c:v>-7.359510650839951</c:v>
                </c:pt>
                <c:pt idx="37">
                  <c:v>-8.1813043841023614</c:v>
                </c:pt>
                <c:pt idx="38">
                  <c:v>-8.6227547165043106</c:v>
                </c:pt>
                <c:pt idx="39">
                  <c:v>-8.3447497160049622</c:v>
                </c:pt>
                <c:pt idx="40">
                  <c:v>-8.5020842626422066</c:v>
                </c:pt>
                <c:pt idx="41">
                  <c:v>-8.3508602973685342</c:v>
                </c:pt>
                <c:pt idx="42">
                  <c:v>-8.5988263522205344</c:v>
                </c:pt>
                <c:pt idx="43">
                  <c:v>-8.7984213095273489</c:v>
                </c:pt>
                <c:pt idx="44">
                  <c:v>-10.356973578622863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9B-477B-9D49-A91107C5592F}"/>
            </c:ext>
          </c:extLst>
        </c:ser>
        <c:ser>
          <c:idx val="11"/>
          <c:order val="1"/>
          <c:tx>
            <c:strRef>
              <c:f>Déplacements!$F$9</c:f>
              <c:strCache>
                <c:ptCount val="1"/>
                <c:pt idx="0">
                  <c:v>DPM haut gauche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circle"/>
            <c:size val="3"/>
          </c:marker>
          <c:xVal>
            <c:numRef>
              <c:f>'Résultats observations'!$C$10:$C$53</c:f>
              <c:numCache>
                <c:formatCode>0.0</c:formatCode>
                <c:ptCount val="44"/>
                <c:pt idx="0">
                  <c:v>9.39</c:v>
                </c:pt>
                <c:pt idx="1">
                  <c:v>9.39</c:v>
                </c:pt>
                <c:pt idx="2">
                  <c:v>11.5</c:v>
                </c:pt>
                <c:pt idx="3">
                  <c:v>11.5</c:v>
                </c:pt>
                <c:pt idx="4">
                  <c:v>11.5</c:v>
                </c:pt>
                <c:pt idx="5">
                  <c:v>11.5</c:v>
                </c:pt>
                <c:pt idx="6">
                  <c:v>11.5</c:v>
                </c:pt>
                <c:pt idx="7">
                  <c:v>11.5</c:v>
                </c:pt>
                <c:pt idx="8">
                  <c:v>11.5</c:v>
                </c:pt>
                <c:pt idx="9">
                  <c:v>11.5</c:v>
                </c:pt>
                <c:pt idx="10">
                  <c:v>11.5</c:v>
                </c:pt>
                <c:pt idx="11">
                  <c:v>11.5</c:v>
                </c:pt>
                <c:pt idx="12">
                  <c:v>11.5</c:v>
                </c:pt>
                <c:pt idx="13">
                  <c:v>11.5</c:v>
                </c:pt>
                <c:pt idx="14">
                  <c:v>11.5</c:v>
                </c:pt>
                <c:pt idx="15">
                  <c:v>11.5</c:v>
                </c:pt>
                <c:pt idx="16">
                  <c:v>11.5</c:v>
                </c:pt>
                <c:pt idx="17">
                  <c:v>11.5</c:v>
                </c:pt>
                <c:pt idx="18">
                  <c:v>11.5</c:v>
                </c:pt>
                <c:pt idx="19">
                  <c:v>11.5</c:v>
                </c:pt>
                <c:pt idx="20">
                  <c:v>11.5</c:v>
                </c:pt>
                <c:pt idx="21">
                  <c:v>11.5</c:v>
                </c:pt>
                <c:pt idx="22">
                  <c:v>11.5</c:v>
                </c:pt>
                <c:pt idx="23">
                  <c:v>13</c:v>
                </c:pt>
                <c:pt idx="24">
                  <c:v>13</c:v>
                </c:pt>
                <c:pt idx="25">
                  <c:v>14.2</c:v>
                </c:pt>
                <c:pt idx="26">
                  <c:v>14.2</c:v>
                </c:pt>
                <c:pt idx="27">
                  <c:v>15.8</c:v>
                </c:pt>
                <c:pt idx="28">
                  <c:v>15.8</c:v>
                </c:pt>
                <c:pt idx="29">
                  <c:v>17.45</c:v>
                </c:pt>
                <c:pt idx="30">
                  <c:v>18.3</c:v>
                </c:pt>
                <c:pt idx="31">
                  <c:v>19.43</c:v>
                </c:pt>
                <c:pt idx="32">
                  <c:v>19.43</c:v>
                </c:pt>
                <c:pt idx="33">
                  <c:v>19.43</c:v>
                </c:pt>
                <c:pt idx="34">
                  <c:v>21</c:v>
                </c:pt>
                <c:pt idx="35">
                  <c:v>21</c:v>
                </c:pt>
                <c:pt idx="36">
                  <c:v>21</c:v>
                </c:pt>
                <c:pt idx="37">
                  <c:v>23.2</c:v>
                </c:pt>
                <c:pt idx="38">
                  <c:v>23.7</c:v>
                </c:pt>
                <c:pt idx="39">
                  <c:v>24.6</c:v>
                </c:pt>
                <c:pt idx="40">
                  <c:v>26</c:v>
                </c:pt>
                <c:pt idx="41">
                  <c:v>26.8</c:v>
                </c:pt>
                <c:pt idx="42">
                  <c:v>28.1</c:v>
                </c:pt>
                <c:pt idx="43">
                  <c:v>29.4</c:v>
                </c:pt>
              </c:numCache>
            </c:numRef>
          </c:xVal>
          <c:yVal>
            <c:numRef>
              <c:f>Déplacements!$F$10:$F$54</c:f>
              <c:numCache>
                <c:formatCode>\+\ 0.0;\-\ 0.0;\±\ 0.0</c:formatCode>
                <c:ptCount val="45"/>
                <c:pt idx="0">
                  <c:v>0</c:v>
                </c:pt>
                <c:pt idx="1">
                  <c:v>3.0553434333668861E-3</c:v>
                </c:pt>
                <c:pt idx="2">
                  <c:v>0</c:v>
                </c:pt>
                <c:pt idx="3">
                  <c:v>-1.1568214784096753</c:v>
                </c:pt>
                <c:pt idx="4">
                  <c:v>-0.63085042306010308</c:v>
                </c:pt>
                <c:pt idx="5">
                  <c:v>-0.40121652010505215</c:v>
                </c:pt>
                <c:pt idx="6">
                  <c:v>2.5804128888751166E-2</c:v>
                </c:pt>
                <c:pt idx="7">
                  <c:v>0.75914812171173907</c:v>
                </c:pt>
                <c:pt idx="8">
                  <c:v>0.45061635559306978</c:v>
                </c:pt>
                <c:pt idx="9">
                  <c:v>0.20927545498317102</c:v>
                </c:pt>
                <c:pt idx="10">
                  <c:v>0.36609553425126506</c:v>
                </c:pt>
                <c:pt idx="11">
                  <c:v>0.3538741676223367</c:v>
                </c:pt>
                <c:pt idx="12">
                  <c:v>-0.60029701004449265</c:v>
                </c:pt>
                <c:pt idx="13">
                  <c:v>0.11864394676841528</c:v>
                </c:pt>
                <c:pt idx="14">
                  <c:v>0.18483262332935624</c:v>
                </c:pt>
                <c:pt idx="15">
                  <c:v>7.0272856339315126E-2</c:v>
                </c:pt>
                <c:pt idx="16">
                  <c:v>0.18483262332935624</c:v>
                </c:pt>
                <c:pt idx="17">
                  <c:v>0.69841067750697761</c:v>
                </c:pt>
                <c:pt idx="18">
                  <c:v>0.13086531339912</c:v>
                </c:pt>
                <c:pt idx="19">
                  <c:v>0.55346912493003941</c:v>
                </c:pt>
                <c:pt idx="20">
                  <c:v>0.55346912493003941</c:v>
                </c:pt>
                <c:pt idx="21">
                  <c:v>-1.119643009550586</c:v>
                </c:pt>
                <c:pt idx="22">
                  <c:v>0.36660990322356923</c:v>
                </c:pt>
                <c:pt idx="24">
                  <c:v>-2.5954864264932098E-2</c:v>
                </c:pt>
                <c:pt idx="25">
                  <c:v>-0.39459136586383892</c:v>
                </c:pt>
                <c:pt idx="26">
                  <c:v>-0.29784917789132948</c:v>
                </c:pt>
                <c:pt idx="27">
                  <c:v>0.46335209119696685</c:v>
                </c:pt>
                <c:pt idx="28">
                  <c:v>-5.6096822881990249E-2</c:v>
                </c:pt>
                <c:pt idx="29">
                  <c:v>-0.5208581305113924</c:v>
                </c:pt>
                <c:pt idx="30">
                  <c:v>-0.45415498658130105</c:v>
                </c:pt>
                <c:pt idx="32">
                  <c:v>-0.38796631713466923</c:v>
                </c:pt>
                <c:pt idx="33">
                  <c:v>-0.63541789750143352</c:v>
                </c:pt>
                <c:pt idx="34">
                  <c:v>-0.49641539725442385</c:v>
                </c:pt>
                <c:pt idx="35">
                  <c:v>-1.1063929049726084</c:v>
                </c:pt>
                <c:pt idx="36">
                  <c:v>-0.44193361995059632</c:v>
                </c:pt>
                <c:pt idx="37">
                  <c:v>0.30704628250965982</c:v>
                </c:pt>
                <c:pt idx="38">
                  <c:v>-1.8737047554262531</c:v>
                </c:pt>
                <c:pt idx="39">
                  <c:v>-0.82227702081105747</c:v>
                </c:pt>
                <c:pt idx="40">
                  <c:v>-0.9673903063269762</c:v>
                </c:pt>
                <c:pt idx="41">
                  <c:v>-0.36911979626363944</c:v>
                </c:pt>
                <c:pt idx="42">
                  <c:v>-0.58653253649332271</c:v>
                </c:pt>
                <c:pt idx="43">
                  <c:v>-1.4322545285327948</c:v>
                </c:pt>
                <c:pt idx="44">
                  <c:v>-1.830930074175896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59B-477B-9D49-A91107C5592F}"/>
            </c:ext>
          </c:extLst>
        </c:ser>
        <c:ser>
          <c:idx val="12"/>
          <c:order val="2"/>
          <c:tx>
            <c:strRef>
              <c:f>Déplacements!$L$9</c:f>
              <c:strCache>
                <c:ptCount val="1"/>
                <c:pt idx="0">
                  <c:v>DPM haut droit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</c:marker>
          <c:xVal>
            <c:numRef>
              <c:f>'Résultats observations'!$C$10:$C$53</c:f>
              <c:numCache>
                <c:formatCode>0.0</c:formatCode>
                <c:ptCount val="44"/>
                <c:pt idx="0">
                  <c:v>9.39</c:v>
                </c:pt>
                <c:pt idx="1">
                  <c:v>9.39</c:v>
                </c:pt>
                <c:pt idx="2">
                  <c:v>11.5</c:v>
                </c:pt>
                <c:pt idx="3">
                  <c:v>11.5</c:v>
                </c:pt>
                <c:pt idx="4">
                  <c:v>11.5</c:v>
                </c:pt>
                <c:pt idx="5">
                  <c:v>11.5</c:v>
                </c:pt>
                <c:pt idx="6">
                  <c:v>11.5</c:v>
                </c:pt>
                <c:pt idx="7">
                  <c:v>11.5</c:v>
                </c:pt>
                <c:pt idx="8">
                  <c:v>11.5</c:v>
                </c:pt>
                <c:pt idx="9">
                  <c:v>11.5</c:v>
                </c:pt>
                <c:pt idx="10">
                  <c:v>11.5</c:v>
                </c:pt>
                <c:pt idx="11">
                  <c:v>11.5</c:v>
                </c:pt>
                <c:pt idx="12">
                  <c:v>11.5</c:v>
                </c:pt>
                <c:pt idx="13">
                  <c:v>11.5</c:v>
                </c:pt>
                <c:pt idx="14">
                  <c:v>11.5</c:v>
                </c:pt>
                <c:pt idx="15">
                  <c:v>11.5</c:v>
                </c:pt>
                <c:pt idx="16">
                  <c:v>11.5</c:v>
                </c:pt>
                <c:pt idx="17">
                  <c:v>11.5</c:v>
                </c:pt>
                <c:pt idx="18">
                  <c:v>11.5</c:v>
                </c:pt>
                <c:pt idx="19">
                  <c:v>11.5</c:v>
                </c:pt>
                <c:pt idx="20">
                  <c:v>11.5</c:v>
                </c:pt>
                <c:pt idx="21">
                  <c:v>11.5</c:v>
                </c:pt>
                <c:pt idx="22">
                  <c:v>11.5</c:v>
                </c:pt>
                <c:pt idx="23">
                  <c:v>13</c:v>
                </c:pt>
                <c:pt idx="24">
                  <c:v>13</c:v>
                </c:pt>
                <c:pt idx="25">
                  <c:v>14.2</c:v>
                </c:pt>
                <c:pt idx="26">
                  <c:v>14.2</c:v>
                </c:pt>
                <c:pt idx="27">
                  <c:v>15.8</c:v>
                </c:pt>
                <c:pt idx="28">
                  <c:v>15.8</c:v>
                </c:pt>
                <c:pt idx="29">
                  <c:v>17.45</c:v>
                </c:pt>
                <c:pt idx="30">
                  <c:v>18.3</c:v>
                </c:pt>
                <c:pt idx="31">
                  <c:v>19.43</c:v>
                </c:pt>
                <c:pt idx="32">
                  <c:v>19.43</c:v>
                </c:pt>
                <c:pt idx="33">
                  <c:v>19.43</c:v>
                </c:pt>
                <c:pt idx="34">
                  <c:v>21</c:v>
                </c:pt>
                <c:pt idx="35">
                  <c:v>21</c:v>
                </c:pt>
                <c:pt idx="36">
                  <c:v>21</c:v>
                </c:pt>
                <c:pt idx="37">
                  <c:v>23.2</c:v>
                </c:pt>
                <c:pt idx="38">
                  <c:v>23.7</c:v>
                </c:pt>
                <c:pt idx="39">
                  <c:v>24.6</c:v>
                </c:pt>
                <c:pt idx="40">
                  <c:v>26</c:v>
                </c:pt>
                <c:pt idx="41">
                  <c:v>26.8</c:v>
                </c:pt>
                <c:pt idx="42">
                  <c:v>28.1</c:v>
                </c:pt>
                <c:pt idx="43">
                  <c:v>29.4</c:v>
                </c:pt>
              </c:numCache>
            </c:numRef>
          </c:xVal>
          <c:yVal>
            <c:numRef>
              <c:f>Déplacements!$L$10:$L$54</c:f>
              <c:numCache>
                <c:formatCode>\+\ 0.0;\-\ 0.0;\±\ 0.0</c:formatCode>
                <c:ptCount val="45"/>
                <c:pt idx="0">
                  <c:v>0</c:v>
                </c:pt>
                <c:pt idx="1">
                  <c:v>0.26858184201650204</c:v>
                </c:pt>
                <c:pt idx="2">
                  <c:v>0</c:v>
                </c:pt>
                <c:pt idx="3">
                  <c:v>-1.3032206371637045</c:v>
                </c:pt>
                <c:pt idx="4">
                  <c:v>-2.4147264598628482</c:v>
                </c:pt>
                <c:pt idx="5">
                  <c:v>-2.2123332944072871</c:v>
                </c:pt>
                <c:pt idx="6">
                  <c:v>-2.3617722523274765</c:v>
                </c:pt>
                <c:pt idx="8">
                  <c:v>-1.6535249868674384</c:v>
                </c:pt>
                <c:pt idx="9">
                  <c:v>-1.7803062188841423</c:v>
                </c:pt>
                <c:pt idx="10">
                  <c:v>-1.9860118630630197</c:v>
                </c:pt>
                <c:pt idx="11">
                  <c:v>-2.4391691931207049</c:v>
                </c:pt>
                <c:pt idx="12">
                  <c:v>-3.4177829985369002</c:v>
                </c:pt>
                <c:pt idx="13">
                  <c:v>-2.155053407355112</c:v>
                </c:pt>
                <c:pt idx="14">
                  <c:v>-2.6326533651621631</c:v>
                </c:pt>
                <c:pt idx="15">
                  <c:v>-2.3001665944759608</c:v>
                </c:pt>
                <c:pt idx="16">
                  <c:v>-2.6326533651621631</c:v>
                </c:pt>
                <c:pt idx="17">
                  <c:v>-1.8634761504916497</c:v>
                </c:pt>
                <c:pt idx="18">
                  <c:v>-2.9406974097030414</c:v>
                </c:pt>
                <c:pt idx="19">
                  <c:v>-2.5812270296921014</c:v>
                </c:pt>
                <c:pt idx="20">
                  <c:v>-2.2217565512852033</c:v>
                </c:pt>
                <c:pt idx="21">
                  <c:v>-3.919825689601808</c:v>
                </c:pt>
                <c:pt idx="22">
                  <c:v>-3.1341816872547668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59B-477B-9D49-A91107C5592F}"/>
            </c:ext>
          </c:extLst>
        </c:ser>
        <c:ser>
          <c:idx val="13"/>
          <c:order val="3"/>
          <c:tx>
            <c:strRef>
              <c:f>Déplacements!$C$9</c:f>
              <c:strCache>
                <c:ptCount val="1"/>
                <c:pt idx="0">
                  <c:v>DPM bas gauche</c:v>
                </c:pt>
              </c:strCache>
            </c:strRef>
          </c:tx>
          <c:spPr>
            <a:ln w="12700"/>
          </c:spPr>
          <c:marker>
            <c:symbol val="circle"/>
            <c:size val="3"/>
          </c:marker>
          <c:xVal>
            <c:numRef>
              <c:f>'Résultats observations'!$C$10:$C$12</c:f>
              <c:numCache>
                <c:formatCode>0.0</c:formatCode>
                <c:ptCount val="3"/>
                <c:pt idx="0">
                  <c:v>9.39</c:v>
                </c:pt>
                <c:pt idx="1">
                  <c:v>9.39</c:v>
                </c:pt>
                <c:pt idx="2">
                  <c:v>11.5</c:v>
                </c:pt>
              </c:numCache>
            </c:numRef>
          </c:xVal>
          <c:yVal>
            <c:numRef>
              <c:f>Déplacements!$C$10:$C$11</c:f>
              <c:numCache>
                <c:formatCode>\+\ 0.0;\-\ 0.0;\±\ 0.0</c:formatCode>
                <c:ptCount val="2"/>
                <c:pt idx="0">
                  <c:v>0</c:v>
                </c:pt>
                <c:pt idx="1">
                  <c:v>-1.0661901741011448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59B-477B-9D49-A91107C5592F}"/>
            </c:ext>
          </c:extLst>
        </c:ser>
        <c:ser>
          <c:idx val="14"/>
          <c:order val="4"/>
          <c:tx>
            <c:strRef>
              <c:f>Déplacements!$O$9</c:f>
              <c:strCache>
                <c:ptCount val="1"/>
                <c:pt idx="0">
                  <c:v>DPM bas droit</c:v>
                </c:pt>
              </c:strCache>
            </c:strRef>
          </c:tx>
          <c:spPr>
            <a:ln w="12700"/>
          </c:spPr>
          <c:marker>
            <c:symbol val="circle"/>
            <c:size val="3"/>
          </c:marker>
          <c:xVal>
            <c:numRef>
              <c:f>'Résultats observations'!$C$10:$C$53</c:f>
              <c:numCache>
                <c:formatCode>0.0</c:formatCode>
                <c:ptCount val="44"/>
                <c:pt idx="0">
                  <c:v>9.39</c:v>
                </c:pt>
                <c:pt idx="1">
                  <c:v>9.39</c:v>
                </c:pt>
                <c:pt idx="2">
                  <c:v>11.5</c:v>
                </c:pt>
                <c:pt idx="3">
                  <c:v>11.5</c:v>
                </c:pt>
                <c:pt idx="4">
                  <c:v>11.5</c:v>
                </c:pt>
                <c:pt idx="5">
                  <c:v>11.5</c:v>
                </c:pt>
                <c:pt idx="6">
                  <c:v>11.5</c:v>
                </c:pt>
                <c:pt idx="7">
                  <c:v>11.5</c:v>
                </c:pt>
                <c:pt idx="8">
                  <c:v>11.5</c:v>
                </c:pt>
                <c:pt idx="9">
                  <c:v>11.5</c:v>
                </c:pt>
                <c:pt idx="10">
                  <c:v>11.5</c:v>
                </c:pt>
                <c:pt idx="11">
                  <c:v>11.5</c:v>
                </c:pt>
                <c:pt idx="12">
                  <c:v>11.5</c:v>
                </c:pt>
                <c:pt idx="13">
                  <c:v>11.5</c:v>
                </c:pt>
                <c:pt idx="14">
                  <c:v>11.5</c:v>
                </c:pt>
                <c:pt idx="15">
                  <c:v>11.5</c:v>
                </c:pt>
                <c:pt idx="16">
                  <c:v>11.5</c:v>
                </c:pt>
                <c:pt idx="17">
                  <c:v>11.5</c:v>
                </c:pt>
                <c:pt idx="18">
                  <c:v>11.5</c:v>
                </c:pt>
                <c:pt idx="19">
                  <c:v>11.5</c:v>
                </c:pt>
                <c:pt idx="20">
                  <c:v>11.5</c:v>
                </c:pt>
                <c:pt idx="21">
                  <c:v>11.5</c:v>
                </c:pt>
                <c:pt idx="22">
                  <c:v>11.5</c:v>
                </c:pt>
                <c:pt idx="23">
                  <c:v>13</c:v>
                </c:pt>
                <c:pt idx="24">
                  <c:v>13</c:v>
                </c:pt>
                <c:pt idx="25">
                  <c:v>14.2</c:v>
                </c:pt>
                <c:pt idx="26">
                  <c:v>14.2</c:v>
                </c:pt>
                <c:pt idx="27">
                  <c:v>15.8</c:v>
                </c:pt>
                <c:pt idx="28">
                  <c:v>15.8</c:v>
                </c:pt>
                <c:pt idx="29">
                  <c:v>17.45</c:v>
                </c:pt>
                <c:pt idx="30">
                  <c:v>18.3</c:v>
                </c:pt>
                <c:pt idx="31">
                  <c:v>19.43</c:v>
                </c:pt>
                <c:pt idx="32">
                  <c:v>19.43</c:v>
                </c:pt>
                <c:pt idx="33">
                  <c:v>19.43</c:v>
                </c:pt>
                <c:pt idx="34">
                  <c:v>21</c:v>
                </c:pt>
                <c:pt idx="35">
                  <c:v>21</c:v>
                </c:pt>
                <c:pt idx="36">
                  <c:v>21</c:v>
                </c:pt>
                <c:pt idx="37">
                  <c:v>23.2</c:v>
                </c:pt>
                <c:pt idx="38">
                  <c:v>23.7</c:v>
                </c:pt>
                <c:pt idx="39">
                  <c:v>24.6</c:v>
                </c:pt>
                <c:pt idx="40">
                  <c:v>26</c:v>
                </c:pt>
                <c:pt idx="41">
                  <c:v>26.8</c:v>
                </c:pt>
                <c:pt idx="42">
                  <c:v>28.1</c:v>
                </c:pt>
                <c:pt idx="43">
                  <c:v>29.4</c:v>
                </c:pt>
              </c:numCache>
            </c:numRef>
          </c:xVal>
          <c:yVal>
            <c:numRef>
              <c:f>Déplacements!$O$10:$O$54</c:f>
              <c:numCache>
                <c:formatCode>\+\ 0.0;\-\ 0.0;\±\ 0.0</c:formatCode>
                <c:ptCount val="45"/>
                <c:pt idx="0">
                  <c:v>0</c:v>
                </c:pt>
                <c:pt idx="1">
                  <c:v>-0.62551134596144919</c:v>
                </c:pt>
                <c:pt idx="2">
                  <c:v>0</c:v>
                </c:pt>
                <c:pt idx="3">
                  <c:v>-0.95876962802332599</c:v>
                </c:pt>
                <c:pt idx="4">
                  <c:v>-1.5142652529354095</c:v>
                </c:pt>
                <c:pt idx="5">
                  <c:v>-1.6108788205091429</c:v>
                </c:pt>
                <c:pt idx="6">
                  <c:v>-1.5008217546235159</c:v>
                </c:pt>
                <c:pt idx="7">
                  <c:v>-0.58321844667030831</c:v>
                </c:pt>
                <c:pt idx="8">
                  <c:v>-0.83758480518714151</c:v>
                </c:pt>
                <c:pt idx="9">
                  <c:v>-0.74084261721463207</c:v>
                </c:pt>
                <c:pt idx="10">
                  <c:v>-0.50561240347590797</c:v>
                </c:pt>
                <c:pt idx="11">
                  <c:v>-1.448076681881183</c:v>
                </c:pt>
                <c:pt idx="12">
                  <c:v>-1.713860315751603</c:v>
                </c:pt>
                <c:pt idx="13">
                  <c:v>-1.448076681881183</c:v>
                </c:pt>
                <c:pt idx="14">
                  <c:v>-0.66294695011226423</c:v>
                </c:pt>
                <c:pt idx="15">
                  <c:v>-1.5025583607890525</c:v>
                </c:pt>
                <c:pt idx="16">
                  <c:v>-0.66294695011226423</c:v>
                </c:pt>
                <c:pt idx="17">
                  <c:v>-0.94001920507835734</c:v>
                </c:pt>
                <c:pt idx="18">
                  <c:v>-1.5993005487615619</c:v>
                </c:pt>
                <c:pt idx="19">
                  <c:v>-1.0616223973594074</c:v>
                </c:pt>
                <c:pt idx="20">
                  <c:v>-1.0616223973594074</c:v>
                </c:pt>
                <c:pt idx="21">
                  <c:v>-2.4093872843700126</c:v>
                </c:pt>
                <c:pt idx="22">
                  <c:v>-1.6237432820194186</c:v>
                </c:pt>
                <c:pt idx="23">
                  <c:v>-1.6542966950350291</c:v>
                </c:pt>
                <c:pt idx="24">
                  <c:v>-2.0529721422830605</c:v>
                </c:pt>
                <c:pt idx="25">
                  <c:v>-1.2678425089092116</c:v>
                </c:pt>
                <c:pt idx="26">
                  <c:v>-1.2316928835032215</c:v>
                </c:pt>
                <c:pt idx="27">
                  <c:v>-0.79075692007357645</c:v>
                </c:pt>
                <c:pt idx="28">
                  <c:v>-1.5130103556142416</c:v>
                </c:pt>
                <c:pt idx="29">
                  <c:v>-2.8992087072010619</c:v>
                </c:pt>
                <c:pt idx="30">
                  <c:v>-2.8508375112625828</c:v>
                </c:pt>
                <c:pt idx="31">
                  <c:v>-2.4704941103994571</c:v>
                </c:pt>
                <c:pt idx="32">
                  <c:v>-2.4282336997289988</c:v>
                </c:pt>
                <c:pt idx="33">
                  <c:v>-2.2169318431597418</c:v>
                </c:pt>
                <c:pt idx="34">
                  <c:v>-2.2108211634046526</c:v>
                </c:pt>
                <c:pt idx="35">
                  <c:v>-3.4491080213259195</c:v>
                </c:pt>
                <c:pt idx="36">
                  <c:v>-2.0840400297830186</c:v>
                </c:pt>
                <c:pt idx="37">
                  <c:v>-3.6909633893058569</c:v>
                </c:pt>
                <c:pt idx="38">
                  <c:v>-3.4134727648957863</c:v>
                </c:pt>
                <c:pt idx="39">
                  <c:v>-3.0809859870943868</c:v>
                </c:pt>
                <c:pt idx="40">
                  <c:v>-3.4318048112824684</c:v>
                </c:pt>
                <c:pt idx="41">
                  <c:v>-3.1354677643955498</c:v>
                </c:pt>
                <c:pt idx="42">
                  <c:v>-3.0631683096817852</c:v>
                </c:pt>
                <c:pt idx="43">
                  <c:v>-3.4318048112824684</c:v>
                </c:pt>
                <c:pt idx="44">
                  <c:v>-2.5137833645292318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59B-477B-9D49-A91107C559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78408512"/>
        <c:axId val="478408904"/>
      </c:scatterChart>
      <c:valAx>
        <c:axId val="478408512"/>
        <c:scaling>
          <c:orientation val="minMax"/>
          <c:min val="3.1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PM front</a:t>
                </a:r>
              </a:p>
            </c:rich>
          </c:tx>
          <c:layout>
            <c:manualLayout>
              <c:xMode val="edge"/>
              <c:yMode val="edge"/>
              <c:x val="0.43927912392593438"/>
              <c:y val="0.9432044643068267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" sourceLinked="0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478408904"/>
        <c:crossesAt val="0"/>
        <c:crossBetween val="midCat"/>
      </c:valAx>
      <c:valAx>
        <c:axId val="478408904"/>
        <c:scaling>
          <c:orientation val="minMax"/>
          <c:max val="15"/>
          <c:min val="-1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fr-FR" b="1"/>
                  <a:t>D2placements en PM  [mm]</a:t>
                </a:r>
              </a:p>
            </c:rich>
          </c:tx>
          <c:overlay val="0"/>
        </c:title>
        <c:numFmt formatCode="\+\ 0.0;\-\ 0.0;\±\ 0.0" sourceLinked="0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478408512"/>
        <c:crosses val="autoZero"/>
        <c:crossBetween val="midCat"/>
        <c:majorUnit val="5"/>
        <c:minorUnit val="1"/>
      </c:valAx>
    </c:plotArea>
    <c:legend>
      <c:legendPos val="r"/>
      <c:layout>
        <c:manualLayout>
          <c:xMode val="edge"/>
          <c:yMode val="edge"/>
          <c:x val="0.10816646929636417"/>
          <c:y val="3.6162237203630522E-2"/>
          <c:w val="0.24517664360597907"/>
          <c:h val="0.2301634084033094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0"/>
    <c:dispBlanksAs val="span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899999956" l="0.78740157499999996" r="0.78740157499999996" t="0.98425196899999956" header="0.49212598450000622" footer="0.49212598450000622"/>
    <c:pageSetup paperSize="9" orientation="landscape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fr-FR"/>
              <a:t>Déplacement en déport
</a:t>
            </a:r>
          </a:p>
        </c:rich>
      </c:tx>
      <c:layout>
        <c:manualLayout>
          <c:xMode val="edge"/>
          <c:yMode val="edge"/>
          <c:x val="0.48552406794562347"/>
          <c:y val="6.0355867678702317E-2"/>
        </c:manualLayout>
      </c:layout>
      <c:overlay val="0"/>
      <c:spPr>
        <a:solidFill>
          <a:schemeClr val="bg1"/>
        </a:solidFill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8.6758248843572708E-2"/>
          <c:y val="2.1578345894185801E-2"/>
          <c:w val="0.81613267472675188"/>
          <c:h val="0.80144620006483069"/>
        </c:manualLayout>
      </c:layout>
      <c:scatterChart>
        <c:scatterStyle val="lineMarker"/>
        <c:varyColors val="0"/>
        <c:ser>
          <c:idx val="10"/>
          <c:order val="0"/>
          <c:tx>
            <c:strRef>
              <c:f>Déplacements!$J$9</c:f>
              <c:strCache>
                <c:ptCount val="1"/>
                <c:pt idx="0">
                  <c:v>DH centre haut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"/>
          </c:marker>
          <c:xVal>
            <c:numRef>
              <c:f>'Résultats observations'!$C$10:$C$53</c:f>
              <c:numCache>
                <c:formatCode>0.0</c:formatCode>
                <c:ptCount val="44"/>
                <c:pt idx="0">
                  <c:v>9.39</c:v>
                </c:pt>
                <c:pt idx="1">
                  <c:v>9.39</c:v>
                </c:pt>
                <c:pt idx="2">
                  <c:v>11.5</c:v>
                </c:pt>
                <c:pt idx="3">
                  <c:v>11.5</c:v>
                </c:pt>
                <c:pt idx="4">
                  <c:v>11.5</c:v>
                </c:pt>
                <c:pt idx="5">
                  <c:v>11.5</c:v>
                </c:pt>
                <c:pt idx="6">
                  <c:v>11.5</c:v>
                </c:pt>
                <c:pt idx="7">
                  <c:v>11.5</c:v>
                </c:pt>
                <c:pt idx="8">
                  <c:v>11.5</c:v>
                </c:pt>
                <c:pt idx="9">
                  <c:v>11.5</c:v>
                </c:pt>
                <c:pt idx="10">
                  <c:v>11.5</c:v>
                </c:pt>
                <c:pt idx="11">
                  <c:v>11.5</c:v>
                </c:pt>
                <c:pt idx="12">
                  <c:v>11.5</c:v>
                </c:pt>
                <c:pt idx="13">
                  <c:v>11.5</c:v>
                </c:pt>
                <c:pt idx="14">
                  <c:v>11.5</c:v>
                </c:pt>
                <c:pt idx="15">
                  <c:v>11.5</c:v>
                </c:pt>
                <c:pt idx="16">
                  <c:v>11.5</c:v>
                </c:pt>
                <c:pt idx="17">
                  <c:v>11.5</c:v>
                </c:pt>
                <c:pt idx="18">
                  <c:v>11.5</c:v>
                </c:pt>
                <c:pt idx="19">
                  <c:v>11.5</c:v>
                </c:pt>
                <c:pt idx="20">
                  <c:v>11.5</c:v>
                </c:pt>
                <c:pt idx="21">
                  <c:v>11.5</c:v>
                </c:pt>
                <c:pt idx="22">
                  <c:v>11.5</c:v>
                </c:pt>
                <c:pt idx="23">
                  <c:v>13</c:v>
                </c:pt>
                <c:pt idx="24">
                  <c:v>13</c:v>
                </c:pt>
                <c:pt idx="25">
                  <c:v>14.2</c:v>
                </c:pt>
                <c:pt idx="26">
                  <c:v>14.2</c:v>
                </c:pt>
                <c:pt idx="27">
                  <c:v>15.8</c:v>
                </c:pt>
                <c:pt idx="28">
                  <c:v>15.8</c:v>
                </c:pt>
                <c:pt idx="29">
                  <c:v>17.45</c:v>
                </c:pt>
                <c:pt idx="30">
                  <c:v>18.3</c:v>
                </c:pt>
                <c:pt idx="31">
                  <c:v>19.43</c:v>
                </c:pt>
                <c:pt idx="32">
                  <c:v>19.43</c:v>
                </c:pt>
                <c:pt idx="33">
                  <c:v>19.43</c:v>
                </c:pt>
                <c:pt idx="34">
                  <c:v>21</c:v>
                </c:pt>
                <c:pt idx="35">
                  <c:v>21</c:v>
                </c:pt>
                <c:pt idx="36">
                  <c:v>21</c:v>
                </c:pt>
                <c:pt idx="37">
                  <c:v>23.2</c:v>
                </c:pt>
                <c:pt idx="38">
                  <c:v>23.7</c:v>
                </c:pt>
                <c:pt idx="39">
                  <c:v>24.6</c:v>
                </c:pt>
                <c:pt idx="40">
                  <c:v>26</c:v>
                </c:pt>
                <c:pt idx="41">
                  <c:v>26.8</c:v>
                </c:pt>
                <c:pt idx="42">
                  <c:v>28.1</c:v>
                </c:pt>
                <c:pt idx="43">
                  <c:v>29.4</c:v>
                </c:pt>
              </c:numCache>
            </c:numRef>
          </c:xVal>
          <c:yVal>
            <c:numRef>
              <c:f>Déplacements!$J$10:$J$54</c:f>
              <c:numCache>
                <c:formatCode>\+\ 0.0;\-\ 0.0;\±\ 0.0</c:formatCode>
                <c:ptCount val="45"/>
                <c:pt idx="0">
                  <c:v>0</c:v>
                </c:pt>
                <c:pt idx="1">
                  <c:v>-0.34445090362707903</c:v>
                </c:pt>
                <c:pt idx="2">
                  <c:v>0</c:v>
                </c:pt>
                <c:pt idx="3">
                  <c:v>1.6764246624034715</c:v>
                </c:pt>
                <c:pt idx="4">
                  <c:v>3.1748988362985604</c:v>
                </c:pt>
                <c:pt idx="5">
                  <c:v>3.5101839277530531</c:v>
                </c:pt>
                <c:pt idx="6">
                  <c:v>3.3741080450322096</c:v>
                </c:pt>
                <c:pt idx="7">
                  <c:v>3.0961673582912721</c:v>
                </c:pt>
                <c:pt idx="8">
                  <c:v>3.5852814359087684</c:v>
                </c:pt>
                <c:pt idx="9">
                  <c:v>4.002288880345735</c:v>
                </c:pt>
                <c:pt idx="10">
                  <c:v>5.6993293791131574</c:v>
                </c:pt>
                <c:pt idx="11">
                  <c:v>5.4096174372700974</c:v>
                </c:pt>
                <c:pt idx="12">
                  <c:v>5.862774767324578</c:v>
                </c:pt>
                <c:pt idx="13">
                  <c:v>5.3429142933392821</c:v>
                </c:pt>
                <c:pt idx="14">
                  <c:v>4.5033029881725009</c:v>
                </c:pt>
                <c:pt idx="15">
                  <c:v>4.9926099436320612</c:v>
                </c:pt>
                <c:pt idx="16">
                  <c:v>4.5033029881725009</c:v>
                </c:pt>
                <c:pt idx="17">
                  <c:v>4.4133976374403812</c:v>
                </c:pt>
                <c:pt idx="18">
                  <c:v>5.2161331597173657</c:v>
                </c:pt>
                <c:pt idx="19">
                  <c:v>4.5333418775084668</c:v>
                </c:pt>
                <c:pt idx="20">
                  <c:v>4.5333418775084668</c:v>
                </c:pt>
                <c:pt idx="21">
                  <c:v>4.1774411607070467</c:v>
                </c:pt>
                <c:pt idx="22">
                  <c:v>4.3765218053559103</c:v>
                </c:pt>
                <c:pt idx="23">
                  <c:v>3.9055468470815535</c:v>
                </c:pt>
                <c:pt idx="24">
                  <c:v>4.3403721799498092</c:v>
                </c:pt>
                <c:pt idx="25">
                  <c:v>3.4824286665729351</c:v>
                </c:pt>
                <c:pt idx="26">
                  <c:v>3.555242286357398</c:v>
                </c:pt>
                <c:pt idx="27">
                  <c:v>1.0364081598400952</c:v>
                </c:pt>
                <c:pt idx="28">
                  <c:v>-1.9547998672086522</c:v>
                </c:pt>
                <c:pt idx="29">
                  <c:v>-3.7711118704655093</c:v>
                </c:pt>
                <c:pt idx="30">
                  <c:v>-4.5139811423662026</c:v>
                </c:pt>
                <c:pt idx="31">
                  <c:v>-6.0786440912169866</c:v>
                </c:pt>
                <c:pt idx="32">
                  <c:v>-7.8846480953874662</c:v>
                </c:pt>
                <c:pt idx="33">
                  <c:v>-11.20745831983977</c:v>
                </c:pt>
                <c:pt idx="34">
                  <c:v>-11.684543803166074</c:v>
                </c:pt>
                <c:pt idx="35">
                  <c:v>-11.714582903519302</c:v>
                </c:pt>
                <c:pt idx="36">
                  <c:v>-13.9136659878424</c:v>
                </c:pt>
                <c:pt idx="37">
                  <c:v>-14.517532865003204</c:v>
                </c:pt>
                <c:pt idx="38">
                  <c:v>-15.937082683043853</c:v>
                </c:pt>
                <c:pt idx="39">
                  <c:v>-15.586778122321908</c:v>
                </c:pt>
                <c:pt idx="40">
                  <c:v>-16.432500163557325</c:v>
                </c:pt>
                <c:pt idx="41">
                  <c:v>-15.81030150022417</c:v>
                </c:pt>
                <c:pt idx="42">
                  <c:v>-16.698283952134009</c:v>
                </c:pt>
                <c:pt idx="43">
                  <c:v>-17.453374485152693</c:v>
                </c:pt>
                <c:pt idx="44">
                  <c:v>-17.187076538622513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C42-470C-9B54-B15C7DC8A479}"/>
            </c:ext>
          </c:extLst>
        </c:ser>
        <c:ser>
          <c:idx val="11"/>
          <c:order val="1"/>
          <c:tx>
            <c:strRef>
              <c:f>Déplacements!$G$9</c:f>
              <c:strCache>
                <c:ptCount val="1"/>
                <c:pt idx="0">
                  <c:v>DH haut gauche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</c:spPr>
          <c:marker>
            <c:symbol val="circle"/>
            <c:size val="3"/>
          </c:marker>
          <c:xVal>
            <c:numRef>
              <c:f>'Résultats observations'!$C$10:$C$53</c:f>
              <c:numCache>
                <c:formatCode>0.0</c:formatCode>
                <c:ptCount val="44"/>
                <c:pt idx="0">
                  <c:v>9.39</c:v>
                </c:pt>
                <c:pt idx="1">
                  <c:v>9.39</c:v>
                </c:pt>
                <c:pt idx="2">
                  <c:v>11.5</c:v>
                </c:pt>
                <c:pt idx="3">
                  <c:v>11.5</c:v>
                </c:pt>
                <c:pt idx="4">
                  <c:v>11.5</c:v>
                </c:pt>
                <c:pt idx="5">
                  <c:v>11.5</c:v>
                </c:pt>
                <c:pt idx="6">
                  <c:v>11.5</c:v>
                </c:pt>
                <c:pt idx="7">
                  <c:v>11.5</c:v>
                </c:pt>
                <c:pt idx="8">
                  <c:v>11.5</c:v>
                </c:pt>
                <c:pt idx="9">
                  <c:v>11.5</c:v>
                </c:pt>
                <c:pt idx="10">
                  <c:v>11.5</c:v>
                </c:pt>
                <c:pt idx="11">
                  <c:v>11.5</c:v>
                </c:pt>
                <c:pt idx="12">
                  <c:v>11.5</c:v>
                </c:pt>
                <c:pt idx="13">
                  <c:v>11.5</c:v>
                </c:pt>
                <c:pt idx="14">
                  <c:v>11.5</c:v>
                </c:pt>
                <c:pt idx="15">
                  <c:v>11.5</c:v>
                </c:pt>
                <c:pt idx="16">
                  <c:v>11.5</c:v>
                </c:pt>
                <c:pt idx="17">
                  <c:v>11.5</c:v>
                </c:pt>
                <c:pt idx="18">
                  <c:v>11.5</c:v>
                </c:pt>
                <c:pt idx="19">
                  <c:v>11.5</c:v>
                </c:pt>
                <c:pt idx="20">
                  <c:v>11.5</c:v>
                </c:pt>
                <c:pt idx="21">
                  <c:v>11.5</c:v>
                </c:pt>
                <c:pt idx="22">
                  <c:v>11.5</c:v>
                </c:pt>
                <c:pt idx="23">
                  <c:v>13</c:v>
                </c:pt>
                <c:pt idx="24">
                  <c:v>13</c:v>
                </c:pt>
                <c:pt idx="25">
                  <c:v>14.2</c:v>
                </c:pt>
                <c:pt idx="26">
                  <c:v>14.2</c:v>
                </c:pt>
                <c:pt idx="27">
                  <c:v>15.8</c:v>
                </c:pt>
                <c:pt idx="28">
                  <c:v>15.8</c:v>
                </c:pt>
                <c:pt idx="29">
                  <c:v>17.45</c:v>
                </c:pt>
                <c:pt idx="30">
                  <c:v>18.3</c:v>
                </c:pt>
                <c:pt idx="31">
                  <c:v>19.43</c:v>
                </c:pt>
                <c:pt idx="32">
                  <c:v>19.43</c:v>
                </c:pt>
                <c:pt idx="33">
                  <c:v>19.43</c:v>
                </c:pt>
                <c:pt idx="34">
                  <c:v>21</c:v>
                </c:pt>
                <c:pt idx="35">
                  <c:v>21</c:v>
                </c:pt>
                <c:pt idx="36">
                  <c:v>21</c:v>
                </c:pt>
                <c:pt idx="37">
                  <c:v>23.2</c:v>
                </c:pt>
                <c:pt idx="38">
                  <c:v>23.7</c:v>
                </c:pt>
                <c:pt idx="39">
                  <c:v>24.6</c:v>
                </c:pt>
                <c:pt idx="40">
                  <c:v>26</c:v>
                </c:pt>
                <c:pt idx="41">
                  <c:v>26.8</c:v>
                </c:pt>
                <c:pt idx="42">
                  <c:v>28.1</c:v>
                </c:pt>
                <c:pt idx="43">
                  <c:v>29.4</c:v>
                </c:pt>
              </c:numCache>
            </c:numRef>
          </c:xVal>
          <c:yVal>
            <c:numRef>
              <c:f>Déplacements!$G$10:$G$234</c:f>
              <c:numCache>
                <c:formatCode>\+\ 0.0;\-\ 0.0;\±\ 0.0</c:formatCode>
                <c:ptCount val="225"/>
                <c:pt idx="0">
                  <c:v>0</c:v>
                </c:pt>
                <c:pt idx="1">
                  <c:v>0.11176171354776443</c:v>
                </c:pt>
                <c:pt idx="2">
                  <c:v>0</c:v>
                </c:pt>
                <c:pt idx="3">
                  <c:v>0.23294648007787799</c:v>
                </c:pt>
                <c:pt idx="4">
                  <c:v>1.4712334927073911</c:v>
                </c:pt>
                <c:pt idx="5">
                  <c:v>1.68864613453934</c:v>
                </c:pt>
                <c:pt idx="6">
                  <c:v>2.0348767469364759</c:v>
                </c:pt>
                <c:pt idx="7">
                  <c:v>1.517117634662668</c:v>
                </c:pt>
                <c:pt idx="8">
                  <c:v>1.7548346984765928</c:v>
                </c:pt>
                <c:pt idx="9">
                  <c:v>2.74566991972236</c:v>
                </c:pt>
                <c:pt idx="10">
                  <c:v>1.9360977149101011</c:v>
                </c:pt>
                <c:pt idx="11">
                  <c:v>1.4890511209215695</c:v>
                </c:pt>
                <c:pt idx="12">
                  <c:v>2.5888498475690191</c:v>
                </c:pt>
                <c:pt idx="13">
                  <c:v>2.7034095090514576</c:v>
                </c:pt>
                <c:pt idx="14">
                  <c:v>1.8515769427636108</c:v>
                </c:pt>
                <c:pt idx="15">
                  <c:v>2.5705178503780957</c:v>
                </c:pt>
                <c:pt idx="16">
                  <c:v>1.8515769427636108</c:v>
                </c:pt>
                <c:pt idx="17">
                  <c:v>2.091052373647706</c:v>
                </c:pt>
                <c:pt idx="18">
                  <c:v>3.1504561030399891</c:v>
                </c:pt>
                <c:pt idx="19">
                  <c:v>2.2441416539420445</c:v>
                </c:pt>
                <c:pt idx="20">
                  <c:v>2.2441416539420445</c:v>
                </c:pt>
                <c:pt idx="21">
                  <c:v>3.2293807191061674</c:v>
                </c:pt>
                <c:pt idx="22">
                  <c:v>3.5913921719754605</c:v>
                </c:pt>
                <c:pt idx="24">
                  <c:v>3.960028518870562</c:v>
                </c:pt>
                <c:pt idx="25">
                  <c:v>3.5674638076921283</c:v>
                </c:pt>
                <c:pt idx="26">
                  <c:v>3.8332473852520366</c:v>
                </c:pt>
                <c:pt idx="27">
                  <c:v>3.8571757495322601</c:v>
                </c:pt>
                <c:pt idx="28">
                  <c:v>4.1666477620254661</c:v>
                </c:pt>
                <c:pt idx="29">
                  <c:v>5.4946525783861055</c:v>
                </c:pt>
                <c:pt idx="30">
                  <c:v>6.298114258149301</c:v>
                </c:pt>
                <c:pt idx="32">
                  <c:v>5.4462814316438291</c:v>
                </c:pt>
                <c:pt idx="33">
                  <c:v>6.2135934860045872</c:v>
                </c:pt>
                <c:pt idx="34">
                  <c:v>6.3887457663605041</c:v>
                </c:pt>
                <c:pt idx="35">
                  <c:v>6.9870162272329672</c:v>
                </c:pt>
                <c:pt idx="36">
                  <c:v>6.7451608521387207</c:v>
                </c:pt>
                <c:pt idx="37">
                  <c:v>6.3220426224330772</c:v>
                </c:pt>
                <c:pt idx="38">
                  <c:v>6.739564485040983</c:v>
                </c:pt>
                <c:pt idx="39">
                  <c:v>7.5608437930205774</c:v>
                </c:pt>
                <c:pt idx="40">
                  <c:v>7.1621682965750111</c:v>
                </c:pt>
                <c:pt idx="41">
                  <c:v>7.7721456987851489</c:v>
                </c:pt>
                <c:pt idx="42">
                  <c:v>8.001779812759402</c:v>
                </c:pt>
                <c:pt idx="43">
                  <c:v>8.1591142538854911</c:v>
                </c:pt>
                <c:pt idx="44">
                  <c:v>8.3042276449090124</c:v>
                </c:pt>
                <c:pt idx="45">
                  <c:v>8.1530037288337631</c:v>
                </c:pt>
                <c:pt idx="46">
                  <c:v>8.6061608478722462</c:v>
                </c:pt>
                <c:pt idx="47">
                  <c:v>8.6845710949670085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C42-470C-9B54-B15C7DC8A479}"/>
            </c:ext>
          </c:extLst>
        </c:ser>
        <c:ser>
          <c:idx val="12"/>
          <c:order val="2"/>
          <c:tx>
            <c:strRef>
              <c:f>Déplacements!$M$9</c:f>
              <c:strCache>
                <c:ptCount val="1"/>
                <c:pt idx="0">
                  <c:v>DH bas droit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</c:marker>
          <c:xVal>
            <c:numRef>
              <c:f>'Résultats observations'!$C$10:$C$53</c:f>
              <c:numCache>
                <c:formatCode>0.0</c:formatCode>
                <c:ptCount val="44"/>
                <c:pt idx="0">
                  <c:v>9.39</c:v>
                </c:pt>
                <c:pt idx="1">
                  <c:v>9.39</c:v>
                </c:pt>
                <c:pt idx="2">
                  <c:v>11.5</c:v>
                </c:pt>
                <c:pt idx="3">
                  <c:v>11.5</c:v>
                </c:pt>
                <c:pt idx="4">
                  <c:v>11.5</c:v>
                </c:pt>
                <c:pt idx="5">
                  <c:v>11.5</c:v>
                </c:pt>
                <c:pt idx="6">
                  <c:v>11.5</c:v>
                </c:pt>
                <c:pt idx="7">
                  <c:v>11.5</c:v>
                </c:pt>
                <c:pt idx="8">
                  <c:v>11.5</c:v>
                </c:pt>
                <c:pt idx="9">
                  <c:v>11.5</c:v>
                </c:pt>
                <c:pt idx="10">
                  <c:v>11.5</c:v>
                </c:pt>
                <c:pt idx="11">
                  <c:v>11.5</c:v>
                </c:pt>
                <c:pt idx="12">
                  <c:v>11.5</c:v>
                </c:pt>
                <c:pt idx="13">
                  <c:v>11.5</c:v>
                </c:pt>
                <c:pt idx="14">
                  <c:v>11.5</c:v>
                </c:pt>
                <c:pt idx="15">
                  <c:v>11.5</c:v>
                </c:pt>
                <c:pt idx="16">
                  <c:v>11.5</c:v>
                </c:pt>
                <c:pt idx="17">
                  <c:v>11.5</c:v>
                </c:pt>
                <c:pt idx="18">
                  <c:v>11.5</c:v>
                </c:pt>
                <c:pt idx="19">
                  <c:v>11.5</c:v>
                </c:pt>
                <c:pt idx="20">
                  <c:v>11.5</c:v>
                </c:pt>
                <c:pt idx="21">
                  <c:v>11.5</c:v>
                </c:pt>
                <c:pt idx="22">
                  <c:v>11.5</c:v>
                </c:pt>
                <c:pt idx="23">
                  <c:v>13</c:v>
                </c:pt>
                <c:pt idx="24">
                  <c:v>13</c:v>
                </c:pt>
                <c:pt idx="25">
                  <c:v>14.2</c:v>
                </c:pt>
                <c:pt idx="26">
                  <c:v>14.2</c:v>
                </c:pt>
                <c:pt idx="27">
                  <c:v>15.8</c:v>
                </c:pt>
                <c:pt idx="28">
                  <c:v>15.8</c:v>
                </c:pt>
                <c:pt idx="29">
                  <c:v>17.45</c:v>
                </c:pt>
                <c:pt idx="30">
                  <c:v>18.3</c:v>
                </c:pt>
                <c:pt idx="31">
                  <c:v>19.43</c:v>
                </c:pt>
                <c:pt idx="32">
                  <c:v>19.43</c:v>
                </c:pt>
                <c:pt idx="33">
                  <c:v>19.43</c:v>
                </c:pt>
                <c:pt idx="34">
                  <c:v>21</c:v>
                </c:pt>
                <c:pt idx="35">
                  <c:v>21</c:v>
                </c:pt>
                <c:pt idx="36">
                  <c:v>21</c:v>
                </c:pt>
                <c:pt idx="37">
                  <c:v>23.2</c:v>
                </c:pt>
                <c:pt idx="38">
                  <c:v>23.7</c:v>
                </c:pt>
                <c:pt idx="39">
                  <c:v>24.6</c:v>
                </c:pt>
                <c:pt idx="40">
                  <c:v>26</c:v>
                </c:pt>
                <c:pt idx="41">
                  <c:v>26.8</c:v>
                </c:pt>
                <c:pt idx="42">
                  <c:v>28.1</c:v>
                </c:pt>
                <c:pt idx="43">
                  <c:v>29.4</c:v>
                </c:pt>
              </c:numCache>
            </c:numRef>
          </c:xVal>
          <c:yVal>
            <c:numRef>
              <c:f>Déplacements!$M$10:$M$54</c:f>
              <c:numCache>
                <c:formatCode>\+\ 0.0;\-\ 0.0;\±\ 0.0</c:formatCode>
                <c:ptCount val="45"/>
                <c:pt idx="0">
                  <c:v>0</c:v>
                </c:pt>
                <c:pt idx="1">
                  <c:v>-0.81262765375877954</c:v>
                </c:pt>
                <c:pt idx="2">
                  <c:v>0</c:v>
                </c:pt>
                <c:pt idx="3">
                  <c:v>-4.3039652645449067</c:v>
                </c:pt>
                <c:pt idx="4">
                  <c:v>-4.0498883681163722</c:v>
                </c:pt>
                <c:pt idx="5">
                  <c:v>-4.0106834555890813</c:v>
                </c:pt>
                <c:pt idx="6">
                  <c:v>-3.7493542200284224</c:v>
                </c:pt>
                <c:pt idx="8">
                  <c:v>-4.0259601656520427</c:v>
                </c:pt>
                <c:pt idx="9">
                  <c:v>-3.7540656410071094</c:v>
                </c:pt>
                <c:pt idx="10">
                  <c:v>-4.7326796011295524</c:v>
                </c:pt>
                <c:pt idx="11">
                  <c:v>-4.9439815560941014</c:v>
                </c:pt>
                <c:pt idx="12">
                  <c:v>-4.7382759682252917</c:v>
                </c:pt>
                <c:pt idx="13">
                  <c:v>-4.3701537792875111</c:v>
                </c:pt>
                <c:pt idx="14">
                  <c:v>-5.475548873030478</c:v>
                </c:pt>
                <c:pt idx="15">
                  <c:v>-4.7688294867518355</c:v>
                </c:pt>
                <c:pt idx="16">
                  <c:v>-5.475548873030478</c:v>
                </c:pt>
                <c:pt idx="17">
                  <c:v>-5.7053543471057289</c:v>
                </c:pt>
                <c:pt idx="18">
                  <c:v>-5.288175331551459</c:v>
                </c:pt>
                <c:pt idx="19">
                  <c:v>-5.2308952897894834</c:v>
                </c:pt>
                <c:pt idx="20">
                  <c:v>-5.1736154590504846</c:v>
                </c:pt>
                <c:pt idx="21">
                  <c:v>-6.737764249947098</c:v>
                </c:pt>
                <c:pt idx="22">
                  <c:v>-5.819742697682484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C42-470C-9B54-B15C7DC8A479}"/>
            </c:ext>
          </c:extLst>
        </c:ser>
        <c:ser>
          <c:idx val="13"/>
          <c:order val="3"/>
          <c:tx>
            <c:strRef>
              <c:f>Déplacements!$D$9</c:f>
              <c:strCache>
                <c:ptCount val="1"/>
                <c:pt idx="0">
                  <c:v>DH bas gauche</c:v>
                </c:pt>
              </c:strCache>
            </c:strRef>
          </c:tx>
          <c:spPr>
            <a:ln w="12700"/>
          </c:spPr>
          <c:marker>
            <c:symbol val="circle"/>
            <c:size val="3"/>
          </c:marker>
          <c:xVal>
            <c:numRef>
              <c:f>'Résultats observations'!$C$10:$C$12</c:f>
              <c:numCache>
                <c:formatCode>0.0</c:formatCode>
                <c:ptCount val="3"/>
                <c:pt idx="0">
                  <c:v>9.39</c:v>
                </c:pt>
                <c:pt idx="1">
                  <c:v>9.39</c:v>
                </c:pt>
                <c:pt idx="2">
                  <c:v>11.5</c:v>
                </c:pt>
              </c:numCache>
            </c:numRef>
          </c:xVal>
          <c:yVal>
            <c:numRef>
              <c:f>Déplacements!$D$10:$D$11</c:f>
              <c:numCache>
                <c:formatCode>\+\ 0.0;\-\ 0.0;\±\ 0.0</c:formatCode>
                <c:ptCount val="2"/>
                <c:pt idx="0">
                  <c:v>0</c:v>
                </c:pt>
                <c:pt idx="1">
                  <c:v>0.27520705256423028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C42-470C-9B54-B15C7DC8A479}"/>
            </c:ext>
          </c:extLst>
        </c:ser>
        <c:ser>
          <c:idx val="14"/>
          <c:order val="4"/>
          <c:tx>
            <c:strRef>
              <c:f>Déplacements!$P$9</c:f>
              <c:strCache>
                <c:ptCount val="1"/>
                <c:pt idx="0">
                  <c:v>DH bas droit</c:v>
                </c:pt>
              </c:strCache>
            </c:strRef>
          </c:tx>
          <c:spPr>
            <a:ln w="12700"/>
          </c:spPr>
          <c:marker>
            <c:symbol val="circle"/>
            <c:size val="3"/>
          </c:marker>
          <c:xVal>
            <c:numRef>
              <c:f>'Résultats observations'!$C$10:$C$53</c:f>
              <c:numCache>
                <c:formatCode>0.0</c:formatCode>
                <c:ptCount val="44"/>
                <c:pt idx="0">
                  <c:v>9.39</c:v>
                </c:pt>
                <c:pt idx="1">
                  <c:v>9.39</c:v>
                </c:pt>
                <c:pt idx="2">
                  <c:v>11.5</c:v>
                </c:pt>
                <c:pt idx="3">
                  <c:v>11.5</c:v>
                </c:pt>
                <c:pt idx="4">
                  <c:v>11.5</c:v>
                </c:pt>
                <c:pt idx="5">
                  <c:v>11.5</c:v>
                </c:pt>
                <c:pt idx="6">
                  <c:v>11.5</c:v>
                </c:pt>
                <c:pt idx="7">
                  <c:v>11.5</c:v>
                </c:pt>
                <c:pt idx="8">
                  <c:v>11.5</c:v>
                </c:pt>
                <c:pt idx="9">
                  <c:v>11.5</c:v>
                </c:pt>
                <c:pt idx="10">
                  <c:v>11.5</c:v>
                </c:pt>
                <c:pt idx="11">
                  <c:v>11.5</c:v>
                </c:pt>
                <c:pt idx="12">
                  <c:v>11.5</c:v>
                </c:pt>
                <c:pt idx="13">
                  <c:v>11.5</c:v>
                </c:pt>
                <c:pt idx="14">
                  <c:v>11.5</c:v>
                </c:pt>
                <c:pt idx="15">
                  <c:v>11.5</c:v>
                </c:pt>
                <c:pt idx="16">
                  <c:v>11.5</c:v>
                </c:pt>
                <c:pt idx="17">
                  <c:v>11.5</c:v>
                </c:pt>
                <c:pt idx="18">
                  <c:v>11.5</c:v>
                </c:pt>
                <c:pt idx="19">
                  <c:v>11.5</c:v>
                </c:pt>
                <c:pt idx="20">
                  <c:v>11.5</c:v>
                </c:pt>
                <c:pt idx="21">
                  <c:v>11.5</c:v>
                </c:pt>
                <c:pt idx="22">
                  <c:v>11.5</c:v>
                </c:pt>
                <c:pt idx="23">
                  <c:v>13</c:v>
                </c:pt>
                <c:pt idx="24">
                  <c:v>13</c:v>
                </c:pt>
                <c:pt idx="25">
                  <c:v>14.2</c:v>
                </c:pt>
                <c:pt idx="26">
                  <c:v>14.2</c:v>
                </c:pt>
                <c:pt idx="27">
                  <c:v>15.8</c:v>
                </c:pt>
                <c:pt idx="28">
                  <c:v>15.8</c:v>
                </c:pt>
                <c:pt idx="29">
                  <c:v>17.45</c:v>
                </c:pt>
                <c:pt idx="30">
                  <c:v>18.3</c:v>
                </c:pt>
                <c:pt idx="31">
                  <c:v>19.43</c:v>
                </c:pt>
                <c:pt idx="32">
                  <c:v>19.43</c:v>
                </c:pt>
                <c:pt idx="33">
                  <c:v>19.43</c:v>
                </c:pt>
                <c:pt idx="34">
                  <c:v>21</c:v>
                </c:pt>
                <c:pt idx="35">
                  <c:v>21</c:v>
                </c:pt>
                <c:pt idx="36">
                  <c:v>21</c:v>
                </c:pt>
                <c:pt idx="37">
                  <c:v>23.2</c:v>
                </c:pt>
                <c:pt idx="38">
                  <c:v>23.7</c:v>
                </c:pt>
                <c:pt idx="39">
                  <c:v>24.6</c:v>
                </c:pt>
                <c:pt idx="40">
                  <c:v>26</c:v>
                </c:pt>
                <c:pt idx="41">
                  <c:v>26.8</c:v>
                </c:pt>
                <c:pt idx="42">
                  <c:v>28.1</c:v>
                </c:pt>
                <c:pt idx="43">
                  <c:v>29.4</c:v>
                </c:pt>
              </c:numCache>
            </c:numRef>
          </c:xVal>
          <c:yVal>
            <c:numRef>
              <c:f>Déplacements!$P$10:$P$54</c:f>
              <c:numCache>
                <c:formatCode>\+\ 0.0;\-\ 0.0;\±\ 0.0</c:formatCode>
                <c:ptCount val="45"/>
                <c:pt idx="0">
                  <c:v>0</c:v>
                </c:pt>
                <c:pt idx="1">
                  <c:v>-0.78818492049848032</c:v>
                </c:pt>
                <c:pt idx="2">
                  <c:v>0</c:v>
                </c:pt>
                <c:pt idx="3">
                  <c:v>-3.9778463581048307</c:v>
                </c:pt>
                <c:pt idx="4">
                  <c:v>-3.0231607622646095</c:v>
                </c:pt>
                <c:pt idx="5">
                  <c:v>-2.8751206482020564</c:v>
                </c:pt>
                <c:pt idx="6">
                  <c:v>-2.5314096910271644</c:v>
                </c:pt>
                <c:pt idx="7">
                  <c:v>-2.7186705738744266</c:v>
                </c:pt>
                <c:pt idx="8">
                  <c:v>-2.8179693815513218</c:v>
                </c:pt>
                <c:pt idx="9">
                  <c:v>-2.5521858039914136</c:v>
                </c:pt>
                <c:pt idx="10">
                  <c:v>-3.7665444523362623</c:v>
                </c:pt>
                <c:pt idx="11">
                  <c:v>-3.8749933777522116</c:v>
                </c:pt>
                <c:pt idx="12">
                  <c:v>-3.7782513444848398</c:v>
                </c:pt>
                <c:pt idx="13">
                  <c:v>-3.8749933777522116</c:v>
                </c:pt>
                <c:pt idx="14">
                  <c:v>-4.6122664935719371</c:v>
                </c:pt>
                <c:pt idx="15">
                  <c:v>-4.2314086745403046</c:v>
                </c:pt>
                <c:pt idx="16">
                  <c:v>-4.6122664935719371</c:v>
                </c:pt>
                <c:pt idx="17">
                  <c:v>-5.2011992475042845</c:v>
                </c:pt>
                <c:pt idx="18">
                  <c:v>-4.4971922520988805</c:v>
                </c:pt>
                <c:pt idx="19">
                  <c:v>-4.4671533135680619</c:v>
                </c:pt>
                <c:pt idx="20">
                  <c:v>-4.4671533135680619</c:v>
                </c:pt>
                <c:pt idx="21">
                  <c:v>-6.3093069923372269</c:v>
                </c:pt>
                <c:pt idx="22">
                  <c:v>-5.3912854400759436</c:v>
                </c:pt>
                <c:pt idx="23">
                  <c:v>-6.5089017949415684</c:v>
                </c:pt>
                <c:pt idx="24">
                  <c:v>-6.3637886149336964</c:v>
                </c:pt>
                <c:pt idx="25">
                  <c:v>-7.1010615197377724</c:v>
                </c:pt>
                <c:pt idx="26">
                  <c:v>-7.4152162440381808</c:v>
                </c:pt>
                <c:pt idx="27">
                  <c:v>-7.6509608830646059</c:v>
                </c:pt>
                <c:pt idx="28">
                  <c:v>-8.7049295921350911</c:v>
                </c:pt>
                <c:pt idx="29">
                  <c:v>-7.8617484690504114</c:v>
                </c:pt>
                <c:pt idx="30">
                  <c:v>-7.7288567611804027</c:v>
                </c:pt>
                <c:pt idx="31">
                  <c:v>-8.5445397020667002</c:v>
                </c:pt>
                <c:pt idx="32">
                  <c:v>-8.6351712102810119</c:v>
                </c:pt>
                <c:pt idx="33">
                  <c:v>-9.0883283293217154</c:v>
                </c:pt>
                <c:pt idx="34">
                  <c:v>-8.8648051624304891</c:v>
                </c:pt>
                <c:pt idx="35">
                  <c:v>-8.3388341633949814</c:v>
                </c:pt>
                <c:pt idx="36">
                  <c:v>-9.1366994760599951</c:v>
                </c:pt>
                <c:pt idx="37">
                  <c:v>-9.0032931882020328</c:v>
                </c:pt>
                <c:pt idx="38">
                  <c:v>-10.308283344758529</c:v>
                </c:pt>
                <c:pt idx="39">
                  <c:v>-9.6015636982658137</c:v>
                </c:pt>
                <c:pt idx="40">
                  <c:v>-10.978853105635178</c:v>
                </c:pt>
                <c:pt idx="41">
                  <c:v>-9.9579787840387013</c:v>
                </c:pt>
                <c:pt idx="42">
                  <c:v>-10.586288394457188</c:v>
                </c:pt>
                <c:pt idx="43">
                  <c:v>-10.978853105635178</c:v>
                </c:pt>
                <c:pt idx="44">
                  <c:v>-11.764497157181975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C42-470C-9B54-B15C7DC8A4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61294192"/>
        <c:axId val="478409688"/>
      </c:scatterChart>
      <c:valAx>
        <c:axId val="461294192"/>
        <c:scaling>
          <c:orientation val="minMax"/>
          <c:min val="3.1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PM front</a:t>
                </a:r>
              </a:p>
            </c:rich>
          </c:tx>
          <c:layout>
            <c:manualLayout>
              <c:xMode val="edge"/>
              <c:yMode val="edge"/>
              <c:x val="0.43927912392593438"/>
              <c:y val="0.9432044643068267"/>
            </c:manualLayout>
          </c:layout>
          <c:overlay val="0"/>
          <c:spPr>
            <a:noFill/>
            <a:ln w="25400">
              <a:noFill/>
            </a:ln>
          </c:spPr>
        </c:title>
        <c:numFmt formatCode="#,##0.00" sourceLinked="0"/>
        <c:majorTickMark val="out"/>
        <c:minorTickMark val="none"/>
        <c:tickLblPos val="low"/>
        <c:spPr>
          <a:ln w="3175">
            <a:solidFill>
              <a:srgbClr val="000000"/>
            </a:solidFill>
            <a:prstDash val="solid"/>
          </a:ln>
        </c:spPr>
        <c:txPr>
          <a:bodyPr rot="-270000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478409688"/>
        <c:crossesAt val="0"/>
        <c:crossBetween val="midCat"/>
      </c:valAx>
      <c:valAx>
        <c:axId val="478409688"/>
        <c:scaling>
          <c:orientation val="minMax"/>
          <c:max val="40"/>
          <c:min val="-15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fr-FR" b="1"/>
                  <a:t>D2placements en déport [mm]</a:t>
                </a:r>
              </a:p>
            </c:rich>
          </c:tx>
          <c:overlay val="0"/>
        </c:title>
        <c:numFmt formatCode="\+\ 0.0;\-\ 0.0;\±\ 0.0" sourceLinked="0"/>
        <c:majorTickMark val="out"/>
        <c:minorTickMark val="out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461294192"/>
        <c:crosses val="autoZero"/>
        <c:crossBetween val="midCat"/>
        <c:majorUnit val="5"/>
        <c:minorUnit val="1"/>
      </c:valAx>
    </c:plotArea>
    <c:legend>
      <c:legendPos val="r"/>
      <c:layout>
        <c:manualLayout>
          <c:xMode val="edge"/>
          <c:yMode val="edge"/>
          <c:x val="0.10816646929636417"/>
          <c:y val="3.6162237203630522E-2"/>
          <c:w val="0.24517664360597907"/>
          <c:h val="0.23016340840330946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r-FR"/>
        </a:p>
      </c:txPr>
    </c:legend>
    <c:plotVisOnly val="0"/>
    <c:dispBlanksAs val="span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899999956" l="0.78740157499999996" r="0.78740157499999996" t="0.98425196899999956" header="0.49212598450000622" footer="0.49212598450000622"/>
    <c:pageSetup paperSize="9"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325">
  <cs:axisTitle>
    <cs:lnRef idx="0"/>
    <cs:fillRef idx="0"/>
    <cs:effectRef idx="0"/>
    <cs:fontRef idx="minor">
      <a:schemeClr val="tx1">
        <a:lumMod val="50000"/>
        <a:lumOff val="50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>
  <cs:dataPoint3D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3D>
  <cs:dataPointLine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158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2">
      <cs:styleClr val="auto"/>
    </cs:fillRef>
    <cs:effectRef idx="1"/>
    <cs:fontRef idx="minor">
      <a:schemeClr val="dk1"/>
    </cs:fontRef>
    <cs:spPr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5"/>
  <cs:dataPointWirefram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50000"/>
        <a:lumOff val="50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75000"/>
            <a:lumOff val="2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75000"/>
            <a:lumOff val="2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50000"/>
        <a:lumOff val="50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400" kern="1200" cap="none" spc="20" baseline="0"/>
  </cs:title>
  <cs:trendline>
    <cs:lnRef idx="0">
      <cs:styleClr val="auto"/>
    </cs:lnRef>
    <cs:fillRef idx="2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50000"/>
        <a:lumOff val="50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7" Type="http://schemas.openxmlformats.org/officeDocument/2006/relationships/chart" Target="../charts/chart6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32</xdr:col>
      <xdr:colOff>0</xdr:colOff>
      <xdr:row>7</xdr:row>
      <xdr:rowOff>0</xdr:rowOff>
    </xdr:from>
    <xdr:to>
      <xdr:col>47</xdr:col>
      <xdr:colOff>0</xdr:colOff>
      <xdr:row>7</xdr:row>
      <xdr:rowOff>28575</xdr:rowOff>
    </xdr:to>
    <xdr:sp macro="" textlink="">
      <xdr:nvSpPr>
        <xdr:cNvPr id="1027" name="Freeform 4">
          <a:extLst>
            <a:ext uri="{FF2B5EF4-FFF2-40B4-BE49-F238E27FC236}">
              <a16:creationId xmlns:a16="http://schemas.microsoft.com/office/drawing/2014/main" id="{00000000-0008-0000-0000-000003040000}"/>
            </a:ext>
          </a:extLst>
        </xdr:cNvPr>
        <xdr:cNvSpPr>
          <a:spLocks/>
        </xdr:cNvSpPr>
      </xdr:nvSpPr>
      <xdr:spPr bwMode="auto">
        <a:xfrm>
          <a:off x="27098625" y="1724025"/>
          <a:ext cx="12801600" cy="28575"/>
        </a:xfrm>
        <a:custGeom>
          <a:avLst/>
          <a:gdLst>
            <a:gd name="T0" fmla="*/ 0 w 143"/>
            <a:gd name="T1" fmla="*/ 0 h 1"/>
            <a:gd name="T2" fmla="*/ 13144500 w 143"/>
            <a:gd name="T3" fmla="*/ 0 h 1"/>
            <a:gd name="T4" fmla="*/ 0 60000 65536"/>
            <a:gd name="T5" fmla="*/ 0 60000 65536"/>
            <a:gd name="T6" fmla="*/ 0 w 143"/>
            <a:gd name="T7" fmla="*/ 0 h 1"/>
            <a:gd name="T8" fmla="*/ 143 w 143"/>
            <a:gd name="T9" fmla="*/ 1 h 1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43" h="1">
              <a:moveTo>
                <a:pt x="0" y="0"/>
              </a:moveTo>
              <a:lnTo>
                <a:pt x="143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48</xdr:col>
      <xdr:colOff>0</xdr:colOff>
      <xdr:row>7</xdr:row>
      <xdr:rowOff>0</xdr:rowOff>
    </xdr:from>
    <xdr:to>
      <xdr:col>63</xdr:col>
      <xdr:colOff>0</xdr:colOff>
      <xdr:row>7</xdr:row>
      <xdr:rowOff>28575</xdr:rowOff>
    </xdr:to>
    <xdr:sp macro="" textlink="">
      <xdr:nvSpPr>
        <xdr:cNvPr id="1028" name="Freeform 5">
          <a:extLst>
            <a:ext uri="{FF2B5EF4-FFF2-40B4-BE49-F238E27FC236}">
              <a16:creationId xmlns:a16="http://schemas.microsoft.com/office/drawing/2014/main" id="{00000000-0008-0000-0000-000004040000}"/>
            </a:ext>
          </a:extLst>
        </xdr:cNvPr>
        <xdr:cNvSpPr>
          <a:spLocks/>
        </xdr:cNvSpPr>
      </xdr:nvSpPr>
      <xdr:spPr bwMode="auto">
        <a:xfrm>
          <a:off x="42176700" y="1724025"/>
          <a:ext cx="15201900" cy="28575"/>
        </a:xfrm>
        <a:custGeom>
          <a:avLst/>
          <a:gdLst>
            <a:gd name="T0" fmla="*/ 0 w 143"/>
            <a:gd name="T1" fmla="*/ 0 h 1"/>
            <a:gd name="T2" fmla="*/ 15598140 w 143"/>
            <a:gd name="T3" fmla="*/ 0 h 1"/>
            <a:gd name="T4" fmla="*/ 0 60000 65536"/>
            <a:gd name="T5" fmla="*/ 0 60000 65536"/>
            <a:gd name="T6" fmla="*/ 0 w 143"/>
            <a:gd name="T7" fmla="*/ 0 h 1"/>
            <a:gd name="T8" fmla="*/ 143 w 143"/>
            <a:gd name="T9" fmla="*/ 1 h 1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43" h="1">
              <a:moveTo>
                <a:pt x="0" y="0"/>
              </a:moveTo>
              <a:lnTo>
                <a:pt x="143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64</xdr:col>
      <xdr:colOff>0</xdr:colOff>
      <xdr:row>7</xdr:row>
      <xdr:rowOff>0</xdr:rowOff>
    </xdr:from>
    <xdr:to>
      <xdr:col>79</xdr:col>
      <xdr:colOff>0</xdr:colOff>
      <xdr:row>7</xdr:row>
      <xdr:rowOff>28575</xdr:rowOff>
    </xdr:to>
    <xdr:sp macro="" textlink="">
      <xdr:nvSpPr>
        <xdr:cNvPr id="1029" name="Freeform 6">
          <a:extLst>
            <a:ext uri="{FF2B5EF4-FFF2-40B4-BE49-F238E27FC236}">
              <a16:creationId xmlns:a16="http://schemas.microsoft.com/office/drawing/2014/main" id="{00000000-0008-0000-0000-000005040000}"/>
            </a:ext>
          </a:extLst>
        </xdr:cNvPr>
        <xdr:cNvSpPr>
          <a:spLocks/>
        </xdr:cNvSpPr>
      </xdr:nvSpPr>
      <xdr:spPr bwMode="auto">
        <a:xfrm>
          <a:off x="60007500" y="1724025"/>
          <a:ext cx="15201900" cy="28575"/>
        </a:xfrm>
        <a:custGeom>
          <a:avLst/>
          <a:gdLst>
            <a:gd name="T0" fmla="*/ 0 w 143"/>
            <a:gd name="T1" fmla="*/ 0 h 1"/>
            <a:gd name="T2" fmla="*/ 15598140 w 143"/>
            <a:gd name="T3" fmla="*/ 0 h 1"/>
            <a:gd name="T4" fmla="*/ 0 60000 65536"/>
            <a:gd name="T5" fmla="*/ 0 60000 65536"/>
            <a:gd name="T6" fmla="*/ 0 w 143"/>
            <a:gd name="T7" fmla="*/ 0 h 1"/>
            <a:gd name="T8" fmla="*/ 143 w 143"/>
            <a:gd name="T9" fmla="*/ 1 h 1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43" h="1">
              <a:moveTo>
                <a:pt x="0" y="0"/>
              </a:moveTo>
              <a:lnTo>
                <a:pt x="143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oneCell">
    <xdr:from>
      <xdr:col>0</xdr:col>
      <xdr:colOff>171450</xdr:colOff>
      <xdr:row>0</xdr:row>
      <xdr:rowOff>104775</xdr:rowOff>
    </xdr:from>
    <xdr:to>
      <xdr:col>3</xdr:col>
      <xdr:colOff>142875</xdr:colOff>
      <xdr:row>2</xdr:row>
      <xdr:rowOff>78441</xdr:rowOff>
    </xdr:to>
    <xdr:pic>
      <xdr:nvPicPr>
        <xdr:cNvPr id="1030" name="Image 7">
          <a:extLst>
            <a:ext uri="{FF2B5EF4-FFF2-40B4-BE49-F238E27FC236}">
              <a16:creationId xmlns:a16="http://schemas.microsoft.com/office/drawing/2014/main" id="{00000000-0008-0000-0000-00000604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171450" y="104775"/>
          <a:ext cx="1988484" cy="6572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33</xdr:col>
      <xdr:colOff>262709</xdr:colOff>
      <xdr:row>13</xdr:row>
      <xdr:rowOff>81643</xdr:rowOff>
    </xdr:from>
    <xdr:to>
      <xdr:col>35</xdr:col>
      <xdr:colOff>407489</xdr:colOff>
      <xdr:row>15</xdr:row>
      <xdr:rowOff>129177</xdr:rowOff>
    </xdr:to>
    <xdr:sp macro="" textlink="">
      <xdr:nvSpPr>
        <xdr:cNvPr id="2" name="Flèche gauche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6072959" y="2615293"/>
          <a:ext cx="1363980" cy="428534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45</xdr:col>
      <xdr:colOff>72209</xdr:colOff>
      <xdr:row>15</xdr:row>
      <xdr:rowOff>189139</xdr:rowOff>
    </xdr:from>
    <xdr:to>
      <xdr:col>46</xdr:col>
      <xdr:colOff>407489</xdr:colOff>
      <xdr:row>18</xdr:row>
      <xdr:rowOff>46173</xdr:rowOff>
    </xdr:to>
    <xdr:sp macro="" textlink="">
      <xdr:nvSpPr>
        <xdr:cNvPr id="3" name="Flèche gauche 3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 rot="10800000">
          <a:off x="16074209" y="3103789"/>
          <a:ext cx="1173480" cy="428534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34</xdr:col>
          <xdr:colOff>161925</xdr:colOff>
          <xdr:row>7</xdr:row>
          <xdr:rowOff>152400</xdr:rowOff>
        </xdr:from>
        <xdr:to>
          <xdr:col>35</xdr:col>
          <xdr:colOff>533400</xdr:colOff>
          <xdr:row>10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MAJ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38100</xdr:rowOff>
    </xdr:from>
    <xdr:to>
      <xdr:col>3</xdr:col>
      <xdr:colOff>28575</xdr:colOff>
      <xdr:row>3</xdr:row>
      <xdr:rowOff>161925</xdr:rowOff>
    </xdr:to>
    <xdr:pic>
      <xdr:nvPicPr>
        <xdr:cNvPr id="2049" name="Image 3">
          <a:extLst>
            <a:ext uri="{FF2B5EF4-FFF2-40B4-BE49-F238E27FC236}">
              <a16:creationId xmlns:a16="http://schemas.microsoft.com/office/drawing/2014/main" id="{00000000-0008-0000-0200-000001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38100"/>
          <a:ext cx="1762125" cy="7143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9</xdr:col>
      <xdr:colOff>105602</xdr:colOff>
      <xdr:row>10</xdr:row>
      <xdr:rowOff>161925</xdr:rowOff>
    </xdr:from>
    <xdr:to>
      <xdr:col>13</xdr:col>
      <xdr:colOff>411645</xdr:colOff>
      <xdr:row>22</xdr:row>
      <xdr:rowOff>215714</xdr:rowOff>
    </xdr:to>
    <xdr:sp macro="" textlink="">
      <xdr:nvSpPr>
        <xdr:cNvPr id="2051" name="AutoShape 2">
          <a:extLst>
            <a:ext uri="{FF2B5EF4-FFF2-40B4-BE49-F238E27FC236}">
              <a16:creationId xmlns:a16="http://schemas.microsoft.com/office/drawing/2014/main" id="{00000000-0008-0000-0200-000003080000}"/>
            </a:ext>
          </a:extLst>
        </xdr:cNvPr>
        <xdr:cNvSpPr>
          <a:spLocks noChangeAspect="1" noChangeArrowheads="1"/>
        </xdr:cNvSpPr>
      </xdr:nvSpPr>
      <xdr:spPr bwMode="auto">
        <a:xfrm>
          <a:off x="5211002" y="2581275"/>
          <a:ext cx="2649192" cy="293370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sp>
    <xdr:clientData/>
  </xdr:twoCellAnchor>
  <xdr:twoCellAnchor>
    <xdr:from>
      <xdr:col>9</xdr:col>
      <xdr:colOff>333256</xdr:colOff>
      <xdr:row>9</xdr:row>
      <xdr:rowOff>46774</xdr:rowOff>
    </xdr:from>
    <xdr:to>
      <xdr:col>13</xdr:col>
      <xdr:colOff>123265</xdr:colOff>
      <xdr:row>13</xdr:row>
      <xdr:rowOff>166512</xdr:rowOff>
    </xdr:to>
    <xdr:grpSp>
      <xdr:nvGrpSpPr>
        <xdr:cNvPr id="6" name="Group 8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pSpPr>
          <a:grpSpLocks noChangeAspect="1"/>
        </xdr:cNvGrpSpPr>
      </xdr:nvGrpSpPr>
      <xdr:grpSpPr bwMode="auto">
        <a:xfrm>
          <a:off x="5343406" y="2218474"/>
          <a:ext cx="2133159" cy="1081763"/>
          <a:chOff x="690" y="272"/>
          <a:chExt cx="395" cy="382"/>
        </a:xfrm>
      </xdr:grpSpPr>
      <xdr:sp macro="" textlink="">
        <xdr:nvSpPr>
          <xdr:cNvPr id="8" name="AutoShape 7">
            <a:extLst>
              <a:ext uri="{FF2B5EF4-FFF2-40B4-BE49-F238E27FC236}">
                <a16:creationId xmlns:a16="http://schemas.microsoft.com/office/drawing/2014/main" id="{00000000-0008-0000-0200-000008000000}"/>
              </a:ext>
            </a:extLst>
          </xdr:cNvPr>
          <xdr:cNvSpPr>
            <a:spLocks noChangeAspect="1" noChangeArrowheads="1" noTextEdit="1"/>
          </xdr:cNvSpPr>
        </xdr:nvSpPr>
        <xdr:spPr bwMode="auto">
          <a:xfrm>
            <a:off x="690" y="272"/>
            <a:ext cx="395" cy="38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sp>
      <xdr:pic>
        <xdr:nvPicPr>
          <xdr:cNvPr id="9" name="Image 8">
            <a:extLst>
              <a:ext uri="{FF2B5EF4-FFF2-40B4-BE49-F238E27FC236}">
                <a16:creationId xmlns:a16="http://schemas.microsoft.com/office/drawing/2014/main" id="{00000000-0008-0000-0200-00000900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690" y="293"/>
            <a:ext cx="374" cy="361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38100</xdr:rowOff>
    </xdr:from>
    <xdr:to>
      <xdr:col>1</xdr:col>
      <xdr:colOff>0</xdr:colOff>
      <xdr:row>2</xdr:row>
      <xdr:rowOff>76200</xdr:rowOff>
    </xdr:to>
    <xdr:sp macro="" textlink="">
      <xdr:nvSpPr>
        <xdr:cNvPr id="3073" name="Text Box 1">
          <a:extLst>
            <a:ext uri="{FF2B5EF4-FFF2-40B4-BE49-F238E27FC236}">
              <a16:creationId xmlns:a16="http://schemas.microsoft.com/office/drawing/2014/main" id="{00000000-0008-0000-0300-0000010C0000}"/>
            </a:ext>
          </a:extLst>
        </xdr:cNvPr>
        <xdr:cNvSpPr txBox="1">
          <a:spLocks noChangeArrowheads="1"/>
        </xdr:cNvSpPr>
      </xdr:nvSpPr>
      <xdr:spPr bwMode="auto">
        <a:xfrm>
          <a:off x="514350" y="390525"/>
          <a:ext cx="0" cy="2381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7</xdr:row>
      <xdr:rowOff>0</xdr:rowOff>
    </xdr:from>
    <xdr:to>
      <xdr:col>1</xdr:col>
      <xdr:colOff>0</xdr:colOff>
      <xdr:row>7</xdr:row>
      <xdr:rowOff>28575</xdr:rowOff>
    </xdr:to>
    <xdr:sp macro="" textlink="">
      <xdr:nvSpPr>
        <xdr:cNvPr id="3074" name="Freeform 2">
          <a:extLst>
            <a:ext uri="{FF2B5EF4-FFF2-40B4-BE49-F238E27FC236}">
              <a16:creationId xmlns:a16="http://schemas.microsoft.com/office/drawing/2014/main" id="{00000000-0008-0000-0300-0000020C0000}"/>
            </a:ext>
          </a:extLst>
        </xdr:cNvPr>
        <xdr:cNvSpPr>
          <a:spLocks/>
        </xdr:cNvSpPr>
      </xdr:nvSpPr>
      <xdr:spPr bwMode="auto">
        <a:xfrm>
          <a:off x="514350" y="1543050"/>
          <a:ext cx="0" cy="28575"/>
        </a:xfrm>
        <a:custGeom>
          <a:avLst/>
          <a:gdLst>
            <a:gd name="T0" fmla="*/ 0 w 143"/>
            <a:gd name="T1" fmla="*/ 0 h 1"/>
            <a:gd name="T2" fmla="*/ 0 w 143"/>
            <a:gd name="T3" fmla="*/ 0 h 1"/>
            <a:gd name="T4" fmla="*/ 0 60000 65536"/>
            <a:gd name="T5" fmla="*/ 0 60000 65536"/>
            <a:gd name="T6" fmla="*/ 0 w 143"/>
            <a:gd name="T7" fmla="*/ 0 h 1"/>
            <a:gd name="T8" fmla="*/ 0 w 143"/>
            <a:gd name="T9" fmla="*/ 1 h 1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43" h="1">
              <a:moveTo>
                <a:pt x="0" y="0"/>
              </a:moveTo>
              <a:lnTo>
                <a:pt x="143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2</xdr:col>
      <xdr:colOff>0</xdr:colOff>
      <xdr:row>7</xdr:row>
      <xdr:rowOff>0</xdr:rowOff>
    </xdr:from>
    <xdr:to>
      <xdr:col>17</xdr:col>
      <xdr:colOff>0</xdr:colOff>
      <xdr:row>7</xdr:row>
      <xdr:rowOff>28575</xdr:rowOff>
    </xdr:to>
    <xdr:sp macro="" textlink="">
      <xdr:nvSpPr>
        <xdr:cNvPr id="3075" name="Freeform 4">
          <a:extLst>
            <a:ext uri="{FF2B5EF4-FFF2-40B4-BE49-F238E27FC236}">
              <a16:creationId xmlns:a16="http://schemas.microsoft.com/office/drawing/2014/main" id="{00000000-0008-0000-0300-0000030C0000}"/>
            </a:ext>
          </a:extLst>
        </xdr:cNvPr>
        <xdr:cNvSpPr>
          <a:spLocks/>
        </xdr:cNvSpPr>
      </xdr:nvSpPr>
      <xdr:spPr bwMode="auto">
        <a:xfrm>
          <a:off x="2409825" y="1543050"/>
          <a:ext cx="10134600" cy="28575"/>
        </a:xfrm>
        <a:custGeom>
          <a:avLst/>
          <a:gdLst>
            <a:gd name="T0" fmla="*/ 0 w 143"/>
            <a:gd name="T1" fmla="*/ 0 h 1"/>
            <a:gd name="T2" fmla="*/ 10477500 w 143"/>
            <a:gd name="T3" fmla="*/ 0 h 1"/>
            <a:gd name="T4" fmla="*/ 0 60000 65536"/>
            <a:gd name="T5" fmla="*/ 0 60000 65536"/>
            <a:gd name="T6" fmla="*/ 0 w 143"/>
            <a:gd name="T7" fmla="*/ 0 h 1"/>
            <a:gd name="T8" fmla="*/ 143 w 143"/>
            <a:gd name="T9" fmla="*/ 1 h 1"/>
          </a:gdLst>
          <a:ahLst/>
          <a:cxnLst>
            <a:cxn ang="T4">
              <a:pos x="T0" y="T1"/>
            </a:cxn>
            <a:cxn ang="T5">
              <a:pos x="T2" y="T3"/>
            </a:cxn>
          </a:cxnLst>
          <a:rect l="T6" t="T7" r="T8" b="T9"/>
          <a:pathLst>
            <a:path w="143" h="1">
              <a:moveTo>
                <a:pt x="0" y="0"/>
              </a:moveTo>
              <a:lnTo>
                <a:pt x="143" y="0"/>
              </a:lnTo>
            </a:path>
          </a:pathLst>
        </a:cu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1</xdr:col>
      <xdr:colOff>0</xdr:colOff>
      <xdr:row>1</xdr:row>
      <xdr:rowOff>38100</xdr:rowOff>
    </xdr:from>
    <xdr:to>
      <xdr:col>1</xdr:col>
      <xdr:colOff>0</xdr:colOff>
      <xdr:row>3</xdr:row>
      <xdr:rowOff>76200</xdr:rowOff>
    </xdr:to>
    <xdr:sp macro="" textlink="">
      <xdr:nvSpPr>
        <xdr:cNvPr id="3076" name="Text Box 5">
          <a:extLst>
            <a:ext uri="{FF2B5EF4-FFF2-40B4-BE49-F238E27FC236}">
              <a16:creationId xmlns:a16="http://schemas.microsoft.com/office/drawing/2014/main" id="{00000000-0008-0000-0300-0000040C0000}"/>
            </a:ext>
          </a:extLst>
        </xdr:cNvPr>
        <xdr:cNvSpPr txBox="1">
          <a:spLocks noChangeArrowheads="1"/>
        </xdr:cNvSpPr>
      </xdr:nvSpPr>
      <xdr:spPr bwMode="auto">
        <a:xfrm>
          <a:off x="514350" y="390525"/>
          <a:ext cx="0" cy="4286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</xdr:row>
      <xdr:rowOff>38100</xdr:rowOff>
    </xdr:from>
    <xdr:to>
      <xdr:col>1</xdr:col>
      <xdr:colOff>0</xdr:colOff>
      <xdr:row>2</xdr:row>
      <xdr:rowOff>76200</xdr:rowOff>
    </xdr:to>
    <xdr:sp macro="" textlink="">
      <xdr:nvSpPr>
        <xdr:cNvPr id="3077" name="Text Box 31">
          <a:extLst>
            <a:ext uri="{FF2B5EF4-FFF2-40B4-BE49-F238E27FC236}">
              <a16:creationId xmlns:a16="http://schemas.microsoft.com/office/drawing/2014/main" id="{00000000-0008-0000-0300-0000050C0000}"/>
            </a:ext>
          </a:extLst>
        </xdr:cNvPr>
        <xdr:cNvSpPr txBox="1">
          <a:spLocks noChangeArrowheads="1"/>
        </xdr:cNvSpPr>
      </xdr:nvSpPr>
      <xdr:spPr bwMode="auto">
        <a:xfrm>
          <a:off x="514350" y="390525"/>
          <a:ext cx="0" cy="2381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1</xdr:row>
      <xdr:rowOff>38100</xdr:rowOff>
    </xdr:from>
    <xdr:to>
      <xdr:col>1</xdr:col>
      <xdr:colOff>0</xdr:colOff>
      <xdr:row>3</xdr:row>
      <xdr:rowOff>76200</xdr:rowOff>
    </xdr:to>
    <xdr:sp macro="" textlink="">
      <xdr:nvSpPr>
        <xdr:cNvPr id="3078" name="Text Box 32">
          <a:extLst>
            <a:ext uri="{FF2B5EF4-FFF2-40B4-BE49-F238E27FC236}">
              <a16:creationId xmlns:a16="http://schemas.microsoft.com/office/drawing/2014/main" id="{00000000-0008-0000-0300-0000060C0000}"/>
            </a:ext>
          </a:extLst>
        </xdr:cNvPr>
        <xdr:cNvSpPr txBox="1">
          <a:spLocks noChangeArrowheads="1"/>
        </xdr:cNvSpPr>
      </xdr:nvSpPr>
      <xdr:spPr bwMode="auto">
        <a:xfrm>
          <a:off x="514350" y="390525"/>
          <a:ext cx="0" cy="428625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</xdr:row>
      <xdr:rowOff>38100</xdr:rowOff>
    </xdr:from>
    <xdr:to>
      <xdr:col>1</xdr:col>
      <xdr:colOff>0</xdr:colOff>
      <xdr:row>3</xdr:row>
      <xdr:rowOff>76200</xdr:rowOff>
    </xdr:to>
    <xdr:sp macro="" textlink="">
      <xdr:nvSpPr>
        <xdr:cNvPr id="3079" name="Text Box 33">
          <a:extLst>
            <a:ext uri="{FF2B5EF4-FFF2-40B4-BE49-F238E27FC236}">
              <a16:creationId xmlns:a16="http://schemas.microsoft.com/office/drawing/2014/main" id="{00000000-0008-0000-0300-0000070C0000}"/>
            </a:ext>
          </a:extLst>
        </xdr:cNvPr>
        <xdr:cNvSpPr txBox="1">
          <a:spLocks noChangeArrowheads="1"/>
        </xdr:cNvSpPr>
      </xdr:nvSpPr>
      <xdr:spPr bwMode="auto">
        <a:xfrm>
          <a:off x="514350" y="590550"/>
          <a:ext cx="0" cy="22860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2</xdr:row>
      <xdr:rowOff>38100</xdr:rowOff>
    </xdr:from>
    <xdr:to>
      <xdr:col>1</xdr:col>
      <xdr:colOff>0</xdr:colOff>
      <xdr:row>4</xdr:row>
      <xdr:rowOff>76200</xdr:rowOff>
    </xdr:to>
    <xdr:sp macro="" textlink="">
      <xdr:nvSpPr>
        <xdr:cNvPr id="3080" name="Text Box 34">
          <a:extLst>
            <a:ext uri="{FF2B5EF4-FFF2-40B4-BE49-F238E27FC236}">
              <a16:creationId xmlns:a16="http://schemas.microsoft.com/office/drawing/2014/main" id="{00000000-0008-0000-0300-0000080C0000}"/>
            </a:ext>
          </a:extLst>
        </xdr:cNvPr>
        <xdr:cNvSpPr txBox="1">
          <a:spLocks noChangeArrowheads="1"/>
        </xdr:cNvSpPr>
      </xdr:nvSpPr>
      <xdr:spPr bwMode="auto">
        <a:xfrm>
          <a:off x="514350" y="590550"/>
          <a:ext cx="0" cy="41910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</xdr:sp>
    <xdr:clientData/>
  </xdr:twoCellAnchor>
  <xdr:twoCellAnchor>
    <xdr:from>
      <xdr:col>1</xdr:col>
      <xdr:colOff>0</xdr:colOff>
      <xdr:row>4</xdr:row>
      <xdr:rowOff>38100</xdr:rowOff>
    </xdr:from>
    <xdr:to>
      <xdr:col>1</xdr:col>
      <xdr:colOff>0</xdr:colOff>
      <xdr:row>5</xdr:row>
      <xdr:rowOff>76200</xdr:rowOff>
    </xdr:to>
    <xdr:sp macro="" textlink="">
      <xdr:nvSpPr>
        <xdr:cNvPr id="3081" name="Text Box 35">
          <a:extLst>
            <a:ext uri="{FF2B5EF4-FFF2-40B4-BE49-F238E27FC236}">
              <a16:creationId xmlns:a16="http://schemas.microsoft.com/office/drawing/2014/main" id="{00000000-0008-0000-0300-0000090C0000}"/>
            </a:ext>
          </a:extLst>
        </xdr:cNvPr>
        <xdr:cNvSpPr txBox="1">
          <a:spLocks noChangeArrowheads="1"/>
        </xdr:cNvSpPr>
      </xdr:nvSpPr>
      <xdr:spPr bwMode="auto">
        <a:xfrm>
          <a:off x="514350" y="971550"/>
          <a:ext cx="0" cy="266700"/>
        </a:xfrm>
        <a:prstGeom prst="rect">
          <a:avLst/>
        </a:prstGeom>
        <a:solidFill>
          <a:srgbClr val="FFFFFF"/>
        </a:solidFill>
        <a:ln w="9525">
          <a:noFill/>
          <a:miter lim="800000"/>
          <a:headEnd/>
          <a:tailEnd/>
        </a:ln>
      </xdr:spPr>
    </xdr:sp>
    <xdr:clientData/>
  </xdr:twoCellAnchor>
  <xdr:twoCellAnchor editAs="oneCell">
    <xdr:from>
      <xdr:col>0</xdr:col>
      <xdr:colOff>0</xdr:colOff>
      <xdr:row>0</xdr:row>
      <xdr:rowOff>47625</xdr:rowOff>
    </xdr:from>
    <xdr:to>
      <xdr:col>2</xdr:col>
      <xdr:colOff>742950</xdr:colOff>
      <xdr:row>3</xdr:row>
      <xdr:rowOff>95250</xdr:rowOff>
    </xdr:to>
    <xdr:pic>
      <xdr:nvPicPr>
        <xdr:cNvPr id="3082" name="Image 12">
          <a:extLst>
            <a:ext uri="{FF2B5EF4-FFF2-40B4-BE49-F238E27FC236}">
              <a16:creationId xmlns:a16="http://schemas.microsoft.com/office/drawing/2014/main" id="{00000000-0008-0000-0300-00000A0C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47625"/>
          <a:ext cx="2000250" cy="7905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188664</xdr:colOff>
      <xdr:row>6</xdr:row>
      <xdr:rowOff>135234</xdr:rowOff>
    </xdr:from>
    <xdr:to>
      <xdr:col>11</xdr:col>
      <xdr:colOff>545012</xdr:colOff>
      <xdr:row>31</xdr:row>
      <xdr:rowOff>145039</xdr:rowOff>
    </xdr:to>
    <xdr:graphicFrame macro="">
      <xdr:nvGraphicFramePr>
        <xdr:cNvPr id="4097" name="Graphique 10">
          <a:extLst>
            <a:ext uri="{FF2B5EF4-FFF2-40B4-BE49-F238E27FC236}">
              <a16:creationId xmlns:a16="http://schemas.microsoft.com/office/drawing/2014/main" id="{00000000-0008-0000-0400-000001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133350</xdr:colOff>
      <xdr:row>39</xdr:row>
      <xdr:rowOff>86553</xdr:rowOff>
    </xdr:from>
    <xdr:to>
      <xdr:col>23</xdr:col>
      <xdr:colOff>515471</xdr:colOff>
      <xdr:row>65</xdr:row>
      <xdr:rowOff>100853</xdr:rowOff>
    </xdr:to>
    <xdr:graphicFrame macro="">
      <xdr:nvGraphicFramePr>
        <xdr:cNvPr id="4098" name="Graphique 13">
          <a:extLst>
            <a:ext uri="{FF2B5EF4-FFF2-40B4-BE49-F238E27FC236}">
              <a16:creationId xmlns:a16="http://schemas.microsoft.com/office/drawing/2014/main" id="{00000000-0008-0000-0400-0000021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9525</xdr:colOff>
      <xdr:row>34</xdr:row>
      <xdr:rowOff>0</xdr:rowOff>
    </xdr:from>
    <xdr:to>
      <xdr:col>4</xdr:col>
      <xdr:colOff>86845</xdr:colOff>
      <xdr:row>38</xdr:row>
      <xdr:rowOff>107016</xdr:rowOff>
    </xdr:to>
    <xdr:pic>
      <xdr:nvPicPr>
        <xdr:cNvPr id="4099" name="Image 9">
          <a:extLst>
            <a:ext uri="{FF2B5EF4-FFF2-40B4-BE49-F238E27FC236}">
              <a16:creationId xmlns:a16="http://schemas.microsoft.com/office/drawing/2014/main" id="{00000000-0008-0000-0400-000003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373207" y="5888182"/>
          <a:ext cx="1999638" cy="799743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13</xdr:col>
      <xdr:colOff>7843</xdr:colOff>
      <xdr:row>33</xdr:row>
      <xdr:rowOff>145676</xdr:rowOff>
    </xdr:from>
    <xdr:to>
      <xdr:col>16</xdr:col>
      <xdr:colOff>81243</xdr:colOff>
      <xdr:row>38</xdr:row>
      <xdr:rowOff>84604</xdr:rowOff>
    </xdr:to>
    <xdr:pic>
      <xdr:nvPicPr>
        <xdr:cNvPr id="4100" name="Image 13">
          <a:extLst>
            <a:ext uri="{FF2B5EF4-FFF2-40B4-BE49-F238E27FC236}">
              <a16:creationId xmlns:a16="http://schemas.microsoft.com/office/drawing/2014/main" id="{00000000-0008-0000-0400-0000041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7672667" y="5524500"/>
          <a:ext cx="1989605" cy="779369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</xdr:col>
      <xdr:colOff>114300</xdr:colOff>
      <xdr:row>72</xdr:row>
      <xdr:rowOff>66675</xdr:rowOff>
    </xdr:from>
    <xdr:to>
      <xdr:col>11</xdr:col>
      <xdr:colOff>493059</xdr:colOff>
      <xdr:row>98</xdr:row>
      <xdr:rowOff>78441</xdr:rowOff>
    </xdr:to>
    <xdr:graphicFrame macro="">
      <xdr:nvGraphicFramePr>
        <xdr:cNvPr id="6" name="Graphique 14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400050</xdr:colOff>
      <xdr:row>67</xdr:row>
      <xdr:rowOff>0</xdr:rowOff>
    </xdr:from>
    <xdr:to>
      <xdr:col>3</xdr:col>
      <xdr:colOff>630330</xdr:colOff>
      <xdr:row>71</xdr:row>
      <xdr:rowOff>7284</xdr:rowOff>
    </xdr:to>
    <xdr:pic>
      <xdr:nvPicPr>
        <xdr:cNvPr id="7" name="Image 13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6096000" y="0"/>
          <a:ext cx="1981200" cy="781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13</xdr:col>
      <xdr:colOff>400050</xdr:colOff>
      <xdr:row>67</xdr:row>
      <xdr:rowOff>0</xdr:rowOff>
    </xdr:from>
    <xdr:to>
      <xdr:col>15</xdr:col>
      <xdr:colOff>630332</xdr:colOff>
      <xdr:row>71</xdr:row>
      <xdr:rowOff>7284</xdr:rowOff>
    </xdr:to>
    <xdr:pic>
      <xdr:nvPicPr>
        <xdr:cNvPr id="8" name="Image 13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400050" y="5581650"/>
          <a:ext cx="1504950" cy="6762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13</xdr:col>
      <xdr:colOff>118782</xdr:colOff>
      <xdr:row>72</xdr:row>
      <xdr:rowOff>55469</xdr:rowOff>
    </xdr:from>
    <xdr:to>
      <xdr:col>23</xdr:col>
      <xdr:colOff>515471</xdr:colOff>
      <xdr:row>98</xdr:row>
      <xdr:rowOff>89646</xdr:rowOff>
    </xdr:to>
    <xdr:graphicFrame macro="">
      <xdr:nvGraphicFramePr>
        <xdr:cNvPr id="9" name="Graphique 15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1</xdr:col>
      <xdr:colOff>9525</xdr:colOff>
      <xdr:row>1</xdr:row>
      <xdr:rowOff>0</xdr:rowOff>
    </xdr:from>
    <xdr:ext cx="1996937" cy="782292"/>
    <xdr:pic>
      <xdr:nvPicPr>
        <xdr:cNvPr id="11" name="Image 9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9525" y="5582478"/>
          <a:ext cx="1996937" cy="78229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oneCellAnchor>
    <xdr:from>
      <xdr:col>13</xdr:col>
      <xdr:colOff>63873</xdr:colOff>
      <xdr:row>1</xdr:row>
      <xdr:rowOff>0</xdr:rowOff>
    </xdr:from>
    <xdr:ext cx="1991554" cy="782292"/>
    <xdr:pic>
      <xdr:nvPicPr>
        <xdr:cNvPr id="12" name="Image 13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7728697" y="0"/>
          <a:ext cx="1991554" cy="782292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oneCellAnchor>
  <xdr:twoCellAnchor editAs="absolute">
    <xdr:from>
      <xdr:col>1</xdr:col>
      <xdr:colOff>224958</xdr:colOff>
      <xdr:row>39</xdr:row>
      <xdr:rowOff>56958</xdr:rowOff>
    </xdr:from>
    <xdr:to>
      <xdr:col>11</xdr:col>
      <xdr:colOff>557237</xdr:colOff>
      <xdr:row>65</xdr:row>
      <xdr:rowOff>21392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155419</xdr:colOff>
      <xdr:row>7</xdr:row>
      <xdr:rowOff>27285</xdr:rowOff>
    </xdr:from>
    <xdr:to>
      <xdr:col>23</xdr:col>
      <xdr:colOff>470647</xdr:colOff>
      <xdr:row>32</xdr:row>
      <xdr:rowOff>33618</xdr:rowOff>
    </xdr:to>
    <xdr:graphicFrame macro="">
      <xdr:nvGraphicFramePr>
        <xdr:cNvPr id="14" name="Graphique 11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352425</xdr:colOff>
          <xdr:row>1</xdr:row>
          <xdr:rowOff>152400</xdr:rowOff>
        </xdr:from>
        <xdr:to>
          <xdr:col>27</xdr:col>
          <xdr:colOff>247650</xdr:colOff>
          <xdr:row>3</xdr:row>
          <xdr:rowOff>123825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MAJ</a:t>
              </a:r>
            </a:p>
          </xdr:txBody>
        </xdr:sp>
        <xdr:clientData fPrintsWithSheet="0"/>
      </xdr:twoCellAnchor>
    </mc:Choice>
    <mc:Fallback/>
  </mc:AlternateContent>
  <xdr:twoCellAnchor>
    <xdr:from>
      <xdr:col>4</xdr:col>
      <xdr:colOff>488576</xdr:colOff>
      <xdr:row>74</xdr:row>
      <xdr:rowOff>91888</xdr:rowOff>
    </xdr:from>
    <xdr:to>
      <xdr:col>9</xdr:col>
      <xdr:colOff>116540</xdr:colOff>
      <xdr:row>77</xdr:row>
      <xdr:rowOff>53787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 rot="10800000" flipV="1">
          <a:off x="2763370" y="12530417"/>
          <a:ext cx="2821641" cy="46616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valeur</a:t>
          </a:r>
          <a:r>
            <a:rPr lang="fr-FR" sz="1100" baseline="0"/>
            <a:t> positive :    déplacement vers la GGS valeur négative :   déplacement vers la GVA</a:t>
          </a:r>
          <a:endParaRPr lang="fr-FR" sz="1100"/>
        </a:p>
      </xdr:txBody>
    </xdr:sp>
    <xdr:clientData/>
  </xdr:twoCellAnchor>
  <xdr:twoCellAnchor>
    <xdr:from>
      <xdr:col>16</xdr:col>
      <xdr:colOff>292473</xdr:colOff>
      <xdr:row>74</xdr:row>
      <xdr:rowOff>111499</xdr:rowOff>
    </xdr:from>
    <xdr:to>
      <xdr:col>20</xdr:col>
      <xdr:colOff>559734</xdr:colOff>
      <xdr:row>77</xdr:row>
      <xdr:rowOff>73398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 txBox="1"/>
      </xdr:nvSpPr>
      <xdr:spPr>
        <a:xfrm rot="10800000" flipV="1">
          <a:off x="10232091" y="12550028"/>
          <a:ext cx="2822202" cy="466164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valeur</a:t>
          </a:r>
          <a:r>
            <a:rPr lang="fr-FR" sz="1100" baseline="0"/>
            <a:t> positive :    déplacement vers la GRD4</a:t>
          </a:r>
        </a:p>
        <a:p>
          <a:pPr algn="l"/>
          <a:r>
            <a:rPr lang="fr-FR" sz="1100" baseline="0"/>
            <a:t>valeur négative :   déplacement vers la GRD6</a:t>
          </a:r>
          <a:endParaRPr lang="fr-FR" sz="1100"/>
        </a:p>
      </xdr:txBody>
    </xdr:sp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0.00856</cdr:x>
      <cdr:y>0.01175</cdr:y>
    </cdr:from>
    <cdr:to>
      <cdr:x>0.00856</cdr:x>
      <cdr:y>0.01175</cdr:y>
    </cdr:to>
    <cdr:grpSp>
      <cdr:nvGrpSpPr>
        <cdr:cNvPr id="3" name="Group 8">
          <a:extLst xmlns:a="http://schemas.openxmlformats.org/drawingml/2006/main">
            <a:ext uri="{FF2B5EF4-FFF2-40B4-BE49-F238E27FC236}">
              <a16:creationId xmlns:a16="http://schemas.microsoft.com/office/drawing/2014/main" id="{F259A70D-267A-478D-9AA5-84B547088173}"/>
            </a:ext>
          </a:extLst>
        </cdr:cNvPr>
        <cdr:cNvGrpSpPr>
          <a:grpSpLocks xmlns:a="http://schemas.openxmlformats.org/drawingml/2006/main" noChangeAspect="1"/>
        </cdr:cNvGrpSpPr>
      </cdr:nvGrpSpPr>
      <cdr:grpSpPr bwMode="auto">
        <a:xfrm xmlns:a="http://schemas.openxmlformats.org/drawingml/2006/main">
          <a:off x="57678" y="50479"/>
          <a:ext cx="0" cy="0"/>
          <a:chOff x="57678" y="50479"/>
          <a:chExt cx="0" cy="0"/>
        </a:xfrm>
      </cdr:grpSpPr>
      <cdr:sp macro="" textlink="">
        <cdr:nvSpPr>
          <cdr:cNvPr id="4" name="AutoShape 7"/>
          <cdr:cNvSpPr>
            <a:spLocks xmlns:a="http://schemas.openxmlformats.org/drawingml/2006/main" noChangeAspect="1" noChangeArrowheads="1" noTextEdit="1"/>
          </cdr:cNvSpPr>
        </cdr:nvSpPr>
        <cdr:spPr bwMode="auto">
          <a:xfrm xmlns:a="http://schemas.openxmlformats.org/drawingml/2006/main">
            <a:off x="0" y="0"/>
            <a:ext cx="0" cy="0"/>
          </a:xfrm>
          <a:prstGeom xmlns:a="http://schemas.openxmlformats.org/drawingml/2006/main" prst="rect">
            <a:avLst/>
          </a:prstGeom>
          <a:noFill xmlns:a="http://schemas.openxmlformats.org/drawingml/2006/main"/>
          <a:ln xmlns:a="http://schemas.openxmlformats.org/drawingml/2006/main">
            <a:noFill/>
          </a:ln>
          <a:extLst xmlns:a="http://schemas.openxmlformats.org/drawingml/2006/main"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cdr:spPr>
        <cdr:txBody>
          <a:bodyPr xmlns:a="http://schemas.openxmlformats.org/drawingml/2006/main"/>
          <a:lstStyle xmlns:a="http://schemas.openxmlformats.org/drawingml/2006/main"/>
          <a:p xmlns:a="http://schemas.openxmlformats.org/drawingml/2006/main">
            <a:endParaRPr lang="fr-FR"/>
          </a:p>
        </cdr:txBody>
      </cdr:sp>
      <cdr:pic>
        <cdr:nvPicPr>
          <cdr:cNvPr id="5" name="Image 4">
            <a:extLst xmlns:a="http://schemas.openxmlformats.org/drawingml/2006/main">
              <a:ext uri="{FF2B5EF4-FFF2-40B4-BE49-F238E27FC236}">
                <a16:creationId xmlns:a16="http://schemas.microsoft.com/office/drawing/2014/main" id="{4933875D-3AFA-4DD1-8581-7A3D99F1AA6A}"/>
              </a:ext>
            </a:extLst>
          </cdr:cNvPr>
          <cdr:cNvPicPr>
            <a:picLocks xmlns:a="http://schemas.openxmlformats.org/drawingml/2006/main" noChangeAspect="1" noChangeArrowheads="1"/>
          </cdr:cNvPicPr>
        </cdr:nvPicPr>
        <cdr:blipFill>
          <a:blip xmlns:a="http://schemas.openxmlformats.org/drawingml/2006/main"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xmlns:a="http://schemas.openxmlformats.org/drawingml/2006/main"/>
          <a:stretch xmlns:a="http://schemas.openxmlformats.org/drawingml/2006/main">
            <a:fillRect/>
          </a:stretch>
        </cdr:blipFill>
        <cdr:spPr bwMode="auto">
          <a:xfrm xmlns:a="http://schemas.openxmlformats.org/drawingml/2006/main">
            <a:off x="0" y="0"/>
            <a:ext cx="0" cy="0"/>
          </a:xfrm>
          <a:prstGeom xmlns:a="http://schemas.openxmlformats.org/drawingml/2006/main" prst="rect">
            <a:avLst/>
          </a:prstGeom>
          <a:noFill xmlns:a="http://schemas.openxmlformats.org/drawingml/2006/main"/>
          <a:ln xmlns:a="http://schemas.openxmlformats.org/drawingml/2006/main">
            <a:noFill/>
          </a:ln>
          <a:extLst xmlns:a="http://schemas.openxmlformats.org/drawingml/2006/main"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cdr:spPr>
      </cdr:pic>
    </cdr:grpSp>
  </cdr:relSizeAnchor>
  <cdr:relSizeAnchor xmlns:cdr="http://schemas.openxmlformats.org/drawingml/2006/chartDrawing">
    <cdr:from>
      <cdr:x>0.00856</cdr:x>
      <cdr:y>0.01175</cdr:y>
    </cdr:from>
    <cdr:to>
      <cdr:x>0.00856</cdr:x>
      <cdr:y>0.01175</cdr:y>
    </cdr:to>
    <cdr:grpSp>
      <cdr:nvGrpSpPr>
        <cdr:cNvPr id="6" name="Group 8">
          <a:extLst xmlns:a="http://schemas.openxmlformats.org/drawingml/2006/main">
            <a:ext uri="{FF2B5EF4-FFF2-40B4-BE49-F238E27FC236}">
              <a16:creationId xmlns:a16="http://schemas.microsoft.com/office/drawing/2014/main" id="{D3E494CC-9552-4FC7-B025-D87093F3D9A6}"/>
            </a:ext>
          </a:extLst>
        </cdr:cNvPr>
        <cdr:cNvGrpSpPr>
          <a:grpSpLocks xmlns:a="http://schemas.openxmlformats.org/drawingml/2006/main" noChangeAspect="1"/>
        </cdr:cNvGrpSpPr>
      </cdr:nvGrpSpPr>
      <cdr:grpSpPr bwMode="auto">
        <a:xfrm xmlns:a="http://schemas.openxmlformats.org/drawingml/2006/main">
          <a:off x="57678" y="50479"/>
          <a:ext cx="0" cy="0"/>
          <a:chOff x="57678" y="50479"/>
          <a:chExt cx="0" cy="0"/>
        </a:xfrm>
      </cdr:grpSpPr>
      <cdr:sp macro="" textlink="">
        <cdr:nvSpPr>
          <cdr:cNvPr id="7" name="AutoShape 7"/>
          <cdr:cNvSpPr>
            <a:spLocks xmlns:a="http://schemas.openxmlformats.org/drawingml/2006/main" noChangeAspect="1" noChangeArrowheads="1" noTextEdit="1"/>
          </cdr:cNvSpPr>
        </cdr:nvSpPr>
        <cdr:spPr bwMode="auto">
          <a:xfrm xmlns:a="http://schemas.openxmlformats.org/drawingml/2006/main">
            <a:off x="0" y="0"/>
            <a:ext cx="0" cy="0"/>
          </a:xfrm>
          <a:prstGeom xmlns:a="http://schemas.openxmlformats.org/drawingml/2006/main" prst="rect">
            <a:avLst/>
          </a:prstGeom>
          <a:noFill xmlns:a="http://schemas.openxmlformats.org/drawingml/2006/main"/>
          <a:ln xmlns:a="http://schemas.openxmlformats.org/drawingml/2006/main">
            <a:noFill/>
          </a:ln>
          <a:extLst xmlns:a="http://schemas.openxmlformats.org/drawingml/2006/main"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cdr:spPr>
        <cdr:txBody>
          <a:bodyPr xmlns:a="http://schemas.openxmlformats.org/drawingml/2006/main"/>
          <a:lstStyle xmlns:a="http://schemas.openxmlformats.org/drawingml/2006/main"/>
          <a:p xmlns:a="http://schemas.openxmlformats.org/drawingml/2006/main">
            <a:endParaRPr lang="fr-FR"/>
          </a:p>
        </cdr:txBody>
      </cdr:sp>
      <cdr:pic>
        <cdr:nvPicPr>
          <cdr:cNvPr id="8" name="Image 7">
            <a:extLst xmlns:a="http://schemas.openxmlformats.org/drawingml/2006/main">
              <a:ext uri="{FF2B5EF4-FFF2-40B4-BE49-F238E27FC236}">
                <a16:creationId xmlns:a16="http://schemas.microsoft.com/office/drawing/2014/main" id="{2AEA9087-24FF-47F8-88F6-78DC384BB45F}"/>
              </a:ext>
            </a:extLst>
          </cdr:cNvPr>
          <cdr:cNvPicPr>
            <a:picLocks xmlns:a="http://schemas.openxmlformats.org/drawingml/2006/main" noChangeAspect="1" noChangeArrowheads="1"/>
          </cdr:cNvPicPr>
        </cdr:nvPicPr>
        <cdr:blipFill>
          <a:blip xmlns:a="http://schemas.openxmlformats.org/drawingml/2006/main"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xmlns:a="http://schemas.openxmlformats.org/drawingml/2006/main"/>
          <a:stretch xmlns:a="http://schemas.openxmlformats.org/drawingml/2006/main">
            <a:fillRect/>
          </a:stretch>
        </cdr:blipFill>
        <cdr:spPr bwMode="auto">
          <a:xfrm xmlns:a="http://schemas.openxmlformats.org/drawingml/2006/main">
            <a:off x="0" y="0"/>
            <a:ext cx="0" cy="0"/>
          </a:xfrm>
          <a:prstGeom xmlns:a="http://schemas.openxmlformats.org/drawingml/2006/main" prst="rect">
            <a:avLst/>
          </a:prstGeom>
          <a:noFill xmlns:a="http://schemas.openxmlformats.org/drawingml/2006/main"/>
          <a:ln xmlns:a="http://schemas.openxmlformats.org/drawingml/2006/main">
            <a:noFill/>
          </a:ln>
          <a:extLst xmlns:a="http://schemas.openxmlformats.org/drawingml/2006/main"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cdr:spPr>
      </cdr:pic>
    </cdr:grpSp>
  </cdr:relSizeAnchor>
  <cdr:relSizeAnchor xmlns:cdr="http://schemas.openxmlformats.org/drawingml/2006/chartDrawing">
    <cdr:from>
      <cdr:x>0.00856</cdr:x>
      <cdr:y>0.01175</cdr:y>
    </cdr:from>
    <cdr:to>
      <cdr:x>0.00856</cdr:x>
      <cdr:y>0.01175</cdr:y>
    </cdr:to>
    <cdr:grpSp>
      <cdr:nvGrpSpPr>
        <cdr:cNvPr id="9" name="Group 8">
          <a:extLst xmlns:a="http://schemas.openxmlformats.org/drawingml/2006/main">
            <a:ext uri="{FF2B5EF4-FFF2-40B4-BE49-F238E27FC236}">
              <a16:creationId xmlns:a16="http://schemas.microsoft.com/office/drawing/2014/main" id="{18C5E73D-1670-45C3-BC31-5718A4518ABA}"/>
            </a:ext>
          </a:extLst>
        </cdr:cNvPr>
        <cdr:cNvGrpSpPr>
          <a:grpSpLocks xmlns:a="http://schemas.openxmlformats.org/drawingml/2006/main" noChangeAspect="1"/>
        </cdr:cNvGrpSpPr>
      </cdr:nvGrpSpPr>
      <cdr:grpSpPr bwMode="auto">
        <a:xfrm xmlns:a="http://schemas.openxmlformats.org/drawingml/2006/main">
          <a:off x="57678" y="50479"/>
          <a:ext cx="0" cy="0"/>
          <a:chOff x="57678" y="50479"/>
          <a:chExt cx="0" cy="0"/>
        </a:xfrm>
      </cdr:grpSpPr>
      <cdr:sp macro="" textlink="">
        <cdr:nvSpPr>
          <cdr:cNvPr id="10" name="AutoShape 7"/>
          <cdr:cNvSpPr>
            <a:spLocks xmlns:a="http://schemas.openxmlformats.org/drawingml/2006/main" noChangeAspect="1" noChangeArrowheads="1" noTextEdit="1"/>
          </cdr:cNvSpPr>
        </cdr:nvSpPr>
        <cdr:spPr bwMode="auto">
          <a:xfrm xmlns:a="http://schemas.openxmlformats.org/drawingml/2006/main">
            <a:off x="0" y="0"/>
            <a:ext cx="0" cy="0"/>
          </a:xfrm>
          <a:prstGeom xmlns:a="http://schemas.openxmlformats.org/drawingml/2006/main" prst="rect">
            <a:avLst/>
          </a:prstGeom>
          <a:noFill xmlns:a="http://schemas.openxmlformats.org/drawingml/2006/main"/>
          <a:ln xmlns:a="http://schemas.openxmlformats.org/drawingml/2006/main">
            <a:noFill/>
          </a:ln>
          <a:extLst xmlns:a="http://schemas.openxmlformats.org/drawingml/2006/main"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cdr:spPr>
        <cdr:txBody>
          <a:bodyPr xmlns:a="http://schemas.openxmlformats.org/drawingml/2006/main"/>
          <a:lstStyle xmlns:a="http://schemas.openxmlformats.org/drawingml/2006/main"/>
          <a:p xmlns:a="http://schemas.openxmlformats.org/drawingml/2006/main">
            <a:endParaRPr lang="fr-FR"/>
          </a:p>
        </cdr:txBody>
      </cdr:sp>
      <cdr:pic>
        <cdr:nvPicPr>
          <cdr:cNvPr id="11" name="Image 10">
            <a:extLst xmlns:a="http://schemas.openxmlformats.org/drawingml/2006/main">
              <a:ext uri="{FF2B5EF4-FFF2-40B4-BE49-F238E27FC236}">
                <a16:creationId xmlns:a16="http://schemas.microsoft.com/office/drawing/2014/main" id="{B4DF9567-BE03-4838-B435-85335503383C}"/>
              </a:ext>
            </a:extLst>
          </cdr:cNvPr>
          <cdr:cNvPicPr>
            <a:picLocks xmlns:a="http://schemas.openxmlformats.org/drawingml/2006/main" noChangeAspect="1" noChangeArrowheads="1"/>
          </cdr:cNvPicPr>
        </cdr:nvPicPr>
        <cdr:blipFill>
          <a:blip xmlns:a="http://schemas.openxmlformats.org/drawingml/2006/main"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xmlns:a="http://schemas.openxmlformats.org/drawingml/2006/main"/>
          <a:stretch xmlns:a="http://schemas.openxmlformats.org/drawingml/2006/main">
            <a:fillRect/>
          </a:stretch>
        </cdr:blipFill>
        <cdr:spPr bwMode="auto">
          <a:xfrm xmlns:a="http://schemas.openxmlformats.org/drawingml/2006/main">
            <a:off x="0" y="0"/>
            <a:ext cx="0" cy="0"/>
          </a:xfrm>
          <a:prstGeom xmlns:a="http://schemas.openxmlformats.org/drawingml/2006/main" prst="rect">
            <a:avLst/>
          </a:prstGeom>
          <a:noFill xmlns:a="http://schemas.openxmlformats.org/drawingml/2006/main"/>
          <a:ln xmlns:a="http://schemas.openxmlformats.org/drawingml/2006/main">
            <a:noFill/>
          </a:ln>
          <a:extLst xmlns:a="http://schemas.openxmlformats.org/drawingml/2006/main"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cdr:spPr>
      </cdr:pic>
    </cdr:grpSp>
  </cdr:relSizeAnchor>
  <cdr:relSizeAnchor xmlns:cdr="http://schemas.openxmlformats.org/drawingml/2006/chartDrawing">
    <cdr:from>
      <cdr:x>0.18004</cdr:x>
      <cdr:y>0.5222</cdr:y>
    </cdr:from>
    <cdr:to>
      <cdr:x>0.31267</cdr:x>
      <cdr:y>0.70085</cdr:y>
    </cdr:to>
    <cdr:pic>
      <cdr:nvPicPr>
        <cdr:cNvPr id="12" name="Image 11">
          <a:extLst xmlns:a="http://schemas.openxmlformats.org/drawingml/2006/main">
            <a:ext uri="{FF2B5EF4-FFF2-40B4-BE49-F238E27FC236}">
              <a16:creationId xmlns:a16="http://schemas.microsoft.com/office/drawing/2014/main" id="{6C290DCA-DB2D-41DE-B3DA-E2BCDC5ACD33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1214124" y="2199495"/>
          <a:ext cx="894418" cy="75247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</cdr:pic>
  </cdr:relSizeAnchor>
  <cdr:relSizeAnchor xmlns:cdr="http://schemas.openxmlformats.org/drawingml/2006/chartDrawing">
    <cdr:from>
      <cdr:x>0.27069</cdr:x>
      <cdr:y>0.09101</cdr:y>
    </cdr:from>
    <cdr:to>
      <cdr:x>0.71489</cdr:x>
      <cdr:y>0.28616</cdr:y>
    </cdr:to>
    <cdr:pic>
      <cdr:nvPicPr>
        <cdr:cNvPr id="2" name="Image 1">
          <a:extLst xmlns:a="http://schemas.openxmlformats.org/drawingml/2006/main">
            <a:ext uri="{FF2B5EF4-FFF2-40B4-BE49-F238E27FC236}">
              <a16:creationId xmlns:a16="http://schemas.microsoft.com/office/drawing/2014/main" id="{19B43B59-DEDB-4714-AFFF-A16C64DABFE9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cdr:blipFill>
      <cdr:spPr>
        <a:xfrm xmlns:a="http://schemas.openxmlformats.org/drawingml/2006/main">
          <a:off x="1822808" y="396626"/>
          <a:ext cx="2991224" cy="850507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0.00856</cdr:x>
      <cdr:y>0.01175</cdr:y>
    </cdr:from>
    <cdr:to>
      <cdr:x>0.00856</cdr:x>
      <cdr:y>0.01175</cdr:y>
    </cdr:to>
    <cdr:grpSp>
      <cdr:nvGrpSpPr>
        <cdr:cNvPr id="3" name="Group 8">
          <a:extLst xmlns:a="http://schemas.openxmlformats.org/drawingml/2006/main">
            <a:ext uri="{FF2B5EF4-FFF2-40B4-BE49-F238E27FC236}">
              <a16:creationId xmlns:a16="http://schemas.microsoft.com/office/drawing/2014/main" id="{50D5F7DE-DE61-4736-AC66-3BCA1704E6AD}"/>
            </a:ext>
          </a:extLst>
        </cdr:cNvPr>
        <cdr:cNvGrpSpPr>
          <a:grpSpLocks xmlns:a="http://schemas.openxmlformats.org/drawingml/2006/main" noChangeAspect="1"/>
        </cdr:cNvGrpSpPr>
      </cdr:nvGrpSpPr>
      <cdr:grpSpPr bwMode="auto">
        <a:xfrm xmlns:a="http://schemas.openxmlformats.org/drawingml/2006/main">
          <a:off x="57472" y="51960"/>
          <a:ext cx="0" cy="0"/>
          <a:chOff x="57472" y="51960"/>
          <a:chExt cx="0" cy="0"/>
        </a:xfrm>
      </cdr:grpSpPr>
      <cdr:sp macro="" textlink="">
        <cdr:nvSpPr>
          <cdr:cNvPr id="4" name="AutoShape 7"/>
          <cdr:cNvSpPr>
            <a:spLocks xmlns:a="http://schemas.openxmlformats.org/drawingml/2006/main" noChangeAspect="1" noChangeArrowheads="1" noTextEdit="1"/>
          </cdr:cNvSpPr>
        </cdr:nvSpPr>
        <cdr:spPr bwMode="auto">
          <a:xfrm xmlns:a="http://schemas.openxmlformats.org/drawingml/2006/main">
            <a:off x="0" y="0"/>
            <a:ext cx="0" cy="0"/>
          </a:xfrm>
          <a:prstGeom xmlns:a="http://schemas.openxmlformats.org/drawingml/2006/main" prst="rect">
            <a:avLst/>
          </a:prstGeom>
          <a:noFill xmlns:a="http://schemas.openxmlformats.org/drawingml/2006/main"/>
          <a:ln xmlns:a="http://schemas.openxmlformats.org/drawingml/2006/main">
            <a:noFill/>
          </a:ln>
          <a:extLst xmlns:a="http://schemas.openxmlformats.org/drawingml/2006/main"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cdr:spPr>
        <cdr:txBody>
          <a:bodyPr xmlns:a="http://schemas.openxmlformats.org/drawingml/2006/main"/>
          <a:lstStyle xmlns:a="http://schemas.openxmlformats.org/drawingml/2006/main"/>
          <a:p xmlns:a="http://schemas.openxmlformats.org/drawingml/2006/main">
            <a:endParaRPr lang="fr-FR"/>
          </a:p>
        </cdr:txBody>
      </cdr:sp>
      <cdr:pic>
        <cdr:nvPicPr>
          <cdr:cNvPr id="5" name="Image 4">
            <a:extLst xmlns:a="http://schemas.openxmlformats.org/drawingml/2006/main">
              <a:ext uri="{FF2B5EF4-FFF2-40B4-BE49-F238E27FC236}">
                <a16:creationId xmlns:a16="http://schemas.microsoft.com/office/drawing/2014/main" id="{76E5B393-4F6F-4462-AD95-3C1B882C6F22}"/>
              </a:ext>
            </a:extLst>
          </cdr:cNvPr>
          <cdr:cNvPicPr>
            <a:picLocks xmlns:a="http://schemas.openxmlformats.org/drawingml/2006/main" noChangeAspect="1" noChangeArrowheads="1"/>
          </cdr:cNvPicPr>
        </cdr:nvPicPr>
        <cdr:blipFill>
          <a:blip xmlns:a="http://schemas.openxmlformats.org/drawingml/2006/main"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xmlns:a="http://schemas.openxmlformats.org/drawingml/2006/main"/>
          <a:stretch xmlns:a="http://schemas.openxmlformats.org/drawingml/2006/main">
            <a:fillRect/>
          </a:stretch>
        </cdr:blipFill>
        <cdr:spPr bwMode="auto">
          <a:xfrm xmlns:a="http://schemas.openxmlformats.org/drawingml/2006/main">
            <a:off x="0" y="0"/>
            <a:ext cx="0" cy="0"/>
          </a:xfrm>
          <a:prstGeom xmlns:a="http://schemas.openxmlformats.org/drawingml/2006/main" prst="rect">
            <a:avLst/>
          </a:prstGeom>
          <a:noFill xmlns:a="http://schemas.openxmlformats.org/drawingml/2006/main"/>
          <a:ln xmlns:a="http://schemas.openxmlformats.org/drawingml/2006/main">
            <a:noFill/>
          </a:ln>
          <a:extLst xmlns:a="http://schemas.openxmlformats.org/drawingml/2006/main"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cdr:spPr>
      </cdr:pic>
    </cdr:grpSp>
  </cdr:relSizeAnchor>
  <cdr:relSizeAnchor xmlns:cdr="http://schemas.openxmlformats.org/drawingml/2006/chartDrawing">
    <cdr:from>
      <cdr:x>0.00856</cdr:x>
      <cdr:y>0.01175</cdr:y>
    </cdr:from>
    <cdr:to>
      <cdr:x>0.00856</cdr:x>
      <cdr:y>0.01175</cdr:y>
    </cdr:to>
    <cdr:grpSp>
      <cdr:nvGrpSpPr>
        <cdr:cNvPr id="6" name="Group 8">
          <a:extLst xmlns:a="http://schemas.openxmlformats.org/drawingml/2006/main">
            <a:ext uri="{FF2B5EF4-FFF2-40B4-BE49-F238E27FC236}">
              <a16:creationId xmlns:a16="http://schemas.microsoft.com/office/drawing/2014/main" id="{9EA9F73F-F596-447C-8D32-F905079DB867}"/>
            </a:ext>
          </a:extLst>
        </cdr:cNvPr>
        <cdr:cNvGrpSpPr>
          <a:grpSpLocks xmlns:a="http://schemas.openxmlformats.org/drawingml/2006/main" noChangeAspect="1"/>
        </cdr:cNvGrpSpPr>
      </cdr:nvGrpSpPr>
      <cdr:grpSpPr bwMode="auto">
        <a:xfrm xmlns:a="http://schemas.openxmlformats.org/drawingml/2006/main">
          <a:off x="57472" y="51960"/>
          <a:ext cx="0" cy="0"/>
          <a:chOff x="57472" y="51960"/>
          <a:chExt cx="0" cy="0"/>
        </a:xfrm>
      </cdr:grpSpPr>
      <cdr:sp macro="" textlink="">
        <cdr:nvSpPr>
          <cdr:cNvPr id="7" name="AutoShape 7"/>
          <cdr:cNvSpPr>
            <a:spLocks xmlns:a="http://schemas.openxmlformats.org/drawingml/2006/main" noChangeAspect="1" noChangeArrowheads="1" noTextEdit="1"/>
          </cdr:cNvSpPr>
        </cdr:nvSpPr>
        <cdr:spPr bwMode="auto">
          <a:xfrm xmlns:a="http://schemas.openxmlformats.org/drawingml/2006/main">
            <a:off x="0" y="0"/>
            <a:ext cx="0" cy="0"/>
          </a:xfrm>
          <a:prstGeom xmlns:a="http://schemas.openxmlformats.org/drawingml/2006/main" prst="rect">
            <a:avLst/>
          </a:prstGeom>
          <a:noFill xmlns:a="http://schemas.openxmlformats.org/drawingml/2006/main"/>
          <a:ln xmlns:a="http://schemas.openxmlformats.org/drawingml/2006/main">
            <a:noFill/>
          </a:ln>
          <a:extLst xmlns:a="http://schemas.openxmlformats.org/drawingml/2006/main"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cdr:spPr>
        <cdr:txBody>
          <a:bodyPr xmlns:a="http://schemas.openxmlformats.org/drawingml/2006/main"/>
          <a:lstStyle xmlns:a="http://schemas.openxmlformats.org/drawingml/2006/main"/>
          <a:p xmlns:a="http://schemas.openxmlformats.org/drawingml/2006/main">
            <a:endParaRPr lang="fr-FR"/>
          </a:p>
        </cdr:txBody>
      </cdr:sp>
      <cdr:pic>
        <cdr:nvPicPr>
          <cdr:cNvPr id="8" name="Image 7">
            <a:extLst xmlns:a="http://schemas.openxmlformats.org/drawingml/2006/main">
              <a:ext uri="{FF2B5EF4-FFF2-40B4-BE49-F238E27FC236}">
                <a16:creationId xmlns:a16="http://schemas.microsoft.com/office/drawing/2014/main" id="{F48AFDD6-6FF8-4CCB-90F1-EC8752E12BA8}"/>
              </a:ext>
            </a:extLst>
          </cdr:cNvPr>
          <cdr:cNvPicPr>
            <a:picLocks xmlns:a="http://schemas.openxmlformats.org/drawingml/2006/main" noChangeAspect="1" noChangeArrowheads="1"/>
          </cdr:cNvPicPr>
        </cdr:nvPicPr>
        <cdr:blipFill>
          <a:blip xmlns:a="http://schemas.openxmlformats.org/drawingml/2006/main"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xmlns:a="http://schemas.openxmlformats.org/drawingml/2006/main"/>
          <a:stretch xmlns:a="http://schemas.openxmlformats.org/drawingml/2006/main">
            <a:fillRect/>
          </a:stretch>
        </cdr:blipFill>
        <cdr:spPr bwMode="auto">
          <a:xfrm xmlns:a="http://schemas.openxmlformats.org/drawingml/2006/main">
            <a:off x="0" y="0"/>
            <a:ext cx="0" cy="0"/>
          </a:xfrm>
          <a:prstGeom xmlns:a="http://schemas.openxmlformats.org/drawingml/2006/main" prst="rect">
            <a:avLst/>
          </a:prstGeom>
          <a:noFill xmlns:a="http://schemas.openxmlformats.org/drawingml/2006/main"/>
          <a:ln xmlns:a="http://schemas.openxmlformats.org/drawingml/2006/main">
            <a:noFill/>
          </a:ln>
          <a:extLst xmlns:a="http://schemas.openxmlformats.org/drawingml/2006/main"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cdr:spPr>
      </cdr:pic>
    </cdr:grpSp>
  </cdr:relSizeAnchor>
  <cdr:relSizeAnchor xmlns:cdr="http://schemas.openxmlformats.org/drawingml/2006/chartDrawing">
    <cdr:from>
      <cdr:x>0.00856</cdr:x>
      <cdr:y>0.01175</cdr:y>
    </cdr:from>
    <cdr:to>
      <cdr:x>0.00856</cdr:x>
      <cdr:y>0.01175</cdr:y>
    </cdr:to>
    <cdr:grpSp>
      <cdr:nvGrpSpPr>
        <cdr:cNvPr id="9" name="Group 8">
          <a:extLst xmlns:a="http://schemas.openxmlformats.org/drawingml/2006/main">
            <a:ext uri="{FF2B5EF4-FFF2-40B4-BE49-F238E27FC236}">
              <a16:creationId xmlns:a16="http://schemas.microsoft.com/office/drawing/2014/main" id="{547E75E8-7B75-41B5-AAE8-59252F3E604B}"/>
            </a:ext>
          </a:extLst>
        </cdr:cNvPr>
        <cdr:cNvGrpSpPr>
          <a:grpSpLocks xmlns:a="http://schemas.openxmlformats.org/drawingml/2006/main" noChangeAspect="1"/>
        </cdr:cNvGrpSpPr>
      </cdr:nvGrpSpPr>
      <cdr:grpSpPr bwMode="auto">
        <a:xfrm xmlns:a="http://schemas.openxmlformats.org/drawingml/2006/main">
          <a:off x="57472" y="51960"/>
          <a:ext cx="0" cy="0"/>
          <a:chOff x="57472" y="51960"/>
          <a:chExt cx="0" cy="0"/>
        </a:xfrm>
      </cdr:grpSpPr>
      <cdr:sp macro="" textlink="">
        <cdr:nvSpPr>
          <cdr:cNvPr id="10" name="AutoShape 7"/>
          <cdr:cNvSpPr>
            <a:spLocks xmlns:a="http://schemas.openxmlformats.org/drawingml/2006/main" noChangeAspect="1" noChangeArrowheads="1" noTextEdit="1"/>
          </cdr:cNvSpPr>
        </cdr:nvSpPr>
        <cdr:spPr bwMode="auto">
          <a:xfrm xmlns:a="http://schemas.openxmlformats.org/drawingml/2006/main">
            <a:off x="0" y="0"/>
            <a:ext cx="0" cy="0"/>
          </a:xfrm>
          <a:prstGeom xmlns:a="http://schemas.openxmlformats.org/drawingml/2006/main" prst="rect">
            <a:avLst/>
          </a:prstGeom>
          <a:noFill xmlns:a="http://schemas.openxmlformats.org/drawingml/2006/main"/>
          <a:ln xmlns:a="http://schemas.openxmlformats.org/drawingml/2006/main">
            <a:noFill/>
          </a:ln>
          <a:extLst xmlns:a="http://schemas.openxmlformats.org/drawingml/2006/main"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cdr:spPr>
        <cdr:txBody>
          <a:bodyPr xmlns:a="http://schemas.openxmlformats.org/drawingml/2006/main"/>
          <a:lstStyle xmlns:a="http://schemas.openxmlformats.org/drawingml/2006/main"/>
          <a:p xmlns:a="http://schemas.openxmlformats.org/drawingml/2006/main">
            <a:endParaRPr lang="fr-FR"/>
          </a:p>
        </cdr:txBody>
      </cdr:sp>
      <cdr:pic>
        <cdr:nvPicPr>
          <cdr:cNvPr id="11" name="Image 10">
            <a:extLst xmlns:a="http://schemas.openxmlformats.org/drawingml/2006/main">
              <a:ext uri="{FF2B5EF4-FFF2-40B4-BE49-F238E27FC236}">
                <a16:creationId xmlns:a16="http://schemas.microsoft.com/office/drawing/2014/main" id="{E03D081A-7110-4621-BD17-F35C73CB6E88}"/>
              </a:ext>
            </a:extLst>
          </cdr:cNvPr>
          <cdr:cNvPicPr>
            <a:picLocks xmlns:a="http://schemas.openxmlformats.org/drawingml/2006/main" noChangeAspect="1" noChangeArrowheads="1"/>
          </cdr:cNvPicPr>
        </cdr:nvPicPr>
        <cdr:blipFill>
          <a:blip xmlns:a="http://schemas.openxmlformats.org/drawingml/2006/main"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xmlns:a="http://schemas.openxmlformats.org/drawingml/2006/main"/>
          <a:stretch xmlns:a="http://schemas.openxmlformats.org/drawingml/2006/main">
            <a:fillRect/>
          </a:stretch>
        </cdr:blipFill>
        <cdr:spPr bwMode="auto">
          <a:xfrm xmlns:a="http://schemas.openxmlformats.org/drawingml/2006/main">
            <a:off x="0" y="0"/>
            <a:ext cx="0" cy="0"/>
          </a:xfrm>
          <a:prstGeom xmlns:a="http://schemas.openxmlformats.org/drawingml/2006/main" prst="rect">
            <a:avLst/>
          </a:prstGeom>
          <a:noFill xmlns:a="http://schemas.openxmlformats.org/drawingml/2006/main"/>
          <a:ln xmlns:a="http://schemas.openxmlformats.org/drawingml/2006/main">
            <a:noFill/>
          </a:ln>
          <a:extLst xmlns:a="http://schemas.openxmlformats.org/drawingml/2006/main"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cdr:spPr>
      </cdr:pic>
    </cdr:grpSp>
  </cdr:relSizeAnchor>
  <cdr:relSizeAnchor xmlns:cdr="http://schemas.openxmlformats.org/drawingml/2006/chartDrawing">
    <cdr:from>
      <cdr:x>0.12985</cdr:x>
      <cdr:y>0.14589</cdr:y>
    </cdr:from>
    <cdr:to>
      <cdr:x>0.25975</cdr:x>
      <cdr:y>0.32085</cdr:y>
    </cdr:to>
    <cdr:pic>
      <cdr:nvPicPr>
        <cdr:cNvPr id="12" name="Image 11">
          <a:extLst xmlns:a="http://schemas.openxmlformats.org/drawingml/2006/main">
            <a:ext uri="{FF2B5EF4-FFF2-40B4-BE49-F238E27FC236}">
              <a16:creationId xmlns:a16="http://schemas.microsoft.com/office/drawing/2014/main" id="{B61C327F-5D15-42F3-AEF7-62BD79652333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871829" y="645126"/>
          <a:ext cx="872153" cy="77369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</cdr:pic>
  </cdr:relSizeAnchor>
  <cdr:relSizeAnchor xmlns:cdr="http://schemas.openxmlformats.org/drawingml/2006/chartDrawing">
    <cdr:from>
      <cdr:x>0.32883</cdr:x>
      <cdr:y>0.07765</cdr:y>
    </cdr:from>
    <cdr:to>
      <cdr:x>0.76636</cdr:x>
      <cdr:y>0.26942</cdr:y>
    </cdr:to>
    <cdr:pic>
      <cdr:nvPicPr>
        <cdr:cNvPr id="2" name="Image 1">
          <a:extLst xmlns:a="http://schemas.openxmlformats.org/drawingml/2006/main">
            <a:ext uri="{FF2B5EF4-FFF2-40B4-BE49-F238E27FC236}">
              <a16:creationId xmlns:a16="http://schemas.microsoft.com/office/drawing/2014/main" id="{D3DDAE70-83C6-606A-2B74-D1BCEAADADB1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cdr:blipFill>
      <cdr:spPr>
        <a:xfrm xmlns:a="http://schemas.openxmlformats.org/drawingml/2006/main">
          <a:off x="2206436" y="348375"/>
          <a:ext cx="2935736" cy="860459"/>
        </a:xfrm>
        <a:prstGeom xmlns:a="http://schemas.openxmlformats.org/drawingml/2006/main" prst="rect">
          <a:avLst/>
        </a:prstGeom>
      </cdr:spPr>
    </cdr:pic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0.00856</cdr:x>
      <cdr:y>0.01175</cdr:y>
    </cdr:from>
    <cdr:to>
      <cdr:x>0.00856</cdr:x>
      <cdr:y>0.01175</cdr:y>
    </cdr:to>
    <cdr:grpSp>
      <cdr:nvGrpSpPr>
        <cdr:cNvPr id="3" name="Group 8">
          <a:extLst xmlns:a="http://schemas.openxmlformats.org/drawingml/2006/main">
            <a:ext uri="{FF2B5EF4-FFF2-40B4-BE49-F238E27FC236}">
              <a16:creationId xmlns:a16="http://schemas.microsoft.com/office/drawing/2014/main" id="{EB58C7D2-1A1F-447C-A0A4-5A073D5DAC2D}"/>
            </a:ext>
          </a:extLst>
        </cdr:cNvPr>
        <cdr:cNvGrpSpPr>
          <a:grpSpLocks xmlns:a="http://schemas.openxmlformats.org/drawingml/2006/main" noChangeAspect="1"/>
        </cdr:cNvGrpSpPr>
      </cdr:nvGrpSpPr>
      <cdr:grpSpPr bwMode="auto">
        <a:xfrm xmlns:a="http://schemas.openxmlformats.org/drawingml/2006/main">
          <a:off x="57326" y="50438"/>
          <a:ext cx="0" cy="0"/>
          <a:chOff x="57326" y="50438"/>
          <a:chExt cx="0" cy="0"/>
        </a:xfrm>
      </cdr:grpSpPr>
      <cdr:sp macro="" textlink="">
        <cdr:nvSpPr>
          <cdr:cNvPr id="4" name="AutoShape 7"/>
          <cdr:cNvSpPr>
            <a:spLocks xmlns:a="http://schemas.openxmlformats.org/drawingml/2006/main" noChangeAspect="1" noChangeArrowheads="1" noTextEdit="1"/>
          </cdr:cNvSpPr>
        </cdr:nvSpPr>
        <cdr:spPr bwMode="auto">
          <a:xfrm xmlns:a="http://schemas.openxmlformats.org/drawingml/2006/main">
            <a:off x="0" y="0"/>
            <a:ext cx="0" cy="0"/>
          </a:xfrm>
          <a:prstGeom xmlns:a="http://schemas.openxmlformats.org/drawingml/2006/main" prst="rect">
            <a:avLst/>
          </a:prstGeom>
          <a:noFill xmlns:a="http://schemas.openxmlformats.org/drawingml/2006/main"/>
          <a:ln xmlns:a="http://schemas.openxmlformats.org/drawingml/2006/main">
            <a:noFill/>
          </a:ln>
          <a:extLst xmlns:a="http://schemas.openxmlformats.org/drawingml/2006/main"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cdr:spPr>
        <cdr:txBody>
          <a:bodyPr xmlns:a="http://schemas.openxmlformats.org/drawingml/2006/main"/>
          <a:lstStyle xmlns:a="http://schemas.openxmlformats.org/drawingml/2006/main"/>
          <a:p xmlns:a="http://schemas.openxmlformats.org/drawingml/2006/main">
            <a:endParaRPr lang="fr-FR"/>
          </a:p>
        </cdr:txBody>
      </cdr:sp>
      <cdr:pic>
        <cdr:nvPicPr>
          <cdr:cNvPr id="5" name="Image 4">
            <a:extLst xmlns:a="http://schemas.openxmlformats.org/drawingml/2006/main">
              <a:ext uri="{FF2B5EF4-FFF2-40B4-BE49-F238E27FC236}">
                <a16:creationId xmlns:a16="http://schemas.microsoft.com/office/drawing/2014/main" id="{B6AFD49F-7C61-45FF-8919-C26A3495FB82}"/>
              </a:ext>
            </a:extLst>
          </cdr:cNvPr>
          <cdr:cNvPicPr>
            <a:picLocks xmlns:a="http://schemas.openxmlformats.org/drawingml/2006/main" noChangeAspect="1" noChangeArrowheads="1"/>
          </cdr:cNvPicPr>
        </cdr:nvPicPr>
        <cdr:blipFill>
          <a:blip xmlns:a="http://schemas.openxmlformats.org/drawingml/2006/main"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xmlns:a="http://schemas.openxmlformats.org/drawingml/2006/main"/>
          <a:stretch xmlns:a="http://schemas.openxmlformats.org/drawingml/2006/main">
            <a:fillRect/>
          </a:stretch>
        </cdr:blipFill>
        <cdr:spPr bwMode="auto">
          <a:xfrm xmlns:a="http://schemas.openxmlformats.org/drawingml/2006/main">
            <a:off x="0" y="0"/>
            <a:ext cx="0" cy="0"/>
          </a:xfrm>
          <a:prstGeom xmlns:a="http://schemas.openxmlformats.org/drawingml/2006/main" prst="rect">
            <a:avLst/>
          </a:prstGeom>
          <a:noFill xmlns:a="http://schemas.openxmlformats.org/drawingml/2006/main"/>
          <a:ln xmlns:a="http://schemas.openxmlformats.org/drawingml/2006/main">
            <a:noFill/>
          </a:ln>
          <a:extLst xmlns:a="http://schemas.openxmlformats.org/drawingml/2006/main"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cdr:spPr>
      </cdr:pic>
    </cdr:grpSp>
  </cdr:relSizeAnchor>
  <cdr:relSizeAnchor xmlns:cdr="http://schemas.openxmlformats.org/drawingml/2006/chartDrawing">
    <cdr:from>
      <cdr:x>0.00856</cdr:x>
      <cdr:y>0.01175</cdr:y>
    </cdr:from>
    <cdr:to>
      <cdr:x>0.00856</cdr:x>
      <cdr:y>0.01175</cdr:y>
    </cdr:to>
    <cdr:grpSp>
      <cdr:nvGrpSpPr>
        <cdr:cNvPr id="6" name="Group 8">
          <a:extLst xmlns:a="http://schemas.openxmlformats.org/drawingml/2006/main">
            <a:ext uri="{FF2B5EF4-FFF2-40B4-BE49-F238E27FC236}">
              <a16:creationId xmlns:a16="http://schemas.microsoft.com/office/drawing/2014/main" id="{A811DE13-D95F-470D-B103-00E3AD662874}"/>
            </a:ext>
          </a:extLst>
        </cdr:cNvPr>
        <cdr:cNvGrpSpPr>
          <a:grpSpLocks xmlns:a="http://schemas.openxmlformats.org/drawingml/2006/main" noChangeAspect="1"/>
        </cdr:cNvGrpSpPr>
      </cdr:nvGrpSpPr>
      <cdr:grpSpPr bwMode="auto">
        <a:xfrm xmlns:a="http://schemas.openxmlformats.org/drawingml/2006/main">
          <a:off x="57326" y="50438"/>
          <a:ext cx="0" cy="0"/>
          <a:chOff x="57326" y="50438"/>
          <a:chExt cx="0" cy="0"/>
        </a:xfrm>
      </cdr:grpSpPr>
      <cdr:sp macro="" textlink="">
        <cdr:nvSpPr>
          <cdr:cNvPr id="7" name="AutoShape 7"/>
          <cdr:cNvSpPr>
            <a:spLocks xmlns:a="http://schemas.openxmlformats.org/drawingml/2006/main" noChangeAspect="1" noChangeArrowheads="1" noTextEdit="1"/>
          </cdr:cNvSpPr>
        </cdr:nvSpPr>
        <cdr:spPr bwMode="auto">
          <a:xfrm xmlns:a="http://schemas.openxmlformats.org/drawingml/2006/main">
            <a:off x="0" y="0"/>
            <a:ext cx="0" cy="0"/>
          </a:xfrm>
          <a:prstGeom xmlns:a="http://schemas.openxmlformats.org/drawingml/2006/main" prst="rect">
            <a:avLst/>
          </a:prstGeom>
          <a:noFill xmlns:a="http://schemas.openxmlformats.org/drawingml/2006/main"/>
          <a:ln xmlns:a="http://schemas.openxmlformats.org/drawingml/2006/main">
            <a:noFill/>
          </a:ln>
          <a:extLst xmlns:a="http://schemas.openxmlformats.org/drawingml/2006/main"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cdr:spPr>
        <cdr:txBody>
          <a:bodyPr xmlns:a="http://schemas.openxmlformats.org/drawingml/2006/main"/>
          <a:lstStyle xmlns:a="http://schemas.openxmlformats.org/drawingml/2006/main"/>
          <a:p xmlns:a="http://schemas.openxmlformats.org/drawingml/2006/main">
            <a:endParaRPr lang="fr-FR"/>
          </a:p>
        </cdr:txBody>
      </cdr:sp>
      <cdr:pic>
        <cdr:nvPicPr>
          <cdr:cNvPr id="8" name="Image 7">
            <a:extLst xmlns:a="http://schemas.openxmlformats.org/drawingml/2006/main">
              <a:ext uri="{FF2B5EF4-FFF2-40B4-BE49-F238E27FC236}">
                <a16:creationId xmlns:a16="http://schemas.microsoft.com/office/drawing/2014/main" id="{9CB3DF8C-7221-464D-A26C-82B0182DD5C2}"/>
              </a:ext>
            </a:extLst>
          </cdr:cNvPr>
          <cdr:cNvPicPr>
            <a:picLocks xmlns:a="http://schemas.openxmlformats.org/drawingml/2006/main" noChangeAspect="1" noChangeArrowheads="1"/>
          </cdr:cNvPicPr>
        </cdr:nvPicPr>
        <cdr:blipFill>
          <a:blip xmlns:a="http://schemas.openxmlformats.org/drawingml/2006/main"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xmlns:a="http://schemas.openxmlformats.org/drawingml/2006/main"/>
          <a:stretch xmlns:a="http://schemas.openxmlformats.org/drawingml/2006/main">
            <a:fillRect/>
          </a:stretch>
        </cdr:blipFill>
        <cdr:spPr bwMode="auto">
          <a:xfrm xmlns:a="http://schemas.openxmlformats.org/drawingml/2006/main">
            <a:off x="0" y="0"/>
            <a:ext cx="0" cy="0"/>
          </a:xfrm>
          <a:prstGeom xmlns:a="http://schemas.openxmlformats.org/drawingml/2006/main" prst="rect">
            <a:avLst/>
          </a:prstGeom>
          <a:noFill xmlns:a="http://schemas.openxmlformats.org/drawingml/2006/main"/>
          <a:ln xmlns:a="http://schemas.openxmlformats.org/drawingml/2006/main">
            <a:noFill/>
          </a:ln>
          <a:extLst xmlns:a="http://schemas.openxmlformats.org/drawingml/2006/main"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cdr:spPr>
      </cdr:pic>
    </cdr:grpSp>
  </cdr:relSizeAnchor>
  <cdr:relSizeAnchor xmlns:cdr="http://schemas.openxmlformats.org/drawingml/2006/chartDrawing">
    <cdr:from>
      <cdr:x>0.00856</cdr:x>
      <cdr:y>0.01175</cdr:y>
    </cdr:from>
    <cdr:to>
      <cdr:x>0.00856</cdr:x>
      <cdr:y>0.01175</cdr:y>
    </cdr:to>
    <cdr:grpSp>
      <cdr:nvGrpSpPr>
        <cdr:cNvPr id="9" name="Group 8">
          <a:extLst xmlns:a="http://schemas.openxmlformats.org/drawingml/2006/main">
            <a:ext uri="{FF2B5EF4-FFF2-40B4-BE49-F238E27FC236}">
              <a16:creationId xmlns:a16="http://schemas.microsoft.com/office/drawing/2014/main" id="{981B86E3-05FC-45AB-B0BD-20A617B681A4}"/>
            </a:ext>
          </a:extLst>
        </cdr:cNvPr>
        <cdr:cNvGrpSpPr>
          <a:grpSpLocks xmlns:a="http://schemas.openxmlformats.org/drawingml/2006/main" noChangeAspect="1"/>
        </cdr:cNvGrpSpPr>
      </cdr:nvGrpSpPr>
      <cdr:grpSpPr bwMode="auto">
        <a:xfrm xmlns:a="http://schemas.openxmlformats.org/drawingml/2006/main">
          <a:off x="57326" y="50438"/>
          <a:ext cx="0" cy="0"/>
          <a:chOff x="57326" y="50438"/>
          <a:chExt cx="0" cy="0"/>
        </a:xfrm>
      </cdr:grpSpPr>
      <cdr:sp macro="" textlink="">
        <cdr:nvSpPr>
          <cdr:cNvPr id="10" name="AutoShape 7"/>
          <cdr:cNvSpPr>
            <a:spLocks xmlns:a="http://schemas.openxmlformats.org/drawingml/2006/main" noChangeAspect="1" noChangeArrowheads="1" noTextEdit="1"/>
          </cdr:cNvSpPr>
        </cdr:nvSpPr>
        <cdr:spPr bwMode="auto">
          <a:xfrm xmlns:a="http://schemas.openxmlformats.org/drawingml/2006/main">
            <a:off x="0" y="0"/>
            <a:ext cx="0" cy="0"/>
          </a:xfrm>
          <a:prstGeom xmlns:a="http://schemas.openxmlformats.org/drawingml/2006/main" prst="rect">
            <a:avLst/>
          </a:prstGeom>
          <a:noFill xmlns:a="http://schemas.openxmlformats.org/drawingml/2006/main"/>
          <a:ln xmlns:a="http://schemas.openxmlformats.org/drawingml/2006/main">
            <a:noFill/>
          </a:ln>
          <a:extLst xmlns:a="http://schemas.openxmlformats.org/drawingml/2006/main"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cdr:spPr>
        <cdr:txBody>
          <a:bodyPr xmlns:a="http://schemas.openxmlformats.org/drawingml/2006/main"/>
          <a:lstStyle xmlns:a="http://schemas.openxmlformats.org/drawingml/2006/main"/>
          <a:p xmlns:a="http://schemas.openxmlformats.org/drawingml/2006/main">
            <a:endParaRPr lang="fr-FR"/>
          </a:p>
        </cdr:txBody>
      </cdr:sp>
      <cdr:pic>
        <cdr:nvPicPr>
          <cdr:cNvPr id="11" name="Image 10">
            <a:extLst xmlns:a="http://schemas.openxmlformats.org/drawingml/2006/main">
              <a:ext uri="{FF2B5EF4-FFF2-40B4-BE49-F238E27FC236}">
                <a16:creationId xmlns:a16="http://schemas.microsoft.com/office/drawing/2014/main" id="{96879C9B-7E36-42FA-9FEA-4E6DAF9D1366}"/>
              </a:ext>
            </a:extLst>
          </cdr:cNvPr>
          <cdr:cNvPicPr>
            <a:picLocks xmlns:a="http://schemas.openxmlformats.org/drawingml/2006/main" noChangeAspect="1" noChangeArrowheads="1"/>
          </cdr:cNvPicPr>
        </cdr:nvPicPr>
        <cdr:blipFill>
          <a:blip xmlns:a="http://schemas.openxmlformats.org/drawingml/2006/main"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xmlns:a="http://schemas.openxmlformats.org/drawingml/2006/main"/>
          <a:stretch xmlns:a="http://schemas.openxmlformats.org/drawingml/2006/main">
            <a:fillRect/>
          </a:stretch>
        </cdr:blipFill>
        <cdr:spPr bwMode="auto">
          <a:xfrm xmlns:a="http://schemas.openxmlformats.org/drawingml/2006/main">
            <a:off x="0" y="0"/>
            <a:ext cx="0" cy="0"/>
          </a:xfrm>
          <a:prstGeom xmlns:a="http://schemas.openxmlformats.org/drawingml/2006/main" prst="rect">
            <a:avLst/>
          </a:prstGeom>
          <a:noFill xmlns:a="http://schemas.openxmlformats.org/drawingml/2006/main"/>
          <a:ln xmlns:a="http://schemas.openxmlformats.org/drawingml/2006/main">
            <a:noFill/>
          </a:ln>
          <a:extLst xmlns:a="http://schemas.openxmlformats.org/drawingml/2006/main"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cdr:spPr>
      </cdr:pic>
    </cdr:grpSp>
  </cdr:relSizeAnchor>
  <cdr:relSizeAnchor xmlns:cdr="http://schemas.openxmlformats.org/drawingml/2006/chartDrawing">
    <cdr:from>
      <cdr:x>0.1221</cdr:x>
      <cdr:y>0.56321</cdr:y>
    </cdr:from>
    <cdr:to>
      <cdr:x>0.25789</cdr:x>
      <cdr:y>0.74609</cdr:y>
    </cdr:to>
    <cdr:pic>
      <cdr:nvPicPr>
        <cdr:cNvPr id="12" name="Image 11">
          <a:extLst xmlns:a="http://schemas.openxmlformats.org/drawingml/2006/main">
            <a:ext uri="{FF2B5EF4-FFF2-40B4-BE49-F238E27FC236}">
              <a16:creationId xmlns:a16="http://schemas.microsoft.com/office/drawing/2014/main" id="{D0D1A44C-124A-47F1-BE03-DE396713312F}"/>
            </a:ext>
          </a:extLst>
        </cdr:cNvPr>
        <cdr:cNvPicPr>
          <a:picLocks xmlns:a="http://schemas.openxmlformats.org/drawingml/2006/main" noChangeAspect="1" noChangeArrowheads="1"/>
        </cdr:cNvPicPr>
      </cdr:nvPicPr>
      <cdr:blipFill>
        <a:blip xmlns:a="http://schemas.openxmlformats.org/drawingml/2006/main"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xmlns:a="http://schemas.openxmlformats.org/drawingml/2006/main"/>
        <a:stretch xmlns:a="http://schemas.openxmlformats.org/drawingml/2006/main">
          <a:fillRect/>
        </a:stretch>
      </cdr:blipFill>
      <cdr:spPr bwMode="auto">
        <a:xfrm xmlns:a="http://schemas.openxmlformats.org/drawingml/2006/main">
          <a:off x="818369" y="2370294"/>
          <a:ext cx="910143" cy="76965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</cdr:pic>
  </cdr:relSizeAnchor>
  <cdr:relSizeAnchor xmlns:cdr="http://schemas.openxmlformats.org/drawingml/2006/chartDrawing">
    <cdr:from>
      <cdr:x>0.28576</cdr:x>
      <cdr:y>0.08474</cdr:y>
    </cdr:from>
    <cdr:to>
      <cdr:x>0.7094</cdr:x>
      <cdr:y>0.27554</cdr:y>
    </cdr:to>
    <cdr:pic>
      <cdr:nvPicPr>
        <cdr:cNvPr id="2" name="Image 1">
          <a:extLst xmlns:a="http://schemas.openxmlformats.org/drawingml/2006/main">
            <a:ext uri="{FF2B5EF4-FFF2-40B4-BE49-F238E27FC236}">
              <a16:creationId xmlns:a16="http://schemas.microsoft.com/office/drawing/2014/main" id="{0CFABE68-5D3A-23BD-61A1-8C7A11DFAFDD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/>
        <a:stretch xmlns:a="http://schemas.openxmlformats.org/drawingml/2006/main">
          <a:fillRect/>
        </a:stretch>
      </cdr:blipFill>
      <cdr:spPr>
        <a:xfrm xmlns:a="http://schemas.openxmlformats.org/drawingml/2006/main">
          <a:off x="1912520" y="369035"/>
          <a:ext cx="2835366" cy="830877"/>
        </a:xfrm>
        <a:prstGeom xmlns:a="http://schemas.openxmlformats.org/drawingml/2006/main" prst="rect">
          <a:avLst/>
        </a:prstGeom>
      </cdr:spPr>
    </cdr:pic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66675</xdr:colOff>
      <xdr:row>7</xdr:row>
      <xdr:rowOff>47625</xdr:rowOff>
    </xdr:from>
    <xdr:to>
      <xdr:col>10</xdr:col>
      <xdr:colOff>295275</xdr:colOff>
      <xdr:row>31</xdr:row>
      <xdr:rowOff>47625</xdr:rowOff>
    </xdr:to>
    <xdr:graphicFrame macro="">
      <xdr:nvGraphicFramePr>
        <xdr:cNvPr id="2" name="Graphique 20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133350</xdr:colOff>
      <xdr:row>7</xdr:row>
      <xdr:rowOff>28576</xdr:rowOff>
    </xdr:from>
    <xdr:to>
      <xdr:col>21</xdr:col>
      <xdr:colOff>352425</xdr:colOff>
      <xdr:row>31</xdr:row>
      <xdr:rowOff>9526</xdr:rowOff>
    </xdr:to>
    <xdr:graphicFrame macro="">
      <xdr:nvGraphicFramePr>
        <xdr:cNvPr id="3" name="Graphique 21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9525</xdr:colOff>
      <xdr:row>0</xdr:row>
      <xdr:rowOff>0</xdr:rowOff>
    </xdr:from>
    <xdr:to>
      <xdr:col>3</xdr:col>
      <xdr:colOff>333375</xdr:colOff>
      <xdr:row>4</xdr:row>
      <xdr:rowOff>28575</xdr:rowOff>
    </xdr:to>
    <xdr:pic>
      <xdr:nvPicPr>
        <xdr:cNvPr id="4" name="Image 9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9525" y="0"/>
          <a:ext cx="1990725" cy="781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10</xdr:col>
      <xdr:colOff>400050</xdr:colOff>
      <xdr:row>0</xdr:row>
      <xdr:rowOff>0</xdr:rowOff>
    </xdr:from>
    <xdr:to>
      <xdr:col>14</xdr:col>
      <xdr:colOff>238125</xdr:colOff>
      <xdr:row>4</xdr:row>
      <xdr:rowOff>28575</xdr:rowOff>
    </xdr:to>
    <xdr:pic>
      <xdr:nvPicPr>
        <xdr:cNvPr id="5" name="Image 13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6096000" y="0"/>
          <a:ext cx="1981200" cy="781050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0</xdr:col>
      <xdr:colOff>114300</xdr:colOff>
      <xdr:row>37</xdr:row>
      <xdr:rowOff>66675</xdr:rowOff>
    </xdr:from>
    <xdr:to>
      <xdr:col>10</xdr:col>
      <xdr:colOff>333375</xdr:colOff>
      <xdr:row>63</xdr:row>
      <xdr:rowOff>85725</xdr:rowOff>
    </xdr:to>
    <xdr:graphicFrame macro="">
      <xdr:nvGraphicFramePr>
        <xdr:cNvPr id="6" name="Graphique 22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400050</xdr:colOff>
      <xdr:row>32</xdr:row>
      <xdr:rowOff>0</xdr:rowOff>
    </xdr:from>
    <xdr:to>
      <xdr:col>3</xdr:col>
      <xdr:colOff>238125</xdr:colOff>
      <xdr:row>35</xdr:row>
      <xdr:rowOff>85725</xdr:rowOff>
    </xdr:to>
    <xdr:pic>
      <xdr:nvPicPr>
        <xdr:cNvPr id="7" name="Image 13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400050" y="5581650"/>
          <a:ext cx="1504950" cy="6762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11</xdr:col>
      <xdr:colOff>400050</xdr:colOff>
      <xdr:row>32</xdr:row>
      <xdr:rowOff>0</xdr:rowOff>
    </xdr:from>
    <xdr:to>
      <xdr:col>14</xdr:col>
      <xdr:colOff>238125</xdr:colOff>
      <xdr:row>35</xdr:row>
      <xdr:rowOff>85725</xdr:rowOff>
    </xdr:to>
    <xdr:pic>
      <xdr:nvPicPr>
        <xdr:cNvPr id="8" name="Image 13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6572250" y="5581650"/>
          <a:ext cx="1504950" cy="67627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11</xdr:col>
      <xdr:colOff>152400</xdr:colOff>
      <xdr:row>37</xdr:row>
      <xdr:rowOff>66675</xdr:rowOff>
    </xdr:from>
    <xdr:to>
      <xdr:col>21</xdr:col>
      <xdr:colOff>371475</xdr:colOff>
      <xdr:row>63</xdr:row>
      <xdr:rowOff>85725</xdr:rowOff>
    </xdr:to>
    <xdr:graphicFrame macro="">
      <xdr:nvGraphicFramePr>
        <xdr:cNvPr id="9" name="Graphique 23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CB59"/>
  <sheetViews>
    <sheetView zoomScale="85" zoomScaleNormal="85" workbookViewId="0">
      <pane xSplit="4" ySplit="9" topLeftCell="E49" activePane="bottomRight" state="frozenSplit"/>
      <selection activeCell="C7" sqref="C7"/>
      <selection pane="topRight" activeCell="C7" sqref="C7"/>
      <selection pane="bottomLeft" activeCell="C7" sqref="C7"/>
      <selection pane="bottomRight" activeCell="C58" sqref="C58"/>
    </sheetView>
  </sheetViews>
  <sheetFormatPr baseColWidth="10" defaultColWidth="11.42578125" defaultRowHeight="12.75" outlineLevelCol="2"/>
  <cols>
    <col min="1" max="1" width="14.7109375" style="2" customWidth="1"/>
    <col min="2" max="4" width="7.7109375" style="2" customWidth="1"/>
    <col min="5" max="5" width="14.28515625" style="2" bestFit="1" customWidth="1"/>
    <col min="6" max="6" width="15" style="2" bestFit="1" customWidth="1"/>
    <col min="7" max="7" width="10.7109375" style="2" customWidth="1"/>
    <col min="8" max="8" width="14.42578125" style="2" customWidth="1"/>
    <col min="9" max="9" width="15" style="2" bestFit="1" customWidth="1"/>
    <col min="10" max="10" width="10.7109375" style="2" customWidth="1"/>
    <col min="11" max="11" width="13.5703125" style="2" customWidth="1"/>
    <col min="12" max="12" width="15.140625" style="2" customWidth="1"/>
    <col min="13" max="13" width="10.7109375" style="2" customWidth="1"/>
    <col min="14" max="14" width="13.7109375" style="2" customWidth="1"/>
    <col min="15" max="15" width="15.28515625" style="2" customWidth="1"/>
    <col min="16" max="16" width="10.7109375" style="2" customWidth="1"/>
    <col min="17" max="17" width="14.7109375" style="2" customWidth="1"/>
    <col min="18" max="18" width="14.85546875" style="2" customWidth="1"/>
    <col min="19" max="19" width="10.7109375" style="2" customWidth="1"/>
    <col min="20" max="20" width="11.7109375" style="2" customWidth="1" outlineLevel="2"/>
    <col min="21" max="21" width="13.7109375" style="2" customWidth="1" outlineLevel="2"/>
    <col min="22" max="22" width="12.140625" style="2" customWidth="1" outlineLevel="2"/>
    <col min="23" max="24" width="13.7109375" style="2" customWidth="1" outlineLevel="2"/>
    <col min="25" max="25" width="11.7109375" style="2" customWidth="1" outlineLevel="2"/>
    <col min="26" max="29" width="14.7109375" style="2" customWidth="1" outlineLevel="2"/>
    <col min="30" max="31" width="12.7109375" style="2" customWidth="1" outlineLevel="2"/>
    <col min="32" max="32" width="11.42578125" style="2" customWidth="1" outlineLevel="2"/>
    <col min="33" max="47" width="14.140625" style="2" customWidth="1" outlineLevel="2"/>
    <col min="48" max="48" width="11.42578125" style="2" customWidth="1" outlineLevel="1"/>
    <col min="49" max="64" width="16.7109375" style="2" customWidth="1" outlineLevel="1"/>
    <col min="65" max="79" width="16.7109375" style="2" customWidth="1" outlineLevel="2"/>
    <col min="80" max="80" width="11.42578125" style="2" customWidth="1" outlineLevel="1"/>
    <col min="81" max="16384" width="11.42578125" style="2"/>
  </cols>
  <sheetData>
    <row r="1" spans="1:79" ht="41.25" customHeight="1" thickBot="1">
      <c r="E1" s="203" t="s">
        <v>86</v>
      </c>
      <c r="F1" s="204"/>
      <c r="G1" s="204"/>
      <c r="H1" s="204"/>
      <c r="I1" s="204"/>
      <c r="J1" s="204"/>
      <c r="K1" s="204"/>
      <c r="L1" s="204"/>
      <c r="M1" s="204"/>
      <c r="N1" s="204"/>
      <c r="O1" s="204"/>
      <c r="P1" s="204"/>
      <c r="Q1" s="204"/>
      <c r="R1" s="204"/>
      <c r="S1" s="205"/>
      <c r="X1" s="6"/>
      <c r="Y1" s="6"/>
      <c r="Z1" s="7"/>
      <c r="AA1" s="7"/>
      <c r="AB1" s="7"/>
      <c r="AC1" s="7"/>
    </row>
    <row r="2" spans="1:79">
      <c r="A2" s="13"/>
      <c r="B2" s="13"/>
      <c r="C2" s="13"/>
      <c r="D2" s="13"/>
      <c r="E2" s="13"/>
      <c r="F2" s="13"/>
      <c r="G2" s="13"/>
      <c r="H2" s="13"/>
      <c r="I2" s="13"/>
      <c r="J2" s="13"/>
      <c r="K2" s="13"/>
      <c r="L2" s="13"/>
      <c r="M2" s="13"/>
      <c r="N2" s="13"/>
      <c r="O2" s="13"/>
      <c r="P2" s="13"/>
      <c r="Q2" s="97"/>
      <c r="R2" s="98" t="s">
        <v>52</v>
      </c>
      <c r="S2" s="13"/>
      <c r="T2" s="72"/>
      <c r="U2" s="13"/>
      <c r="V2" s="13"/>
      <c r="W2" s="13"/>
      <c r="X2" s="13"/>
      <c r="Y2" s="13"/>
      <c r="Z2" s="13"/>
      <c r="AA2" s="13"/>
      <c r="AB2" s="13"/>
      <c r="AC2" s="13"/>
    </row>
    <row r="3" spans="1:79">
      <c r="A3" s="13"/>
      <c r="B3" s="13"/>
      <c r="C3" s="13"/>
      <c r="D3" s="13"/>
      <c r="E3" s="98"/>
      <c r="F3" s="98"/>
      <c r="G3" s="98"/>
      <c r="H3" s="98"/>
      <c r="I3" s="98"/>
      <c r="J3" s="98"/>
      <c r="K3" s="98"/>
      <c r="L3" s="98"/>
      <c r="M3" s="98"/>
      <c r="N3" s="98"/>
      <c r="O3" s="98"/>
      <c r="P3" s="98"/>
      <c r="Q3" s="98"/>
      <c r="R3" s="98"/>
      <c r="S3" s="98"/>
      <c r="T3" s="13"/>
      <c r="U3" s="13"/>
      <c r="V3" s="13"/>
      <c r="W3" s="13"/>
      <c r="X3" s="13"/>
      <c r="Y3" s="13"/>
      <c r="AW3" s="98"/>
      <c r="AX3" s="98"/>
      <c r="AY3" s="98"/>
      <c r="AZ3" s="98"/>
      <c r="BA3" s="98"/>
      <c r="BB3" s="98"/>
      <c r="BC3" s="98"/>
      <c r="BD3" s="98"/>
      <c r="BE3" s="98"/>
      <c r="BF3" s="98"/>
      <c r="BG3" s="98"/>
      <c r="BH3" s="98"/>
      <c r="BI3" s="98"/>
      <c r="BJ3" s="98"/>
      <c r="BK3" s="98"/>
    </row>
    <row r="4" spans="1:79" s="112" customFormat="1">
      <c r="A4" s="183"/>
      <c r="B4" s="183"/>
      <c r="C4" s="183"/>
      <c r="D4" s="183"/>
      <c r="E4" s="183" t="s">
        <v>32</v>
      </c>
      <c r="F4" s="183" t="s">
        <v>32</v>
      </c>
      <c r="G4" s="183" t="s">
        <v>32</v>
      </c>
      <c r="H4" s="183" t="s">
        <v>10</v>
      </c>
      <c r="I4" s="183" t="s">
        <v>10</v>
      </c>
      <c r="J4" s="183" t="s">
        <v>10</v>
      </c>
      <c r="K4" s="183" t="s">
        <v>64</v>
      </c>
      <c r="L4" s="183" t="s">
        <v>64</v>
      </c>
      <c r="M4" s="183" t="s">
        <v>64</v>
      </c>
      <c r="N4" s="183" t="s">
        <v>11</v>
      </c>
      <c r="O4" s="183" t="s">
        <v>11</v>
      </c>
      <c r="P4" s="183" t="s">
        <v>11</v>
      </c>
      <c r="Q4" s="183" t="s">
        <v>33</v>
      </c>
      <c r="R4" s="183" t="s">
        <v>33</v>
      </c>
      <c r="S4" s="183" t="s">
        <v>33</v>
      </c>
      <c r="T4" s="183"/>
      <c r="U4" s="183"/>
      <c r="V4" s="183"/>
      <c r="W4" s="183"/>
      <c r="X4" s="183"/>
      <c r="Y4" s="183"/>
      <c r="Z4" s="183"/>
      <c r="AA4" s="183"/>
      <c r="AB4" s="183"/>
      <c r="AC4" s="183"/>
      <c r="AW4" s="183" t="s">
        <v>32</v>
      </c>
      <c r="AX4" s="183" t="s">
        <v>32</v>
      </c>
      <c r="AY4" s="183" t="s">
        <v>32</v>
      </c>
      <c r="AZ4" s="183" t="s">
        <v>10</v>
      </c>
      <c r="BA4" s="183" t="s">
        <v>10</v>
      </c>
      <c r="BB4" s="183" t="s">
        <v>10</v>
      </c>
      <c r="BC4" s="183" t="s">
        <v>64</v>
      </c>
      <c r="BD4" s="183" t="s">
        <v>64</v>
      </c>
      <c r="BE4" s="183" t="s">
        <v>64</v>
      </c>
      <c r="BF4" s="183" t="s">
        <v>11</v>
      </c>
      <c r="BG4" s="183" t="s">
        <v>11</v>
      </c>
      <c r="BH4" s="183" t="s">
        <v>11</v>
      </c>
      <c r="BI4" s="183" t="s">
        <v>33</v>
      </c>
      <c r="BJ4" s="183" t="s">
        <v>33</v>
      </c>
      <c r="BK4" s="183" t="s">
        <v>33</v>
      </c>
    </row>
    <row r="5" spans="1:79" s="112" customFormat="1" ht="13.5" thickBot="1">
      <c r="A5" s="183"/>
      <c r="B5" s="183"/>
      <c r="C5" s="183"/>
      <c r="D5" s="183"/>
      <c r="E5" s="183">
        <v>3</v>
      </c>
      <c r="F5" s="183">
        <v>4</v>
      </c>
      <c r="G5" s="183">
        <v>5</v>
      </c>
      <c r="H5" s="183">
        <v>3</v>
      </c>
      <c r="I5" s="183">
        <v>4</v>
      </c>
      <c r="J5" s="183">
        <v>5</v>
      </c>
      <c r="K5" s="183">
        <v>3</v>
      </c>
      <c r="L5" s="183">
        <v>4</v>
      </c>
      <c r="M5" s="183">
        <v>5</v>
      </c>
      <c r="N5" s="183">
        <v>3</v>
      </c>
      <c r="O5" s="183">
        <v>4</v>
      </c>
      <c r="P5" s="183">
        <v>5</v>
      </c>
      <c r="Q5" s="183">
        <v>3</v>
      </c>
      <c r="R5" s="183">
        <v>4</v>
      </c>
      <c r="S5" s="183">
        <v>5</v>
      </c>
      <c r="T5" s="183"/>
      <c r="U5" s="183"/>
      <c r="V5" s="183"/>
      <c r="W5" s="183"/>
      <c r="X5" s="183"/>
      <c r="Y5" s="183"/>
      <c r="Z5" s="183"/>
      <c r="AA5" s="183"/>
      <c r="AB5" s="183"/>
      <c r="AC5" s="183"/>
      <c r="AW5" s="112">
        <v>6</v>
      </c>
      <c r="AX5" s="112">
        <v>7</v>
      </c>
      <c r="AY5" s="112">
        <v>8</v>
      </c>
      <c r="AZ5" s="112">
        <v>6</v>
      </c>
      <c r="BA5" s="112">
        <v>7</v>
      </c>
      <c r="BB5" s="112">
        <v>8</v>
      </c>
      <c r="BC5" s="112">
        <v>6</v>
      </c>
      <c r="BD5" s="112">
        <v>7</v>
      </c>
      <c r="BE5" s="112">
        <v>8</v>
      </c>
      <c r="BF5" s="112">
        <v>6</v>
      </c>
      <c r="BG5" s="112">
        <v>7</v>
      </c>
      <c r="BH5" s="112">
        <v>8</v>
      </c>
      <c r="BI5" s="112">
        <v>6</v>
      </c>
      <c r="BJ5" s="112">
        <v>7</v>
      </c>
      <c r="BK5" s="112">
        <v>8</v>
      </c>
    </row>
    <row r="6" spans="1:79" ht="16.5" thickBot="1">
      <c r="A6" s="34" t="s">
        <v>24</v>
      </c>
      <c r="B6" s="13"/>
      <c r="C6" s="13"/>
      <c r="D6" s="13"/>
      <c r="E6" s="13"/>
      <c r="F6" s="13"/>
      <c r="G6" s="13"/>
      <c r="H6" s="13"/>
      <c r="I6" s="13"/>
      <c r="J6" s="13"/>
      <c r="K6" s="13"/>
      <c r="L6" s="13"/>
      <c r="M6" s="13"/>
      <c r="N6" s="13"/>
      <c r="O6" s="14" t="s">
        <v>25</v>
      </c>
      <c r="P6" s="33">
        <v>5.09</v>
      </c>
      <c r="Q6" s="33" t="s">
        <v>82</v>
      </c>
      <c r="R6" s="13"/>
      <c r="S6" s="14"/>
      <c r="T6" s="13"/>
      <c r="U6" s="14"/>
      <c r="V6" s="14" t="s">
        <v>25</v>
      </c>
      <c r="W6" s="33">
        <v>5.09</v>
      </c>
      <c r="X6" s="33" t="s">
        <v>82</v>
      </c>
      <c r="Y6" s="14"/>
      <c r="Z6" s="14"/>
      <c r="AA6" s="14"/>
      <c r="AB6" s="14"/>
      <c r="AC6" s="14"/>
    </row>
    <row r="7" spans="1:79" ht="26.25" customHeight="1" thickBot="1">
      <c r="A7" s="34">
        <f>A10</f>
        <v>45324</v>
      </c>
      <c r="B7" s="1"/>
      <c r="C7" s="1"/>
      <c r="D7" s="1"/>
      <c r="E7" s="13"/>
      <c r="F7" s="13"/>
      <c r="G7" s="13"/>
      <c r="H7" s="13"/>
      <c r="I7" s="13"/>
      <c r="J7" s="13"/>
      <c r="K7" s="13"/>
      <c r="L7" s="13"/>
      <c r="M7" s="13"/>
      <c r="N7" s="13"/>
      <c r="O7" s="13"/>
      <c r="P7" s="13"/>
      <c r="Q7" s="13"/>
      <c r="R7" s="13"/>
      <c r="S7" s="13"/>
    </row>
    <row r="8" spans="1:79" ht="16.5" thickBot="1">
      <c r="A8" s="196" t="s">
        <v>6</v>
      </c>
      <c r="B8" s="201" t="s">
        <v>21</v>
      </c>
      <c r="C8" s="201" t="s">
        <v>22</v>
      </c>
      <c r="D8" s="201" t="s">
        <v>23</v>
      </c>
      <c r="E8" s="199" t="s">
        <v>30</v>
      </c>
      <c r="F8" s="199"/>
      <c r="G8" s="200"/>
      <c r="H8" s="198" t="s">
        <v>8</v>
      </c>
      <c r="I8" s="199"/>
      <c r="J8" s="200"/>
      <c r="K8" s="198" t="s">
        <v>0</v>
      </c>
      <c r="L8" s="199"/>
      <c r="M8" s="200"/>
      <c r="N8" s="198" t="s">
        <v>9</v>
      </c>
      <c r="O8" s="199"/>
      <c r="P8" s="200"/>
      <c r="Q8" s="199" t="s">
        <v>31</v>
      </c>
      <c r="R8" s="199"/>
      <c r="S8" s="200"/>
      <c r="Z8" s="206"/>
      <c r="AA8" s="206"/>
      <c r="AB8" s="206"/>
      <c r="AC8" s="206"/>
      <c r="AD8" s="206"/>
      <c r="AE8" s="206"/>
      <c r="AG8" s="193" t="s">
        <v>30</v>
      </c>
      <c r="AH8" s="194"/>
      <c r="AI8" s="195"/>
      <c r="AJ8" s="198" t="s">
        <v>8</v>
      </c>
      <c r="AK8" s="199"/>
      <c r="AL8" s="200"/>
      <c r="AM8" s="198" t="s">
        <v>0</v>
      </c>
      <c r="AN8" s="199"/>
      <c r="AO8" s="200"/>
      <c r="AP8" s="198" t="s">
        <v>9</v>
      </c>
      <c r="AQ8" s="199"/>
      <c r="AR8" s="200"/>
      <c r="AS8" s="193" t="s">
        <v>31</v>
      </c>
      <c r="AT8" s="194"/>
      <c r="AU8" s="195"/>
      <c r="AW8" s="193" t="s">
        <v>30</v>
      </c>
      <c r="AX8" s="194"/>
      <c r="AY8" s="195"/>
      <c r="AZ8" s="198" t="s">
        <v>8</v>
      </c>
      <c r="BA8" s="199"/>
      <c r="BB8" s="200"/>
      <c r="BC8" s="198" t="s">
        <v>0</v>
      </c>
      <c r="BD8" s="199"/>
      <c r="BE8" s="200"/>
      <c r="BF8" s="198" t="s">
        <v>9</v>
      </c>
      <c r="BG8" s="199"/>
      <c r="BH8" s="200"/>
      <c r="BI8" s="193" t="s">
        <v>31</v>
      </c>
      <c r="BJ8" s="194"/>
      <c r="BK8" s="195"/>
      <c r="BM8" s="193" t="s">
        <v>30</v>
      </c>
      <c r="BN8" s="194"/>
      <c r="BO8" s="195"/>
      <c r="BP8" s="198" t="s">
        <v>8</v>
      </c>
      <c r="BQ8" s="199"/>
      <c r="BR8" s="200"/>
      <c r="BS8" s="198" t="s">
        <v>0</v>
      </c>
      <c r="BT8" s="199"/>
      <c r="BU8" s="200"/>
      <c r="BV8" s="198" t="s">
        <v>9</v>
      </c>
      <c r="BW8" s="199"/>
      <c r="BX8" s="200"/>
      <c r="BY8" s="193" t="s">
        <v>31</v>
      </c>
      <c r="BZ8" s="194"/>
      <c r="CA8" s="195"/>
    </row>
    <row r="9" spans="1:79" s="16" customFormat="1" ht="25.5" customHeight="1" thickBot="1">
      <c r="A9" s="197"/>
      <c r="B9" s="202"/>
      <c r="C9" s="202"/>
      <c r="D9" s="202"/>
      <c r="E9" s="5" t="s">
        <v>1</v>
      </c>
      <c r="F9" s="5" t="s">
        <v>2</v>
      </c>
      <c r="G9" s="5" t="s">
        <v>3</v>
      </c>
      <c r="H9" s="5" t="s">
        <v>1</v>
      </c>
      <c r="I9" s="5" t="s">
        <v>2</v>
      </c>
      <c r="J9" s="5" t="s">
        <v>3</v>
      </c>
      <c r="K9" s="15" t="s">
        <v>1</v>
      </c>
      <c r="L9" s="15" t="s">
        <v>2</v>
      </c>
      <c r="M9" s="15" t="s">
        <v>3</v>
      </c>
      <c r="N9" s="15" t="s">
        <v>1</v>
      </c>
      <c r="O9" s="15" t="s">
        <v>2</v>
      </c>
      <c r="P9" s="15" t="s">
        <v>3</v>
      </c>
      <c r="Q9" s="15" t="s">
        <v>1</v>
      </c>
      <c r="R9" s="15" t="s">
        <v>2</v>
      </c>
      <c r="S9" s="15" t="s">
        <v>3</v>
      </c>
      <c r="T9" s="68" t="s">
        <v>32</v>
      </c>
      <c r="U9" s="15" t="s">
        <v>10</v>
      </c>
      <c r="V9" s="15" t="s">
        <v>11</v>
      </c>
      <c r="W9" s="15" t="s">
        <v>33</v>
      </c>
      <c r="X9" s="15" t="s">
        <v>12</v>
      </c>
      <c r="Y9" s="68" t="s">
        <v>34</v>
      </c>
      <c r="Z9" s="49" t="s">
        <v>32</v>
      </c>
      <c r="AA9" s="36" t="s">
        <v>10</v>
      </c>
      <c r="AB9" s="36" t="s">
        <v>11</v>
      </c>
      <c r="AC9" s="49" t="s">
        <v>33</v>
      </c>
      <c r="AD9" s="36" t="s">
        <v>12</v>
      </c>
      <c r="AE9" s="49" t="s">
        <v>34</v>
      </c>
      <c r="AG9" s="4" t="s">
        <v>14</v>
      </c>
      <c r="AH9" s="4" t="s">
        <v>15</v>
      </c>
      <c r="AI9" s="4" t="s">
        <v>16</v>
      </c>
      <c r="AJ9" s="4" t="s">
        <v>14</v>
      </c>
      <c r="AK9" s="4" t="s">
        <v>15</v>
      </c>
      <c r="AL9" s="4" t="s">
        <v>16</v>
      </c>
      <c r="AM9" s="4" t="s">
        <v>14</v>
      </c>
      <c r="AN9" s="4" t="s">
        <v>15</v>
      </c>
      <c r="AO9" s="4" t="s">
        <v>16</v>
      </c>
      <c r="AP9" s="4" t="s">
        <v>14</v>
      </c>
      <c r="AQ9" s="4" t="s">
        <v>15</v>
      </c>
      <c r="AR9" s="4" t="s">
        <v>16</v>
      </c>
      <c r="AS9" s="4" t="s">
        <v>14</v>
      </c>
      <c r="AT9" s="4" t="s">
        <v>15</v>
      </c>
      <c r="AU9" s="4" t="s">
        <v>16</v>
      </c>
      <c r="AW9" s="5" t="s">
        <v>53</v>
      </c>
      <c r="AX9" s="5" t="s">
        <v>54</v>
      </c>
      <c r="AY9" s="5" t="s">
        <v>13</v>
      </c>
      <c r="AZ9" s="5" t="s">
        <v>53</v>
      </c>
      <c r="BA9" s="5" t="s">
        <v>54</v>
      </c>
      <c r="BB9" s="5" t="s">
        <v>13</v>
      </c>
      <c r="BC9" s="5" t="s">
        <v>53</v>
      </c>
      <c r="BD9" s="5" t="s">
        <v>54</v>
      </c>
      <c r="BE9" s="5" t="s">
        <v>13</v>
      </c>
      <c r="BF9" s="5" t="s">
        <v>53</v>
      </c>
      <c r="BG9" s="5" t="s">
        <v>54</v>
      </c>
      <c r="BH9" s="5" t="s">
        <v>13</v>
      </c>
      <c r="BI9" s="5" t="s">
        <v>53</v>
      </c>
      <c r="BJ9" s="5" t="s">
        <v>54</v>
      </c>
      <c r="BK9" s="5" t="s">
        <v>13</v>
      </c>
      <c r="BL9" s="2"/>
      <c r="BM9" s="117" t="str">
        <f>"d"&amp;AW9</f>
        <v>dPM</v>
      </c>
      <c r="BN9" s="117" t="str">
        <f t="shared" ref="BN9:CA9" si="0">"d"&amp;AX9</f>
        <v>dH</v>
      </c>
      <c r="BO9" s="117" t="str">
        <f t="shared" si="0"/>
        <v>dV</v>
      </c>
      <c r="BP9" s="117" t="str">
        <f t="shared" si="0"/>
        <v>dPM</v>
      </c>
      <c r="BQ9" s="117" t="str">
        <f t="shared" si="0"/>
        <v>dH</v>
      </c>
      <c r="BR9" s="117" t="str">
        <f t="shared" si="0"/>
        <v>dV</v>
      </c>
      <c r="BS9" s="117" t="str">
        <f t="shared" si="0"/>
        <v>dPM</v>
      </c>
      <c r="BT9" s="117" t="str">
        <f t="shared" si="0"/>
        <v>dH</v>
      </c>
      <c r="BU9" s="117" t="str">
        <f t="shared" si="0"/>
        <v>dV</v>
      </c>
      <c r="BV9" s="117" t="str">
        <f t="shared" si="0"/>
        <v>dPM</v>
      </c>
      <c r="BW9" s="117" t="str">
        <f t="shared" si="0"/>
        <v>dH</v>
      </c>
      <c r="BX9" s="117" t="str">
        <f t="shared" si="0"/>
        <v>dV</v>
      </c>
      <c r="BY9" s="117" t="str">
        <f t="shared" si="0"/>
        <v>dPM</v>
      </c>
      <c r="BZ9" s="117" t="str">
        <f t="shared" si="0"/>
        <v>dH</v>
      </c>
      <c r="CA9" s="117" t="str">
        <f t="shared" si="0"/>
        <v>dV</v>
      </c>
    </row>
    <row r="10" spans="1:79" ht="29.25" customHeight="1">
      <c r="A10" s="34">
        <v>45324</v>
      </c>
      <c r="B10" s="37">
        <v>0</v>
      </c>
      <c r="C10" s="38">
        <v>9.39</v>
      </c>
      <c r="D10" s="38">
        <f t="shared" ref="D10:D12" si="1">C10-$W$6</f>
        <v>4.3000000000000007</v>
      </c>
      <c r="E10" s="66" cm="1">
        <f t="array" ref="E10">IFERROR(_xlfn.SINGLE(INDEX(DATABASE!$AV$14:$BC$989,SUMPRODUCT((ROW(DATABASE!$AV$14:$AV$989)) * (DATABASE!AG$14:$AV$989='Résultats observations'!$A10 ) * (DATABASE!$AW$14:$AW$989= E$4))-ROW(DATABASE!$AV$14)+1,E$5)),"")</f>
        <v>823058.96829999995</v>
      </c>
      <c r="F10" s="66" cm="1">
        <f t="array" ref="F10">IFERROR(_xlfn.SINGLE(INDEX(DATABASE!$AV$14:$BC$989,SUMPRODUCT((ROW(DATABASE!$AV$14:$AV$989)) * (DATABASE!AH$14:$AV$989='Résultats observations'!$A10 ) * (DATABASE!$AW$14:$AW$989= F$4))-ROW(DATABASE!$AV$14)+1,F$5)),"")</f>
        <v>1091426.6536999999</v>
      </c>
      <c r="G10" s="66" cm="1">
        <f t="array" ref="G10">IFERROR(_xlfn.SINGLE(INDEX(DATABASE!$AV$14:$BC$989,SUMPRODUCT((ROW(DATABASE!$AV$14:$AV$989)) * (DATABASE!AI$14:$AV$989='Résultats observations'!$A10 ) * (DATABASE!$AW$14:$AW$989= G$4))-ROW(DATABASE!$AV$14)+1,G$5)),"")</f>
        <v>-123.0613</v>
      </c>
      <c r="H10" s="66" cm="1">
        <f t="array" ref="H10">IFERROR(_xlfn.SINGLE(INDEX(DATABASE!$AV$14:$BC$989,SUMPRODUCT((ROW(DATABASE!$AV$14:$AV$989)) * (DATABASE!AJ$14:$AV$989='Résultats observations'!$A10 ) * (DATABASE!$AW$14:$AW$989= H$4))-ROW(DATABASE!$AV$14)+1,H$5)),"")</f>
        <v>823058.93154999998</v>
      </c>
      <c r="I10" s="66" cm="1">
        <f t="array" ref="I10">IFERROR(_xlfn.SINGLE(INDEX(DATABASE!$AV$14:$BC$989,SUMPRODUCT((ROW(DATABASE!$AV$14:$AV$989)) * (DATABASE!AK$14:$AV$989='Résultats observations'!$A10 ) * (DATABASE!$AW$14:$AW$989= I$4))-ROW(DATABASE!$AV$14)+1,I$5)),"")</f>
        <v>1091426.7404</v>
      </c>
      <c r="J10" s="66" cm="1">
        <f t="array" ref="J10">IFERROR(_xlfn.SINGLE(INDEX(DATABASE!$AV$14:$BC$989,SUMPRODUCT((ROW(DATABASE!$AV$14:$AV$989)) * (DATABASE!AL$14:$AV$989='Résultats observations'!$A10 ) * (DATABASE!$AW$14:$AW$989= J$4))-ROW(DATABASE!$AV$14)+1,J$5)),"")</f>
        <v>-121.1276</v>
      </c>
      <c r="K10" s="66" cm="1">
        <f t="array" ref="K10">IFERROR(_xlfn.SINGLE(INDEX(DATABASE!$AV$14:$BC$989,SUMPRODUCT((ROW(DATABASE!$AV$14:$AV$989)) * (DATABASE!AM$14:$AV$989='Résultats observations'!$A10 ) * (DATABASE!$AW$14:$AW$989= K$4))-ROW(DATABASE!$AV$14)+1,K$5)),"")</f>
        <v>823058.00014999998</v>
      </c>
      <c r="L10" s="66" cm="1">
        <f t="array" ref="L10">IFERROR(_xlfn.SINGLE(INDEX(DATABASE!$AV$14:$BC$989,SUMPRODUCT((ROW(DATABASE!$AV$14:$AV$989)) * (DATABASE!AN$14:$AV$989='Résultats observations'!$A10 ) * (DATABASE!$AW$14:$AW$989= L$4))-ROW(DATABASE!$AV$14)+1,L$5)),"")</f>
        <v>1091429.0802</v>
      </c>
      <c r="M10" s="66" cm="1">
        <f t="array" ref="M10">IFERROR(_xlfn.SINGLE(INDEX(DATABASE!$AV$14:$BC$989,SUMPRODUCT((ROW(DATABASE!$AV$14:$AV$989)) * (DATABASE!AO$14:$AV$989='Résultats observations'!$A10 ) * (DATABASE!$AW$14:$AW$989= M$4))-ROW(DATABASE!$AV$14)+1,M$5)),"")</f>
        <v>-119.68595000000001</v>
      </c>
      <c r="N10" s="66" cm="1">
        <f t="array" ref="N10">IFERROR(_xlfn.SINGLE(INDEX(DATABASE!$AV$14:$BC$989,SUMPRODUCT((ROW(DATABASE!$AV$14:$AV$989)) * (DATABASE!AP$14:$AV$989='Résultats observations'!$A10 ) * (DATABASE!$AW$14:$AW$989= N$4))-ROW(DATABASE!$AV$14)+1,N$5)),"")</f>
        <v>823056.96750000003</v>
      </c>
      <c r="O10" s="66" cm="1">
        <f t="array" ref="O10">IFERROR(_xlfn.SINGLE(INDEX(DATABASE!$AV$14:$BC$989,SUMPRODUCT((ROW(DATABASE!$AV$14:$AV$989)) * (DATABASE!AQ$14:$AV$989='Résultats observations'!$A10 ) * (DATABASE!$AW$14:$AW$989= O$4))-ROW(DATABASE!$AV$14)+1,O$5)),"")</f>
        <v>1091430.38705</v>
      </c>
      <c r="P10" s="66" cm="1">
        <f t="array" ref="P10">IFERROR(_xlfn.SINGLE(INDEX(DATABASE!$AV$14:$BC$989,SUMPRODUCT((ROW(DATABASE!$AV$14:$AV$989)) * (DATABASE!AR$14:$AV$989='Résultats observations'!$A10 ) * (DATABASE!$AW$14:$AW$989= P$4))-ROW(DATABASE!$AV$14)+1,P$5)),"")</f>
        <v>-120.0902</v>
      </c>
      <c r="Q10" s="66" cm="1">
        <f t="array" ref="Q10">IFERROR(_xlfn.SINGLE(INDEX(DATABASE!$AV$14:$BC$989,SUMPRODUCT((ROW(DATABASE!$AV$14:$AV$989)) * (DATABASE!AS$14:$AV$989='Résultats observations'!$A10 ) * (DATABASE!$AW$14:$AW$989= Q$4))-ROW(DATABASE!$AV$14)+1,Q$5)),"")</f>
        <v>823056.71065000002</v>
      </c>
      <c r="R10" s="66" cm="1">
        <f t="array" ref="R10">IFERROR(_xlfn.SINGLE(INDEX(DATABASE!$AV$14:$BC$989,SUMPRODUCT((ROW(DATABASE!$AV$14:$AV$989)) * (DATABASE!AT$14:$AV$989='Résultats observations'!$A10 ) * (DATABASE!$AW$14:$AW$989= R$4))-ROW(DATABASE!$AV$14)+1,R$5)),"")</f>
        <v>1091431.4546000001</v>
      </c>
      <c r="S10" s="66" cm="1">
        <f t="array" ref="S10">IFERROR(_xlfn.SINGLE(INDEX(DATABASE!$AV$14:$BC$989,SUMPRODUCT((ROW(DATABASE!$AV$14:$AV$989)) * (DATABASE!AU$14:$AV$989='Résultats observations'!$A10 ) * (DATABASE!$AW$14:$AW$989= S$4))-ROW(DATABASE!$AV$14)+1,S$5)),"")</f>
        <v>-123.00539999999999</v>
      </c>
      <c r="T10" s="69">
        <f t="shared" ref="T10:T57" si="2">IF(Xhaut="","",SQRT(((Xintergauche-Xhaut)^2+(Yintergauche-Yhaut)^2)+(Zintergauche-Zhaut)^2))</f>
        <v>4.2682788445969724</v>
      </c>
      <c r="U10" s="69">
        <f t="shared" ref="U10:U57" si="3">IF(Xhaut="","",SQRT(((Xhautgauche-Xhaut)^2+(Yhautgauche-Yhaut)^2)+(Zhautgauche-Zhaut)^2))</f>
        <v>2.9018140399249268</v>
      </c>
      <c r="V10" s="69">
        <f t="shared" ref="V10:V57" si="4">IF(Xhaut="","",SQRT(((Xhautdroit-Xhaut)^2+(Yhautdroit-Yhaut)^2)+(Zhautdroit-Zhaut)^2))</f>
        <v>1.7139547857315947</v>
      </c>
      <c r="W10" s="69">
        <f t="shared" ref="W10:W57" si="5">IF(Xhaut="","",SQRT(((Xinterdroit-Xhaut)^2+(Yinterdroit-Yhaut)^2)+(Zinterdroit-Zhaut)^2))</f>
        <v>4.2801091005723366</v>
      </c>
      <c r="X10" s="69">
        <f t="shared" ref="X10:X57" si="6">IF(Xhautdroit="","",SQRT(((Xhautdroit-Xhautgauche)^2+(Yhautdroit-Yhautgauche)^2)+(Zhautdroit-Zhautgauche)^2))</f>
        <v>4.2698650312251898</v>
      </c>
      <c r="Y10" s="69">
        <f t="shared" ref="Y10:Y57" si="7">IF(Xinterdroit="","",SQRT(((Xinterdroit-Xintergauche)^2+(Yinterdroit-Yintergauche)^2)+(Zinterdroit-Zintergauche)^2))</f>
        <v>5.3055394771489492</v>
      </c>
      <c r="Z10" s="67">
        <f t="shared" ref="Z10:AE10" si="8">IF(T10="","",(T10-T$10)*1000)</f>
        <v>0</v>
      </c>
      <c r="AA10" s="67">
        <f t="shared" si="8"/>
        <v>0</v>
      </c>
      <c r="AB10" s="67">
        <f t="shared" si="8"/>
        <v>0</v>
      </c>
      <c r="AC10" s="67">
        <f t="shared" si="8"/>
        <v>0</v>
      </c>
      <c r="AD10" s="67">
        <f t="shared" si="8"/>
        <v>0</v>
      </c>
      <c r="AE10" s="67">
        <f t="shared" si="8"/>
        <v>0</v>
      </c>
      <c r="AF10" s="35"/>
      <c r="AG10" s="64">
        <v>0</v>
      </c>
      <c r="AH10" s="64">
        <v>0</v>
      </c>
      <c r="AI10" s="64">
        <v>0</v>
      </c>
      <c r="AJ10" s="64">
        <v>0</v>
      </c>
      <c r="AK10" s="64">
        <v>0</v>
      </c>
      <c r="AL10" s="64">
        <v>0</v>
      </c>
      <c r="AM10" s="64">
        <v>0</v>
      </c>
      <c r="AN10" s="64">
        <v>0</v>
      </c>
      <c r="AO10" s="64">
        <v>0</v>
      </c>
      <c r="AP10" s="64">
        <v>0</v>
      </c>
      <c r="AQ10" s="64">
        <v>0</v>
      </c>
      <c r="AR10" s="64">
        <v>0</v>
      </c>
      <c r="AS10" s="64">
        <v>0</v>
      </c>
      <c r="AT10" s="64">
        <v>0</v>
      </c>
      <c r="AU10" s="64">
        <v>0</v>
      </c>
      <c r="AV10" s="35"/>
      <c r="AW10" s="39" cm="1">
        <f t="array" ref="AW10">IFERROR(_xlfn.SINGLE(INDEX(DATABASE!$AV$14:$BC$989,SUMPRODUCT((ROW(DATABASE!$AV$14:$AV$989)) * (DATABASE!$AV$14:HY$989='Résultats observations'!$A10 ) * (DATABASE!$AW$14:$AW$989= AW$4))-ROW(DATABASE!$AV$14)+1,AW$5)),"")</f>
        <v>5.0680466088288894</v>
      </c>
      <c r="AX10" s="39" cm="1">
        <f t="array" ref="AX10">IFERROR(_xlfn.SINGLE(INDEX(DATABASE!$AV$14:$BC$989,SUMPRODUCT((ROW(DATABASE!$AV$14:$AV$989)) * (DATABASE!$AV$14:HZ$989='Résultats observations'!$A10 ) * (DATABASE!$AW$14:$AW$989= AX$4))-ROW(DATABASE!$AV$14)+1,AX$5)),"")</f>
        <v>-2.6254948014955675</v>
      </c>
      <c r="AY10" s="39" cm="1">
        <f t="array" ref="AY10">IFERROR(_xlfn.SINGLE(INDEX(DATABASE!$AV$14:$BC$989,SUMPRODUCT((ROW(DATABASE!$AV$14:$AV$989)) * (DATABASE!$AV$14:IA$989='Résultats observations'!$A10 ) * (DATABASE!$AW$14:$AW$989= AY$4))-ROW(DATABASE!$AV$14)+1,AY$5)),"")</f>
        <v>-0.78498046608829952</v>
      </c>
      <c r="AZ10" s="39" cm="1">
        <f t="array" ref="AZ10">IFERROR(_xlfn.SINGLE(INDEX(DATABASE!$AV$14:$BC$989,SUMPRODUCT((ROW(DATABASE!$AV$14:$AV$989)) * (DATABASE!$AV$14:IB$989='Résultats observations'!$A10 ) * (DATABASE!$AW$14:$AW$989= AZ$4))-ROW(DATABASE!$AV$14)+1,AZ$5)),"")</f>
        <v>5.0647139140736845</v>
      </c>
      <c r="BA10" s="39" cm="1">
        <f t="array" ref="BA10">IFERROR(_xlfn.SINGLE(INDEX(DATABASE!$AV$14:$BC$989,SUMPRODUCT((ROW(DATABASE!$AV$14:$AV$989)) * (DATABASE!$AV$14:IC$989='Résultats observations'!$A10 ) * (DATABASE!$AW$14:$AW$989= BA$4))-ROW(DATABASE!$AV$14)+1,BA$5)),"")</f>
        <v>-2.5313866421197049</v>
      </c>
      <c r="BB10" s="39" cm="1">
        <f t="array" ref="BB10">IFERROR(_xlfn.SINGLE(INDEX(DATABASE!$AV$14:$BC$989,SUMPRODUCT((ROW(DATABASE!$AV$14:$AV$989)) * (DATABASE!$AV$14:ID$989='Résultats observations'!$A10 ) * (DATABASE!$AW$14:$AW$989= BB$4))-ROW(DATABASE!$AV$14)+1,BB$5)),"")</f>
        <v>1.1487528608592612</v>
      </c>
      <c r="BC10" s="39" cm="1">
        <f t="array" ref="BC10">IFERROR(_xlfn.SINGLE(INDEX(DATABASE!$AV$14:$BC$989,SUMPRODUCT((ROW(DATABASE!$AV$14:$AV$989)) * (DATABASE!$AV$14:IE$989='Résultats observations'!$A10 ) * (DATABASE!$AW$14:$AW$989= BC$4))-ROW(DATABASE!$AV$14)+1,BC$5)),"")</f>
        <v>4.9200467837882425</v>
      </c>
      <c r="BD10" s="39" cm="1">
        <f t="array" ref="BD10">IFERROR(_xlfn.SINGLE(INDEX(DATABASE!$AV$14:$BC$989,SUMPRODUCT((ROW(DATABASE!$AV$14:$AV$989)) * (DATABASE!$AV$14:IF$989='Résultats observations'!$A10 ) * (DATABASE!$AW$14:$AW$989= BD$4))-ROW(DATABASE!$AV$14)+1,BD$5)),"")</f>
        <v>-1.7178730824300509E-2</v>
      </c>
      <c r="BE10" s="39" cm="1">
        <f t="array" ref="BE10">IFERROR(_xlfn.SINGLE(INDEX(DATABASE!$AV$14:$BC$989,SUMPRODUCT((ROW(DATABASE!$AV$14:$AV$989)) * (DATABASE!$AV$14:IG$989='Résultats observations'!$A10 ) * (DATABASE!$AW$14:$AW$989= BE$4))-ROW(DATABASE!$AV$14)+1,BE$5)),"")</f>
        <v>2.5918495321621151</v>
      </c>
      <c r="BF10" s="39" cm="1">
        <f t="array" ref="BF10">IFERROR(_xlfn.SINGLE(INDEX(DATABASE!$AV$14:$BC$989,SUMPRODUCT((ROW(DATABASE!$AV$14:$AV$989)) * (DATABASE!$AV$14:IH$989='Résultats observations'!$A10 ) * (DATABASE!$AW$14:$AW$989= BF$4))-ROW(DATABASE!$AV$14)+1,BF$5)),"")</f>
        <v>5.3036726349190211</v>
      </c>
      <c r="BG10" s="39" cm="1">
        <f t="array" ref="BG10">IFERROR(_xlfn.SINGLE(INDEX(DATABASE!$AV$14:$BC$989,SUMPRODUCT((ROW(DATABASE!$AV$14:$AV$989)) * (DATABASE!$AV$14:II$989='Résultats observations'!$A10 ) * (DATABASE!$AW$14:$AW$989= BG$4))-ROW(DATABASE!$AV$14)+1,BG$5)),"")</f>
        <v>1.6036402446866722</v>
      </c>
      <c r="BH10" s="39" cm="1">
        <f t="array" ref="BH10">IFERROR(_xlfn.SINGLE(INDEX(DATABASE!$AV$14:$BC$989,SUMPRODUCT((ROW(DATABASE!$AV$14:$AV$989)) * (DATABASE!$AV$14:IJ$989='Résultats observations'!$A10 ) * (DATABASE!$AW$14:$AW$989= BH$4))-ROW(DATABASE!$AV$14)+1,BH$5)),"")</f>
        <v>2.1837632736508112</v>
      </c>
      <c r="BI10" s="39" cm="1">
        <f t="array" ref="BI10">IFERROR(_xlfn.SINGLE(INDEX(DATABASE!$AV$14:$BC$989,SUMPRODUCT((ROW(DATABASE!$AV$14:$AV$989)) * (DATABASE!$AV$14:IK$989='Résultats observations'!$A10 ) * (DATABASE!$AW$14:$AW$989= BI$4))-ROW(DATABASE!$AV$14)+1,BI$5)),"")</f>
        <v>5.0853087871085441</v>
      </c>
      <c r="BJ10" s="39" cm="1">
        <f t="array" ref="BJ10">IFERROR(_xlfn.SINGLE(INDEX(DATABASE!$AV$14:$BC$989,SUMPRODUCT((ROW(DATABASE!$AV$14:$AV$989)) * (DATABASE!$AV$14:IL$989='Résultats observations'!$A10 ) * (DATABASE!$AW$14:$AW$989= BJ$4))-ROW(DATABASE!$AV$14)+1,BJ$5)),"")</f>
        <v>2.6797220980088192</v>
      </c>
      <c r="BK10" s="39" cm="1">
        <f t="array" ref="BK10">IFERROR(_xlfn.SINGLE(INDEX(DATABASE!$AV$14:$BC$989,SUMPRODUCT((ROW(DATABASE!$AV$14:$AV$989)) * (DATABASE!$AV$14:IM$989='Résultats observations'!$A10 ) * (DATABASE!$AW$14:$AW$989= BK$4))-ROW(DATABASE!$AV$14)+1,BK$5)),"")</f>
        <v>-0.72925308787108634</v>
      </c>
      <c r="BL10" s="35"/>
      <c r="BM10" s="40">
        <v>0</v>
      </c>
      <c r="BN10" s="40">
        <v>0</v>
      </c>
      <c r="BO10" s="40">
        <v>0</v>
      </c>
      <c r="BP10" s="40">
        <v>0</v>
      </c>
      <c r="BQ10" s="40">
        <v>0</v>
      </c>
      <c r="BR10" s="40">
        <v>0</v>
      </c>
      <c r="BS10" s="40">
        <v>0</v>
      </c>
      <c r="BT10" s="40">
        <v>0</v>
      </c>
      <c r="BU10" s="40">
        <v>0</v>
      </c>
      <c r="BV10" s="40">
        <v>0</v>
      </c>
      <c r="BW10" s="40">
        <v>0</v>
      </c>
      <c r="BX10" s="40">
        <v>0</v>
      </c>
      <c r="BY10" s="40">
        <v>0</v>
      </c>
      <c r="BZ10" s="40">
        <v>0</v>
      </c>
      <c r="CA10" s="40">
        <v>0</v>
      </c>
    </row>
    <row r="11" spans="1:79" s="108" customFormat="1" ht="29.25" customHeight="1">
      <c r="A11" s="99">
        <v>45327</v>
      </c>
      <c r="B11" s="100">
        <f t="shared" ref="B11" si="9">A11-$A$10</f>
        <v>3</v>
      </c>
      <c r="C11" s="101">
        <v>9.39</v>
      </c>
      <c r="D11" s="101">
        <f t="shared" si="1"/>
        <v>4.3000000000000007</v>
      </c>
      <c r="E11" s="102" cm="1">
        <f t="array" ref="E11">IFERROR(_xlfn.SINGLE(INDEX(DATABASE!$AV$14:$BC$989,SUMPRODUCT((ROW(DATABASE!$AV$14:$AV$989)) * (DATABASE!AG$14:$AV$989='Résultats observations'!$A11 ) * (DATABASE!$AW$14:$AW$989= E$4))-ROW(DATABASE!$AV$14)+1,E$5)),"")</f>
        <v>823058.96915000002</v>
      </c>
      <c r="F11" s="102" cm="1">
        <f t="array" ref="F11">IFERROR(_xlfn.SINGLE(INDEX(DATABASE!$AV$14:$BC$989,SUMPRODUCT((ROW(DATABASE!$AV$14:$AV$989)) * (DATABASE!AH$14:$AV$989='Résultats observations'!$A11 ) * (DATABASE!$AW$14:$AW$989= F$4))-ROW(DATABASE!$AV$14)+1,F$5)),"")</f>
        <v>1091426.6544000001</v>
      </c>
      <c r="G11" s="102" cm="1">
        <f t="array" ref="G11">IFERROR(_xlfn.SINGLE(INDEX(DATABASE!$AV$14:$BC$989,SUMPRODUCT((ROW(DATABASE!$AV$14:$AV$989)) * (DATABASE!AI$14:$AV$989='Résultats observations'!$A11 ) * (DATABASE!$AW$14:$AW$989= G$4))-ROW(DATABASE!$AV$14)+1,G$5)),"")</f>
        <v>-123.0605</v>
      </c>
      <c r="H11" s="102" cm="1">
        <f t="array" ref="H11">IFERROR(_xlfn.SINGLE(INDEX(DATABASE!$AV$14:$BC$989,SUMPRODUCT((ROW(DATABASE!$AV$14:$AV$989)) * (DATABASE!AJ$14:$AV$989='Résultats observations'!$A11 ) * (DATABASE!$AW$14:$AW$989= H$4))-ROW(DATABASE!$AV$14)+1,H$5)),"")</f>
        <v>823058.93149999995</v>
      </c>
      <c r="I11" s="102" cm="1">
        <f t="array" ref="I11">IFERROR(_xlfn.SINGLE(INDEX(DATABASE!$AV$14:$BC$989,SUMPRODUCT((ROW(DATABASE!$AV$14:$AV$989)) * (DATABASE!AK$14:$AV$989='Résultats observations'!$A11 ) * (DATABASE!$AW$14:$AW$989= I$4))-ROW(DATABASE!$AV$14)+1,I$5)),"")</f>
        <v>1091426.7405000001</v>
      </c>
      <c r="J11" s="102" cm="1">
        <f t="array" ref="J11">IFERROR(_xlfn.SINGLE(INDEX(DATABASE!$AV$14:$BC$989,SUMPRODUCT((ROW(DATABASE!$AV$14:$AV$989)) * (DATABASE!AL$14:$AV$989='Résultats observations'!$A11 ) * (DATABASE!$AW$14:$AW$989= J$4))-ROW(DATABASE!$AV$14)+1,J$5)),"")</f>
        <v>-121.1272</v>
      </c>
      <c r="K11" s="102" cm="1">
        <f t="array" ref="K11">IFERROR(_xlfn.SINGLE(INDEX(DATABASE!$AV$14:$BC$989,SUMPRODUCT((ROW(DATABASE!$AV$14:$AV$989)) * (DATABASE!AM$14:$AV$989='Résultats observations'!$A11 ) * (DATABASE!$AW$14:$AW$989= K$4))-ROW(DATABASE!$AV$14)+1,K$5)),"")</f>
        <v>823058</v>
      </c>
      <c r="L11" s="102" cm="1">
        <f t="array" ref="L11">IFERROR(_xlfn.SINGLE(INDEX(DATABASE!$AV$14:$BC$989,SUMPRODUCT((ROW(DATABASE!$AV$14:$AV$989)) * (DATABASE!AN$14:$AV$989='Résultats observations'!$A11 ) * (DATABASE!$AW$14:$AW$989= L$4))-ROW(DATABASE!$AV$14)+1,L$5)),"")</f>
        <v>1091429.07975</v>
      </c>
      <c r="M11" s="102" cm="1">
        <f t="array" ref="M11">IFERROR(_xlfn.SINGLE(INDEX(DATABASE!$AV$14:$BC$989,SUMPRODUCT((ROW(DATABASE!$AV$14:$AV$989)) * (DATABASE!AO$14:$AV$989='Résultats observations'!$A11 ) * (DATABASE!$AW$14:$AW$989= M$4))-ROW(DATABASE!$AV$14)+1,M$5)),"")</f>
        <v>-119.6859</v>
      </c>
      <c r="N11" s="102" cm="1">
        <f t="array" ref="N11">IFERROR(_xlfn.SINGLE(INDEX(DATABASE!$AV$14:$BC$989,SUMPRODUCT((ROW(DATABASE!$AV$14:$AV$989)) * (DATABASE!AP$14:$AV$989='Résultats observations'!$A11 ) * (DATABASE!$AW$14:$AW$989= N$4))-ROW(DATABASE!$AV$14)+1,N$5)),"")</f>
        <v>823056.96759999997</v>
      </c>
      <c r="O11" s="102" cm="1">
        <f t="array" ref="O11">IFERROR(_xlfn.SINGLE(INDEX(DATABASE!$AV$14:$BC$989,SUMPRODUCT((ROW(DATABASE!$AV$14:$AV$989)) * (DATABASE!AQ$14:$AV$989='Résultats observations'!$A11 ) * (DATABASE!$AW$14:$AW$989= O$4))-ROW(DATABASE!$AV$14)+1,O$5)),"")</f>
        <v>1091430.3862000001</v>
      </c>
      <c r="P11" s="102" cm="1">
        <f t="array" ref="P11">IFERROR(_xlfn.SINGLE(INDEX(DATABASE!$AV$14:$BC$989,SUMPRODUCT((ROW(DATABASE!$AV$14:$AV$989)) * (DATABASE!AR$14:$AV$989='Résultats observations'!$A11 ) * (DATABASE!$AW$14:$AW$989= P$4))-ROW(DATABASE!$AV$14)+1,P$5)),"")</f>
        <v>-120.09010000000001</v>
      </c>
      <c r="Q11" s="102" cm="1">
        <f t="array" ref="Q11">IFERROR(_xlfn.SINGLE(INDEX(DATABASE!$AV$14:$BC$989,SUMPRODUCT((ROW(DATABASE!$AV$14:$AV$989)) * (DATABASE!AS$14:$AV$989='Résultats observations'!$A11 ) * (DATABASE!$AW$14:$AW$989= Q$4))-ROW(DATABASE!$AV$14)+1,Q$5)),"")</f>
        <v>823056.71155000001</v>
      </c>
      <c r="R11" s="102" cm="1">
        <f t="array" ref="R11">IFERROR(_xlfn.SINGLE(INDEX(DATABASE!$AV$14:$BC$989,SUMPRODUCT((ROW(DATABASE!$AV$14:$AV$989)) * (DATABASE!AT$14:$AV$989='Résultats observations'!$A11 ) * (DATABASE!$AW$14:$AW$989= R$4))-ROW(DATABASE!$AV$14)+1,R$5)),"")</f>
        <v>1091431.4541500001</v>
      </c>
      <c r="S11" s="102" cm="1">
        <f t="array" ref="S11">IFERROR(_xlfn.SINGLE(INDEX(DATABASE!$AV$14:$BC$989,SUMPRODUCT((ROW(DATABASE!$AV$14:$AV$989)) * (DATABASE!AU$14:$AV$989='Résultats observations'!$A11 ) * (DATABASE!$AW$14:$AW$989= S$4))-ROW(DATABASE!$AV$14)+1,S$5)),"")</f>
        <v>-123.00395</v>
      </c>
      <c r="T11" s="103">
        <f t="shared" si="2"/>
        <v>4.267259015414635</v>
      </c>
      <c r="U11" s="103">
        <f t="shared" si="3"/>
        <v>2.9012287917742423</v>
      </c>
      <c r="V11" s="103">
        <f t="shared" si="4"/>
        <v>1.7134873803557322</v>
      </c>
      <c r="W11" s="103">
        <f t="shared" si="5"/>
        <v>4.278707113766818</v>
      </c>
      <c r="X11" s="103">
        <f t="shared" si="6"/>
        <v>4.2689118179987267</v>
      </c>
      <c r="Y11" s="103">
        <f t="shared" si="7"/>
        <v>5.3044844919281857</v>
      </c>
      <c r="Z11" s="104">
        <f t="shared" ref="Z11" si="10">IF(T11="","",(T11-T$10)*1000)</f>
        <v>-1.0198291823373395</v>
      </c>
      <c r="AA11" s="104">
        <f t="shared" ref="AA11" si="11">IF(U11="","",(U11-U$10)*1000)</f>
        <v>-0.58524815068450309</v>
      </c>
      <c r="AB11" s="104">
        <f t="shared" ref="AB11" si="12">IF(V11="","",(V11-V$10)*1000)</f>
        <v>-0.46740537586242858</v>
      </c>
      <c r="AC11" s="104">
        <f t="shared" ref="AC11" si="13">IF(W11="","",(W11-W$10)*1000)</f>
        <v>-1.401986805518618</v>
      </c>
      <c r="AD11" s="104">
        <f t="shared" ref="AD11" si="14">IF(X11="","",(X11-X$10)*1000)</f>
        <v>-0.95321322646313433</v>
      </c>
      <c r="AE11" s="104">
        <f t="shared" ref="AE11" si="15">IF(Y11="","",(Y11-Y$10)*1000)</f>
        <v>-1.0549852207635269</v>
      </c>
      <c r="AF11" s="105"/>
      <c r="AG11" s="106">
        <f t="shared" ref="AG11" si="16">IF(E11="","",(E11-E$10)*1000)</f>
        <v>0.85000006947666407</v>
      </c>
      <c r="AH11" s="106">
        <f t="shared" ref="AH11" si="17">IF(F11="","",(F11-F$10)*1000)</f>
        <v>0.70000020787119865</v>
      </c>
      <c r="AI11" s="106">
        <f t="shared" ref="AI11" si="18">IF(G11="","",(G11-G$10)*1000)</f>
        <v>0.79999999999813554</v>
      </c>
      <c r="AJ11" s="106">
        <f t="shared" ref="AJ11:AU11" si="19">IF(H11="","",(H11-H$10)*1000)</f>
        <v>-5.0000031478703022E-2</v>
      </c>
      <c r="AK11" s="106">
        <f t="shared" si="19"/>
        <v>0.10000006295740604</v>
      </c>
      <c r="AL11" s="106">
        <f t="shared" si="19"/>
        <v>0.39999999999906777</v>
      </c>
      <c r="AM11" s="106">
        <f t="shared" si="19"/>
        <v>-0.14999997802078724</v>
      </c>
      <c r="AN11" s="106">
        <f t="shared" si="19"/>
        <v>-0.44999993406236172</v>
      </c>
      <c r="AO11" s="106">
        <f t="shared" si="19"/>
        <v>5.0000000001659828E-2</v>
      </c>
      <c r="AP11" s="106">
        <f t="shared" si="19"/>
        <v>9.9999946542084217E-2</v>
      </c>
      <c r="AQ11" s="106">
        <f t="shared" si="19"/>
        <v>-0.84999995306134224</v>
      </c>
      <c r="AR11" s="106">
        <f t="shared" si="19"/>
        <v>9.9999999989108801E-2</v>
      </c>
      <c r="AS11" s="106">
        <f t="shared" si="19"/>
        <v>0.89999998454004526</v>
      </c>
      <c r="AT11" s="106">
        <f t="shared" si="19"/>
        <v>-0.44999993406236172</v>
      </c>
      <c r="AU11" s="106">
        <f t="shared" si="19"/>
        <v>1.4499999999912916</v>
      </c>
      <c r="AV11" s="105"/>
      <c r="AW11" s="107" cm="1">
        <f t="array" ref="AW11">IFERROR(_xlfn.SINGLE(INDEX(DATABASE!$AV$14:$BC$989,SUMPRODUCT((ROW(DATABASE!$AV$14:$AV$989)) * (DATABASE!$AV$14:HY$989='Résultats observations'!$A11 ) * (DATABASE!$AW$14:$AW$989= AW$4))-ROW(DATABASE!$AV$14)+1,AW$5)),"")</f>
        <v>5.0669804186547882</v>
      </c>
      <c r="AX11" s="107" cm="1">
        <f t="array" ref="AX11">IFERROR(_xlfn.SINGLE(INDEX(DATABASE!$AV$14:$BC$989,SUMPRODUCT((ROW(DATABASE!$AV$14:$AV$989)) * (DATABASE!$AV$14:HZ$989='Résultats observations'!$A11 ) * (DATABASE!$AW$14:$AW$989= AX$4))-ROW(DATABASE!$AV$14)+1,AX$5)),"")</f>
        <v>-2.6252195944430032</v>
      </c>
      <c r="AY11" s="107" cm="1">
        <f t="array" ref="AY11">IFERROR(_xlfn.SINGLE(INDEX(DATABASE!$AV$14:$BC$989,SUMPRODUCT((ROW(DATABASE!$AV$14:$AV$989)) * (DATABASE!$AV$14:IA$989='Résultats observations'!$A11 ) * (DATABASE!$AW$14:$AW$989= AY$4))-ROW(DATABASE!$AV$14)+1,AY$5)),"")</f>
        <v>-0.78416980418656124</v>
      </c>
      <c r="AZ11" s="107" cm="1">
        <f t="array" ref="AZ11">IFERROR(_xlfn.SINGLE(INDEX(DATABASE!$AV$14:$BC$989,SUMPRODUCT((ROW(DATABASE!$AV$14:$AV$989)) * (DATABASE!$AV$14:IB$989='Résultats observations'!$A11 ) * (DATABASE!$AW$14:$AW$989= AZ$4))-ROW(DATABASE!$AV$14)+1,AZ$5)),"")</f>
        <v>5.0647169694171179</v>
      </c>
      <c r="BA11" s="107" cm="1">
        <f t="array" ref="BA11">IFERROR(_xlfn.SINGLE(INDEX(DATABASE!$AV$14:$BC$989,SUMPRODUCT((ROW(DATABASE!$AV$14:$AV$989)) * (DATABASE!$AV$14:IC$989='Résultats observations'!$A11 ) * (DATABASE!$AW$14:$AW$989= BA$4))-ROW(DATABASE!$AV$14)+1,BA$5)),"")</f>
        <v>-2.5312748804061571</v>
      </c>
      <c r="BB11" s="107" cm="1">
        <f t="array" ref="BB11">IFERROR(_xlfn.SINGLE(INDEX(DATABASE!$AV$14:$BC$989,SUMPRODUCT((ROW(DATABASE!$AV$14:$AV$989)) * (DATABASE!$AV$14:ID$989='Résultats observations'!$A11 ) * (DATABASE!$AW$14:$AW$989= BB$4))-ROW(DATABASE!$AV$14)+1,BB$5)),"")</f>
        <v>1.1491528303058232</v>
      </c>
      <c r="BC11" s="107" cm="1">
        <f t="array" ref="BC11">IFERROR(_xlfn.SINGLE(INDEX(DATABASE!$AV$14:$BC$989,SUMPRODUCT((ROW(DATABASE!$AV$14:$AV$989)) * (DATABASE!$AV$14:IE$989='Résultats observations'!$A11 ) * (DATABASE!$AW$14:$AW$989= BC$4))-ROW(DATABASE!$AV$14)+1,BC$5)),"")</f>
        <v>4.9203729026454877</v>
      </c>
      <c r="BD11" s="107" cm="1">
        <f t="array" ref="BD11">IFERROR(_xlfn.SINGLE(INDEX(DATABASE!$AV$14:$BC$989,SUMPRODUCT((ROW(DATABASE!$AV$14:$AV$989)) * (DATABASE!$AV$14:IF$989='Résultats observations'!$A11 ) * (DATABASE!$AW$14:$AW$989= BD$4))-ROW(DATABASE!$AV$14)+1,BD$5)),"")</f>
        <v>-1.7523181727927589E-2</v>
      </c>
      <c r="BE11" s="107" cm="1">
        <f t="array" ref="BE11">IFERROR(_xlfn.SINGLE(INDEX(DATABASE!$AV$14:$BC$989,SUMPRODUCT((ROW(DATABASE!$AV$14:$AV$989)) * (DATABASE!$AV$14:IG$989='Résultats observations'!$A11 ) * (DATABASE!$AW$14:$AW$989= BE$4))-ROW(DATABASE!$AV$14)+1,BE$5)),"")</f>
        <v>2.5918962709735354</v>
      </c>
      <c r="BF11" s="107" cm="1">
        <f t="array" ref="BF11">IFERROR(_xlfn.SINGLE(INDEX(DATABASE!$AV$14:$BC$989,SUMPRODUCT((ROW(DATABASE!$AV$14:$AV$989)) * (DATABASE!$AV$14:IH$989='Résultats observations'!$A11 ) * (DATABASE!$AW$14:$AW$989= BF$4))-ROW(DATABASE!$AV$14)+1,BF$5)),"")</f>
        <v>5.3039412167610376</v>
      </c>
      <c r="BG11" s="107" cm="1">
        <f t="array" ref="BG11">IFERROR(_xlfn.SINGLE(INDEX(DATABASE!$AV$14:$BC$989,SUMPRODUCT((ROW(DATABASE!$AV$14:$AV$989)) * (DATABASE!$AV$14:II$989='Résultats observations'!$A11 ) * (DATABASE!$AW$14:$AW$989= BG$4))-ROW(DATABASE!$AV$14)+1,BG$5)),"")</f>
        <v>1.6028276170329134</v>
      </c>
      <c r="BH11" s="107" cm="1">
        <f t="array" ref="BH11">IFERROR(_xlfn.SINGLE(INDEX(DATABASE!$AV$14:$BC$989,SUMPRODUCT((ROW(DATABASE!$AV$14:$AV$989)) * (DATABASE!$AV$14:IJ$989='Résultats observations'!$A11 ) * (DATABASE!$AW$14:$AW$989= BH$4))-ROW(DATABASE!$AV$14)+1,BH$5)),"")</f>
        <v>2.1838605878323847</v>
      </c>
      <c r="BI11" s="107" cm="1">
        <f t="array" ref="BI11">IFERROR(_xlfn.SINGLE(INDEX(DATABASE!$AV$14:$BC$989,SUMPRODUCT((ROW(DATABASE!$AV$14:$AV$989)) * (DATABASE!$AV$14:IK$989='Résultats observations'!$A11 ) * (DATABASE!$AW$14:$AW$989= BI$4))-ROW(DATABASE!$AV$14)+1,BI$5)),"")</f>
        <v>5.0846832757625826</v>
      </c>
      <c r="BJ11" s="107" cm="1">
        <f t="array" ref="BJ11">IFERROR(_xlfn.SINGLE(INDEX(DATABASE!$AV$14:$BC$989,SUMPRODUCT((ROW(DATABASE!$AV$14:$AV$989)) * (DATABASE!$AV$14:IL$989='Résultats observations'!$A11 ) * (DATABASE!$AW$14:$AW$989= BJ$4))-ROW(DATABASE!$AV$14)+1,BJ$5)),"")</f>
        <v>2.6789339130883207</v>
      </c>
      <c r="BK11" s="107" cm="1">
        <f t="array" ref="BK11">IFERROR(_xlfn.SINGLE(INDEX(DATABASE!$AV$14:$BC$989,SUMPRODUCT((ROW(DATABASE!$AV$14:$AV$989)) * (DATABASE!$AV$14:IM$989='Résultats observations'!$A11 ) * (DATABASE!$AW$14:$AW$989= BK$4))-ROW(DATABASE!$AV$14)+1,BK$5)),"")</f>
        <v>-0.72779683275763318</v>
      </c>
      <c r="BL11" s="105"/>
      <c r="BM11" s="106">
        <f t="shared" ref="BM11" si="20">IF(AW11="","",(AW11-AW$10)*1000)</f>
        <v>-1.0661901741011448</v>
      </c>
      <c r="BN11" s="106">
        <f t="shared" ref="BN11:BX11" si="21">IF(AX11="","",(AX11-AX$10)*1000)</f>
        <v>0.27520705256423028</v>
      </c>
      <c r="BO11" s="106">
        <f t="shared" si="21"/>
        <v>0.81066190173828545</v>
      </c>
      <c r="BP11" s="106">
        <f t="shared" si="21"/>
        <v>3.0553434333668861E-3</v>
      </c>
      <c r="BQ11" s="106">
        <f t="shared" si="21"/>
        <v>0.11176171354776443</v>
      </c>
      <c r="BR11" s="106">
        <f t="shared" si="21"/>
        <v>0.3999694465619541</v>
      </c>
      <c r="BS11" s="106">
        <f t="shared" si="21"/>
        <v>0.32611885724520562</v>
      </c>
      <c r="BT11" s="106">
        <f t="shared" si="21"/>
        <v>-0.34445090362707903</v>
      </c>
      <c r="BU11" s="106">
        <f t="shared" si="21"/>
        <v>4.6738811420254933E-2</v>
      </c>
      <c r="BV11" s="106">
        <f t="shared" si="21"/>
        <v>0.26858184201650204</v>
      </c>
      <c r="BW11" s="106">
        <f t="shared" si="21"/>
        <v>-0.81262765375877954</v>
      </c>
      <c r="BX11" s="106">
        <f t="shared" si="21"/>
        <v>9.7314181573437963E-2</v>
      </c>
      <c r="BY11" s="106">
        <f t="shared" ref="BY11" si="22">IF(BI11="","",(BI11-BI$10)*1000)</f>
        <v>-0.62551134596144919</v>
      </c>
      <c r="BZ11" s="106">
        <f t="shared" ref="BZ11" si="23">IF(BJ11="","",(BJ11-BJ$10)*1000)</f>
        <v>-0.78818492049848032</v>
      </c>
      <c r="CA11" s="106">
        <f t="shared" ref="CA11" si="24">IF(BK11="","",(BK11-BK$10)*1000)</f>
        <v>1.4562551134531532</v>
      </c>
    </row>
    <row r="12" spans="1:79" s="108" customFormat="1" ht="29.25" customHeight="1">
      <c r="A12" s="99">
        <v>45329</v>
      </c>
      <c r="B12" s="100">
        <f t="shared" ref="B12" si="25">A12-$A$10</f>
        <v>5</v>
      </c>
      <c r="C12" s="101">
        <v>11.5</v>
      </c>
      <c r="D12" s="101">
        <f t="shared" si="1"/>
        <v>6.41</v>
      </c>
      <c r="E12" s="102" t="str" cm="1">
        <f t="array" ref="E12">IFERROR(_xlfn.SINGLE(INDEX(DATABASE!$AV$14:$BC$989,SUMPRODUCT((ROW(DATABASE!$AV$14:$AV$989)) * (DATABASE!AG$14:$AV$989='Résultats observations'!$A12 ) * (DATABASE!$AW$14:$AW$989= E$4))-ROW(DATABASE!$AV$14)+1,E$5)),"")</f>
        <v/>
      </c>
      <c r="F12" s="102" t="str" cm="1">
        <f t="array" ref="F12">IFERROR(_xlfn.SINGLE(INDEX(DATABASE!$AV$14:$BC$989,SUMPRODUCT((ROW(DATABASE!$AV$14:$AV$989)) * (DATABASE!AH$14:$AV$989='Résultats observations'!$A12 ) * (DATABASE!$AW$14:$AW$989= F$4))-ROW(DATABASE!$AV$14)+1,F$5)),"")</f>
        <v/>
      </c>
      <c r="G12" s="102" t="str" cm="1">
        <f t="array" ref="G12">IFERROR(_xlfn.SINGLE(INDEX(DATABASE!$AV$14:$BC$989,SUMPRODUCT((ROW(DATABASE!$AV$14:$AV$989)) * (DATABASE!AI$14:$AV$989='Résultats observations'!$A12 ) * (DATABASE!$AW$14:$AW$989= G$4))-ROW(DATABASE!$AV$14)+1,G$5)),"")</f>
        <v/>
      </c>
      <c r="H12" s="102" t="str" cm="1">
        <f t="array" ref="H12">IFERROR(_xlfn.SINGLE(INDEX(DATABASE!$AV$14:$BC$989,SUMPRODUCT((ROW(DATABASE!$AV$14:$AV$989)) * (DATABASE!AJ$14:$AV$989='Résultats observations'!$A12 ) * (DATABASE!$AW$14:$AW$989= H$4))-ROW(DATABASE!$AV$14)+1,H$5)),"")</f>
        <v/>
      </c>
      <c r="I12" s="102" t="str" cm="1">
        <f t="array" ref="I12">IFERROR(_xlfn.SINGLE(INDEX(DATABASE!$AV$14:$BC$989,SUMPRODUCT((ROW(DATABASE!$AV$14:$AV$989)) * (DATABASE!AK$14:$AV$989='Résultats observations'!$A12 ) * (DATABASE!$AW$14:$AW$989= I$4))-ROW(DATABASE!$AV$14)+1,I$5)),"")</f>
        <v/>
      </c>
      <c r="J12" s="102" t="str" cm="1">
        <f t="array" ref="J12">IFERROR(_xlfn.SINGLE(INDEX(DATABASE!$AV$14:$BC$989,SUMPRODUCT((ROW(DATABASE!$AV$14:$AV$989)) * (DATABASE!AL$14:$AV$989='Résultats observations'!$A12 ) * (DATABASE!$AW$14:$AW$989= J$4))-ROW(DATABASE!$AV$14)+1,J$5)),"")</f>
        <v/>
      </c>
      <c r="K12" s="102" t="str" cm="1">
        <f t="array" ref="K12">IFERROR(_xlfn.SINGLE(INDEX(DATABASE!$AV$14:$BC$989,SUMPRODUCT((ROW(DATABASE!$AV$14:$AV$989)) * (DATABASE!AM$14:$AV$989='Résultats observations'!$A12 ) * (DATABASE!$AW$14:$AW$989= K$4))-ROW(DATABASE!$AV$14)+1,K$5)),"")</f>
        <v/>
      </c>
      <c r="L12" s="102" t="str" cm="1">
        <f t="array" ref="L12">IFERROR(_xlfn.SINGLE(INDEX(DATABASE!$AV$14:$BC$989,SUMPRODUCT((ROW(DATABASE!$AV$14:$AV$989)) * (DATABASE!AN$14:$AV$989='Résultats observations'!$A12 ) * (DATABASE!$AW$14:$AW$989= L$4))-ROW(DATABASE!$AV$14)+1,L$5)),"")</f>
        <v/>
      </c>
      <c r="M12" s="102" t="str" cm="1">
        <f t="array" ref="M12">IFERROR(_xlfn.SINGLE(INDEX(DATABASE!$AV$14:$BC$989,SUMPRODUCT((ROW(DATABASE!$AV$14:$AV$989)) * (DATABASE!AO$14:$AV$989='Résultats observations'!$A12 ) * (DATABASE!$AW$14:$AW$989= M$4))-ROW(DATABASE!$AV$14)+1,M$5)),"")</f>
        <v/>
      </c>
      <c r="N12" s="102" t="str" cm="1">
        <f t="array" ref="N12">IFERROR(_xlfn.SINGLE(INDEX(DATABASE!$AV$14:$BC$989,SUMPRODUCT((ROW(DATABASE!$AV$14:$AV$989)) * (DATABASE!AP$14:$AV$989='Résultats observations'!$A12 ) * (DATABASE!$AW$14:$AW$989= N$4))-ROW(DATABASE!$AV$14)+1,N$5)),"")</f>
        <v/>
      </c>
      <c r="O12" s="102" t="str" cm="1">
        <f t="array" ref="O12">IFERROR(_xlfn.SINGLE(INDEX(DATABASE!$AV$14:$BC$989,SUMPRODUCT((ROW(DATABASE!$AV$14:$AV$989)) * (DATABASE!AQ$14:$AV$989='Résultats observations'!$A12 ) * (DATABASE!$AW$14:$AW$989= O$4))-ROW(DATABASE!$AV$14)+1,O$5)),"")</f>
        <v/>
      </c>
      <c r="P12" s="102" t="str" cm="1">
        <f t="array" ref="P12">IFERROR(_xlfn.SINGLE(INDEX(DATABASE!$AV$14:$BC$989,SUMPRODUCT((ROW(DATABASE!$AV$14:$AV$989)) * (DATABASE!AR$14:$AV$989='Résultats observations'!$A12 ) * (DATABASE!$AW$14:$AW$989= P$4))-ROW(DATABASE!$AV$14)+1,P$5)),"")</f>
        <v/>
      </c>
      <c r="Q12" s="102" t="str" cm="1">
        <f t="array" ref="Q12">IFERROR(_xlfn.SINGLE(INDEX(DATABASE!$AV$14:$BC$989,SUMPRODUCT((ROW(DATABASE!$AV$14:$AV$989)) * (DATABASE!AS$14:$AV$989='Résultats observations'!$A12 ) * (DATABASE!$AW$14:$AW$989= Q$4))-ROW(DATABASE!$AV$14)+1,Q$5)),"")</f>
        <v/>
      </c>
      <c r="R12" s="102" t="str" cm="1">
        <f t="array" ref="R12">IFERROR(_xlfn.SINGLE(INDEX(DATABASE!$AV$14:$BC$989,SUMPRODUCT((ROW(DATABASE!$AV$14:$AV$989)) * (DATABASE!AT$14:$AV$989='Résultats observations'!$A12 ) * (DATABASE!$AW$14:$AW$989= R$4))-ROW(DATABASE!$AV$14)+1,R$5)),"")</f>
        <v/>
      </c>
      <c r="S12" s="102" t="str" cm="1">
        <f t="array" ref="S12">IFERROR(_xlfn.SINGLE(INDEX(DATABASE!$AV$14:$BC$989,SUMPRODUCT((ROW(DATABASE!$AV$14:$AV$989)) * (DATABASE!AU$14:$AV$989='Résultats observations'!$A12 ) * (DATABASE!$AW$14:$AW$989= S$4))-ROW(DATABASE!$AV$14)+1,S$5)),"")</f>
        <v/>
      </c>
      <c r="T12" s="103" t="str">
        <f t="shared" si="2"/>
        <v/>
      </c>
      <c r="U12" s="103" t="str">
        <f t="shared" si="3"/>
        <v/>
      </c>
      <c r="V12" s="103" t="str">
        <f t="shared" si="4"/>
        <v/>
      </c>
      <c r="W12" s="103" t="str">
        <f t="shared" si="5"/>
        <v/>
      </c>
      <c r="X12" s="103" t="str">
        <f t="shared" si="6"/>
        <v/>
      </c>
      <c r="Y12" s="103" t="str">
        <f t="shared" si="7"/>
        <v/>
      </c>
      <c r="Z12" s="104" t="str">
        <f t="shared" ref="Z12:Z17" si="26">IF(T12="","",(T12-T$10)*1000)</f>
        <v/>
      </c>
      <c r="AA12" s="104" t="str">
        <f t="shared" ref="AA12:AA17" si="27">IF(U12="","",(U12-U$10)*1000)</f>
        <v/>
      </c>
      <c r="AB12" s="104" t="str">
        <f t="shared" ref="AB12:AB17" si="28">IF(V12="","",(V12-V$10)*1000)</f>
        <v/>
      </c>
      <c r="AC12" s="104" t="str">
        <f t="shared" ref="AC12:AC17" si="29">IF(W12="","",(W12-W$10)*1000)</f>
        <v/>
      </c>
      <c r="AD12" s="104" t="str">
        <f t="shared" ref="AD12:AD17" si="30">IF(X12="","",(X12-X$10)*1000)</f>
        <v/>
      </c>
      <c r="AE12" s="104" t="str">
        <f t="shared" ref="AE12:AE17" si="31">IF(Y12="","",(Y12-Y$10)*1000)</f>
        <v/>
      </c>
      <c r="AF12" s="105"/>
      <c r="AG12" s="106" t="str">
        <f t="shared" ref="AG12:AG33" si="32">IF(E12="","",(E12-E$10)*1000)</f>
        <v/>
      </c>
      <c r="AH12" s="106" t="str">
        <f t="shared" ref="AH12:AH33" si="33">IF(F12="","",(F12-F$10)*1000)</f>
        <v/>
      </c>
      <c r="AI12" s="106" t="str">
        <f t="shared" ref="AI12:AI33" si="34">IF(G12="","",(G12-G$10)*1000)</f>
        <v/>
      </c>
      <c r="AJ12" s="106" t="str">
        <f t="shared" ref="AJ12" si="35">IF(H12="","",(H12-H$10)*1000)</f>
        <v/>
      </c>
      <c r="AK12" s="106" t="str">
        <f t="shared" ref="AK12" si="36">IF(I12="","",(I12-I$10)*1000)</f>
        <v/>
      </c>
      <c r="AL12" s="106" t="str">
        <f t="shared" ref="AL12" si="37">IF(J12="","",(J12-J$10)*1000)</f>
        <v/>
      </c>
      <c r="AM12" s="106" t="str">
        <f t="shared" ref="AM12" si="38">IF(K12="","",(K12-K$10)*1000)</f>
        <v/>
      </c>
      <c r="AN12" s="106" t="str">
        <f t="shared" ref="AN12" si="39">IF(L12="","",(L12-L$10)*1000)</f>
        <v/>
      </c>
      <c r="AO12" s="106" t="str">
        <f t="shared" ref="AO12" si="40">IF(M12="","",(M12-M$10)*1000)</f>
        <v/>
      </c>
      <c r="AP12" s="106" t="str">
        <f t="shared" ref="AP12" si="41">IF(N12="","",(N12-N$10)*1000)</f>
        <v/>
      </c>
      <c r="AQ12" s="106" t="str">
        <f t="shared" ref="AQ12" si="42">IF(O12="","",(O12-O$10)*1000)</f>
        <v/>
      </c>
      <c r="AR12" s="106" t="str">
        <f t="shared" ref="AR12" si="43">IF(P12="","",(P12-P$10)*1000)</f>
        <v/>
      </c>
      <c r="AS12" s="106" t="str">
        <f t="shared" ref="AS12" si="44">IF(Q12="","",(Q12-Q$10)*1000)</f>
        <v/>
      </c>
      <c r="AT12" s="106" t="str">
        <f t="shared" ref="AT12" si="45">IF(R12="","",(R12-R$10)*1000)</f>
        <v/>
      </c>
      <c r="AU12" s="106" t="str">
        <f t="shared" ref="AU12" si="46">IF(S12="","",(S12-S$10)*1000)</f>
        <v/>
      </c>
      <c r="AV12" s="105"/>
      <c r="AW12" s="107" t="str" cm="1">
        <f t="array" ref="AW12">IFERROR(_xlfn.SINGLE(INDEX(DATABASE!$AV$14:$BC$989,SUMPRODUCT((ROW(DATABASE!$AV$14:$AV$989)) * (DATABASE!$AV$14:HY$989='Résultats observations'!$A12 ) * (DATABASE!$AW$14:$AW$989= AW$4))-ROW(DATABASE!$AV$14)+1,AW$5)),"")</f>
        <v/>
      </c>
      <c r="AX12" s="107" t="str" cm="1">
        <f t="array" ref="AX12">IFERROR(_xlfn.SINGLE(INDEX(DATABASE!$AV$14:$BC$989,SUMPRODUCT((ROW(DATABASE!$AV$14:$AV$989)) * (DATABASE!$AV$14:HZ$989='Résultats observations'!$A12 ) * (DATABASE!$AW$14:$AW$989= AX$4))-ROW(DATABASE!$AV$14)+1,AX$5)),"")</f>
        <v/>
      </c>
      <c r="AY12" s="107" t="str" cm="1">
        <f t="array" ref="AY12">IFERROR(_xlfn.SINGLE(INDEX(DATABASE!$AV$14:$BC$989,SUMPRODUCT((ROW(DATABASE!$AV$14:$AV$989)) * (DATABASE!$AV$14:IA$989='Résultats observations'!$A12 ) * (DATABASE!$AW$14:$AW$989= AY$4))-ROW(DATABASE!$AV$14)+1,AY$5)),"")</f>
        <v/>
      </c>
      <c r="AZ12" s="107" t="str" cm="1">
        <f t="array" ref="AZ12">IFERROR(_xlfn.SINGLE(INDEX(DATABASE!$AV$14:$BC$989,SUMPRODUCT((ROW(DATABASE!$AV$14:$AV$989)) * (DATABASE!$AV$14:IB$989='Résultats observations'!$A12 ) * (DATABASE!$AW$14:$AW$989= AZ$4))-ROW(DATABASE!$AV$14)+1,AZ$5)),"")</f>
        <v/>
      </c>
      <c r="BA12" s="107" t="str" cm="1">
        <f t="array" ref="BA12">IFERROR(_xlfn.SINGLE(INDEX(DATABASE!$AV$14:$BC$989,SUMPRODUCT((ROW(DATABASE!$AV$14:$AV$989)) * (DATABASE!$AV$14:IC$989='Résultats observations'!$A12 ) * (DATABASE!$AW$14:$AW$989= BA$4))-ROW(DATABASE!$AV$14)+1,BA$5)),"")</f>
        <v/>
      </c>
      <c r="BB12" s="107" t="str" cm="1">
        <f t="array" ref="BB12">IFERROR(_xlfn.SINGLE(INDEX(DATABASE!$AV$14:$BC$989,SUMPRODUCT((ROW(DATABASE!$AV$14:$AV$989)) * (DATABASE!$AV$14:ID$989='Résultats observations'!$A12 ) * (DATABASE!$AW$14:$AW$989= BB$4))-ROW(DATABASE!$AV$14)+1,BB$5)),"")</f>
        <v/>
      </c>
      <c r="BC12" s="107" t="str" cm="1">
        <f t="array" ref="BC12">IFERROR(_xlfn.SINGLE(INDEX(DATABASE!$AV$14:$BC$989,SUMPRODUCT((ROW(DATABASE!$AV$14:$AV$989)) * (DATABASE!$AV$14:IE$989='Résultats observations'!$A12 ) * (DATABASE!$AW$14:$AW$989= BC$4))-ROW(DATABASE!$AV$14)+1,BC$5)),"")</f>
        <v/>
      </c>
      <c r="BD12" s="107" t="str" cm="1">
        <f t="array" ref="BD12">IFERROR(_xlfn.SINGLE(INDEX(DATABASE!$AV$14:$BC$989,SUMPRODUCT((ROW(DATABASE!$AV$14:$AV$989)) * (DATABASE!$AV$14:IF$989='Résultats observations'!$A12 ) * (DATABASE!$AW$14:$AW$989= BD$4))-ROW(DATABASE!$AV$14)+1,BD$5)),"")</f>
        <v/>
      </c>
      <c r="BE12" s="107" t="str" cm="1">
        <f t="array" ref="BE12">IFERROR(_xlfn.SINGLE(INDEX(DATABASE!$AV$14:$BC$989,SUMPRODUCT((ROW(DATABASE!$AV$14:$AV$989)) * (DATABASE!$AV$14:IG$989='Résultats observations'!$A12 ) * (DATABASE!$AW$14:$AW$989= BE$4))-ROW(DATABASE!$AV$14)+1,BE$5)),"")</f>
        <v/>
      </c>
      <c r="BF12" s="107" t="str" cm="1">
        <f t="array" ref="BF12">IFERROR(_xlfn.SINGLE(INDEX(DATABASE!$AV$14:$BC$989,SUMPRODUCT((ROW(DATABASE!$AV$14:$AV$989)) * (DATABASE!$AV$14:IH$989='Résultats observations'!$A12 ) * (DATABASE!$AW$14:$AW$989= BF$4))-ROW(DATABASE!$AV$14)+1,BF$5)),"")</f>
        <v/>
      </c>
      <c r="BG12" s="107" t="str" cm="1">
        <f t="array" ref="BG12">IFERROR(_xlfn.SINGLE(INDEX(DATABASE!$AV$14:$BC$989,SUMPRODUCT((ROW(DATABASE!$AV$14:$AV$989)) * (DATABASE!$AV$14:II$989='Résultats observations'!$A12 ) * (DATABASE!$AW$14:$AW$989= BG$4))-ROW(DATABASE!$AV$14)+1,BG$5)),"")</f>
        <v/>
      </c>
      <c r="BH12" s="107" t="str" cm="1">
        <f t="array" ref="BH12">IFERROR(_xlfn.SINGLE(INDEX(DATABASE!$AV$14:$BC$989,SUMPRODUCT((ROW(DATABASE!$AV$14:$AV$989)) * (DATABASE!$AV$14:IJ$989='Résultats observations'!$A12 ) * (DATABASE!$AW$14:$AW$989= BH$4))-ROW(DATABASE!$AV$14)+1,BH$5)),"")</f>
        <v/>
      </c>
      <c r="BI12" s="107" t="str" cm="1">
        <f t="array" ref="BI12">IFERROR(_xlfn.SINGLE(INDEX(DATABASE!$AV$14:$BC$989,SUMPRODUCT((ROW(DATABASE!$AV$14:$AV$989)) * (DATABASE!$AV$14:IK$989='Résultats observations'!$A12 ) * (DATABASE!$AW$14:$AW$989= BI$4))-ROW(DATABASE!$AV$14)+1,BI$5)),"")</f>
        <v/>
      </c>
      <c r="BJ12" s="107" t="str" cm="1">
        <f t="array" ref="BJ12">IFERROR(_xlfn.SINGLE(INDEX(DATABASE!$AV$14:$BC$989,SUMPRODUCT((ROW(DATABASE!$AV$14:$AV$989)) * (DATABASE!$AV$14:IL$989='Résultats observations'!$A12 ) * (DATABASE!$AW$14:$AW$989= BJ$4))-ROW(DATABASE!$AV$14)+1,BJ$5)),"")</f>
        <v/>
      </c>
      <c r="BK12" s="107" t="str" cm="1">
        <f t="array" ref="BK12">IFERROR(_xlfn.SINGLE(INDEX(DATABASE!$AV$14:$BC$989,SUMPRODUCT((ROW(DATABASE!$AV$14:$AV$989)) * (DATABASE!$AV$14:IM$989='Résultats observations'!$A12 ) * (DATABASE!$AW$14:$AW$989= BK$4))-ROW(DATABASE!$AV$14)+1,BK$5)),"")</f>
        <v/>
      </c>
      <c r="BL12" s="105"/>
      <c r="BM12" s="106" t="str">
        <f t="shared" ref="BM12:BM33" si="47">IF(AW12="","",(AW12-AW$10)*1000)</f>
        <v/>
      </c>
      <c r="BN12" s="106" t="str">
        <f t="shared" ref="BN12:BN33" si="48">IF(AX12="","",(AX12-AX$10)*1000)</f>
        <v/>
      </c>
      <c r="BO12" s="106" t="str">
        <f t="shared" ref="BO12:BO33" si="49">IF(AY12="","",(AY12-AY$10)*1000)</f>
        <v/>
      </c>
      <c r="BP12" s="106" t="str">
        <f t="shared" ref="BP12" si="50">IF(AZ12="","",(AZ12-AZ$10)*1000)</f>
        <v/>
      </c>
      <c r="BQ12" s="106" t="str">
        <f t="shared" ref="BQ12" si="51">IF(BA12="","",(BA12-BA$10)*1000)</f>
        <v/>
      </c>
      <c r="BR12" s="106" t="str">
        <f t="shared" ref="BR12" si="52">IF(BB12="","",(BB12-BB$10)*1000)</f>
        <v/>
      </c>
      <c r="BS12" s="106" t="str">
        <f t="shared" ref="BS12" si="53">IF(BC12="","",(BC12-BC$10)*1000)</f>
        <v/>
      </c>
      <c r="BT12" s="106" t="str">
        <f t="shared" ref="BT12" si="54">IF(BD12="","",(BD12-BD$10)*1000)</f>
        <v/>
      </c>
      <c r="BU12" s="106" t="str">
        <f t="shared" ref="BU12" si="55">IF(BE12="","",(BE12-BE$10)*1000)</f>
        <v/>
      </c>
      <c r="BV12" s="106" t="str">
        <f t="shared" ref="BV12" si="56">IF(BF12="","",(BF12-BF$10)*1000)</f>
        <v/>
      </c>
      <c r="BW12" s="106" t="str">
        <f t="shared" ref="BW12" si="57">IF(BG12="","",(BG12-BG$10)*1000)</f>
        <v/>
      </c>
      <c r="BX12" s="106" t="str">
        <f t="shared" ref="BX12" si="58">IF(BH12="","",(BH12-BH$10)*1000)</f>
        <v/>
      </c>
      <c r="BY12" s="106" t="str">
        <f t="shared" ref="BY12:BY33" si="59">IF(BI12="","",(BI12-BI$10)*1000)</f>
        <v/>
      </c>
      <c r="BZ12" s="106" t="str">
        <f t="shared" ref="BZ12:BZ33" si="60">IF(BJ12="","",(BJ12-BJ$10)*1000)</f>
        <v/>
      </c>
      <c r="CA12" s="106" t="str">
        <f t="shared" ref="CA12:CA33" si="61">IF(BK12="","",(BK12-BK$10)*1000)</f>
        <v/>
      </c>
    </row>
    <row r="13" spans="1:79" s="108" customFormat="1" ht="29.25" customHeight="1">
      <c r="A13" s="99">
        <v>45331</v>
      </c>
      <c r="B13" s="100">
        <f t="shared" ref="B13" si="62">A13-$A$10</f>
        <v>7</v>
      </c>
      <c r="C13" s="101">
        <v>11.5</v>
      </c>
      <c r="D13" s="101">
        <f t="shared" ref="D13" si="63">C13-$W$6</f>
        <v>6.41</v>
      </c>
      <c r="E13" s="102" cm="1">
        <f t="array" ref="E13">IFERROR(_xlfn.SINGLE(INDEX(DATABASE!$AV$14:$BC$989,SUMPRODUCT((ROW(DATABASE!$AV$14:$AV$989)) * (DATABASE!AG$14:$AV$989='Résultats observations'!$A13 ) * (DATABASE!$AW$14:$AW$989= E$4))-ROW(DATABASE!$AV$14)+1,E$5)),"")</f>
        <v>823058.96950000001</v>
      </c>
      <c r="F13" s="102" cm="1">
        <f t="array" ref="F13">IFERROR(_xlfn.SINGLE(INDEX(DATABASE!$AV$14:$BC$989,SUMPRODUCT((ROW(DATABASE!$AV$14:$AV$989)) * (DATABASE!AH$14:$AV$989='Résultats observations'!$A13 ) * (DATABASE!$AW$14:$AW$989= F$4))-ROW(DATABASE!$AV$14)+1,F$5)),"")</f>
        <v>1091426.6546</v>
      </c>
      <c r="G13" s="102" cm="1">
        <f t="array" ref="G13">IFERROR(_xlfn.SINGLE(INDEX(DATABASE!$AV$14:$BC$989,SUMPRODUCT((ROW(DATABASE!$AV$14:$AV$989)) * (DATABASE!AI$14:$AV$989='Résultats observations'!$A13 ) * (DATABASE!$AW$14:$AW$989= G$4))-ROW(DATABASE!$AV$14)+1,G$5)),"")</f>
        <v>-123.0611</v>
      </c>
      <c r="H13" s="102" cm="1">
        <f t="array" ref="H13">IFERROR(_xlfn.SINGLE(INDEX(DATABASE!$AV$14:$BC$989,SUMPRODUCT((ROW(DATABASE!$AV$14:$AV$989)) * (DATABASE!AJ$14:$AV$989='Résultats observations'!$A13 ) * (DATABASE!$AW$14:$AW$989= H$4))-ROW(DATABASE!$AV$14)+1,H$5)),"")</f>
        <v>823058.9325</v>
      </c>
      <c r="I13" s="102" cm="1">
        <f t="array" ref="I13">IFERROR(_xlfn.SINGLE(INDEX(DATABASE!$AV$14:$BC$989,SUMPRODUCT((ROW(DATABASE!$AV$14:$AV$989)) * (DATABASE!AK$14:$AV$989='Résultats observations'!$A13 ) * (DATABASE!$AW$14:$AW$989= I$4))-ROW(DATABASE!$AV$14)+1,I$5)),"")</f>
        <v>1091426.7411</v>
      </c>
      <c r="J13" s="102" cm="1">
        <f t="array" ref="J13">IFERROR(_xlfn.SINGLE(INDEX(DATABASE!$AV$14:$BC$989,SUMPRODUCT((ROW(DATABASE!$AV$14:$AV$989)) * (DATABASE!AL$14:$AV$989='Résultats observations'!$A13 ) * (DATABASE!$AW$14:$AW$989= J$4))-ROW(DATABASE!$AV$14)+1,J$5)),"")</f>
        <v>-121.12855</v>
      </c>
      <c r="K13" s="102" cm="1">
        <f t="array" ref="K13">IFERROR(_xlfn.SINGLE(INDEX(DATABASE!$AV$14:$BC$989,SUMPRODUCT((ROW(DATABASE!$AV$14:$AV$989)) * (DATABASE!AM$14:$AV$989='Résultats observations'!$A13 ) * (DATABASE!$AW$14:$AW$989= K$4))-ROW(DATABASE!$AV$14)+1,K$5)),"")</f>
        <v>823057.99939999997</v>
      </c>
      <c r="L13" s="102" cm="1">
        <f t="array" ref="L13">IFERROR(_xlfn.SINGLE(INDEX(DATABASE!$AV$14:$BC$989,SUMPRODUCT((ROW(DATABASE!$AV$14:$AV$989)) * (DATABASE!AN$14:$AV$989='Résultats observations'!$A13 ) * (DATABASE!$AW$14:$AW$989= L$4))-ROW(DATABASE!$AV$14)+1,L$5)),"")</f>
        <v>1091429.0817</v>
      </c>
      <c r="M13" s="102" cm="1">
        <f t="array" ref="M13">IFERROR(_xlfn.SINGLE(INDEX(DATABASE!$AV$14:$BC$989,SUMPRODUCT((ROW(DATABASE!$AV$14:$AV$989)) * (DATABASE!AO$14:$AV$989='Résultats observations'!$A13 ) * (DATABASE!$AW$14:$AW$989= M$4))-ROW(DATABASE!$AV$14)+1,M$5)),"")</f>
        <v>-119.68770000000001</v>
      </c>
      <c r="N13" s="102" cm="1">
        <f t="array" ref="N13">IFERROR(_xlfn.SINGLE(INDEX(DATABASE!$AV$14:$BC$989,SUMPRODUCT((ROW(DATABASE!$AV$14:$AV$989)) * (DATABASE!AP$14:$AV$989='Résultats observations'!$A13 ) * (DATABASE!$AW$14:$AW$989= N$4))-ROW(DATABASE!$AV$14)+1,N$5)),"")</f>
        <v>823056.97050000005</v>
      </c>
      <c r="O13" s="102" cm="1">
        <f t="array" ref="O13">IFERROR(_xlfn.SINGLE(INDEX(DATABASE!$AV$14:$BC$989,SUMPRODUCT((ROW(DATABASE!$AV$14:$AV$989)) * (DATABASE!AQ$14:$AV$989='Résultats observations'!$A13 ) * (DATABASE!$AW$14:$AW$989= O$4))-ROW(DATABASE!$AV$14)+1,O$5)),"")</f>
        <v>1091430.3836999999</v>
      </c>
      <c r="P13" s="102" cm="1">
        <f t="array" ref="P13">IFERROR(_xlfn.SINGLE(INDEX(DATABASE!$AV$14:$BC$989,SUMPRODUCT((ROW(DATABASE!$AV$14:$AV$989)) * (DATABASE!AR$14:$AV$989='Résultats observations'!$A13 ) * (DATABASE!$AW$14:$AW$989= P$4))-ROW(DATABASE!$AV$14)+1,P$5)),"")</f>
        <v>-120.09335</v>
      </c>
      <c r="Q13" s="102" cm="1">
        <f t="array" ref="Q13">IFERROR(_xlfn.SINGLE(INDEX(DATABASE!$AV$14:$BC$989,SUMPRODUCT((ROW(DATABASE!$AV$14:$AV$989)) * (DATABASE!AS$14:$AV$989='Résultats observations'!$A13 ) * (DATABASE!$AW$14:$AW$989= Q$4))-ROW(DATABASE!$AV$14)+1,Q$5)),"")</f>
        <v>823056.7132</v>
      </c>
      <c r="R13" s="102" cm="1">
        <f t="array" ref="R13">IFERROR(_xlfn.SINGLE(INDEX(DATABASE!$AV$14:$BC$989,SUMPRODUCT((ROW(DATABASE!$AV$14:$AV$989)) * (DATABASE!AT$14:$AV$989='Résultats observations'!$A13 ) * (DATABASE!$AW$14:$AW$989= R$4))-ROW(DATABASE!$AV$14)+1,R$5)),"")</f>
        <v>1091431.4513999999</v>
      </c>
      <c r="S13" s="102" cm="1">
        <f t="array" ref="S13">IFERROR(_xlfn.SINGLE(INDEX(DATABASE!$AV$14:$BC$989,SUMPRODUCT((ROW(DATABASE!$AV$14:$AV$989)) * (DATABASE!AU$14:$AV$989='Résultats observations'!$A13 ) * (DATABASE!$AW$14:$AW$989= S$4))-ROW(DATABASE!$AV$14)+1,S$5)),"")</f>
        <v>-123.00405000000001</v>
      </c>
      <c r="T13" s="103">
        <f t="shared" si="2"/>
        <v>4.2675210579363796</v>
      </c>
      <c r="U13" s="103">
        <f t="shared" si="3"/>
        <v>2.9026079122963377</v>
      </c>
      <c r="V13" s="103">
        <f t="shared" si="4"/>
        <v>1.7083299248366897</v>
      </c>
      <c r="W13" s="103">
        <f t="shared" si="5"/>
        <v>4.2741040993482518</v>
      </c>
      <c r="X13" s="103">
        <f t="shared" si="6"/>
        <v>4.2649288152412348</v>
      </c>
      <c r="Y13" s="103">
        <f t="shared" si="7"/>
        <v>5.3012672665623617</v>
      </c>
      <c r="Z13" s="104">
        <f t="shared" si="26"/>
        <v>-0.75778666059278521</v>
      </c>
      <c r="AA13" s="104">
        <f t="shared" si="27"/>
        <v>0.79387237141093081</v>
      </c>
      <c r="AB13" s="104">
        <f t="shared" si="28"/>
        <v>-5.6248608949049927</v>
      </c>
      <c r="AC13" s="104">
        <f t="shared" si="29"/>
        <v>-6.0050012240848716</v>
      </c>
      <c r="AD13" s="104">
        <f t="shared" si="30"/>
        <v>-4.9362159839549946</v>
      </c>
      <c r="AE13" s="104">
        <f t="shared" si="31"/>
        <v>-4.2722105865875548</v>
      </c>
      <c r="AF13" s="105"/>
      <c r="AG13" s="106">
        <f t="shared" si="32"/>
        <v>1.2000000569969416</v>
      </c>
      <c r="AH13" s="106">
        <f t="shared" si="33"/>
        <v>0.90000010095536709</v>
      </c>
      <c r="AI13" s="106">
        <f t="shared" si="34"/>
        <v>0.20000000000663931</v>
      </c>
      <c r="AJ13" s="106">
        <f t="shared" ref="AJ13" si="64">IF(H13="","",(H13-H$10)*1000)</f>
        <v>0.95000001601874828</v>
      </c>
      <c r="AK13" s="106">
        <f t="shared" ref="AK13" si="65">IF(I13="","",(I13-I$10)*1000)</f>
        <v>0.699999975040555</v>
      </c>
      <c r="AL13" s="106">
        <f t="shared" ref="AL13" si="66">IF(J13="","",(J13-J$10)*1000)</f>
        <v>-0.95000000000311502</v>
      </c>
      <c r="AM13" s="106">
        <f t="shared" ref="AM13" si="67">IF(K13="","",(K13-K$10)*1000)</f>
        <v>-0.75000000651925802</v>
      </c>
      <c r="AN13" s="106">
        <f t="shared" ref="AN13" si="68">IF(L13="","",(L13-L$10)*1000)</f>
        <v>1.500000013038516</v>
      </c>
      <c r="AO13" s="106">
        <f t="shared" ref="AO13" si="69">IF(M13="","",(M13-M$10)*1000)</f>
        <v>-1.7500000000012506</v>
      </c>
      <c r="AP13" s="106">
        <f t="shared" ref="AP13" si="70">IF(N13="","",(N13-N$10)*1000)</f>
        <v>3.0000000260770321</v>
      </c>
      <c r="AQ13" s="106">
        <f t="shared" ref="AQ13" si="71">IF(O13="","",(O13-O$10)*1000)</f>
        <v>-3.3500001300126314</v>
      </c>
      <c r="AR13" s="106">
        <f t="shared" ref="AR13" si="72">IF(P13="","",(P13-P$10)*1000)</f>
        <v>-3.1500000000050932</v>
      </c>
      <c r="AS13" s="106">
        <f t="shared" ref="AS13:AS33" si="73">IF(Q13="","",(Q13-Q$10)*1000)</f>
        <v>2.5499999755993485</v>
      </c>
      <c r="AT13" s="106">
        <f t="shared" ref="AT13:AT33" si="74">IF(R13="","",(R13-R$10)*1000)</f>
        <v>-3.2000001519918442</v>
      </c>
      <c r="AU13" s="106">
        <f t="shared" ref="AU13:AU33" si="75">IF(S13="","",(S13-S$10)*1000)</f>
        <v>1.3499999999879719</v>
      </c>
      <c r="AV13" s="105"/>
      <c r="AW13" s="107" cm="1">
        <f t="array" ref="AW13">IFERROR(_xlfn.SINGLE(INDEX(DATABASE!$AV$14:$BC$989,SUMPRODUCT((ROW(DATABASE!$AV$14:$AV$989)) * (DATABASE!$AV$14:HY$989='Résultats observations'!$A13 ) * (DATABASE!$AW$14:$AW$989= AW$4))-ROW(DATABASE!$AV$14)+1,AW$5)),"")</f>
        <v>5.0665786878641033</v>
      </c>
      <c r="AX13" s="107" cm="1">
        <f t="array" ref="AX13">IFERROR(_xlfn.SINGLE(INDEX(DATABASE!$AV$14:$BC$989,SUMPRODUCT((ROW(DATABASE!$AV$14:$AV$989)) * (DATABASE!$AV$14:HZ$989='Résultats observations'!$A13 ) * (DATABASE!$AW$14:$AW$989= AX$4))-ROW(DATABASE!$AV$14)+1,AX$5)),"")</f>
        <v>-2.6251862429765467</v>
      </c>
      <c r="AY13" s="107" cm="1">
        <f t="array" ref="AY13">IFERROR(_xlfn.SINGLE(INDEX(DATABASE!$AV$14:$BC$989,SUMPRODUCT((ROW(DATABASE!$AV$14:$AV$989)) * (DATABASE!$AV$14:IA$989='Résultats observations'!$A13 ) * (DATABASE!$AW$14:$AW$989= AY$4))-ROW(DATABASE!$AV$14)+1,AY$5)),"")</f>
        <v>-0.78476578687863707</v>
      </c>
      <c r="AZ13" s="107" cm="1">
        <f t="array" ref="AZ13">IFERROR(_xlfn.SINGLE(INDEX(DATABASE!$AV$14:$BC$989,SUMPRODUCT((ROW(DATABASE!$AV$14:$AV$989)) * (DATABASE!$AV$14:IB$989='Résultats observations'!$A13 ) * (DATABASE!$AW$14:$AW$989= AZ$4))-ROW(DATABASE!$AV$14)+1,AZ$5)),"")</f>
        <v>5.0635570925952749</v>
      </c>
      <c r="BA13" s="107" cm="1">
        <f t="array" ref="BA13">IFERROR(_xlfn.SINGLE(INDEX(DATABASE!$AV$14:$BC$989,SUMPRODUCT((ROW(DATABASE!$AV$14:$AV$989)) * (DATABASE!$AV$14:IC$989='Résultats observations'!$A13 ) * (DATABASE!$AW$14:$AW$989= BA$4))-ROW(DATABASE!$AV$14)+1,BA$5)),"")</f>
        <v>-2.531153695639627</v>
      </c>
      <c r="BB13" s="107" cm="1">
        <f t="array" ref="BB13">IFERROR(_xlfn.SINGLE(INDEX(DATABASE!$AV$14:$BC$989,SUMPRODUCT((ROW(DATABASE!$AV$14:$AV$989)) * (DATABASE!$AV$14:ID$989='Résultats observations'!$A13 ) * (DATABASE!$AW$14:$AW$989= BB$4))-ROW(DATABASE!$AV$14)+1,BB$5)),"")</f>
        <v>1.147814429074046</v>
      </c>
      <c r="BC13" s="107" cm="1">
        <f t="array" ref="BC13">IFERROR(_xlfn.SINGLE(INDEX(DATABASE!$AV$14:$BC$989,SUMPRODUCT((ROW(DATABASE!$AV$14:$AV$989)) * (DATABASE!$AV$14:IE$989='Résultats observations'!$A13 ) * (DATABASE!$AW$14:$AW$989= BC$4))-ROW(DATABASE!$AV$14)+1,BC$5)),"")</f>
        <v>4.9200926139113248</v>
      </c>
      <c r="BD13" s="107" cm="1">
        <f t="array" ref="BD13">IFERROR(_xlfn.SINGLE(INDEX(DATABASE!$AV$14:$BC$989,SUMPRODUCT((ROW(DATABASE!$AV$14:$AV$989)) * (DATABASE!$AV$14:IF$989='Résultats observations'!$A13 ) * (DATABASE!$AW$14:$AW$989= BD$4))-ROW(DATABASE!$AV$14)+1,BD$5)),"")</f>
        <v>-1.5502306161897038E-2</v>
      </c>
      <c r="BE13" s="107" cm="1">
        <f t="array" ref="BE13">IFERROR(_xlfn.SINGLE(INDEX(DATABASE!$AV$14:$BC$989,SUMPRODUCT((ROW(DATABASE!$AV$14:$AV$989)) * (DATABASE!$AV$14:IG$989='Résultats observations'!$A13 ) * (DATABASE!$AW$14:$AW$989= BE$4))-ROW(DATABASE!$AV$14)+1,BE$5)),"")</f>
        <v>2.590099073860884</v>
      </c>
      <c r="BF13" s="107" cm="1">
        <f t="array" ref="BF13">IFERROR(_xlfn.SINGLE(INDEX(DATABASE!$AV$14:$BC$989,SUMPRODUCT((ROW(DATABASE!$AV$14:$AV$989)) * (DATABASE!$AV$14:IH$989='Résultats observations'!$A13 ) * (DATABASE!$AW$14:$AW$989= BF$4))-ROW(DATABASE!$AV$14)+1,BF$5)),"")</f>
        <v>5.3023694142818574</v>
      </c>
      <c r="BG13" s="107" cm="1">
        <f t="array" ref="BG13">IFERROR(_xlfn.SINGLE(INDEX(DATABASE!$AV$14:$BC$989,SUMPRODUCT((ROW(DATABASE!$AV$14:$AV$989)) * (DATABASE!$AV$14:II$989='Résultats observations'!$A13 ) * (DATABASE!$AW$14:$AW$989= BG$4))-ROW(DATABASE!$AV$14)+1,BG$5)),"")</f>
        <v>1.5993362794221273</v>
      </c>
      <c r="BH13" s="107" cm="1">
        <f t="array" ref="BH13">IFERROR(_xlfn.SINGLE(INDEX(DATABASE!$AV$14:$BC$989,SUMPRODUCT((ROW(DATABASE!$AV$14:$AV$989)) * (DATABASE!$AV$14:IJ$989='Résultats observations'!$A13 ) * (DATABASE!$AW$14:$AW$989= BH$4))-ROW(DATABASE!$AV$14)+1,BH$5)),"")</f>
        <v>2.1806263058571744</v>
      </c>
      <c r="BI13" s="107" cm="1">
        <f t="array" ref="BI13">IFERROR(_xlfn.SINGLE(INDEX(DATABASE!$AV$14:$BC$989,SUMPRODUCT((ROW(DATABASE!$AV$14:$AV$989)) * (DATABASE!$AV$14:IK$989='Résultats observations'!$A13 ) * (DATABASE!$AW$14:$AW$989= BI$4))-ROW(DATABASE!$AV$14)+1,BI$5)),"")</f>
        <v>5.0843500174805207</v>
      </c>
      <c r="BJ13" s="107" cm="1">
        <f t="array" ref="BJ13">IFERROR(_xlfn.SINGLE(INDEX(DATABASE!$AV$14:$BC$989,SUMPRODUCT((ROW(DATABASE!$AV$14:$AV$989)) * (DATABASE!$AV$14:IL$989='Résultats observations'!$A13 ) * (DATABASE!$AW$14:$AW$989= BJ$4))-ROW(DATABASE!$AV$14)+1,BJ$5)),"")</f>
        <v>2.6757442516507144</v>
      </c>
      <c r="BK13" s="107" cm="1">
        <f t="array" ref="BK13">IFERROR(_xlfn.SINGLE(INDEX(DATABASE!$AV$14:$BC$989,SUMPRODUCT((ROW(DATABASE!$AV$14:$AV$989)) * (DATABASE!$AV$14:IM$989='Résultats observations'!$A13 ) * (DATABASE!$AW$14:$AW$989= BK$4))-ROW(DATABASE!$AV$14)+1,BK$5)),"")</f>
        <v>-0.72789350017481524</v>
      </c>
      <c r="BL13" s="105"/>
      <c r="BM13" s="106">
        <f t="shared" si="47"/>
        <v>-1.4679209647860958</v>
      </c>
      <c r="BN13" s="106">
        <f t="shared" si="48"/>
        <v>0.30855851902078513</v>
      </c>
      <c r="BO13" s="106">
        <f t="shared" si="49"/>
        <v>0.21467920966244947</v>
      </c>
      <c r="BP13" s="106">
        <f t="shared" ref="BP13" si="76">IF(AZ13="","",(AZ13-AZ$10)*1000)</f>
        <v>-1.1568214784096753</v>
      </c>
      <c r="BQ13" s="106">
        <f t="shared" ref="BQ13" si="77">IF(BA13="","",(BA13-BA$10)*1000)</f>
        <v>0.23294648007787799</v>
      </c>
      <c r="BR13" s="106">
        <f t="shared" ref="BR13" si="78">IF(BB13="","",(BB13-BB$10)*1000)</f>
        <v>-0.93843178521524351</v>
      </c>
      <c r="BS13" s="106">
        <f t="shared" ref="BS13" si="79">IF(BC13="","",(BC13-BC$10)*1000)</f>
        <v>4.5830123082346574E-2</v>
      </c>
      <c r="BT13" s="106">
        <f t="shared" ref="BT13" si="80">IF(BD13="","",(BD13-BD$10)*1000)</f>
        <v>1.6764246624034715</v>
      </c>
      <c r="BU13" s="106">
        <f t="shared" ref="BU13" si="81">IF(BE13="","",(BE13-BE$10)*1000)</f>
        <v>-1.7504583012311059</v>
      </c>
      <c r="BV13" s="106">
        <f t="shared" ref="BV13" si="82">IF(BF13="","",(BF13-BF$10)*1000)</f>
        <v>-1.3032206371637045</v>
      </c>
      <c r="BW13" s="106">
        <f t="shared" ref="BW13" si="83">IF(BG13="","",(BG13-BG$10)*1000)</f>
        <v>-4.3039652645449067</v>
      </c>
      <c r="BX13" s="106">
        <f t="shared" ref="BX13" si="84">IF(BH13="","",(BH13-BH$10)*1000)</f>
        <v>-3.1369677936368134</v>
      </c>
      <c r="BY13" s="106">
        <f t="shared" si="59"/>
        <v>-0.95876962802332599</v>
      </c>
      <c r="BZ13" s="106">
        <f t="shared" si="60"/>
        <v>-3.9778463581048307</v>
      </c>
      <c r="CA13" s="106">
        <f t="shared" si="61"/>
        <v>1.3595876962710918</v>
      </c>
    </row>
    <row r="14" spans="1:79" s="108" customFormat="1" ht="29.25" customHeight="1">
      <c r="A14" s="99">
        <v>45334</v>
      </c>
      <c r="B14" s="100">
        <f t="shared" ref="B14" si="85">A14-$A$10</f>
        <v>10</v>
      </c>
      <c r="C14" s="101">
        <v>11.5</v>
      </c>
      <c r="D14" s="101">
        <f t="shared" ref="D14" si="86">C14-$W$6</f>
        <v>6.41</v>
      </c>
      <c r="E14" s="102" cm="1">
        <f t="array" ref="E14">IFERROR(_xlfn.SINGLE(INDEX(DATABASE!$AV$14:$BC$989,SUMPRODUCT((ROW(DATABASE!$AV$14:$AV$989)) * (DATABASE!AG$14:$AV$989='Résultats observations'!$A14 ) * (DATABASE!$AW$14:$AW$989= E$4))-ROW(DATABASE!$AV$14)+1,E$5)),"")</f>
        <v>823058.96950000001</v>
      </c>
      <c r="F14" s="102" cm="1">
        <f t="array" ref="F14">IFERROR(_xlfn.SINGLE(INDEX(DATABASE!$AV$14:$BC$989,SUMPRODUCT((ROW(DATABASE!$AV$14:$AV$989)) * (DATABASE!AH$14:$AV$989='Résultats observations'!$A14 ) * (DATABASE!$AW$14:$AW$989= F$4))-ROW(DATABASE!$AV$14)+1,F$5)),"")</f>
        <v>1091426.6565</v>
      </c>
      <c r="G14" s="102" cm="1">
        <f t="array" ref="G14">IFERROR(_xlfn.SINGLE(INDEX(DATABASE!$AV$14:$BC$989,SUMPRODUCT((ROW(DATABASE!$AV$14:$AV$989)) * (DATABASE!AI$14:$AV$989='Résultats observations'!$A14 ) * (DATABASE!$AW$14:$AW$989= G$4))-ROW(DATABASE!$AV$14)+1,G$5)),"")</f>
        <v>-123.06059999999999</v>
      </c>
      <c r="H14" s="102" cm="1">
        <f t="array" ref="H14">IFERROR(_xlfn.SINGLE(INDEX(DATABASE!$AV$14:$BC$989,SUMPRODUCT((ROW(DATABASE!$AV$14:$AV$989)) * (DATABASE!AJ$14:$AV$989='Résultats observations'!$A14 ) * (DATABASE!$AW$14:$AW$989= H$4))-ROW(DATABASE!$AV$14)+1,H$5)),"")</f>
        <v>823058.93149999995</v>
      </c>
      <c r="I14" s="102" cm="1">
        <f t="array" ref="I14">IFERROR(_xlfn.SINGLE(INDEX(DATABASE!$AV$14:$BC$989,SUMPRODUCT((ROW(DATABASE!$AV$14:$AV$989)) * (DATABASE!AK$14:$AV$989='Résultats observations'!$A14 ) * (DATABASE!$AW$14:$AW$989= I$4))-ROW(DATABASE!$AV$14)+1,I$5)),"")</f>
        <v>1091426.7420000001</v>
      </c>
      <c r="J14" s="102" cm="1">
        <f t="array" ref="J14">IFERROR(_xlfn.SINGLE(INDEX(DATABASE!$AV$14:$BC$989,SUMPRODUCT((ROW(DATABASE!$AV$14:$AV$989)) * (DATABASE!AL$14:$AV$989='Résultats observations'!$A14 ) * (DATABASE!$AW$14:$AW$989= J$4))-ROW(DATABASE!$AV$14)+1,J$5)),"")</f>
        <v>-121.1281</v>
      </c>
      <c r="K14" s="102" cm="1">
        <f t="array" ref="K14">IFERROR(_xlfn.SINGLE(INDEX(DATABASE!$AV$14:$BC$989,SUMPRODUCT((ROW(DATABASE!$AV$14:$AV$989)) * (DATABASE!AM$14:$AV$989='Résultats observations'!$A14 ) * (DATABASE!$AW$14:$AW$989= K$4))-ROW(DATABASE!$AV$14)+1,K$5)),"")</f>
        <v>823057.99950000003</v>
      </c>
      <c r="L14" s="102" cm="1">
        <f t="array" ref="L14">IFERROR(_xlfn.SINGLE(INDEX(DATABASE!$AV$14:$BC$989,SUMPRODUCT((ROW(DATABASE!$AV$14:$AV$989)) * (DATABASE!AN$14:$AV$989='Résultats observations'!$A14 ) * (DATABASE!$AW$14:$AW$989= L$4))-ROW(DATABASE!$AV$14)+1,L$5)),"")</f>
        <v>1091429.0833999999</v>
      </c>
      <c r="M14" s="102" cm="1">
        <f t="array" ref="M14">IFERROR(_xlfn.SINGLE(INDEX(DATABASE!$AV$14:$BC$989,SUMPRODUCT((ROW(DATABASE!$AV$14:$AV$989)) * (DATABASE!AO$14:$AV$989='Résultats observations'!$A14 ) * (DATABASE!$AW$14:$AW$989= M$4))-ROW(DATABASE!$AV$14)+1,M$5)),"")</f>
        <v>-119.68770000000001</v>
      </c>
      <c r="N14" s="102" cm="1">
        <f t="array" ref="N14">IFERROR(_xlfn.SINGLE(INDEX(DATABASE!$AV$14:$BC$989,SUMPRODUCT((ROW(DATABASE!$AV$14:$AV$989)) * (DATABASE!AP$14:$AV$989='Résultats observations'!$A14 ) * (DATABASE!$AW$14:$AW$989= N$4))-ROW(DATABASE!$AV$14)+1,N$5)),"")</f>
        <v>823056.97140000004</v>
      </c>
      <c r="O14" s="102" cm="1">
        <f t="array" ref="O14">IFERROR(_xlfn.SINGLE(INDEX(DATABASE!$AV$14:$BC$989,SUMPRODUCT((ROW(DATABASE!$AV$14:$AV$989)) * (DATABASE!AQ$14:$AV$989='Résultats observations'!$A14 ) * (DATABASE!$AW$14:$AW$989= O$4))-ROW(DATABASE!$AV$14)+1,O$5)),"")</f>
        <v>1091430.3844000001</v>
      </c>
      <c r="P14" s="102" cm="1">
        <f t="array" ref="P14">IFERROR(_xlfn.SINGLE(INDEX(DATABASE!$AV$14:$BC$989,SUMPRODUCT((ROW(DATABASE!$AV$14:$AV$989)) * (DATABASE!AR$14:$AV$989='Résultats observations'!$A14 ) * (DATABASE!$AW$14:$AW$989= P$4))-ROW(DATABASE!$AV$14)+1,P$5)),"")</f>
        <v>-120.09350000000001</v>
      </c>
      <c r="Q14" s="102" cm="1">
        <f t="array" ref="Q14">IFERROR(_xlfn.SINGLE(INDEX(DATABASE!$AV$14:$BC$989,SUMPRODUCT((ROW(DATABASE!$AV$14:$AV$989)) * (DATABASE!AS$14:$AV$989='Résultats observations'!$A14 ) * (DATABASE!$AW$14:$AW$989= Q$4))-ROW(DATABASE!$AV$14)+1,Q$5)),"")</f>
        <v>823056.71329999994</v>
      </c>
      <c r="R14" s="102" cm="1">
        <f t="array" ref="R14">IFERROR(_xlfn.SINGLE(INDEX(DATABASE!$AV$14:$BC$989,SUMPRODUCT((ROW(DATABASE!$AV$14:$AV$989)) * (DATABASE!AT$14:$AV$989='Résultats observations'!$A14 ) * (DATABASE!$AW$14:$AW$989= R$4))-ROW(DATABASE!$AV$14)+1,R$5)),"")</f>
        <v>1091431.4524999999</v>
      </c>
      <c r="S14" s="102" cm="1">
        <f t="array" ref="S14">IFERROR(_xlfn.SINGLE(INDEX(DATABASE!$AV$14:$BC$989,SUMPRODUCT((ROW(DATABASE!$AV$14:$AV$989)) * (DATABASE!AU$14:$AV$989='Résultats observations'!$A14 ) * (DATABASE!$AW$14:$AW$989= S$4))-ROW(DATABASE!$AV$14)+1,S$5)),"")</f>
        <v>-123.00320000000001</v>
      </c>
      <c r="T14" s="103">
        <f t="shared" si="2"/>
        <v>4.2669893390067335</v>
      </c>
      <c r="U14" s="103">
        <f t="shared" si="3"/>
        <v>2.9026763717140414</v>
      </c>
      <c r="V14" s="103">
        <f t="shared" si="4"/>
        <v>1.7071216273421292</v>
      </c>
      <c r="W14" s="103">
        <f t="shared" si="5"/>
        <v>4.2731119222741709</v>
      </c>
      <c r="X14" s="103">
        <f t="shared" si="6"/>
        <v>4.2637386094516296</v>
      </c>
      <c r="Y14" s="103">
        <f t="shared" si="7"/>
        <v>5.3005046173833756</v>
      </c>
      <c r="Z14" s="104">
        <f t="shared" si="26"/>
        <v>-1.2895055902388819</v>
      </c>
      <c r="AA14" s="104">
        <f t="shared" si="27"/>
        <v>0.86233178911454544</v>
      </c>
      <c r="AB14" s="104">
        <f t="shared" si="28"/>
        <v>-6.8331583894654102</v>
      </c>
      <c r="AC14" s="104">
        <f t="shared" si="29"/>
        <v>-6.9971782981657071</v>
      </c>
      <c r="AD14" s="104">
        <f t="shared" si="30"/>
        <v>-6.1264217735601534</v>
      </c>
      <c r="AE14" s="104">
        <f t="shared" si="31"/>
        <v>-5.0348597655736071</v>
      </c>
      <c r="AF14" s="105"/>
      <c r="AG14" s="106">
        <f t="shared" si="32"/>
        <v>1.2000000569969416</v>
      </c>
      <c r="AH14" s="106">
        <f t="shared" si="33"/>
        <v>2.8000001329928637</v>
      </c>
      <c r="AI14" s="106">
        <f t="shared" si="34"/>
        <v>0.70000000000902673</v>
      </c>
      <c r="AJ14" s="106">
        <f t="shared" ref="AJ14" si="87">IF(H14="","",(H14-H$10)*1000)</f>
        <v>-5.0000031478703022E-2</v>
      </c>
      <c r="AK14" s="106">
        <f t="shared" ref="AK14" si="88">IF(I14="","",(I14-I$10)*1000)</f>
        <v>1.6000000759959221</v>
      </c>
      <c r="AL14" s="106">
        <f t="shared" ref="AL14" si="89">IF(J14="","",(J14-J$10)*1000)</f>
        <v>-0.50000000000238742</v>
      </c>
      <c r="AM14" s="106">
        <f t="shared" ref="AM14" si="90">IF(K14="","",(K14-K$10)*1000)</f>
        <v>-0.64999994356185198</v>
      </c>
      <c r="AN14" s="106">
        <f t="shared" ref="AN14" si="91">IF(L14="","",(L14-L$10)*1000)</f>
        <v>3.1999999191612005</v>
      </c>
      <c r="AO14" s="106">
        <f t="shared" ref="AO14" si="92">IF(M14="","",(M14-M$10)*1000)</f>
        <v>-1.7500000000012506</v>
      </c>
      <c r="AP14" s="106">
        <f t="shared" ref="AP14" si="93">IF(N14="","",(N14-N$10)*1000)</f>
        <v>3.9000000106170774</v>
      </c>
      <c r="AQ14" s="106">
        <f t="shared" ref="AQ14" si="94">IF(O14="","",(O14-O$10)*1000)</f>
        <v>-2.6499999221414328</v>
      </c>
      <c r="AR14" s="106">
        <f t="shared" ref="AR14" si="95">IF(P14="","",(P14-P$10)*1000)</f>
        <v>-3.3000000000100727</v>
      </c>
      <c r="AS14" s="106">
        <f t="shared" si="73"/>
        <v>2.6499999221414328</v>
      </c>
      <c r="AT14" s="106">
        <f t="shared" si="74"/>
        <v>-2.1000001579523087</v>
      </c>
      <c r="AU14" s="106">
        <f t="shared" si="75"/>
        <v>2.1999999999877673</v>
      </c>
      <c r="AV14" s="105"/>
      <c r="AW14" s="107" cm="1">
        <f t="array" ref="AW14">IFERROR(_xlfn.SINGLE(INDEX(DATABASE!$AV$14:$BC$989,SUMPRODUCT((ROW(DATABASE!$AV$14:$AV$989)) * (DATABASE!$AV$14:HY$989='Résultats observations'!$A14 ) * (DATABASE!$AW$14:$AW$989= AW$4))-ROW(DATABASE!$AV$14)+1,AW$5)),"")</f>
        <v>5.0657757405533159</v>
      </c>
      <c r="AX14" s="107" cm="1">
        <f t="array" ref="AX14">IFERROR(_xlfn.SINGLE(INDEX(DATABASE!$AV$14:$BC$989,SUMPRODUCT((ROW(DATABASE!$AV$14:$AV$989)) * (DATABASE!$AV$14:HZ$989='Résultats observations'!$A14 ) * (DATABASE!$AW$14:$AW$989= AX$4))-ROW(DATABASE!$AV$14)+1,AX$5)),"")</f>
        <v>-2.623464245375549</v>
      </c>
      <c r="AY14" s="107" cm="1">
        <f t="array" ref="AY14">IFERROR(_xlfn.SINGLE(INDEX(DATABASE!$AV$14:$BC$989,SUMPRODUCT((ROW(DATABASE!$AV$14:$AV$989)) * (DATABASE!$AV$14:IA$989='Résultats observations'!$A14 ) * (DATABASE!$AW$14:$AW$989= AY$4))-ROW(DATABASE!$AV$14)+1,AY$5)),"")</f>
        <v>-0.78425775740552695</v>
      </c>
      <c r="AZ14" s="107" cm="1">
        <f t="array" ref="AZ14">IFERROR(_xlfn.SINGLE(INDEX(DATABASE!$AV$14:$BC$989,SUMPRODUCT((ROW(DATABASE!$AV$14:$AV$989)) * (DATABASE!$AV$14:IB$989='Résultats observations'!$A14 ) * (DATABASE!$AW$14:$AW$989= AZ$4))-ROW(DATABASE!$AV$14)+1,AZ$5)),"")</f>
        <v>5.0640830636506244</v>
      </c>
      <c r="BA14" s="107" cm="1">
        <f t="array" ref="BA14">IFERROR(_xlfn.SINGLE(INDEX(DATABASE!$AV$14:$BC$989,SUMPRODUCT((ROW(DATABASE!$AV$14:$AV$989)) * (DATABASE!$AV$14:IC$989='Résultats observations'!$A14 ) * (DATABASE!$AW$14:$AW$989= BA$4))-ROW(DATABASE!$AV$14)+1,BA$5)),"")</f>
        <v>-2.5299154086269975</v>
      </c>
      <c r="BB14" s="107" cm="1">
        <f t="array" ref="BB14">IFERROR(_xlfn.SINGLE(INDEX(DATABASE!$AV$14:$BC$989,SUMPRODUCT((ROW(DATABASE!$AV$14:$AV$989)) * (DATABASE!$AV$14:ID$989='Résultats observations'!$A14 ) * (DATABASE!$AW$14:$AW$989= BB$4))-ROW(DATABASE!$AV$14)+1,BB$5)),"")</f>
        <v>1.1482591693634845</v>
      </c>
      <c r="BC14" s="107" cm="1">
        <f t="array" ref="BC14">IFERROR(_xlfn.SINGLE(INDEX(DATABASE!$AV$14:$BC$989,SUMPRODUCT((ROW(DATABASE!$AV$14:$AV$989)) * (DATABASE!$AV$14:IE$989='Résultats observations'!$A14 ) * (DATABASE!$AW$14:$AW$989= BC$4))-ROW(DATABASE!$AV$14)+1,BC$5)),"")</f>
        <v>4.9192835559136645</v>
      </c>
      <c r="BD14" s="107" cm="1">
        <f t="array" ref="BD14">IFERROR(_xlfn.SINGLE(INDEX(DATABASE!$AV$14:$BC$989,SUMPRODUCT((ROW(DATABASE!$AV$14:$AV$989)) * (DATABASE!$AV$14:IF$989='Résultats observations'!$A14 ) * (DATABASE!$AW$14:$AW$989= BD$4))-ROW(DATABASE!$AV$14)+1,BD$5)),"")</f>
        <v>-1.4003831988001949E-2</v>
      </c>
      <c r="BE14" s="107" cm="1">
        <f t="array" ref="BE14">IFERROR(_xlfn.SINGLE(INDEX(DATABASE!$AV$14:$BC$989,SUMPRODUCT((ROW(DATABASE!$AV$14:$AV$989)) * (DATABASE!$AV$14:IG$989='Résultats observations'!$A14 ) * (DATABASE!$AW$14:$AW$989= BE$4))-ROW(DATABASE!$AV$14)+1,BE$5)),"")</f>
        <v>2.5901071644408518</v>
      </c>
      <c r="BF14" s="107" cm="1">
        <f t="array" ref="BF14">IFERROR(_xlfn.SINGLE(INDEX(DATABASE!$AV$14:$BC$989,SUMPRODUCT((ROW(DATABASE!$AV$14:$AV$989)) * (DATABASE!$AV$14:IH$989='Résultats observations'!$A14 ) * (DATABASE!$AW$14:$AW$989= BF$4))-ROW(DATABASE!$AV$14)+1,BF$5)),"")</f>
        <v>5.3012579084591582</v>
      </c>
      <c r="BG14" s="107" cm="1">
        <f t="array" ref="BG14">IFERROR(_xlfn.SINGLE(INDEX(DATABASE!$AV$14:$BC$989,SUMPRODUCT((ROW(DATABASE!$AV$14:$AV$989)) * (DATABASE!$AV$14:II$989='Résultats observations'!$A14 ) * (DATABASE!$AW$14:$AW$989= BG$4))-ROW(DATABASE!$AV$14)+1,BG$5)),"")</f>
        <v>1.5995903563185558</v>
      </c>
      <c r="BH14" s="107" cm="1">
        <f t="array" ref="BH14">IFERROR(_xlfn.SINGLE(INDEX(DATABASE!$AV$14:$BC$989,SUMPRODUCT((ROW(DATABASE!$AV$14:$AV$989)) * (DATABASE!$AV$14:IJ$989='Résultats observations'!$A14 ) * (DATABASE!$AW$14:$AW$989= BH$4))-ROW(DATABASE!$AV$14)+1,BH$5)),"")</f>
        <v>2.1804874209153979</v>
      </c>
      <c r="BI14" s="107" cm="1">
        <f t="array" ref="BI14">IFERROR(_xlfn.SINGLE(INDEX(DATABASE!$AV$14:$BC$989,SUMPRODUCT((ROW(DATABASE!$AV$14:$AV$989)) * (DATABASE!$AV$14:IK$989='Résultats observations'!$A14 ) * (DATABASE!$AW$14:$AW$989= BI$4))-ROW(DATABASE!$AV$14)+1,BI$5)),"")</f>
        <v>5.0837945218556087</v>
      </c>
      <c r="BJ14" s="107" cm="1">
        <f t="array" ref="BJ14">IFERROR(_xlfn.SINGLE(INDEX(DATABASE!$AV$14:$BC$989,SUMPRODUCT((ROW(DATABASE!$AV$14:$AV$989)) * (DATABASE!$AV$14:IL$989='Résultats observations'!$A14 ) * (DATABASE!$AW$14:$AW$989= BJ$4))-ROW(DATABASE!$AV$14)+1,BJ$5)),"")</f>
        <v>2.6766989372465546</v>
      </c>
      <c r="BK14" s="107" cm="1">
        <f t="array" ref="BK14">IFERROR(_xlfn.SINGLE(INDEX(DATABASE!$AV$14:$BC$989,SUMPRODUCT((ROW(DATABASE!$AV$14:$AV$989)) * (DATABASE!$AV$14:IM$989='Résultats observations'!$A14 ) * (DATABASE!$AW$14:$AW$989= BK$4))-ROW(DATABASE!$AV$14)+1,BK$5)),"")</f>
        <v>-0.72703794521856935</v>
      </c>
      <c r="BL14" s="105"/>
      <c r="BM14" s="106">
        <f t="shared" si="47"/>
        <v>-2.2708682755734344</v>
      </c>
      <c r="BN14" s="106">
        <f t="shared" si="48"/>
        <v>2.0305561200184563</v>
      </c>
      <c r="BO14" s="106">
        <f t="shared" si="49"/>
        <v>0.72270868277257705</v>
      </c>
      <c r="BP14" s="106">
        <f t="shared" ref="BP14" si="96">IF(AZ14="","",(AZ14-AZ$10)*1000)</f>
        <v>-0.63085042306010308</v>
      </c>
      <c r="BQ14" s="106">
        <f t="shared" ref="BQ14" si="97">IF(BA14="","",(BA14-BA$10)*1000)</f>
        <v>1.4712334927073911</v>
      </c>
      <c r="BR14" s="106">
        <f t="shared" ref="BR14" si="98">IF(BB14="","",(BB14-BB$10)*1000)</f>
        <v>-0.49369149577671578</v>
      </c>
      <c r="BS14" s="106">
        <f t="shared" ref="BS14" si="99">IF(BC14="","",(BC14-BC$10)*1000)</f>
        <v>-0.76322787457794306</v>
      </c>
      <c r="BT14" s="106">
        <f t="shared" ref="BT14" si="100">IF(BD14="","",(BD14-BD$10)*1000)</f>
        <v>3.1748988362985604</v>
      </c>
      <c r="BU14" s="106">
        <f t="shared" ref="BU14" si="101">IF(BE14="","",(BE14-BE$10)*1000)</f>
        <v>-1.7423677212633493</v>
      </c>
      <c r="BV14" s="106">
        <f t="shared" ref="BV14" si="102">IF(BF14="","",(BF14-BF$10)*1000)</f>
        <v>-2.4147264598628482</v>
      </c>
      <c r="BW14" s="106">
        <f t="shared" ref="BW14" si="103">IF(BG14="","",(BG14-BG$10)*1000)</f>
        <v>-4.0498883681163722</v>
      </c>
      <c r="BX14" s="106">
        <f t="shared" ref="BX14" si="104">IF(BH14="","",(BH14-BH$10)*1000)</f>
        <v>-3.2758527354133093</v>
      </c>
      <c r="BY14" s="106">
        <f t="shared" si="59"/>
        <v>-1.5142652529354095</v>
      </c>
      <c r="BZ14" s="106">
        <f t="shared" si="60"/>
        <v>-3.0231607622646095</v>
      </c>
      <c r="CA14" s="106">
        <f t="shared" si="61"/>
        <v>2.2151426525169882</v>
      </c>
    </row>
    <row r="15" spans="1:79" s="108" customFormat="1" ht="29.25" customHeight="1">
      <c r="A15" s="99">
        <v>45335</v>
      </c>
      <c r="B15" s="100">
        <f t="shared" ref="B15" si="105">A15-$A$10</f>
        <v>11</v>
      </c>
      <c r="C15" s="101">
        <v>11.5</v>
      </c>
      <c r="D15" s="101">
        <f t="shared" ref="D15" si="106">C15-$W$6</f>
        <v>6.41</v>
      </c>
      <c r="E15" s="102" cm="1">
        <f t="array" ref="E15">IFERROR(_xlfn.SINGLE(INDEX(DATABASE!$AV$14:$BC$989,SUMPRODUCT((ROW(DATABASE!$AV$14:$AV$989)) * (DATABASE!AG$14:$AV$989='Résultats observations'!$A15 ) * (DATABASE!$AW$14:$AW$989= E$4))-ROW(DATABASE!$AV$14)+1,E$5)),"")</f>
        <v>823058.96964999998</v>
      </c>
      <c r="F15" s="102" cm="1">
        <f t="array" ref="F15">IFERROR(_xlfn.SINGLE(INDEX(DATABASE!$AV$14:$BC$989,SUMPRODUCT((ROW(DATABASE!$AV$14:$AV$989)) * (DATABASE!AH$14:$AV$989='Résultats observations'!$A15 ) * (DATABASE!$AW$14:$AW$989= F$4))-ROW(DATABASE!$AV$14)+1,F$5)),"")</f>
        <v>1091426.6567250001</v>
      </c>
      <c r="G15" s="102" cm="1">
        <f t="array" ref="G15">IFERROR(_xlfn.SINGLE(INDEX(DATABASE!$AV$14:$BC$989,SUMPRODUCT((ROW(DATABASE!$AV$14:$AV$989)) * (DATABASE!AI$14:$AV$989='Résultats observations'!$A15 ) * (DATABASE!$AW$14:$AW$989= G$4))-ROW(DATABASE!$AV$14)+1,G$5)),"")</f>
        <v>-123.0608</v>
      </c>
      <c r="H15" s="102" cm="1">
        <f t="array" ref="H15">IFERROR(_xlfn.SINGLE(INDEX(DATABASE!$AV$14:$BC$989,SUMPRODUCT((ROW(DATABASE!$AV$14:$AV$989)) * (DATABASE!AJ$14:$AV$989='Résultats observations'!$A15 ) * (DATABASE!$AW$14:$AW$989= H$4))-ROW(DATABASE!$AV$14)+1,H$5)),"")</f>
        <v>823058.93119999999</v>
      </c>
      <c r="I15" s="102" cm="1">
        <f t="array" ref="I15">IFERROR(_xlfn.SINGLE(INDEX(DATABASE!$AV$14:$BC$989,SUMPRODUCT((ROW(DATABASE!$AV$14:$AV$989)) * (DATABASE!AK$14:$AV$989='Résultats observations'!$A15 ) * (DATABASE!$AW$14:$AW$989= I$4))-ROW(DATABASE!$AV$14)+1,I$5)),"")</f>
        <v>1091426.7421000001</v>
      </c>
      <c r="J15" s="102" cm="1">
        <f t="array" ref="J15">IFERROR(_xlfn.SINGLE(INDEX(DATABASE!$AV$14:$BC$989,SUMPRODUCT((ROW(DATABASE!$AV$14:$AV$989)) * (DATABASE!AL$14:$AV$989='Résultats observations'!$A15 ) * (DATABASE!$AW$14:$AW$989= J$4))-ROW(DATABASE!$AV$14)+1,J$5)),"")</f>
        <v>-121.12832499999999</v>
      </c>
      <c r="K15" s="102" cm="1">
        <f t="array" ref="K15">IFERROR(_xlfn.SINGLE(INDEX(DATABASE!$AV$14:$BC$989,SUMPRODUCT((ROW(DATABASE!$AV$14:$AV$989)) * (DATABASE!AM$14:$AV$989='Résultats observations'!$A15 ) * (DATABASE!$AW$14:$AW$989= K$4))-ROW(DATABASE!$AV$14)+1,K$5)),"")</f>
        <v>823057.99935000006</v>
      </c>
      <c r="L15" s="102" cm="1">
        <f t="array" ref="L15">IFERROR(_xlfn.SINGLE(INDEX(DATABASE!$AV$14:$BC$989,SUMPRODUCT((ROW(DATABASE!$AV$14:$AV$989)) * (DATABASE!AN$14:$AV$989='Résultats observations'!$A15 ) * (DATABASE!$AW$14:$AW$989= L$4))-ROW(DATABASE!$AV$14)+1,L$5)),"")</f>
        <v>1091429.0837000001</v>
      </c>
      <c r="M15" s="102" cm="1">
        <f t="array" ref="M15">IFERROR(_xlfn.SINGLE(INDEX(DATABASE!$AV$14:$BC$989,SUMPRODUCT((ROW(DATABASE!$AV$14:$AV$989)) * (DATABASE!AO$14:$AV$989='Résultats observations'!$A15 ) * (DATABASE!$AW$14:$AW$989= M$4))-ROW(DATABASE!$AV$14)+1,M$5)),"")</f>
        <v>-119.688125</v>
      </c>
      <c r="N15" s="102" cm="1">
        <f t="array" ref="N15">IFERROR(_xlfn.SINGLE(INDEX(DATABASE!$AV$14:$BC$989,SUMPRODUCT((ROW(DATABASE!$AV$14:$AV$989)) * (DATABASE!AP$14:$AV$989='Résultats observations'!$A15 ) * (DATABASE!$AW$14:$AW$989= N$4))-ROW(DATABASE!$AV$14)+1,N$5)),"")</f>
        <v>823056.97120000003</v>
      </c>
      <c r="O15" s="102" cm="1">
        <f t="array" ref="O15">IFERROR(_xlfn.SINGLE(INDEX(DATABASE!$AV$14:$BC$989,SUMPRODUCT((ROW(DATABASE!$AV$14:$AV$989)) * (DATABASE!AQ$14:$AV$989='Résultats observations'!$A15 ) * (DATABASE!$AW$14:$AW$989= O$4))-ROW(DATABASE!$AV$14)+1,O$5)),"")</f>
        <v>1091430.3843499999</v>
      </c>
      <c r="P15" s="102" cm="1">
        <f t="array" ref="P15">IFERROR(_xlfn.SINGLE(INDEX(DATABASE!$AV$14:$BC$989,SUMPRODUCT((ROW(DATABASE!$AV$14:$AV$989)) * (DATABASE!AR$14:$AV$989='Résultats observations'!$A15 ) * (DATABASE!$AW$14:$AW$989= P$4))-ROW(DATABASE!$AV$14)+1,P$5)),"")</f>
        <v>-120.09425</v>
      </c>
      <c r="Q15" s="102" cm="1">
        <f t="array" ref="Q15">IFERROR(_xlfn.SINGLE(INDEX(DATABASE!$AV$14:$BC$989,SUMPRODUCT((ROW(DATABASE!$AV$14:$AV$989)) * (DATABASE!AS$14:$AV$989='Résultats observations'!$A15 ) * (DATABASE!$AW$14:$AW$989= Q$4))-ROW(DATABASE!$AV$14)+1,Q$5)),"")</f>
        <v>823056.7133249999</v>
      </c>
      <c r="R15" s="102" cm="1">
        <f t="array" ref="R15">IFERROR(_xlfn.SINGLE(INDEX(DATABASE!$AV$14:$BC$989,SUMPRODUCT((ROW(DATABASE!$AV$14:$AV$989)) * (DATABASE!AT$14:$AV$989='Résultats observations'!$A15 ) * (DATABASE!$AW$14:$AW$989= R$4))-ROW(DATABASE!$AV$14)+1,R$5)),"")</f>
        <v>1091431.4526750001</v>
      </c>
      <c r="S15" s="102" cm="1">
        <f t="array" ref="S15">IFERROR(_xlfn.SINGLE(INDEX(DATABASE!$AV$14:$BC$989,SUMPRODUCT((ROW(DATABASE!$AV$14:$AV$989)) * (DATABASE!AU$14:$AV$989='Résultats observations'!$A15 ) * (DATABASE!$AW$14:$AW$989= S$4))-ROW(DATABASE!$AV$14)+1,S$5)),"")</f>
        <v>-123.00322500000001</v>
      </c>
      <c r="T15" s="103">
        <f t="shared" si="2"/>
        <v>4.2669223564383731</v>
      </c>
      <c r="U15" s="103">
        <f t="shared" si="3"/>
        <v>2.902690307634896</v>
      </c>
      <c r="V15" s="103">
        <f t="shared" si="4"/>
        <v>1.7069623195468593</v>
      </c>
      <c r="W15" s="103">
        <f t="shared" si="5"/>
        <v>4.2726795879869588</v>
      </c>
      <c r="X15" s="103">
        <f t="shared" si="6"/>
        <v>4.2634371305939434</v>
      </c>
      <c r="Y15" s="103">
        <f t="shared" si="7"/>
        <v>5.3005144833836342</v>
      </c>
      <c r="Z15" s="104">
        <f t="shared" si="26"/>
        <v>-1.3564881585992339</v>
      </c>
      <c r="AA15" s="104">
        <f t="shared" si="27"/>
        <v>0.87626770996918069</v>
      </c>
      <c r="AB15" s="104">
        <f t="shared" si="28"/>
        <v>-6.9924661847353686</v>
      </c>
      <c r="AC15" s="104">
        <f t="shared" si="29"/>
        <v>-7.4295125853778288</v>
      </c>
      <c r="AD15" s="104">
        <f t="shared" si="30"/>
        <v>-6.4279006312464304</v>
      </c>
      <c r="AE15" s="104">
        <f t="shared" si="31"/>
        <v>-5.0249937653150667</v>
      </c>
      <c r="AF15" s="105"/>
      <c r="AG15" s="106">
        <f t="shared" si="32"/>
        <v>1.3500000350177288</v>
      </c>
      <c r="AH15" s="106">
        <f t="shared" si="33"/>
        <v>3.0250002164393663</v>
      </c>
      <c r="AI15" s="106">
        <f t="shared" si="34"/>
        <v>0.50000000000238742</v>
      </c>
      <c r="AJ15" s="106">
        <f t="shared" ref="AJ15" si="107">IF(H15="","",(H15-H$10)*1000)</f>
        <v>-0.3499999875202775</v>
      </c>
      <c r="AK15" s="106">
        <f t="shared" ref="AK15" si="108">IF(I15="","",(I15-I$10)*1000)</f>
        <v>1.7000001389533281</v>
      </c>
      <c r="AL15" s="106">
        <f t="shared" ref="AL15" si="109">IF(J15="","",(J15-J$10)*1000)</f>
        <v>-0.72499999998854037</v>
      </c>
      <c r="AM15" s="106">
        <f t="shared" ref="AM15" si="110">IF(K15="","",(K15-K$10)*1000)</f>
        <v>-0.79999992158263922</v>
      </c>
      <c r="AN15" s="106">
        <f t="shared" ref="AN15" si="111">IF(L15="","",(L15-L$10)*1000)</f>
        <v>3.5000001080334187</v>
      </c>
      <c r="AO15" s="106">
        <f t="shared" ref="AO15" si="112">IF(M15="","",(M15-M$10)*1000)</f>
        <v>-2.1749999999940428</v>
      </c>
      <c r="AP15" s="106">
        <f t="shared" ref="AP15" si="113">IF(N15="","",(N15-N$10)*1000)</f>
        <v>3.7000000011175871</v>
      </c>
      <c r="AQ15" s="106">
        <f t="shared" ref="AQ15" si="114">IF(O15="","",(O15-O$10)*1000)</f>
        <v>-2.7000000700354576</v>
      </c>
      <c r="AR15" s="106">
        <f t="shared" ref="AR15" si="115">IF(P15="","",(P15-P$10)*1000)</f>
        <v>-4.0500000000065484</v>
      </c>
      <c r="AS15" s="106">
        <f t="shared" si="73"/>
        <v>2.6749998796731234</v>
      </c>
      <c r="AT15" s="106">
        <f t="shared" si="74"/>
        <v>-1.9249999895691872</v>
      </c>
      <c r="AU15" s="106">
        <f t="shared" si="75"/>
        <v>2.174999999979832</v>
      </c>
      <c r="AV15" s="105"/>
      <c r="AW15" s="107" cm="1">
        <f t="array" ref="AW15">IFERROR(_xlfn.SINGLE(INDEX(DATABASE!$AV$14:$BC$989,SUMPRODUCT((ROW(DATABASE!$AV$14:$AV$989)) * (DATABASE!$AV$14:HY$989='Résultats observations'!$A15 ) * (DATABASE!$AW$14:$AW$989= AW$4))-ROW(DATABASE!$AV$14)+1,AW$5)),"")</f>
        <v>5.0655447074970894</v>
      </c>
      <c r="AX15" s="107" cm="1">
        <f t="array" ref="AX15">IFERROR(_xlfn.SINGLE(INDEX(DATABASE!$AV$14:$BC$989,SUMPRODUCT((ROW(DATABASE!$AV$14:$AV$989)) * (DATABASE!$AV$14:HZ$989='Résultats observations'!$A15 ) * (DATABASE!$AW$14:$AW$989= AX$4))-ROW(DATABASE!$AV$14)+1,AX$5)),"")</f>
        <v>-2.6233237151016313</v>
      </c>
      <c r="AY15" s="107" cm="1">
        <f t="array" ref="AY15">IFERROR(_xlfn.SINGLE(INDEX(DATABASE!$AV$14:$BC$989,SUMPRODUCT((ROW(DATABASE!$AV$14:$AV$989)) * (DATABASE!$AV$14:IA$989='Résultats observations'!$A15 ) * (DATABASE!$AW$14:$AW$989= AY$4))-ROW(DATABASE!$AV$14)+1,AY$5)),"")</f>
        <v>-0.78445544707497561</v>
      </c>
      <c r="AZ15" s="107" cm="1">
        <f t="array" ref="AZ15">IFERROR(_xlfn.SINGLE(INDEX(DATABASE!$AV$14:$BC$989,SUMPRODUCT((ROW(DATABASE!$AV$14:$AV$989)) * (DATABASE!$AV$14:IB$989='Résultats observations'!$A15 ) * (DATABASE!$AW$14:$AW$989= AZ$4))-ROW(DATABASE!$AV$14)+1,AZ$5)),"")</f>
        <v>5.0643126975535795</v>
      </c>
      <c r="BA15" s="107" cm="1">
        <f t="array" ref="BA15">IFERROR(_xlfn.SINGLE(INDEX(DATABASE!$AV$14:$BC$989,SUMPRODUCT((ROW(DATABASE!$AV$14:$AV$989)) * (DATABASE!$AV$14:IC$989='Résultats observations'!$A15 ) * (DATABASE!$AW$14:$AW$989= BA$4))-ROW(DATABASE!$AV$14)+1,BA$5)),"")</f>
        <v>-2.5296979959851655</v>
      </c>
      <c r="BB15" s="107" cm="1">
        <f t="array" ref="BB15">IFERROR(_xlfn.SINGLE(INDEX(DATABASE!$AV$14:$BC$989,SUMPRODUCT((ROW(DATABASE!$AV$14:$AV$989)) * (DATABASE!$AV$14:ID$989='Résultats observations'!$A15 ) * (DATABASE!$AW$14:$AW$989= BB$4))-ROW(DATABASE!$AV$14)+1,BB$5)),"")</f>
        <v>1.148031873024479</v>
      </c>
      <c r="BC15" s="107" cm="1">
        <f t="array" ref="BC15">IFERROR(_xlfn.SINGLE(INDEX(DATABASE!$AV$14:$BC$989,SUMPRODUCT((ROW(DATABASE!$AV$14:$AV$989)) * (DATABASE!$AV$14:IE$989='Résultats observations'!$A15 ) * (DATABASE!$AW$14:$AW$989= BC$4))-ROW(DATABASE!$AV$14)+1,BC$5)),"")</f>
        <v>4.9192927218384632</v>
      </c>
      <c r="BD15" s="107" cm="1">
        <f t="array" ref="BD15">IFERROR(_xlfn.SINGLE(INDEX(DATABASE!$AV$14:$BC$989,SUMPRODUCT((ROW(DATABASE!$AV$14:$AV$989)) * (DATABASE!$AV$14:IF$989='Résultats observations'!$A15 ) * (DATABASE!$AW$14:$AW$989= BD$4))-ROW(DATABASE!$AV$14)+1,BD$5)),"")</f>
        <v>-1.3668546896547456E-2</v>
      </c>
      <c r="BE15" s="107" cm="1">
        <f t="array" ref="BE15">IFERROR(_xlfn.SINGLE(INDEX(DATABASE!$AV$14:$BC$989,SUMPRODUCT((ROW(DATABASE!$AV$14:$AV$989)) * (DATABASE!$AV$14:IG$989='Résultats observations'!$A15 ) * (DATABASE!$AW$14:$AW$989= BE$4))-ROW(DATABASE!$AV$14)+1,BE$5)),"")</f>
        <v>2.5896820727816134</v>
      </c>
      <c r="BF15" s="107" cm="1">
        <f t="array" ref="BF15">IFERROR(_xlfn.SINGLE(INDEX(DATABASE!$AV$14:$BC$989,SUMPRODUCT((ROW(DATABASE!$AV$14:$AV$989)) * (DATABASE!$AV$14:IH$989='Résultats observations'!$A15 ) * (DATABASE!$AW$14:$AW$989= BF$4))-ROW(DATABASE!$AV$14)+1,BF$5)),"")</f>
        <v>5.3014603016246138</v>
      </c>
      <c r="BG15" s="107" cm="1">
        <f t="array" ref="BG15">IFERROR(_xlfn.SINGLE(INDEX(DATABASE!$AV$14:$BC$989,SUMPRODUCT((ROW(DATABASE!$AV$14:$AV$989)) * (DATABASE!$AV$14:II$989='Résultats observations'!$A15 ) * (DATABASE!$AW$14:$AW$989= BG$4))-ROW(DATABASE!$AV$14)+1,BG$5)),"")</f>
        <v>1.5996295612310831</v>
      </c>
      <c r="BH15" s="107" cm="1">
        <f t="array" ref="BH15">IFERROR(_xlfn.SINGLE(INDEX(DATABASE!$AV$14:$BC$989,SUMPRODUCT((ROW(DATABASE!$AV$14:$AV$989)) * (DATABASE!$AV$14:IJ$989='Résultats observations'!$A15 ) * (DATABASE!$AW$14:$AW$989= BH$4))-ROW(DATABASE!$AV$14)+1,BH$5)),"")</f>
        <v>2.1797353969837445</v>
      </c>
      <c r="BI15" s="107" cm="1">
        <f t="array" ref="BI15">IFERROR(_xlfn.SINGLE(INDEX(DATABASE!$AV$14:$BC$989,SUMPRODUCT((ROW(DATABASE!$AV$14:$AV$989)) * (DATABASE!$AV$14:IK$989='Résultats observations'!$A15 ) * (DATABASE!$AW$14:$AW$989= BI$4))-ROW(DATABASE!$AV$14)+1,BI$5)),"")</f>
        <v>5.0836979082880349</v>
      </c>
      <c r="BJ15" s="107" cm="1">
        <f t="array" ref="BJ15">IFERROR(_xlfn.SINGLE(INDEX(DATABASE!$AV$14:$BC$989,SUMPRODUCT((ROW(DATABASE!$AV$14:$AV$989)) * (DATABASE!$AV$14:IL$989='Résultats observations'!$A15 ) * (DATABASE!$AW$14:$AW$989= BJ$4))-ROW(DATABASE!$AV$14)+1,BJ$5)),"")</f>
        <v>2.6768469773606172</v>
      </c>
      <c r="BK15" s="107" cm="1">
        <f t="array" ref="BK15">IFERROR(_xlfn.SINGLE(INDEX(DATABASE!$AV$14:$BC$989,SUMPRODUCT((ROW(DATABASE!$AV$14:$AV$989)) * (DATABASE!$AV$14:IM$989='Résultats observations'!$A15 ) * (DATABASE!$AW$14:$AW$989= BK$4))-ROW(DATABASE!$AV$14)+1,BK$5)),"")</f>
        <v>-0.72706197908289028</v>
      </c>
      <c r="BL15" s="105"/>
      <c r="BM15" s="106">
        <f t="shared" si="47"/>
        <v>-2.5019013317999494</v>
      </c>
      <c r="BN15" s="106">
        <f t="shared" si="48"/>
        <v>2.1710863939361502</v>
      </c>
      <c r="BO15" s="106">
        <f t="shared" si="49"/>
        <v>0.52501901332391299</v>
      </c>
      <c r="BP15" s="106">
        <f t="shared" ref="BP15" si="116">IF(AZ15="","",(AZ15-AZ$10)*1000)</f>
        <v>-0.40121652010505215</v>
      </c>
      <c r="BQ15" s="106">
        <f t="shared" ref="BQ15" si="117">IF(BA15="","",(BA15-BA$10)*1000)</f>
        <v>1.68864613453934</v>
      </c>
      <c r="BR15" s="106">
        <f t="shared" ref="BR15" si="118">IF(BB15="","",(BB15-BB$10)*1000)</f>
        <v>-0.72098783478224959</v>
      </c>
      <c r="BS15" s="106">
        <f t="shared" ref="BS15" si="119">IF(BC15="","",(BC15-BC$10)*1000)</f>
        <v>-0.7540619497792278</v>
      </c>
      <c r="BT15" s="106">
        <f t="shared" ref="BT15" si="120">IF(BD15="","",(BD15-BD$10)*1000)</f>
        <v>3.5101839277530531</v>
      </c>
      <c r="BU15" s="106">
        <f t="shared" ref="BU15" si="121">IF(BE15="","",(BE15-BE$10)*1000)</f>
        <v>-2.1674593805016684</v>
      </c>
      <c r="BV15" s="106">
        <f t="shared" ref="BV15" si="122">IF(BF15="","",(BF15-BF$10)*1000)</f>
        <v>-2.2123332944072871</v>
      </c>
      <c r="BW15" s="106">
        <f t="shared" ref="BW15" si="123">IF(BG15="","",(BG15-BG$10)*1000)</f>
        <v>-4.0106834555890813</v>
      </c>
      <c r="BX15" s="106">
        <f t="shared" ref="BX15" si="124">IF(BH15="","",(BH15-BH$10)*1000)</f>
        <v>-4.027876667066721</v>
      </c>
      <c r="BY15" s="106">
        <f t="shared" si="59"/>
        <v>-1.6108788205091429</v>
      </c>
      <c r="BZ15" s="106">
        <f t="shared" si="60"/>
        <v>-2.8751206482020564</v>
      </c>
      <c r="CA15" s="106">
        <f t="shared" si="61"/>
        <v>2.1911087881960611</v>
      </c>
    </row>
    <row r="16" spans="1:79" s="108" customFormat="1" ht="29.25" customHeight="1">
      <c r="A16" s="99">
        <v>45337</v>
      </c>
      <c r="B16" s="100">
        <f t="shared" ref="B16" si="125">A16-$A$10</f>
        <v>13</v>
      </c>
      <c r="C16" s="101">
        <v>11.5</v>
      </c>
      <c r="D16" s="101">
        <f t="shared" ref="D16" si="126">C16-$W$6</f>
        <v>6.41</v>
      </c>
      <c r="E16" s="102" cm="1">
        <f t="array" ref="E16">IFERROR(_xlfn.SINGLE(INDEX(DATABASE!$AV$14:$BC$989,SUMPRODUCT((ROW(DATABASE!$AV$14:$AV$989)) * (DATABASE!AG$14:$AV$989='Résultats observations'!$A16 ) * (DATABASE!$AW$14:$AW$989= E$4))-ROW(DATABASE!$AV$14)+1,E$5)),"")</f>
        <v>823058.96875999996</v>
      </c>
      <c r="F16" s="102" cm="1">
        <f t="array" ref="F16">IFERROR(_xlfn.SINGLE(INDEX(DATABASE!$AV$14:$BC$989,SUMPRODUCT((ROW(DATABASE!$AV$14:$AV$989)) * (DATABASE!AH$14:$AV$989='Résultats observations'!$A16 ) * (DATABASE!$AW$14:$AW$989= F$4))-ROW(DATABASE!$AV$14)+1,F$5)),"")</f>
        <v>1091426.6570000001</v>
      </c>
      <c r="G16" s="102" cm="1">
        <f t="array" ref="G16">IFERROR(_xlfn.SINGLE(INDEX(DATABASE!$AV$14:$BC$989,SUMPRODUCT((ROW(DATABASE!$AV$14:$AV$989)) * (DATABASE!AI$14:$AV$989='Résultats observations'!$A16 ) * (DATABASE!$AW$14:$AW$989= G$4))-ROW(DATABASE!$AV$14)+1,G$5)),"")</f>
        <v>-123.06071999999999</v>
      </c>
      <c r="H16" s="102" cm="1">
        <f t="array" ref="H16">IFERROR(_xlfn.SINGLE(INDEX(DATABASE!$AV$14:$BC$989,SUMPRODUCT((ROW(DATABASE!$AV$14:$AV$989)) * (DATABASE!AJ$14:$AV$989='Résultats observations'!$A16 ) * (DATABASE!$AW$14:$AW$989= H$4))-ROW(DATABASE!$AV$14)+1,H$5)),"")</f>
        <v>823058.93066666659</v>
      </c>
      <c r="I16" s="102" cm="1">
        <f t="array" ref="I16">IFERROR(_xlfn.SINGLE(INDEX(DATABASE!$AV$14:$BC$989,SUMPRODUCT((ROW(DATABASE!$AV$14:$AV$989)) * (DATABASE!AK$14:$AV$989='Résultats observations'!$A16 ) * (DATABASE!$AW$14:$AW$989= I$4))-ROW(DATABASE!$AV$14)+1,I$5)),"")</f>
        <v>1091426.7422333334</v>
      </c>
      <c r="J16" s="102" cm="1">
        <f t="array" ref="J16">IFERROR(_xlfn.SINGLE(INDEX(DATABASE!$AV$14:$BC$989,SUMPRODUCT((ROW(DATABASE!$AV$14:$AV$989)) * (DATABASE!AL$14:$AV$989='Résultats observations'!$A16 ) * (DATABASE!$AW$14:$AW$989= J$4))-ROW(DATABASE!$AV$14)+1,J$5)),"")</f>
        <v>-121.12804999999999</v>
      </c>
      <c r="K16" s="102" cm="1">
        <f t="array" ref="K16">IFERROR(_xlfn.SINGLE(INDEX(DATABASE!$AV$14:$BC$989,SUMPRODUCT((ROW(DATABASE!$AV$14:$AV$989)) * (DATABASE!AM$14:$AV$989='Résultats observations'!$A16 ) * (DATABASE!$AW$14:$AW$989= K$4))-ROW(DATABASE!$AV$14)+1,K$5)),"")</f>
        <v>823057.99897499999</v>
      </c>
      <c r="L16" s="102" cm="1">
        <f t="array" ref="L16">IFERROR(_xlfn.SINGLE(INDEX(DATABASE!$AV$14:$BC$989,SUMPRODUCT((ROW(DATABASE!$AV$14:$AV$989)) * (DATABASE!AN$14:$AV$989='Résultats observations'!$A16 ) * (DATABASE!$AW$14:$AW$989= L$4))-ROW(DATABASE!$AV$14)+1,L$5)),"")</f>
        <v>1091429.0833749999</v>
      </c>
      <c r="M16" s="102" cm="1">
        <f t="array" ref="M16">IFERROR(_xlfn.SINGLE(INDEX(DATABASE!$AV$14:$BC$989,SUMPRODUCT((ROW(DATABASE!$AV$14:$AV$989)) * (DATABASE!AO$14:$AV$989='Résultats observations'!$A16 ) * (DATABASE!$AW$14:$AW$989= M$4))-ROW(DATABASE!$AV$14)+1,M$5)),"")</f>
        <v>-119.687725</v>
      </c>
      <c r="N16" s="102" cm="1">
        <f t="array" ref="N16">IFERROR(_xlfn.SINGLE(INDEX(DATABASE!$AV$14:$BC$989,SUMPRODUCT((ROW(DATABASE!$AV$14:$AV$989)) * (DATABASE!AP$14:$AV$989='Résultats observations'!$A16 ) * (DATABASE!$AW$14:$AW$989= N$4))-ROW(DATABASE!$AV$14)+1,N$5)),"")</f>
        <v>823056.97122499999</v>
      </c>
      <c r="O16" s="102" cm="1">
        <f t="array" ref="O16">IFERROR(_xlfn.SINGLE(INDEX(DATABASE!$AV$14:$BC$989,SUMPRODUCT((ROW(DATABASE!$AV$14:$AV$989)) * (DATABASE!AQ$14:$AV$989='Résultats observations'!$A16 ) * (DATABASE!$AW$14:$AW$989= O$4))-ROW(DATABASE!$AV$14)+1,O$5)),"")</f>
        <v>1091430.3846499999</v>
      </c>
      <c r="P16" s="102" cm="1">
        <f t="array" ref="P16">IFERROR(_xlfn.SINGLE(INDEX(DATABASE!$AV$14:$BC$989,SUMPRODUCT((ROW(DATABASE!$AV$14:$AV$989)) * (DATABASE!AR$14:$AV$989='Résultats observations'!$A16 ) * (DATABASE!$AW$14:$AW$989= P$4))-ROW(DATABASE!$AV$14)+1,P$5)),"")</f>
        <v>-120.09387500000001</v>
      </c>
      <c r="Q16" s="102" cm="1">
        <f t="array" ref="Q16">IFERROR(_xlfn.SINGLE(INDEX(DATABASE!$AV$14:$BC$989,SUMPRODUCT((ROW(DATABASE!$AV$14:$AV$989)) * (DATABASE!AS$14:$AV$989='Résultats observations'!$A16 ) * (DATABASE!$AW$14:$AW$989= Q$4))-ROW(DATABASE!$AV$14)+1,Q$5)),"")</f>
        <v>823056.71308000002</v>
      </c>
      <c r="R16" s="102" cm="1">
        <f t="array" ref="R16">IFERROR(_xlfn.SINGLE(INDEX(DATABASE!$AV$14:$BC$989,SUMPRODUCT((ROW(DATABASE!$AV$14:$AV$989)) * (DATABASE!AT$14:$AV$989='Résultats observations'!$A16 ) * (DATABASE!$AW$14:$AW$989= R$4))-ROW(DATABASE!$AV$14)+1,R$5)),"")</f>
        <v>1091431.4529399998</v>
      </c>
      <c r="S16" s="102" cm="1">
        <f t="array" ref="S16">IFERROR(_xlfn.SINGLE(INDEX(DATABASE!$AV$14:$BC$989,SUMPRODUCT((ROW(DATABASE!$AV$14:$AV$989)) * (DATABASE!AU$14:$AV$989='Résultats observations'!$A16 ) * (DATABASE!$AW$14:$AW$989= S$4))-ROW(DATABASE!$AV$14)+1,S$5)),"")</f>
        <v>-123.00358000000001</v>
      </c>
      <c r="T16" s="103">
        <f t="shared" si="2"/>
        <v>4.2667169880209448</v>
      </c>
      <c r="U16" s="103">
        <f t="shared" si="3"/>
        <v>2.9023317815068621</v>
      </c>
      <c r="V16" s="103">
        <f t="shared" si="4"/>
        <v>1.7072037109203424</v>
      </c>
      <c r="W16" s="103">
        <f t="shared" si="5"/>
        <v>4.2735533950563713</v>
      </c>
      <c r="X16" s="103">
        <f t="shared" si="6"/>
        <v>4.263347129641418</v>
      </c>
      <c r="Y16" s="103">
        <f t="shared" si="7"/>
        <v>5.3002261953450533</v>
      </c>
      <c r="Z16" s="104">
        <f t="shared" si="26"/>
        <v>-1.5618565760275871</v>
      </c>
      <c r="AA16" s="104">
        <f t="shared" si="27"/>
        <v>0.51774158193529374</v>
      </c>
      <c r="AB16" s="104">
        <f t="shared" si="28"/>
        <v>-6.7510748112522556</v>
      </c>
      <c r="AC16" s="104">
        <f t="shared" si="29"/>
        <v>-6.5557055159652933</v>
      </c>
      <c r="AD16" s="104">
        <f t="shared" si="30"/>
        <v>-6.5179015837717458</v>
      </c>
      <c r="AE16" s="104">
        <f t="shared" si="31"/>
        <v>-5.3132818038958973</v>
      </c>
      <c r="AF16" s="105"/>
      <c r="AG16" s="106">
        <f t="shared" si="32"/>
        <v>0.46000001020729542</v>
      </c>
      <c r="AH16" s="106">
        <f t="shared" si="33"/>
        <v>3.3000002149492502</v>
      </c>
      <c r="AI16" s="106">
        <f t="shared" si="34"/>
        <v>0.58000000001356966</v>
      </c>
      <c r="AJ16" s="106">
        <f t="shared" ref="AJ16" si="127">IF(H16="","",(H16-H$10)*1000)</f>
        <v>-0.88333338499069214</v>
      </c>
      <c r="AK16" s="106">
        <f t="shared" ref="AK16" si="128">IF(I16="","",(I16-I$10)*1000)</f>
        <v>1.8333334010094404</v>
      </c>
      <c r="AL16" s="106">
        <f t="shared" ref="AL16" si="129">IF(J16="","",(J16-J$10)*1000)</f>
        <v>-0.44999999998651674</v>
      </c>
      <c r="AM16" s="106">
        <f t="shared" ref="AM16" si="130">IF(K16="","",(K16-K$10)*1000)</f>
        <v>-1.1749999830499291</v>
      </c>
      <c r="AN16" s="106">
        <f t="shared" ref="AN16" si="131">IF(L16="","",(L16-L$10)*1000)</f>
        <v>3.1749999616295099</v>
      </c>
      <c r="AO16" s="106">
        <f t="shared" ref="AO16" si="132">IF(M16="","",(M16-M$10)*1000)</f>
        <v>-1.774999999994975</v>
      </c>
      <c r="AP16" s="106">
        <f t="shared" ref="AP16" si="133">IF(N16="","",(N16-N$10)*1000)</f>
        <v>3.7249999586492777</v>
      </c>
      <c r="AQ16" s="106">
        <f t="shared" ref="AQ16" si="134">IF(O16="","",(O16-O$10)*1000)</f>
        <v>-2.4000001139938831</v>
      </c>
      <c r="AR16" s="106">
        <f t="shared" ref="AR16" si="135">IF(P16="","",(P16-P$10)*1000)</f>
        <v>-3.6750000000154159</v>
      </c>
      <c r="AS16" s="106">
        <f t="shared" si="73"/>
        <v>2.4299999931827188</v>
      </c>
      <c r="AT16" s="106">
        <f t="shared" si="74"/>
        <v>-1.6600003000348806</v>
      </c>
      <c r="AU16" s="106">
        <f t="shared" si="75"/>
        <v>1.8199999999808369</v>
      </c>
      <c r="AV16" s="105"/>
      <c r="AW16" s="107" cm="1">
        <f t="array" ref="AW16">IFERROR(_xlfn.SINGLE(INDEX(DATABASE!$AV$14:$BC$989,SUMPRODUCT((ROW(DATABASE!$AV$14:$AV$989)) * (DATABASE!$AV$14:HY$989='Résultats observations'!$A16 ) * (DATABASE!$AW$14:$AW$989= AW$4))-ROW(DATABASE!$AV$14)+1,AW$5)),"")</f>
        <v>5.0662351113793136</v>
      </c>
      <c r="AX16" s="107" cm="1">
        <f t="array" ref="AX16">IFERROR(_xlfn.SINGLE(INDEX(DATABASE!$AV$14:$BC$989,SUMPRODUCT((ROW(DATABASE!$AV$14:$AV$989)) * (DATABASE!$AV$14:HZ$989='Résultats observations'!$A16 ) * (DATABASE!$AW$14:$AW$989= AX$4))-ROW(DATABASE!$AV$14)+1,AX$5)),"")</f>
        <v>-2.6226983611836285</v>
      </c>
      <c r="AY16" s="107" cm="1">
        <f t="array" ref="AY16">IFERROR(_xlfn.SINGLE(INDEX(DATABASE!$AV$14:$BC$989,SUMPRODUCT((ROW(DATABASE!$AV$14:$AV$989)) * (DATABASE!$AV$14:IA$989='Résultats observations'!$A16 ) * (DATABASE!$AW$14:$AW$989= AY$4))-ROW(DATABASE!$AV$14)+1,AY$5)),"")</f>
        <v>-0.78438235111379129</v>
      </c>
      <c r="AZ16" s="107" cm="1">
        <f t="array" ref="AZ16">IFERROR(_xlfn.SINGLE(INDEX(DATABASE!$AV$14:$BC$989,SUMPRODUCT((ROW(DATABASE!$AV$14:$AV$989)) * (DATABASE!$AV$14:IB$989='Résultats observations'!$A16 ) * (DATABASE!$AW$14:$AW$989= AZ$4))-ROW(DATABASE!$AV$14)+1,AZ$5)),"")</f>
        <v>5.0647397182025733</v>
      </c>
      <c r="BA16" s="107" cm="1">
        <f t="array" ref="BA16">IFERROR(_xlfn.SINGLE(INDEX(DATABASE!$AV$14:$BC$989,SUMPRODUCT((ROW(DATABASE!$AV$14:$AV$989)) * (DATABASE!$AV$14:IC$989='Résultats observations'!$A16 ) * (DATABASE!$AW$14:$AW$989= BA$4))-ROW(DATABASE!$AV$14)+1,BA$5)),"")</f>
        <v>-2.5293517653727684</v>
      </c>
      <c r="BB16" s="107" cm="1">
        <f t="array" ref="BB16">IFERROR(_xlfn.SINGLE(INDEX(DATABASE!$AV$14:$BC$989,SUMPRODUCT((ROW(DATABASE!$AV$14:$AV$989)) * (DATABASE!$AV$14:ID$989='Résultats observations'!$A16 ) * (DATABASE!$AW$14:$AW$989= BB$4))-ROW(DATABASE!$AV$14)+1,BB$5)),"")</f>
        <v>1.1483026028179779</v>
      </c>
      <c r="BC16" s="107" cm="1">
        <f t="array" ref="BC16">IFERROR(_xlfn.SINGLE(INDEX(DATABASE!$AV$14:$BC$989,SUMPRODUCT((ROW(DATABASE!$AV$14:$AV$989)) * (DATABASE!$AV$14:IE$989='Résultats observations'!$A16 ) * (DATABASE!$AW$14:$AW$989= BC$4))-ROW(DATABASE!$AV$14)+1,BC$5)),"")</f>
        <v>4.9197699361460909</v>
      </c>
      <c r="BD16" s="107" cm="1">
        <f t="array" ref="BD16">IFERROR(_xlfn.SINGLE(INDEX(DATABASE!$AV$14:$BC$989,SUMPRODUCT((ROW(DATABASE!$AV$14:$AV$989)) * (DATABASE!$AV$14:IF$989='Résultats observations'!$A16 ) * (DATABASE!$AW$14:$AW$989= BD$4))-ROW(DATABASE!$AV$14)+1,BD$5)),"")</f>
        <v>-1.38046227792683E-2</v>
      </c>
      <c r="BE16" s="107" cm="1">
        <f t="array" ref="BE16">IFERROR(_xlfn.SINGLE(INDEX(DATABASE!$AV$14:$BC$989,SUMPRODUCT((ROW(DATABASE!$AV$14:$AV$989)) * (DATABASE!$AV$14:IG$989='Résultats observations'!$A16 ) * (DATABASE!$AW$14:$AW$989= BE$4))-ROW(DATABASE!$AV$14)+1,BE$5)),"")</f>
        <v>2.5900773006385407</v>
      </c>
      <c r="BF16" s="107" cm="1">
        <f t="array" ref="BF16">IFERROR(_xlfn.SINGLE(INDEX(DATABASE!$AV$14:$BC$989,SUMPRODUCT((ROW(DATABASE!$AV$14:$AV$989)) * (DATABASE!$AV$14:IH$989='Résultats observations'!$A16 ) * (DATABASE!$AW$14:$AW$989= BF$4))-ROW(DATABASE!$AV$14)+1,BF$5)),"")</f>
        <v>5.3013108626666936</v>
      </c>
      <c r="BG16" s="107" cm="1">
        <f t="array" ref="BG16">IFERROR(_xlfn.SINGLE(INDEX(DATABASE!$AV$14:$BC$989,SUMPRODUCT((ROW(DATABASE!$AV$14:$AV$989)) * (DATABASE!$AV$14:II$989='Résultats observations'!$A16 ) * (DATABASE!$AW$14:$AW$989= BG$4))-ROW(DATABASE!$AV$14)+1,BG$5)),"")</f>
        <v>1.5998908904666438</v>
      </c>
      <c r="BH16" s="107" cm="1">
        <f t="array" ref="BH16">IFERROR(_xlfn.SINGLE(INDEX(DATABASE!$AV$14:$BC$989,SUMPRODUCT((ROW(DATABASE!$AV$14:$AV$989)) * (DATABASE!$AV$14:IJ$989='Résultats observations'!$A16 ) * (DATABASE!$AW$14:$AW$989= BH$4))-ROW(DATABASE!$AV$14)+1,BH$5)),"")</f>
        <v>2.1801118913733148</v>
      </c>
      <c r="BI16" s="107" cm="1">
        <f t="array" ref="BI16">IFERROR(_xlfn.SINGLE(INDEX(DATABASE!$AV$14:$BC$989,SUMPRODUCT((ROW(DATABASE!$AV$14:$AV$989)) * (DATABASE!$AV$14:IK$989='Résultats observations'!$A16 ) * (DATABASE!$AW$14:$AW$989= BI$4))-ROW(DATABASE!$AV$14)+1,BI$5)),"")</f>
        <v>5.0838079653539205</v>
      </c>
      <c r="BJ16" s="107" cm="1">
        <f t="array" ref="BJ16">IFERROR(_xlfn.SINGLE(INDEX(DATABASE!$AV$14:$BC$989,SUMPRODUCT((ROW(DATABASE!$AV$14:$AV$989)) * (DATABASE!$AV$14:IL$989='Résultats observations'!$A16 ) * (DATABASE!$AW$14:$AW$989= BJ$4))-ROW(DATABASE!$AV$14)+1,BJ$5)),"")</f>
        <v>2.6771906883177921</v>
      </c>
      <c r="BK16" s="107" cm="1">
        <f t="array" ref="BK16">IFERROR(_xlfn.SINGLE(INDEX(DATABASE!$AV$14:$BC$989,SUMPRODUCT((ROW(DATABASE!$AV$14:$AV$989)) * (DATABASE!$AV$14:IM$989='Résultats observations'!$A16 ) * (DATABASE!$AW$14:$AW$989= BK$4))-ROW(DATABASE!$AV$14)+1,BK$5)),"")</f>
        <v>-0.72741807965356031</v>
      </c>
      <c r="BL16" s="105"/>
      <c r="BM16" s="106">
        <f t="shared" si="47"/>
        <v>-1.8114974495757608</v>
      </c>
      <c r="BN16" s="106">
        <f t="shared" si="48"/>
        <v>2.7964403119389303</v>
      </c>
      <c r="BO16" s="106">
        <f t="shared" si="49"/>
        <v>0.59811497450823481</v>
      </c>
      <c r="BP16" s="106">
        <f t="shared" ref="BP16" si="136">IF(AZ16="","",(AZ16-AZ$10)*1000)</f>
        <v>2.5804128888751166E-2</v>
      </c>
      <c r="BQ16" s="106">
        <f t="shared" ref="BQ16" si="137">IF(BA16="","",(BA16-BA$10)*1000)</f>
        <v>2.0348767469364759</v>
      </c>
      <c r="BR16" s="106">
        <f t="shared" ref="BR16" si="138">IF(BB16="","",(BB16-BB$10)*1000)</f>
        <v>-0.45025804128329128</v>
      </c>
      <c r="BS16" s="106">
        <f t="shared" ref="BS16" si="139">IF(BC16="","",(BC16-BC$10)*1000)</f>
        <v>-0.27684764215152313</v>
      </c>
      <c r="BT16" s="106">
        <f t="shared" ref="BT16" si="140">IF(BD16="","",(BD16-BD$10)*1000)</f>
        <v>3.3741080450322096</v>
      </c>
      <c r="BU16" s="106">
        <f t="shared" ref="BU16" si="141">IF(BE16="","",(BE16-BE$10)*1000)</f>
        <v>-1.772231523574419</v>
      </c>
      <c r="BV16" s="106">
        <f t="shared" ref="BV16" si="142">IF(BF16="","",(BF16-BF$10)*1000)</f>
        <v>-2.3617722523274765</v>
      </c>
      <c r="BW16" s="106">
        <f t="shared" ref="BW16" si="143">IF(BG16="","",(BG16-BG$10)*1000)</f>
        <v>-3.7493542200284224</v>
      </c>
      <c r="BX16" s="106">
        <f t="shared" ref="BX16" si="144">IF(BH16="","",(BH16-BH$10)*1000)</f>
        <v>-3.6513822774963955</v>
      </c>
      <c r="BY16" s="106">
        <f t="shared" si="59"/>
        <v>-1.5008217546235159</v>
      </c>
      <c r="BZ16" s="106">
        <f t="shared" si="60"/>
        <v>-2.5314096910271644</v>
      </c>
      <c r="CA16" s="106">
        <f t="shared" si="61"/>
        <v>1.8350082175260241</v>
      </c>
    </row>
    <row r="17" spans="1:79" s="108" customFormat="1" ht="29.25" customHeight="1">
      <c r="A17" s="99">
        <v>45338</v>
      </c>
      <c r="B17" s="100">
        <f t="shared" ref="B17:B18" si="145">A17-$A$10</f>
        <v>14</v>
      </c>
      <c r="C17" s="101">
        <v>11.5</v>
      </c>
      <c r="D17" s="101">
        <f t="shared" ref="D17:D23" si="146">C17-$W$6</f>
        <v>6.41</v>
      </c>
      <c r="E17" s="102" cm="1">
        <f t="array" ref="E17">IFERROR(_xlfn.SINGLE(INDEX(DATABASE!$AV$14:$BC$989,SUMPRODUCT((ROW(DATABASE!$AV$14:$AV$989)) * (DATABASE!AG$14:$AV$989='Résultats observations'!$A17 ) * (DATABASE!$AW$14:$AW$989= E$4))-ROW(DATABASE!$AV$14)+1,E$5)),"")</f>
        <v>823058.96844249999</v>
      </c>
      <c r="F17" s="102" cm="1">
        <f t="array" ref="F17">IFERROR(_xlfn.SINGLE(INDEX(DATABASE!$AV$14:$BC$989,SUMPRODUCT((ROW(DATABASE!$AV$14:$AV$989)) * (DATABASE!AH$14:$AV$989='Résultats observations'!$A17 ) * (DATABASE!$AW$14:$AW$989= F$4))-ROW(DATABASE!$AV$14)+1,F$5)),"")</f>
        <v>1091426.656225</v>
      </c>
      <c r="G17" s="102" cm="1">
        <f t="array" ref="G17">IFERROR(_xlfn.SINGLE(INDEX(DATABASE!$AV$14:$BC$989,SUMPRODUCT((ROW(DATABASE!$AV$14:$AV$989)) * (DATABASE!AI$14:$AV$989='Résultats observations'!$A17 ) * (DATABASE!$AW$14:$AW$989= G$4))-ROW(DATABASE!$AV$14)+1,G$5)),"")</f>
        <v>-123.0608975</v>
      </c>
      <c r="H17" s="102" cm="1">
        <f t="array" ref="H17">IFERROR(_xlfn.SINGLE(INDEX(DATABASE!$AV$14:$BC$989,SUMPRODUCT((ROW(DATABASE!$AV$14:$AV$989)) * (DATABASE!AJ$14:$AV$989='Résultats observations'!$A17 ) * (DATABASE!$AW$14:$AW$989= H$4))-ROW(DATABASE!$AV$14)+1,H$5)),"")</f>
        <v>823058.93022083328</v>
      </c>
      <c r="I17" s="102" cm="1">
        <f t="array" ref="I17">IFERROR(_xlfn.SINGLE(INDEX(DATABASE!$AV$14:$BC$989,SUMPRODUCT((ROW(DATABASE!$AV$14:$AV$989)) * (DATABASE!AK$14:$AV$989='Résultats observations'!$A17 ) * (DATABASE!$AW$14:$AW$989= I$4))-ROW(DATABASE!$AV$14)+1,I$5)),"")</f>
        <v>1091426.7414541668</v>
      </c>
      <c r="J17" s="102" cm="1">
        <f t="array" ref="J17">IFERROR(_xlfn.SINGLE(INDEX(DATABASE!$AV$14:$BC$989,SUMPRODUCT((ROW(DATABASE!$AV$14:$AV$989)) * (DATABASE!AL$14:$AV$989='Résultats observations'!$A17 ) * (DATABASE!$AW$14:$AW$989= J$4))-ROW(DATABASE!$AV$14)+1,J$5)),"")</f>
        <v>-121.12789999999998</v>
      </c>
      <c r="K17" s="102" cm="1">
        <f t="array" ref="K17">IFERROR(_xlfn.SINGLE(INDEX(DATABASE!$AV$14:$BC$989,SUMPRODUCT((ROW(DATABASE!$AV$14:$AV$989)) * (DATABASE!AM$14:$AV$989='Résultats observations'!$A17 ) * (DATABASE!$AW$14:$AW$989= K$4))-ROW(DATABASE!$AV$14)+1,K$5)),"")</f>
        <v>823057.99896250002</v>
      </c>
      <c r="L17" s="102" cm="1">
        <f t="array" ref="L17">IFERROR(_xlfn.SINGLE(INDEX(DATABASE!$AV$14:$BC$989,SUMPRODUCT((ROW(DATABASE!$AV$14:$AV$989)) * (DATABASE!AN$14:$AV$989='Résultats observations'!$A17 ) * (DATABASE!$AW$14:$AW$989= L$4))-ROW(DATABASE!$AV$14)+1,L$5)),"")</f>
        <v>1091429.0830625</v>
      </c>
      <c r="M17" s="102" cm="1">
        <f t="array" ref="M17">IFERROR(_xlfn.SINGLE(INDEX(DATABASE!$AV$14:$BC$989,SUMPRODUCT((ROW(DATABASE!$AV$14:$AV$989)) * (DATABASE!AO$14:$AV$989='Résultats observations'!$A17 ) * (DATABASE!$AW$14:$AW$989= M$4))-ROW(DATABASE!$AV$14)+1,M$5)),"")</f>
        <v>-119.6877375</v>
      </c>
      <c r="N17" s="102" cm="1">
        <f t="array" ref="N17">IFERROR(_xlfn.SINGLE(INDEX(DATABASE!$AV$14:$BC$989,SUMPRODUCT((ROW(DATABASE!$AV$14:$AV$989)) * (DATABASE!AP$14:$AV$989='Résultats observations'!$A17 ) * (DATABASE!$AW$14:$AW$989= N$4))-ROW(DATABASE!$AV$14)+1,N$5)),"")</f>
        <v>823056.97041249997</v>
      </c>
      <c r="O17" s="102" cm="1">
        <f t="array" ref="O17">IFERROR(_xlfn.SINGLE(INDEX(DATABASE!$AV$14:$BC$989,SUMPRODUCT((ROW(DATABASE!$AV$14:$AV$989)) * (DATABASE!AQ$14:$AV$989='Résultats observations'!$A17 ) * (DATABASE!$AW$14:$AW$989= O$4))-ROW(DATABASE!$AV$14)+1,O$5)),"")</f>
        <v>1091430.3840874999</v>
      </c>
      <c r="P17" s="102" cm="1">
        <f t="array" ref="P17">IFERROR(_xlfn.SINGLE(INDEX(DATABASE!$AV$14:$BC$989,SUMPRODUCT((ROW(DATABASE!$AV$14:$AV$989)) * (DATABASE!AR$14:$AV$989='Résultats observations'!$A17 ) * (DATABASE!$AW$14:$AW$989= P$4))-ROW(DATABASE!$AV$14)+1,P$5)),"")</f>
        <v>-120.09358750000001</v>
      </c>
      <c r="Q17" s="102" cm="1">
        <f t="array" ref="Q17">IFERROR(_xlfn.SINGLE(INDEX(DATABASE!$AV$14:$BC$989,SUMPRODUCT((ROW(DATABASE!$AV$14:$AV$989)) * (DATABASE!AS$14:$AV$989='Résultats observations'!$A17 ) * (DATABASE!$AW$14:$AW$989= Q$4))-ROW(DATABASE!$AV$14)+1,Q$5)),"")</f>
        <v>823056.71232749999</v>
      </c>
      <c r="R17" s="102" cm="1">
        <f t="array" ref="R17">IFERROR(_xlfn.SINGLE(INDEX(DATABASE!$AV$14:$BC$989,SUMPRODUCT((ROW(DATABASE!$AV$14:$AV$989)) * (DATABASE!AT$14:$AV$989='Résultats observations'!$A17 ) * (DATABASE!$AW$14:$AW$989= R$4))-ROW(DATABASE!$AV$14)+1,R$5)),"")</f>
        <v>1091431.4523824998</v>
      </c>
      <c r="S17" s="102" cm="1">
        <f t="array" ref="S17">IFERROR(_xlfn.SINGLE(INDEX(DATABASE!$AV$14:$BC$989,SUMPRODUCT((ROW(DATABASE!$AV$14:$AV$989)) * (DATABASE!AU$14:$AV$989='Résultats observations'!$A17 ) * (DATABASE!$AW$14:$AW$989= S$4))-ROW(DATABASE!$AV$14)+1,S$5)),"")</f>
        <v>-123.00346500000001</v>
      </c>
      <c r="T17" s="103">
        <f t="shared" si="2"/>
        <v>4.2670411419525909</v>
      </c>
      <c r="U17" s="103">
        <f t="shared" si="3"/>
        <v>2.9024885349723322</v>
      </c>
      <c r="V17" s="103">
        <f t="shared" si="4"/>
        <v>1.7074236075302918</v>
      </c>
      <c r="W17" s="103">
        <f t="shared" si="5"/>
        <v>4.2735413580671873</v>
      </c>
      <c r="X17" s="103">
        <f t="shared" si="6"/>
        <v>4.2637341205111197</v>
      </c>
      <c r="Y17" s="103">
        <f t="shared" si="7"/>
        <v>5.3006112994555838</v>
      </c>
      <c r="Z17" s="104">
        <f t="shared" si="26"/>
        <v>-1.2377026443814998</v>
      </c>
      <c r="AA17" s="104">
        <f t="shared" si="27"/>
        <v>0.6744950474053546</v>
      </c>
      <c r="AB17" s="104">
        <f t="shared" si="28"/>
        <v>-6.5311782013028896</v>
      </c>
      <c r="AC17" s="104">
        <f t="shared" si="29"/>
        <v>-6.5677425051493543</v>
      </c>
      <c r="AD17" s="104">
        <f t="shared" si="30"/>
        <v>-6.1309107140701258</v>
      </c>
      <c r="AE17" s="104">
        <f t="shared" si="31"/>
        <v>-4.9281776933653987</v>
      </c>
      <c r="AF17" s="105"/>
      <c r="AG17" s="106">
        <f t="shared" si="32"/>
        <v>0.14250003732740879</v>
      </c>
      <c r="AH17" s="106">
        <f t="shared" si="33"/>
        <v>2.5250001344829798</v>
      </c>
      <c r="AI17" s="106">
        <f t="shared" si="34"/>
        <v>0.40250000000696673</v>
      </c>
      <c r="AJ17" s="106">
        <f t="shared" ref="AJ17:AJ18" si="147">IF(H17="","",(H17-H$10)*1000)</f>
        <v>-1.329166698269546</v>
      </c>
      <c r="AK17" s="106">
        <f t="shared" ref="AK17:AK18" si="148">IF(I17="","",(I17-I$10)*1000)</f>
        <v>1.054166816174984</v>
      </c>
      <c r="AL17" s="106">
        <f t="shared" ref="AL17:AL18" si="149">IF(J17="","",(J17-J$10)*1000)</f>
        <v>-0.29999999998153726</v>
      </c>
      <c r="AM17" s="106">
        <f t="shared" ref="AM17:AM18" si="150">IF(K17="","",(K17-K$10)*1000)</f>
        <v>-1.1874999618157744</v>
      </c>
      <c r="AN17" s="106">
        <f t="shared" ref="AN17:AN18" si="151">IF(L17="","",(L17-L$10)*1000)</f>
        <v>2.8625000268220901</v>
      </c>
      <c r="AO17" s="106">
        <f t="shared" ref="AO17:AO18" si="152">IF(M17="","",(M17-M$10)*1000)</f>
        <v>-1.7874999999918373</v>
      </c>
      <c r="AP17" s="106">
        <f t="shared" ref="AP17:AP18" si="153">IF(N17="","",(N17-N$10)*1000)</f>
        <v>2.9124999418854713</v>
      </c>
      <c r="AQ17" s="106">
        <f t="shared" ref="AQ17:AQ18" si="154">IF(O17="","",(O17-O$10)*1000)</f>
        <v>-2.9625000897794962</v>
      </c>
      <c r="AR17" s="106">
        <f t="shared" ref="AR17" si="155">IF(P17="","",(P17-P$10)*1000)</f>
        <v>-3.3875000000165301</v>
      </c>
      <c r="AS17" s="106">
        <f t="shared" si="73"/>
        <v>1.6774999676272273</v>
      </c>
      <c r="AT17" s="106">
        <f t="shared" si="74"/>
        <v>-2.2175002377480268</v>
      </c>
      <c r="AU17" s="106">
        <f t="shared" si="75"/>
        <v>1.9349999999889178</v>
      </c>
      <c r="AV17" s="105"/>
      <c r="AW17" s="107" cm="1">
        <f t="array" ref="AW17">IFERROR(_xlfn.SINGLE(INDEX(DATABASE!$AV$14:$BC$989,SUMPRODUCT((ROW(DATABASE!$AV$14:$AV$989)) * (DATABASE!$AV$14:HY$989='Résultats observations'!$A17 ) * (DATABASE!$AW$14:$AW$989= AW$4))-ROW(DATABASE!$AV$14)+1,AW$5)),"")</f>
        <v>5.0668503842226675</v>
      </c>
      <c r="AX17" s="107" cm="1">
        <f t="array" ref="AX17">IFERROR(_xlfn.SINGLE(INDEX(DATABASE!$AV$14:$BC$989,SUMPRODUCT((ROW(DATABASE!$AV$14:$AV$989)) * (DATABASE!$AV$14:HZ$989='Résultats observations'!$A17 ) * (DATABASE!$AW$14:$AW$989= AX$4))-ROW(DATABASE!$AV$14)+1,AX$5)),"")</f>
        <v>-2.6232665782950684</v>
      </c>
      <c r="AY17" s="107" cm="1">
        <f t="array" ref="AY17">IFERROR(_xlfn.SINGLE(INDEX(DATABASE!$AV$14:$BC$989,SUMPRODUCT((ROW(DATABASE!$AV$14:$AV$989)) * (DATABASE!$AV$14:IA$989='Résultats observations'!$A17 ) * (DATABASE!$AW$14:$AW$989= AY$4))-ROW(DATABASE!$AV$14)+1,AY$5)),"")</f>
        <v>-0.78456600384222952</v>
      </c>
      <c r="AZ17" s="107" cm="1">
        <f t="array" ref="AZ17">IFERROR(_xlfn.SINGLE(INDEX(DATABASE!$AV$14:$BC$989,SUMPRODUCT((ROW(DATABASE!$AV$14:$AV$989)) * (DATABASE!$AV$14:IB$989='Résultats observations'!$A17 ) * (DATABASE!$AW$14:$AW$989= AZ$4))-ROW(DATABASE!$AV$14)+1,AZ$5)),"")</f>
        <v>5.0654730621953963</v>
      </c>
      <c r="BA17" s="107" cm="1">
        <f t="array" ref="BA17">IFERROR(_xlfn.SINGLE(INDEX(DATABASE!$AV$14:$BC$989,SUMPRODUCT((ROW(DATABASE!$AV$14:$AV$989)) * (DATABASE!$AV$14:IC$989='Résultats observations'!$A17 ) * (DATABASE!$AW$14:$AW$989= BA$4))-ROW(DATABASE!$AV$14)+1,BA$5)),"")</f>
        <v>-2.5298695244850422</v>
      </c>
      <c r="BB17" s="107" cm="1">
        <f t="array" ref="BB17">IFERROR(_xlfn.SINGLE(INDEX(DATABASE!$AV$14:$BC$989,SUMPRODUCT((ROW(DATABASE!$AV$14:$AV$989)) * (DATABASE!$AV$14:ID$989='Résultats observations'!$A17 ) * (DATABASE!$AW$14:$AW$989= BB$4))-ROW(DATABASE!$AV$14)+1,BB$5)),"")</f>
        <v>1.1484452693780582</v>
      </c>
      <c r="BC17" s="107" cm="1">
        <f t="array" ref="BC17">IFERROR(_xlfn.SINGLE(INDEX(DATABASE!$AV$14:$BC$989,SUMPRODUCT((ROW(DATABASE!$AV$14:$AV$989)) * (DATABASE!$AV$14:IE$989='Résultats observations'!$A17 ) * (DATABASE!$AW$14:$AW$989= BC$4))-ROW(DATABASE!$AV$14)+1,BC$5)),"")</f>
        <v>4.9199133287308952</v>
      </c>
      <c r="BD17" s="107" cm="1">
        <f t="array" ref="BD17">IFERROR(_xlfn.SINGLE(INDEX(DATABASE!$AV$14:$BC$989,SUMPRODUCT((ROW(DATABASE!$AV$14:$AV$989)) * (DATABASE!$AV$14:IF$989='Résultats observations'!$A17 ) * (DATABASE!$AW$14:$AW$989= BD$4))-ROW(DATABASE!$AV$14)+1,BD$5)),"")</f>
        <v>-1.4082563466009237E-2</v>
      </c>
      <c r="BE17" s="107" cm="1">
        <f t="array" ref="BE17">IFERROR(_xlfn.SINGLE(INDEX(DATABASE!$AV$14:$BC$989,SUMPRODUCT((ROW(DATABASE!$AV$14:$AV$989)) * (DATABASE!$AV$14:IG$989='Résultats observations'!$A17 ) * (DATABASE!$AW$14:$AW$989= BE$4))-ROW(DATABASE!$AV$14)+1,BE$5)),"")</f>
        <v>2.5900633667126982</v>
      </c>
      <c r="BF17" s="107" cm="1">
        <f t="array" ref="BF17">IFERROR(_xlfn.SINGLE(INDEX(DATABASE!$AV$14:$BC$989,SUMPRODUCT((ROW(DATABASE!$AV$14:$AV$989)) * (DATABASE!$AV$14:IH$989='Résultats observations'!$A17 ) * (DATABASE!$AW$14:$AW$989= BF$4))-ROW(DATABASE!$AV$14)+1,BF$5)),"")</f>
        <v>5.3022849578726658</v>
      </c>
      <c r="BG17" s="107" cm="1">
        <f t="array" ref="BG17">IFERROR(_xlfn.SINGLE(INDEX(DATABASE!$AV$14:$BC$989,SUMPRODUCT((ROW(DATABASE!$AV$14:$AV$989)) * (DATABASE!$AV$14:II$989='Résultats observations'!$A17 ) * (DATABASE!$AW$14:$AW$989= BG$4))-ROW(DATABASE!$AV$14)+1,BG$5)),"")</f>
        <v>1.5997244542034537</v>
      </c>
      <c r="BH17" s="107" cm="1">
        <f t="array" ref="BH17">IFERROR(_xlfn.SINGLE(INDEX(DATABASE!$AV$14:$BC$989,SUMPRODUCT((ROW(DATABASE!$AV$14:$AV$989)) * (DATABASE!$AV$14:IJ$989='Résultats observations'!$A17 ) * (DATABASE!$AW$14:$AW$989= BH$4))-ROW(DATABASE!$AV$14)+1,BH$5)),"")</f>
        <v>2.1803896504212616</v>
      </c>
      <c r="BI17" s="107" cm="1">
        <f t="array" ref="BI17">IFERROR(_xlfn.SINGLE(INDEX(DATABASE!$AV$14:$BC$989,SUMPRODUCT((ROW(DATABASE!$AV$14:$AV$989)) * (DATABASE!$AV$14:IK$989='Résultats observations'!$A17 ) * (DATABASE!$AW$14:$AW$989= BI$4))-ROW(DATABASE!$AV$14)+1,BI$5)),"")</f>
        <v>5.0847255686618738</v>
      </c>
      <c r="BJ17" s="107" cm="1">
        <f t="array" ref="BJ17">IFERROR(_xlfn.SINGLE(INDEX(DATABASE!$AV$14:$BC$989,SUMPRODUCT((ROW(DATABASE!$AV$14:$AV$989)) * (DATABASE!$AV$14:IL$989='Résultats observations'!$A17 ) * (DATABASE!$AW$14:$AW$989= BJ$4))-ROW(DATABASE!$AV$14)+1,BJ$5)),"")</f>
        <v>2.6770034274349448</v>
      </c>
      <c r="BK17" s="107" cm="1">
        <f t="array" ref="BK17">IFERROR(_xlfn.SINGLE(INDEX(DATABASE!$AV$14:$BC$989,SUMPRODUCT((ROW(DATABASE!$AV$14:$AV$989)) * (DATABASE!$AV$14:IM$989='Résultats observations'!$A17 ) * (DATABASE!$AW$14:$AW$989= BK$4))-ROW(DATABASE!$AV$14)+1,BK$5)),"")</f>
        <v>-0.72731225568662694</v>
      </c>
      <c r="BL17" s="105"/>
      <c r="BM17" s="106">
        <f t="shared" si="47"/>
        <v>-1.1962246062218185</v>
      </c>
      <c r="BN17" s="106">
        <f t="shared" si="48"/>
        <v>2.228223200499091</v>
      </c>
      <c r="BO17" s="106">
        <f t="shared" si="49"/>
        <v>0.41446224607000204</v>
      </c>
      <c r="BP17" s="106">
        <f t="shared" ref="BP17:BP18" si="156">IF(AZ17="","",(AZ17-AZ$10)*1000)</f>
        <v>0.75914812171173907</v>
      </c>
      <c r="BQ17" s="106">
        <f t="shared" ref="BQ17:BQ18" si="157">IF(BA17="","",(BA17-BA$10)*1000)</f>
        <v>1.517117634662668</v>
      </c>
      <c r="BR17" s="106">
        <f t="shared" ref="BR17:BR18" si="158">IF(BB17="","",(BB17-BB$10)*1000)</f>
        <v>-0.30759148120296231</v>
      </c>
      <c r="BS17" s="106">
        <f t="shared" ref="BS17:BS18" si="159">IF(BC17="","",(BC17-BC$10)*1000)</f>
        <v>-0.13345505734729812</v>
      </c>
      <c r="BT17" s="106">
        <f t="shared" ref="BT17:BT18" si="160">IF(BD17="","",(BD17-BD$10)*1000)</f>
        <v>3.0961673582912721</v>
      </c>
      <c r="BU17" s="106">
        <f t="shared" ref="BU17:BU18" si="161">IF(BE17="","",(BE17-BE$10)*1000)</f>
        <v>-1.7861654494168988</v>
      </c>
      <c r="BV17" s="106">
        <f t="shared" ref="BV17:BV18" si="162">IF(BF17="","",(BF17-BF$10)*1000)</f>
        <v>-1.387677046355229</v>
      </c>
      <c r="BW17" s="106">
        <f t="shared" ref="BW17:BW18" si="163">IF(BG17="","",(BG17-BG$10)*1000)</f>
        <v>-3.9157904832185508</v>
      </c>
      <c r="BX17" s="106">
        <f t="shared" ref="BX17" si="164">IF(BH17="","",(BH17-BH$10)*1000)</f>
        <v>-3.3736232295495938</v>
      </c>
      <c r="BY17" s="106">
        <f t="shared" si="59"/>
        <v>-0.58321844667030831</v>
      </c>
      <c r="BZ17" s="106">
        <f t="shared" si="60"/>
        <v>-2.7186705738744266</v>
      </c>
      <c r="CA17" s="106">
        <f t="shared" si="61"/>
        <v>1.9408321844593956</v>
      </c>
    </row>
    <row r="18" spans="1:79" s="108" customFormat="1" ht="29.25" customHeight="1">
      <c r="A18" s="99">
        <v>45341</v>
      </c>
      <c r="B18" s="100">
        <f t="shared" si="145"/>
        <v>17</v>
      </c>
      <c r="C18" s="101">
        <v>11.5</v>
      </c>
      <c r="D18" s="101">
        <f t="shared" si="146"/>
        <v>6.41</v>
      </c>
      <c r="E18" s="102" cm="1">
        <f t="array" ref="E18">IFERROR(_xlfn.SINGLE(INDEX(DATABASE!$AV$14:$BC$989,SUMPRODUCT((ROW(DATABASE!$AV$14:$AV$989)) * (DATABASE!AG$14:$AV$989='Résultats observations'!$A18 ) * (DATABASE!$AW$14:$AW$989= E$4))-ROW(DATABASE!$AV$14)+1,E$5)),"")</f>
        <v>823058.96860000002</v>
      </c>
      <c r="F18" s="102" cm="1">
        <f t="array" ref="F18">IFERROR(_xlfn.SINGLE(INDEX(DATABASE!$AV$14:$BC$989,SUMPRODUCT((ROW(DATABASE!$AV$14:$AV$989)) * (DATABASE!AH$14:$AV$989='Résultats observations'!$A18 ) * (DATABASE!$AW$14:$AW$989= F$4))-ROW(DATABASE!$AV$14)+1,F$5)),"")</f>
        <v>1091426.6569000001</v>
      </c>
      <c r="G18" s="102" cm="1">
        <f t="array" ref="G18">IFERROR(_xlfn.SINGLE(INDEX(DATABASE!$AV$14:$BC$989,SUMPRODUCT((ROW(DATABASE!$AV$14:$AV$989)) * (DATABASE!AI$14:$AV$989='Résultats observations'!$A18 ) * (DATABASE!$AW$14:$AW$989= G$4))-ROW(DATABASE!$AV$14)+1,G$5)),"")</f>
        <v>-123.06139999999999</v>
      </c>
      <c r="H18" s="102" cm="1">
        <f t="array" ref="H18">IFERROR(_xlfn.SINGLE(INDEX(DATABASE!$AV$14:$BC$989,SUMPRODUCT((ROW(DATABASE!$AV$14:$AV$989)) * (DATABASE!AJ$14:$AV$989='Résultats observations'!$A18 ) * (DATABASE!$AW$14:$AW$989= H$4))-ROW(DATABASE!$AV$14)+1,H$5)),"")</f>
        <v>823058.93039999995</v>
      </c>
      <c r="I18" s="102" cm="1">
        <f t="array" ref="I18">IFERROR(_xlfn.SINGLE(INDEX(DATABASE!$AV$14:$BC$989,SUMPRODUCT((ROW(DATABASE!$AV$14:$AV$989)) * (DATABASE!AK$14:$AV$989='Résultats observations'!$A18 ) * (DATABASE!$AW$14:$AW$989= I$4))-ROW(DATABASE!$AV$14)+1,I$5)),"")</f>
        <v>1091426.7418</v>
      </c>
      <c r="J18" s="102" cm="1">
        <f t="array" ref="J18">IFERROR(_xlfn.SINGLE(INDEX(DATABASE!$AV$14:$BC$989,SUMPRODUCT((ROW(DATABASE!$AV$14:$AV$989)) * (DATABASE!AL$14:$AV$989='Résultats observations'!$A18 ) * (DATABASE!$AW$14:$AW$989= J$4))-ROW(DATABASE!$AV$14)+1,J$5)),"")</f>
        <v>-121.12869999999999</v>
      </c>
      <c r="K18" s="102" cm="1">
        <f t="array" ref="K18">IFERROR(_xlfn.SINGLE(INDEX(DATABASE!$AV$14:$BC$989,SUMPRODUCT((ROW(DATABASE!$AV$14:$AV$989)) * (DATABASE!AM$14:$AV$989='Résultats observations'!$A18 ) * (DATABASE!$AW$14:$AW$989= K$4))-ROW(DATABASE!$AV$14)+1,K$5)),"")</f>
        <v>823057.99809999997</v>
      </c>
      <c r="L18" s="102" cm="1">
        <f t="array" ref="L18">IFERROR(_xlfn.SINGLE(INDEX(DATABASE!$AV$14:$BC$989,SUMPRODUCT((ROW(DATABASE!$AV$14:$AV$989)) * (DATABASE!AN$14:$AV$989='Résultats observations'!$A18 ) * (DATABASE!$AW$14:$AW$989= L$4))-ROW(DATABASE!$AV$14)+1,L$5)),"")</f>
        <v>1091429.0832</v>
      </c>
      <c r="M18" s="102" cm="1">
        <f t="array" ref="M18">IFERROR(_xlfn.SINGLE(INDEX(DATABASE!$AV$14:$BC$989,SUMPRODUCT((ROW(DATABASE!$AV$14:$AV$989)) * (DATABASE!AO$14:$AV$989='Résultats observations'!$A18 ) * (DATABASE!$AW$14:$AW$989= M$4))-ROW(DATABASE!$AV$14)+1,M$5)),"")</f>
        <v>-119.6879</v>
      </c>
      <c r="N18" s="102" cm="1">
        <f t="array" ref="N18">IFERROR(_xlfn.SINGLE(INDEX(DATABASE!$AV$14:$BC$989,SUMPRODUCT((ROW(DATABASE!$AV$14:$AV$989)) * (DATABASE!AP$14:$AV$989='Résultats observations'!$A18 ) * (DATABASE!$AW$14:$AW$989= N$4))-ROW(DATABASE!$AV$14)+1,N$5)),"")</f>
        <v>823056.97069999995</v>
      </c>
      <c r="O18" s="102" cm="1">
        <f t="array" ref="O18">IFERROR(_xlfn.SINGLE(INDEX(DATABASE!$AV$14:$BC$989,SUMPRODUCT((ROW(DATABASE!$AV$14:$AV$989)) * (DATABASE!AQ$14:$AV$989='Résultats observations'!$A18 ) * (DATABASE!$AW$14:$AW$989= O$4))-ROW(DATABASE!$AV$14)+1,O$5)),"")</f>
        <v>1091430.3840999999</v>
      </c>
      <c r="P18" s="102" cm="1">
        <f t="array" ref="P18">IFERROR(_xlfn.SINGLE(INDEX(DATABASE!$AV$14:$BC$989,SUMPRODUCT((ROW(DATABASE!$AV$14:$AV$989)) * (DATABASE!AR$14:$AV$989='Résultats observations'!$A18 ) * (DATABASE!$AW$14:$AW$989= P$4))-ROW(DATABASE!$AV$14)+1,P$5)),"")</f>
        <v>-120.09439999999999</v>
      </c>
      <c r="Q18" s="102" cm="1">
        <f t="array" ref="Q18">IFERROR(_xlfn.SINGLE(INDEX(DATABASE!$AV$14:$BC$989,SUMPRODUCT((ROW(DATABASE!$AV$14:$AV$989)) * (DATABASE!AS$14:$AV$989='Résultats observations'!$A18 ) * (DATABASE!$AW$14:$AW$989= Q$4))-ROW(DATABASE!$AV$14)+1,Q$5)),"")</f>
        <v>823056.71259999997</v>
      </c>
      <c r="R18" s="102" cm="1">
        <f t="array" ref="R18">IFERROR(_xlfn.SINGLE(INDEX(DATABASE!$AV$14:$BC$989,SUMPRODUCT((ROW(DATABASE!$AV$14:$AV$989)) * (DATABASE!AT$14:$AV$989='Résultats observations'!$A18 ) * (DATABASE!$AW$14:$AW$989= R$4))-ROW(DATABASE!$AV$14)+1,R$5)),"")</f>
        <v>1091431.4524000001</v>
      </c>
      <c r="S18" s="102" cm="1">
        <f t="array" ref="S18">IFERROR(_xlfn.SINGLE(INDEX(DATABASE!$AV$14:$BC$989,SUMPRODUCT((ROW(DATABASE!$AV$14:$AV$989)) * (DATABASE!AU$14:$AV$989='Résultats observations'!$A18 ) * (DATABASE!$AW$14:$AW$989= S$4))-ROW(DATABASE!$AV$14)+1,S$5)),"")</f>
        <v>-123.0038</v>
      </c>
      <c r="T18" s="103">
        <f t="shared" si="2"/>
        <v>4.2672361300709643</v>
      </c>
      <c r="U18" s="103">
        <f t="shared" si="3"/>
        <v>2.9029712175859306</v>
      </c>
      <c r="V18" s="103">
        <f t="shared" si="4"/>
        <v>1.7067905026162127</v>
      </c>
      <c r="W18" s="103">
        <f t="shared" si="5"/>
        <v>4.2732670991110204</v>
      </c>
      <c r="X18" s="103">
        <f t="shared" si="6"/>
        <v>4.2633965179949884</v>
      </c>
      <c r="Y18" s="103">
        <f t="shared" si="7"/>
        <v>5.2999692461661301</v>
      </c>
      <c r="Z18" s="104">
        <f t="shared" ref="Z18:Z26" si="165">IF(T18="","",(T18-T$10)*1000)</f>
        <v>-1.0427145260081261</v>
      </c>
      <c r="AA18" s="104">
        <f t="shared" ref="AA18:AA26" si="166">IF(U18="","",(U18-U$10)*1000)</f>
        <v>1.157177661003761</v>
      </c>
      <c r="AB18" s="104">
        <f t="shared" ref="AB18:AB26" si="167">IF(V18="","",(V18-V$10)*1000)</f>
        <v>-7.1642831153819753</v>
      </c>
      <c r="AC18" s="104">
        <f t="shared" ref="AC18:AC26" si="168">IF(W18="","",(W18-W$10)*1000)</f>
        <v>-6.8420014613161939</v>
      </c>
      <c r="AD18" s="104">
        <f t="shared" ref="AD18:AD26" si="169">IF(X18="","",(X18-X$10)*1000)</f>
        <v>-6.468513230201367</v>
      </c>
      <c r="AE18" s="104">
        <f t="shared" ref="AE18:AE26" si="170">IF(Y18="","",(Y18-Y$10)*1000)</f>
        <v>-5.5702309828191687</v>
      </c>
      <c r="AF18" s="105"/>
      <c r="AG18" s="106">
        <f t="shared" si="32"/>
        <v>0.30000007245689631</v>
      </c>
      <c r="AH18" s="106">
        <f t="shared" si="33"/>
        <v>3.2000001519918442</v>
      </c>
      <c r="AI18" s="106">
        <f t="shared" si="34"/>
        <v>-9.9999999989108801E-2</v>
      </c>
      <c r="AJ18" s="106">
        <f t="shared" si="147"/>
        <v>-1.1500000255182385</v>
      </c>
      <c r="AK18" s="106">
        <f t="shared" si="148"/>
        <v>1.39999995008111</v>
      </c>
      <c r="AL18" s="106">
        <f t="shared" si="149"/>
        <v>-1.0999999999938836</v>
      </c>
      <c r="AM18" s="106">
        <f t="shared" si="150"/>
        <v>-2.0500000100582838</v>
      </c>
      <c r="AN18" s="106">
        <f t="shared" si="151"/>
        <v>3.0000000260770321</v>
      </c>
      <c r="AO18" s="106">
        <f t="shared" si="152"/>
        <v>-1.949999999993679</v>
      </c>
      <c r="AP18" s="106">
        <f t="shared" si="153"/>
        <v>3.1999999191612005</v>
      </c>
      <c r="AQ18" s="106">
        <f t="shared" si="154"/>
        <v>-2.9500001110136509</v>
      </c>
      <c r="AR18" s="106">
        <f>AR16</f>
        <v>-3.6750000000154159</v>
      </c>
      <c r="AS18" s="106">
        <f t="shared" si="73"/>
        <v>1.9499999471008778</v>
      </c>
      <c r="AT18" s="106">
        <f t="shared" si="74"/>
        <v>-2.199999988079071</v>
      </c>
      <c r="AU18" s="106">
        <f t="shared" si="75"/>
        <v>1.5999999999962711</v>
      </c>
      <c r="AV18" s="105"/>
      <c r="AW18" s="107" cm="1">
        <f t="array" ref="AW18">IFERROR(_xlfn.SINGLE(INDEX(DATABASE!$AV$14:$BC$989,SUMPRODUCT((ROW(DATABASE!$AV$14:$AV$989)) * (DATABASE!$AV$14:HY$989='Résultats observations'!$A18 ) * (DATABASE!$AW$14:$AW$989= AW$4))-ROW(DATABASE!$AV$14)+1,AW$5)),"")</f>
        <v>5.066422382055416</v>
      </c>
      <c r="AX18" s="107" cm="1">
        <f t="array" ref="AX18">IFERROR(_xlfn.SINGLE(INDEX(DATABASE!$AV$14:$BC$989,SUMPRODUCT((ROW(DATABASE!$AV$14:$AV$989)) * (DATABASE!$AV$14:HZ$989='Résultats observations'!$A18 ) * (DATABASE!$AW$14:$AW$989= AX$4))-ROW(DATABASE!$AV$14)+1,AX$5)),"")</f>
        <v>-2.6227213761036485</v>
      </c>
      <c r="AY18" s="107" cm="1">
        <f t="array" ref="AY18">IFERROR(_xlfn.SINGLE(INDEX(DATABASE!$AV$14:$BC$989,SUMPRODUCT((ROW(DATABASE!$AV$14:$AV$989)) * (DATABASE!$AV$14:IA$989='Résultats observations'!$A18 ) * (DATABASE!$AW$14:$AW$989= AY$4))-ROW(DATABASE!$AV$14)+1,AY$5)),"")</f>
        <v>-0.78506422382054097</v>
      </c>
      <c r="AZ18" s="107" cm="1">
        <f t="array" ref="AZ18">IFERROR(_xlfn.SINGLE(INDEX(DATABASE!$AV$14:$BC$989,SUMPRODUCT((ROW(DATABASE!$AV$14:$AV$989)) * (DATABASE!$AV$14:IB$989='Résultats observations'!$A18 ) * (DATABASE!$AW$14:$AW$989= AZ$4))-ROW(DATABASE!$AV$14)+1,AZ$5)),"")</f>
        <v>5.0651645304292776</v>
      </c>
      <c r="BA18" s="107" cm="1">
        <f t="array" ref="BA18">IFERROR(_xlfn.SINGLE(INDEX(DATABASE!$AV$14:$BC$989,SUMPRODUCT((ROW(DATABASE!$AV$14:$AV$989)) * (DATABASE!$AV$14:IC$989='Résultats observations'!$A18 ) * (DATABASE!$AW$14:$AW$989= BA$4))-ROW(DATABASE!$AV$14)+1,BA$5)),"")</f>
        <v>-2.5296318074212283</v>
      </c>
      <c r="BB18" s="107" cm="1">
        <f t="array" ref="BB18">IFERROR(_xlfn.SINGLE(INDEX(DATABASE!$AV$14:$BC$989,SUMPRODUCT((ROW(DATABASE!$AV$14:$AV$989)) * (DATABASE!$AV$14:ID$989='Résultats observations'!$A18 ) * (DATABASE!$AW$14:$AW$989= BB$4))-ROW(DATABASE!$AV$14)+1,BB$5)),"")</f>
        <v>1.1476483546957041</v>
      </c>
      <c r="BC18" s="107" cm="1">
        <f t="array" ref="BC18">IFERROR(_xlfn.SINGLE(INDEX(DATABASE!$AV$14:$BC$989,SUMPRODUCT((ROW(DATABASE!$AV$14:$AV$989)) * (DATABASE!$AV$14:IE$989='Résultats observations'!$A18 ) * (DATABASE!$AW$14:$AW$989= BC$4))-ROW(DATABASE!$AV$14)+1,BC$5)),"")</f>
        <v>4.9206369170130619</v>
      </c>
      <c r="BD18" s="107" cm="1">
        <f t="array" ref="BD18">IFERROR(_xlfn.SINGLE(INDEX(DATABASE!$AV$14:$BC$989,SUMPRODUCT((ROW(DATABASE!$AV$14:$AV$989)) * (DATABASE!$AV$14:IF$989='Résultats observations'!$A18 ) * (DATABASE!$AW$14:$AW$989= BD$4))-ROW(DATABASE!$AV$14)+1,BD$5)),"")</f>
        <v>-1.3593449388391741E-2</v>
      </c>
      <c r="BE18" s="107" cm="1">
        <f t="array" ref="BE18">IFERROR(_xlfn.SINGLE(INDEX(DATABASE!$AV$14:$BC$989,SUMPRODUCT((ROW(DATABASE!$AV$14:$AV$989)) * (DATABASE!$AV$14:IG$989='Résultats observations'!$A18 ) * (DATABASE!$AW$14:$AW$989= BE$4))-ROW(DATABASE!$AV$14)+1,BE$5)),"")</f>
        <v>2.589893630829863</v>
      </c>
      <c r="BF18" s="107" cm="1">
        <f t="array" ref="BF18">IFERROR(_xlfn.SINGLE(INDEX(DATABASE!$AV$14:$BC$989,SUMPRODUCT((ROW(DATABASE!$AV$14:$AV$989)) * (DATABASE!$AV$14:IH$989='Résultats observations'!$A18 ) * (DATABASE!$AW$14:$AW$989= BF$4))-ROW(DATABASE!$AV$14)+1,BF$5)),"")</f>
        <v>5.3020191099321536</v>
      </c>
      <c r="BG18" s="107" cm="1">
        <f t="array" ref="BG18">IFERROR(_xlfn.SINGLE(INDEX(DATABASE!$AV$14:$BC$989,SUMPRODUCT((ROW(DATABASE!$AV$14:$AV$989)) * (DATABASE!$AV$14:II$989='Résultats observations'!$A18 ) * (DATABASE!$AW$14:$AW$989= BG$4))-ROW(DATABASE!$AV$14)+1,BG$5)),"")</f>
        <v>1.5996142845210202</v>
      </c>
      <c r="BH18" s="107" cm="1">
        <f t="array" ref="BH18">IFERROR(_xlfn.SINGLE(INDEX(DATABASE!$AV$14:$BC$989,SUMPRODUCT((ROW(DATABASE!$AV$14:$AV$989)) * (DATABASE!$AV$14:IJ$989='Résultats observations'!$A18 ) * (DATABASE!$AW$14:$AW$989= BH$4))-ROW(DATABASE!$AV$14)+1,BH$5)),"")</f>
        <v>2.1795798089006837</v>
      </c>
      <c r="BI18" s="107" cm="1">
        <f t="array" ref="BI18">IFERROR(_xlfn.SINGLE(INDEX(DATABASE!$AV$14:$BC$989,SUMPRODUCT((ROW(DATABASE!$AV$14:$AV$989)) * (DATABASE!$AV$14:IK$989='Résultats observations'!$A18 ) * (DATABASE!$AW$14:$AW$989= BI$4))-ROW(DATABASE!$AV$14)+1,BI$5)),"")</f>
        <v>5.0844712023033569</v>
      </c>
      <c r="BJ18" s="107" cm="1">
        <f t="array" ref="BJ18">IFERROR(_xlfn.SINGLE(INDEX(DATABASE!$AV$14:$BC$989,SUMPRODUCT((ROW(DATABASE!$AV$14:$AV$989)) * (DATABASE!$AV$14:IL$989='Résultats observations'!$A18 ) * (DATABASE!$AW$14:$AW$989= BJ$4))-ROW(DATABASE!$AV$14)+1,BJ$5)),"")</f>
        <v>2.6769041286272679</v>
      </c>
      <c r="BK18" s="107" cm="1">
        <f t="array" ref="BK18">IFERROR(_xlfn.SINGLE(INDEX(DATABASE!$AV$14:$BC$989,SUMPRODUCT((ROW(DATABASE!$AV$14:$AV$989)) * (DATABASE!$AV$14:IM$989='Résultats observations'!$A18 ) * (DATABASE!$AW$14:$AW$989= BK$4))-ROW(DATABASE!$AV$14)+1,BK$5)),"")</f>
        <v>-0.72764471202303582</v>
      </c>
      <c r="BL18" s="105"/>
      <c r="BM18" s="106">
        <f t="shared" si="47"/>
        <v>-1.6242267734734028</v>
      </c>
      <c r="BN18" s="106">
        <f t="shared" si="48"/>
        <v>2.7734253919189378</v>
      </c>
      <c r="BO18" s="106">
        <f t="shared" si="49"/>
        <v>-8.3757732241451777E-2</v>
      </c>
      <c r="BP18" s="106">
        <f t="shared" si="156"/>
        <v>0.45061635559306978</v>
      </c>
      <c r="BQ18" s="106">
        <f t="shared" si="157"/>
        <v>1.7548346984765928</v>
      </c>
      <c r="BR18" s="106">
        <f t="shared" si="158"/>
        <v>-1.1045061635570619</v>
      </c>
      <c r="BS18" s="106">
        <f t="shared" si="159"/>
        <v>0.59013322481948904</v>
      </c>
      <c r="BT18" s="106">
        <f t="shared" si="160"/>
        <v>3.5852814359087684</v>
      </c>
      <c r="BU18" s="106">
        <f t="shared" si="161"/>
        <v>-1.9559013322520968</v>
      </c>
      <c r="BV18" s="106">
        <f t="shared" si="162"/>
        <v>-1.6535249868674384</v>
      </c>
      <c r="BW18" s="106">
        <f t="shared" si="163"/>
        <v>-4.0259601656520427</v>
      </c>
      <c r="BX18" s="106">
        <f>BX16</f>
        <v>-3.6513822774963955</v>
      </c>
      <c r="BY18" s="106">
        <f t="shared" si="59"/>
        <v>-0.83758480518714151</v>
      </c>
      <c r="BZ18" s="106">
        <f t="shared" si="60"/>
        <v>-2.8179693815513218</v>
      </c>
      <c r="CA18" s="106">
        <f t="shared" si="61"/>
        <v>1.6083758480505139</v>
      </c>
    </row>
    <row r="19" spans="1:79" s="108" customFormat="1" ht="29.25" customHeight="1">
      <c r="A19" s="99">
        <v>45343</v>
      </c>
      <c r="B19" s="100">
        <f t="shared" ref="B19:B26" si="171">A19-$A$10</f>
        <v>19</v>
      </c>
      <c r="C19" s="101">
        <v>11.5</v>
      </c>
      <c r="D19" s="101">
        <f t="shared" si="146"/>
        <v>6.41</v>
      </c>
      <c r="E19" s="102" cm="1">
        <f t="array" ref="E19">IFERROR(_xlfn.SINGLE(INDEX(DATABASE!$AV$14:$BC$989,SUMPRODUCT((ROW(DATABASE!$AV$14:$AV$989)) * (DATABASE!AG$14:$AV$989='Résultats observations'!$A19 ) * (DATABASE!$AW$14:$AW$989= E$4))-ROW(DATABASE!$AV$14)+1,E$5)),"")</f>
        <v>823058.9682</v>
      </c>
      <c r="F19" s="102" cm="1">
        <f t="array" ref="F19">IFERROR(_xlfn.SINGLE(INDEX(DATABASE!$AV$14:$BC$989,SUMPRODUCT((ROW(DATABASE!$AV$14:$AV$989)) * (DATABASE!AH$14:$AV$989='Résultats observations'!$A19 ) * (DATABASE!$AW$14:$AW$989= F$4))-ROW(DATABASE!$AV$14)+1,F$5)),"")</f>
        <v>1091426.6576</v>
      </c>
      <c r="G19" s="102" cm="1">
        <f t="array" ref="G19">IFERROR(_xlfn.SINGLE(INDEX(DATABASE!$AV$14:$BC$989,SUMPRODUCT((ROW(DATABASE!$AV$14:$AV$989)) * (DATABASE!AI$14:$AV$989='Résultats observations'!$A19 ) * (DATABASE!$AW$14:$AW$989= G$4))-ROW(DATABASE!$AV$14)+1,G$5)),"")</f>
        <v>-123.0616</v>
      </c>
      <c r="H19" s="102" cm="1">
        <f t="array" ref="H19">IFERROR(_xlfn.SINGLE(INDEX(DATABASE!$AV$14:$BC$989,SUMPRODUCT((ROW(DATABASE!$AV$14:$AV$989)) * (DATABASE!AJ$14:$AV$989='Résultats observations'!$A19 ) * (DATABASE!$AW$14:$AW$989= H$4))-ROW(DATABASE!$AV$14)+1,H$5)),"")</f>
        <v>823058.93019999994</v>
      </c>
      <c r="I19" s="102" cm="1">
        <f t="array" ref="I19">IFERROR(_xlfn.SINGLE(INDEX(DATABASE!$AV$14:$BC$989,SUMPRODUCT((ROW(DATABASE!$AV$14:$AV$989)) * (DATABASE!AK$14:$AV$989='Résultats observations'!$A19 ) * (DATABASE!$AW$14:$AW$989= I$4))-ROW(DATABASE!$AV$14)+1,I$5)),"")</f>
        <v>1091426.7427999999</v>
      </c>
      <c r="J19" s="102" cm="1">
        <f t="array" ref="J19">IFERROR(_xlfn.SINGLE(INDEX(DATABASE!$AV$14:$BC$989,SUMPRODUCT((ROW(DATABASE!$AV$14:$AV$989)) * (DATABASE!AL$14:$AV$989='Résultats observations'!$A19 ) * (DATABASE!$AW$14:$AW$989= J$4))-ROW(DATABASE!$AV$14)+1,J$5)),"")</f>
        <v>-121.12910000000001</v>
      </c>
      <c r="K19" s="102" cm="1">
        <f t="array" ref="K19">IFERROR(_xlfn.SINGLE(INDEX(DATABASE!$AV$14:$BC$989,SUMPRODUCT((ROW(DATABASE!$AV$14:$AV$989)) * (DATABASE!AM$14:$AV$989='Résultats observations'!$A19 ) * (DATABASE!$AW$14:$AW$989= K$4))-ROW(DATABASE!$AV$14)+1,K$5)),"")</f>
        <v>823057.99840000004</v>
      </c>
      <c r="L19" s="102" cm="1">
        <f t="array" ref="L19">IFERROR(_xlfn.SINGLE(INDEX(DATABASE!$AV$14:$BC$989,SUMPRODUCT((ROW(DATABASE!$AV$14:$AV$989)) * (DATABASE!AN$14:$AV$989='Résultats observations'!$A19 ) * (DATABASE!$AW$14:$AW$989= L$4))-ROW(DATABASE!$AV$14)+1,L$5)),"")</f>
        <v>1091429.0837999999</v>
      </c>
      <c r="M19" s="102" cm="1">
        <f t="array" ref="M19">IFERROR(_xlfn.SINGLE(INDEX(DATABASE!$AV$14:$BC$989,SUMPRODUCT((ROW(DATABASE!$AV$14:$AV$989)) * (DATABASE!AO$14:$AV$989='Résultats observations'!$A19 ) * (DATABASE!$AW$14:$AW$989= M$4))-ROW(DATABASE!$AV$14)+1,M$5)),"")</f>
        <v>-119.6887</v>
      </c>
      <c r="N19" s="102" cm="1">
        <f t="array" ref="N19">IFERROR(_xlfn.SINGLE(INDEX(DATABASE!$AV$14:$BC$989,SUMPRODUCT((ROW(DATABASE!$AV$14:$AV$989)) * (DATABASE!AP$14:$AV$989='Résultats observations'!$A19 ) * (DATABASE!$AW$14:$AW$989= N$4))-ROW(DATABASE!$AV$14)+1,N$5)),"")</f>
        <v>823056.97069999995</v>
      </c>
      <c r="O19" s="102" cm="1">
        <f t="array" ref="O19">IFERROR(_xlfn.SINGLE(INDEX(DATABASE!$AV$14:$BC$989,SUMPRODUCT((ROW(DATABASE!$AV$14:$AV$989)) * (DATABASE!AQ$14:$AV$989='Résultats observations'!$A19 ) * (DATABASE!$AW$14:$AW$989= O$4))-ROW(DATABASE!$AV$14)+1,O$5)),"")</f>
        <v>1091430.3844000001</v>
      </c>
      <c r="P19" s="102" cm="1">
        <f t="array" ref="P19">IFERROR(_xlfn.SINGLE(INDEX(DATABASE!$AV$14:$BC$989,SUMPRODUCT((ROW(DATABASE!$AV$14:$AV$989)) * (DATABASE!AR$14:$AV$989='Résultats observations'!$A19 ) * (DATABASE!$AW$14:$AW$989= P$4))-ROW(DATABASE!$AV$14)+1,P$5)),"")</f>
        <v>-120.0954</v>
      </c>
      <c r="Q19" s="102" cm="1">
        <f t="array" ref="Q19">IFERROR(_xlfn.SINGLE(INDEX(DATABASE!$AV$14:$BC$989,SUMPRODUCT((ROW(DATABASE!$AV$14:$AV$989)) * (DATABASE!AS$14:$AV$989='Résultats observations'!$A19 ) * (DATABASE!$AW$14:$AW$989= Q$4))-ROW(DATABASE!$AV$14)+1,Q$5)),"")</f>
        <v>823056.71239999996</v>
      </c>
      <c r="R19" s="102" cm="1">
        <f t="array" ref="R19">IFERROR(_xlfn.SINGLE(INDEX(DATABASE!$AV$14:$BC$989,SUMPRODUCT((ROW(DATABASE!$AV$14:$AV$989)) * (DATABASE!AT$14:$AV$989='Résultats observations'!$A19 ) * (DATABASE!$AW$14:$AW$989= R$4))-ROW(DATABASE!$AV$14)+1,R$5)),"")</f>
        <v>1091431.4526</v>
      </c>
      <c r="S19" s="102" cm="1">
        <f t="array" ref="S19">IFERROR(_xlfn.SINGLE(INDEX(DATABASE!$AV$14:$BC$989,SUMPRODUCT((ROW(DATABASE!$AV$14:$AV$989)) * (DATABASE!AU$14:$AV$989='Résultats observations'!$A19 ) * (DATABASE!$AW$14:$AW$989= S$4))-ROW(DATABASE!$AV$14)+1,S$5)),"")</f>
        <v>-123.0044</v>
      </c>
      <c r="T19" s="103">
        <f t="shared" si="2"/>
        <v>4.2665457795856518</v>
      </c>
      <c r="U19" s="103">
        <f t="shared" si="3"/>
        <v>2.9022895100059682</v>
      </c>
      <c r="V19" s="103">
        <f t="shared" si="4"/>
        <v>1.7067901278979454</v>
      </c>
      <c r="W19" s="103">
        <f t="shared" si="5"/>
        <v>4.2730405954619117</v>
      </c>
      <c r="X19" s="103">
        <f t="shared" si="6"/>
        <v>4.2625610261311433</v>
      </c>
      <c r="Y19" s="103">
        <f t="shared" si="7"/>
        <v>5.2994273727901895</v>
      </c>
      <c r="Z19" s="104">
        <f t="shared" si="165"/>
        <v>-1.7330650113205337</v>
      </c>
      <c r="AA19" s="104">
        <f t="shared" si="166"/>
        <v>0.47547008104142918</v>
      </c>
      <c r="AB19" s="104">
        <f t="shared" si="167"/>
        <v>-7.1646578336492794</v>
      </c>
      <c r="AC19" s="104">
        <f t="shared" si="168"/>
        <v>-7.0685051104248942</v>
      </c>
      <c r="AD19" s="104">
        <f t="shared" si="169"/>
        <v>-7.3040050940464951</v>
      </c>
      <c r="AE19" s="104">
        <f t="shared" si="170"/>
        <v>-6.1121043587597512</v>
      </c>
      <c r="AF19" s="105"/>
      <c r="AG19" s="106">
        <f t="shared" si="32"/>
        <v>-9.9999946542084217E-2</v>
      </c>
      <c r="AH19" s="106">
        <f t="shared" si="33"/>
        <v>3.9000001270323992</v>
      </c>
      <c r="AI19" s="106">
        <f t="shared" si="34"/>
        <v>-0.29999999999574811</v>
      </c>
      <c r="AJ19" s="106">
        <f t="shared" ref="AJ19" si="172">IF(H19="","",(H19-H$10)*1000)</f>
        <v>-1.3500000350177288</v>
      </c>
      <c r="AK19" s="106">
        <f t="shared" ref="AK19" si="173">IF(I19="","",(I19-I$10)*1000)</f>
        <v>2.3999998811632395</v>
      </c>
      <c r="AL19" s="106">
        <f t="shared" ref="AL19" si="174">IF(J19="","",(J19-J$10)*1000)</f>
        <v>-1.5000000000071623</v>
      </c>
      <c r="AM19" s="106">
        <f t="shared" ref="AM19" si="175">IF(K19="","",(K19-K$10)*1000)</f>
        <v>-1.7499999376013875</v>
      </c>
      <c r="AN19" s="106">
        <f t="shared" ref="AN19" si="176">IF(L19="","",(L19-L$10)*1000)</f>
        <v>3.599999938160181</v>
      </c>
      <c r="AO19" s="106">
        <f t="shared" ref="AO19" si="177">IF(M19="","",(M19-M$10)*1000)</f>
        <v>-2.7499999999918145</v>
      </c>
      <c r="AP19" s="106">
        <f t="shared" ref="AP19" si="178">IF(N19="","",(N19-N$10)*1000)</f>
        <v>3.1999999191612005</v>
      </c>
      <c r="AQ19" s="106">
        <f t="shared" ref="AQ19" si="179">IF(O19="","",(O19-O$10)*1000)</f>
        <v>-2.6499999221414328</v>
      </c>
      <c r="AR19" s="106">
        <f t="shared" ref="AR19:AR24" si="180">IF(P19="","",(P19-P$18)*1000)+AR$18</f>
        <v>-4.6750000000201908</v>
      </c>
      <c r="AS19" s="106">
        <f t="shared" si="73"/>
        <v>1.7499999376013875</v>
      </c>
      <c r="AT19" s="106">
        <f t="shared" si="74"/>
        <v>-2.0000000949949026</v>
      </c>
      <c r="AU19" s="106">
        <f t="shared" si="75"/>
        <v>0.99999999999056399</v>
      </c>
      <c r="AV19" s="105"/>
      <c r="AW19" s="107" cm="1">
        <f t="array" ref="AW19">IFERROR(_xlfn.SINGLE(INDEX(DATABASE!$AV$14:$BC$989,SUMPRODUCT((ROW(DATABASE!$AV$14:$AV$989)) * (DATABASE!$AV$14:HY$989='Résultats observations'!$A19 ) * (DATABASE!$AW$14:$AW$989= AW$4))-ROW(DATABASE!$AV$14)+1,AW$5)),"")</f>
        <v>5.066489085199346</v>
      </c>
      <c r="AX19" s="107" cm="1">
        <f t="array" ref="AX19">IFERROR(_xlfn.SINGLE(INDEX(DATABASE!$AV$14:$BC$989,SUMPRODUCT((ROW(DATABASE!$AV$14:$AV$989)) * (DATABASE!$AV$14:HZ$989='Résultats observations'!$A19 ) * (DATABASE!$AW$14:$AW$989= AX$4))-ROW(DATABASE!$AV$14)+1,AX$5)),"")</f>
        <v>-2.6219179144238858</v>
      </c>
      <c r="AY19" s="107" cm="1">
        <f t="array" ref="AY19">IFERROR(_xlfn.SINGLE(INDEX(DATABASE!$AV$14:$BC$989,SUMPRODUCT((ROW(DATABASE!$AV$14:$AV$989)) * (DATABASE!$AV$14:IA$989='Résultats observations'!$A19 ) * (DATABASE!$AW$14:$AW$989= AY$4))-ROW(DATABASE!$AV$14)+1,AY$5)),"")</f>
        <v>-0.78526489085199103</v>
      </c>
      <c r="AZ19" s="107" cm="1">
        <f t="array" ref="AZ19">IFERROR(_xlfn.SINGLE(INDEX(DATABASE!$AV$14:$BC$989,SUMPRODUCT((ROW(DATABASE!$AV$14:$AV$989)) * (DATABASE!$AV$14:IB$989='Résultats observations'!$A19 ) * (DATABASE!$AW$14:$AW$989= AZ$4))-ROW(DATABASE!$AV$14)+1,AZ$5)),"")</f>
        <v>5.0649231895286677</v>
      </c>
      <c r="BA19" s="107" cm="1">
        <f t="array" ref="BA19">IFERROR(_xlfn.SINGLE(INDEX(DATABASE!$AV$14:$BC$989,SUMPRODUCT((ROW(DATABASE!$AV$14:$AV$989)) * (DATABASE!$AV$14:IC$989='Résultats observations'!$A19 ) * (DATABASE!$AW$14:$AW$989= BA$4))-ROW(DATABASE!$AV$14)+1,BA$5)),"")</f>
        <v>-2.5286409721999825</v>
      </c>
      <c r="BB19" s="107" cm="1">
        <f t="array" ref="BB19">IFERROR(_xlfn.SINGLE(INDEX(DATABASE!$AV$14:$BC$989,SUMPRODUCT((ROW(DATABASE!$AV$14:$AV$989)) * (DATABASE!$AV$14:ID$989='Résultats observations'!$A19 ) * (DATABASE!$AW$14:$AW$989= BB$4))-ROW(DATABASE!$AV$14)+1,BB$5)),"")</f>
        <v>1.1472507681046977</v>
      </c>
      <c r="BC19" s="107" cm="1">
        <f t="array" ref="BC19">IFERROR(_xlfn.SINGLE(INDEX(DATABASE!$AV$14:$BC$989,SUMPRODUCT((ROW(DATABASE!$AV$14:$AV$989)) * (DATABASE!$AV$14:IE$989='Résultats observations'!$A19 ) * (DATABASE!$AW$14:$AW$989= BC$4))-ROW(DATABASE!$AV$14)+1,BC$5)),"")</f>
        <v>4.9201114603266847</v>
      </c>
      <c r="BD19" s="107" cm="1">
        <f t="array" ref="BD19">IFERROR(_xlfn.SINGLE(INDEX(DATABASE!$AV$14:$BC$989,SUMPRODUCT((ROW(DATABASE!$AV$14:$AV$989)) * (DATABASE!$AV$14:IF$989='Résultats observations'!$A19 ) * (DATABASE!$AW$14:$AW$989= BD$4))-ROW(DATABASE!$AV$14)+1,BD$5)),"")</f>
        <v>-1.3176441943954774E-2</v>
      </c>
      <c r="BE19" s="107" cm="1">
        <f t="array" ref="BE19">IFERROR(_xlfn.SINGLE(INDEX(DATABASE!$AV$14:$BC$989,SUMPRODUCT((ROW(DATABASE!$AV$14:$AV$989)) * (DATABASE!$AV$14:IG$989='Résultats observations'!$A19 ) * (DATABASE!$AW$14:$AW$989= BE$4))-ROW(DATABASE!$AV$14)+1,BE$5)),"")</f>
        <v>2.5890988853967372</v>
      </c>
      <c r="BF19" s="107" cm="1">
        <f t="array" ref="BF19">IFERROR(_xlfn.SINGLE(INDEX(DATABASE!$AV$14:$BC$989,SUMPRODUCT((ROW(DATABASE!$AV$14:$AV$989)) * (DATABASE!$AV$14:IH$989='Résultats observations'!$A19 ) * (DATABASE!$AW$14:$AW$989= BF$4))-ROW(DATABASE!$AV$14)+1,BF$5)),"")</f>
        <v>5.3018923287001369</v>
      </c>
      <c r="BG19" s="107" cm="1">
        <f t="array" ref="BG19">IFERROR(_xlfn.SINGLE(INDEX(DATABASE!$AV$14:$BC$989,SUMPRODUCT((ROW(DATABASE!$AV$14:$AV$989)) * (DATABASE!$AV$14:II$989='Résultats observations'!$A19 ) * (DATABASE!$AW$14:$AW$989= BG$4))-ROW(DATABASE!$AV$14)+1,BG$5)),"")</f>
        <v>1.5998861790456651</v>
      </c>
      <c r="BH19" s="107" cm="1">
        <f t="array" ref="BH19">IFERROR(_xlfn.SINGLE(INDEX(DATABASE!$AV$14:$BC$989,SUMPRODUCT((ROW(DATABASE!$AV$14:$AV$989)) * (DATABASE!$AV$14:IJ$989='Résultats observations'!$A19 ) * (DATABASE!$AW$14:$AW$989= BH$4))-ROW(DATABASE!$AV$14)+1,BH$5)),"")</f>
        <v>2.1785810767130016</v>
      </c>
      <c r="BI19" s="107" cm="1">
        <f t="array" ref="BI19">IFERROR(_xlfn.SINGLE(INDEX(DATABASE!$AV$14:$BC$989,SUMPRODUCT((ROW(DATABASE!$AV$14:$AV$989)) * (DATABASE!$AV$14:IK$989='Résultats observations'!$A19 ) * (DATABASE!$AW$14:$AW$989= BI$4))-ROW(DATABASE!$AV$14)+1,BI$5)),"")</f>
        <v>5.0845679444913294</v>
      </c>
      <c r="BJ19" s="107" cm="1">
        <f t="array" ref="BJ19">IFERROR(_xlfn.SINGLE(INDEX(DATABASE!$AV$14:$BC$989,SUMPRODUCT((ROW(DATABASE!$AV$14:$AV$989)) * (DATABASE!$AV$14:IL$989='Résultats observations'!$A19 ) * (DATABASE!$AW$14:$AW$989= BJ$4))-ROW(DATABASE!$AV$14)+1,BJ$5)),"")</f>
        <v>2.6771699122048278</v>
      </c>
      <c r="BK19" s="107" cm="1">
        <f t="array" ref="BK19">IFERROR(_xlfn.SINGLE(INDEX(DATABASE!$AV$14:$BC$989,SUMPRODUCT((ROW(DATABASE!$AV$14:$AV$989)) * (DATABASE!$AV$14:IM$989='Résultats observations'!$A19 ) * (DATABASE!$AW$14:$AW$989= BK$4))-ROW(DATABASE!$AV$14)+1,BK$5)),"")</f>
        <v>-0.72824567944492458</v>
      </c>
      <c r="BL19" s="105"/>
      <c r="BM19" s="106">
        <f t="shared" si="47"/>
        <v>-1.5575236295433115</v>
      </c>
      <c r="BN19" s="106">
        <f t="shared" si="48"/>
        <v>3.5768870716816892</v>
      </c>
      <c r="BO19" s="106">
        <f t="shared" si="49"/>
        <v>-0.28442476369150427</v>
      </c>
      <c r="BP19" s="106">
        <f t="shared" ref="BP19" si="181">IF(AZ19="","",(AZ19-AZ$10)*1000)</f>
        <v>0.20927545498317102</v>
      </c>
      <c r="BQ19" s="106">
        <f t="shared" ref="BQ19" si="182">IF(BA19="","",(BA19-BA$10)*1000)</f>
        <v>2.74566991972236</v>
      </c>
      <c r="BR19" s="106">
        <f t="shared" ref="BR19" si="183">IF(BB19="","",(BB19-BB$10)*1000)</f>
        <v>-1.5020927545634777</v>
      </c>
      <c r="BS19" s="106">
        <f t="shared" ref="BS19" si="184">IF(BC19="","",(BC19-BC$10)*1000)</f>
        <v>6.4676538442220988E-2</v>
      </c>
      <c r="BT19" s="106">
        <f t="shared" ref="BT19" si="185">IF(BD19="","",(BD19-BD$10)*1000)</f>
        <v>4.002288880345735</v>
      </c>
      <c r="BU19" s="106">
        <f t="shared" ref="BU19" si="186">IF(BE19="","",(BE19-BE$10)*1000)</f>
        <v>-2.7506467653779509</v>
      </c>
      <c r="BV19" s="106">
        <f t="shared" ref="BV19" si="187">IF(BF19="","",(BF19-BF$10)*1000)</f>
        <v>-1.7803062188841423</v>
      </c>
      <c r="BW19" s="106">
        <f t="shared" ref="BW19" si="188">IF(BG19="","",(BG19-BG$10)*1000)</f>
        <v>-3.7540656410071094</v>
      </c>
      <c r="BX19" s="106">
        <f t="shared" ref="BX19:BX24" si="189">IF(BH19="","",(BH19-BH$18)*1000)+BX$18</f>
        <v>-4.6501144651784898</v>
      </c>
      <c r="BY19" s="106">
        <f t="shared" si="59"/>
        <v>-0.74084261721463207</v>
      </c>
      <c r="BZ19" s="106">
        <f t="shared" si="60"/>
        <v>-2.5521858039914136</v>
      </c>
      <c r="CA19" s="106">
        <f t="shared" si="61"/>
        <v>1.00740842616176</v>
      </c>
    </row>
    <row r="20" spans="1:79" s="108" customFormat="1" ht="29.25" customHeight="1">
      <c r="A20" s="99">
        <v>45348</v>
      </c>
      <c r="B20" s="100">
        <f t="shared" si="171"/>
        <v>24</v>
      </c>
      <c r="C20" s="101">
        <v>11.5</v>
      </c>
      <c r="D20" s="101">
        <f t="shared" si="146"/>
        <v>6.41</v>
      </c>
      <c r="E20" s="102" cm="1">
        <f t="array" ref="E20">IFERROR(_xlfn.SINGLE(INDEX(DATABASE!$AV$14:$BC$989,SUMPRODUCT((ROW(DATABASE!$AV$14:$AV$989)) * (DATABASE!AG$14:$AV$989='Résultats observations'!$A20 ) * (DATABASE!$AW$14:$AW$989= E$4))-ROW(DATABASE!$AV$14)+1,E$5)),"")</f>
        <v>823058.9682</v>
      </c>
      <c r="F20" s="102" cm="1">
        <f t="array" ref="F20">IFERROR(_xlfn.SINGLE(INDEX(DATABASE!$AV$14:$BC$989,SUMPRODUCT((ROW(DATABASE!$AV$14:$AV$989)) * (DATABASE!AH$14:$AV$989='Résultats observations'!$A20 ) * (DATABASE!$AW$14:$AW$989= F$4))-ROW(DATABASE!$AV$14)+1,F$5)),"")</f>
        <v>1091426.6568</v>
      </c>
      <c r="G20" s="102" cm="1">
        <f t="array" ref="G20">IFERROR(_xlfn.SINGLE(INDEX(DATABASE!$AV$14:$BC$989,SUMPRODUCT((ROW(DATABASE!$AV$14:$AV$989)) * (DATABASE!AI$14:$AV$989='Résultats observations'!$A20 ) * (DATABASE!$AW$14:$AW$989= G$4))-ROW(DATABASE!$AV$14)+1,G$5)),"")</f>
        <v>-123.0616</v>
      </c>
      <c r="H20" s="102" cm="1">
        <f t="array" ref="H20">IFERROR(_xlfn.SINGLE(INDEX(DATABASE!$AV$14:$BC$989,SUMPRODUCT((ROW(DATABASE!$AV$14:$AV$989)) * (DATABASE!AJ$14:$AV$989='Résultats observations'!$A20 ) * (DATABASE!$AW$14:$AW$989= H$4))-ROW(DATABASE!$AV$14)+1,H$5)),"")</f>
        <v>823058.93039999995</v>
      </c>
      <c r="I20" s="102" cm="1">
        <f t="array" ref="I20">IFERROR(_xlfn.SINGLE(INDEX(DATABASE!$AV$14:$BC$989,SUMPRODUCT((ROW(DATABASE!$AV$14:$AV$989)) * (DATABASE!AK$14:$AV$989='Résultats observations'!$A20 ) * (DATABASE!$AW$14:$AW$989= I$4))-ROW(DATABASE!$AV$14)+1,I$5)),"")</f>
        <v>1091426.7420000001</v>
      </c>
      <c r="J20" s="102" cm="1">
        <f t="array" ref="J20">IFERROR(_xlfn.SINGLE(INDEX(DATABASE!$AV$14:$BC$989,SUMPRODUCT((ROW(DATABASE!$AV$14:$AV$989)) * (DATABASE!AL$14:$AV$989='Résultats observations'!$A20 ) * (DATABASE!$AW$14:$AW$989= J$4))-ROW(DATABASE!$AV$14)+1,J$5)),"")</f>
        <v>-121.12910000000001</v>
      </c>
      <c r="K20" s="102" cm="1">
        <f t="array" ref="K20">IFERROR(_xlfn.SINGLE(INDEX(DATABASE!$AV$14:$BC$989,SUMPRODUCT((ROW(DATABASE!$AV$14:$AV$989)) * (DATABASE!AM$14:$AV$989='Résultats observations'!$A20 ) * (DATABASE!$AW$14:$AW$989= K$4))-ROW(DATABASE!$AV$14)+1,K$5)),"")</f>
        <v>823057.99609999999</v>
      </c>
      <c r="L20" s="102" cm="1">
        <f t="array" ref="L20">IFERROR(_xlfn.SINGLE(INDEX(DATABASE!$AV$14:$BC$989,SUMPRODUCT((ROW(DATABASE!$AV$14:$AV$989)) * (DATABASE!AN$14:$AV$989='Résultats observations'!$A20 ) * (DATABASE!$AW$14:$AW$989= L$4))-ROW(DATABASE!$AV$14)+1,L$5)),"")</f>
        <v>1091429.0845999999</v>
      </c>
      <c r="M20" s="102" cm="1">
        <f t="array" ref="M20">IFERROR(_xlfn.SINGLE(INDEX(DATABASE!$AV$14:$BC$989,SUMPRODUCT((ROW(DATABASE!$AV$14:$AV$989)) * (DATABASE!AO$14:$AV$989='Résultats observations'!$A20 ) * (DATABASE!$AW$14:$AW$989= M$4))-ROW(DATABASE!$AV$14)+1,M$5)),"")</f>
        <v>-119.6887</v>
      </c>
      <c r="N20" s="102" cm="1">
        <f t="array" ref="N20">IFERROR(_xlfn.SINGLE(INDEX(DATABASE!$AV$14:$BC$989,SUMPRODUCT((ROW(DATABASE!$AV$14:$AV$989)) * (DATABASE!AP$14:$AV$989='Résultats observations'!$A20 ) * (DATABASE!$AW$14:$AW$989= N$4))-ROW(DATABASE!$AV$14)+1,N$5)),"")</f>
        <v>823056.97129999998</v>
      </c>
      <c r="O20" s="102" cm="1">
        <f t="array" ref="O20">IFERROR(_xlfn.SINGLE(INDEX(DATABASE!$AV$14:$BC$989,SUMPRODUCT((ROW(DATABASE!$AV$14:$AV$989)) * (DATABASE!AQ$14:$AV$989='Résultats observations'!$A20 ) * (DATABASE!$AW$14:$AW$989= O$4))-ROW(DATABASE!$AV$14)+1,O$5)),"")</f>
        <v>1091430.3836000001</v>
      </c>
      <c r="P20" s="102" cm="1">
        <f t="array" ref="P20">IFERROR(_xlfn.SINGLE(INDEX(DATABASE!$AV$14:$BC$989,SUMPRODUCT((ROW(DATABASE!$AV$14:$AV$989)) * (DATABASE!AR$14:$AV$989='Résultats observations'!$A20 ) * (DATABASE!$AW$14:$AW$989= P$4))-ROW(DATABASE!$AV$14)+1,P$5)),"")</f>
        <v>-120.0954</v>
      </c>
      <c r="Q20" s="102" cm="1">
        <f t="array" ref="Q20">IFERROR(_xlfn.SINGLE(INDEX(DATABASE!$AV$14:$BC$989,SUMPRODUCT((ROW(DATABASE!$AV$14:$AV$989)) * (DATABASE!AS$14:$AV$989='Résultats observations'!$A20 ) * (DATABASE!$AW$14:$AW$989= Q$4))-ROW(DATABASE!$AV$14)+1,Q$5)),"")</f>
        <v>823056.71270000003</v>
      </c>
      <c r="R20" s="102" cm="1">
        <f t="array" ref="R20">IFERROR(_xlfn.SINGLE(INDEX(DATABASE!$AV$14:$BC$989,SUMPRODUCT((ROW(DATABASE!$AV$14:$AV$989)) * (DATABASE!AT$14:$AV$989='Résultats observations'!$A20 ) * (DATABASE!$AW$14:$AW$989= R$4))-ROW(DATABASE!$AV$14)+1,R$5)),"")</f>
        <v>1091431.4513999999</v>
      </c>
      <c r="S20" s="102" cm="1">
        <f t="array" ref="S20">IFERROR(_xlfn.SINGLE(INDEX(DATABASE!$AV$14:$BC$989,SUMPRODUCT((ROW(DATABASE!$AV$14:$AV$989)) * (DATABASE!AU$14:$AV$989='Résultats observations'!$A20 ) * (DATABASE!$AW$14:$AW$989= S$4))-ROW(DATABASE!$AV$14)+1,S$5)),"")</f>
        <v>-123.0044</v>
      </c>
      <c r="T20" s="103">
        <f t="shared" si="2"/>
        <v>4.2679791072318736</v>
      </c>
      <c r="U20" s="103">
        <f t="shared" si="3"/>
        <v>2.9043834817855174</v>
      </c>
      <c r="V20" s="103">
        <f t="shared" si="4"/>
        <v>1.7038253814074606</v>
      </c>
      <c r="W20" s="103">
        <f t="shared" si="5"/>
        <v>4.2711502302890496</v>
      </c>
      <c r="X20" s="103">
        <f t="shared" si="6"/>
        <v>4.2623771606607024</v>
      </c>
      <c r="Y20" s="103">
        <f t="shared" si="7"/>
        <v>5.2989377472252803</v>
      </c>
      <c r="Z20" s="104">
        <f t="shared" si="165"/>
        <v>-0.29973736509880666</v>
      </c>
      <c r="AA20" s="104">
        <f t="shared" si="166"/>
        <v>2.5694418605906044</v>
      </c>
      <c r="AB20" s="104">
        <f t="shared" si="167"/>
        <v>-10.129404324134006</v>
      </c>
      <c r="AC20" s="104">
        <f t="shared" si="168"/>
        <v>-8.9588702832870126</v>
      </c>
      <c r="AD20" s="104">
        <f t="shared" si="169"/>
        <v>-7.4878705644874088</v>
      </c>
      <c r="AE20" s="104">
        <f t="shared" si="170"/>
        <v>-6.6017299236689198</v>
      </c>
      <c r="AF20" s="105"/>
      <c r="AG20" s="106">
        <f t="shared" si="32"/>
        <v>-9.9999946542084217E-2</v>
      </c>
      <c r="AH20" s="106">
        <f t="shared" si="33"/>
        <v>3.1000000890344381</v>
      </c>
      <c r="AI20" s="106">
        <f t="shared" si="34"/>
        <v>-0.29999999999574811</v>
      </c>
      <c r="AJ20" s="106">
        <f t="shared" ref="AJ20" si="190">IF(H20="","",(H20-H$10)*1000)</f>
        <v>-1.1500000255182385</v>
      </c>
      <c r="AK20" s="106">
        <f t="shared" ref="AK20" si="191">IF(I20="","",(I20-I$10)*1000)</f>
        <v>1.6000000759959221</v>
      </c>
      <c r="AL20" s="106">
        <f t="shared" ref="AL20" si="192">IF(J20="","",(J20-J$10)*1000)</f>
        <v>-1.5000000000071623</v>
      </c>
      <c r="AM20" s="106">
        <f t="shared" ref="AM20" si="193">IF(K20="","",(K20-K$10)*1000)</f>
        <v>-4.0499999886378646</v>
      </c>
      <c r="AN20" s="106">
        <f t="shared" ref="AN20" si="194">IF(L20="","",(L20-L$10)*1000)</f>
        <v>4.3999999761581421</v>
      </c>
      <c r="AO20" s="106">
        <f t="shared" ref="AO20" si="195">IF(M20="","",(M20-M$10)*1000)</f>
        <v>-2.7499999999918145</v>
      </c>
      <c r="AP20" s="106">
        <f t="shared" ref="AP20" si="196">IF(N20="","",(N20-N$10)*1000)</f>
        <v>3.7999999476596713</v>
      </c>
      <c r="AQ20" s="106">
        <f t="shared" ref="AQ20" si="197">IF(O20="","",(O20-O$10)*1000)</f>
        <v>-3.4499999601393938</v>
      </c>
      <c r="AR20" s="106">
        <f t="shared" si="180"/>
        <v>-4.6750000000201908</v>
      </c>
      <c r="AS20" s="106">
        <f t="shared" si="73"/>
        <v>2.0500000100582838</v>
      </c>
      <c r="AT20" s="106">
        <f t="shared" si="74"/>
        <v>-3.2000001519918442</v>
      </c>
      <c r="AU20" s="106">
        <f t="shared" si="75"/>
        <v>0.99999999999056399</v>
      </c>
      <c r="AV20" s="105"/>
      <c r="AW20" s="107" cm="1">
        <f t="array" ref="AW20">IFERROR(_xlfn.SINGLE(INDEX(DATABASE!$AV$14:$BC$989,SUMPRODUCT((ROW(DATABASE!$AV$14:$AV$989)) * (DATABASE!$AV$14:HY$989='Résultats observations'!$A20 ) * (DATABASE!$AW$14:$AW$989= AW$4))-ROW(DATABASE!$AV$14)+1,AW$5)),"")</f>
        <v>5.0668271682879293</v>
      </c>
      <c r="AX20" s="107" cm="1">
        <f t="array" ref="AX20">IFERROR(_xlfn.SINGLE(INDEX(DATABASE!$AV$14:$BC$989,SUMPRODUCT((ROW(DATABASE!$AV$14:$AV$989)) * (DATABASE!$AV$14:HZ$989='Résultats observations'!$A20 ) * (DATABASE!$AW$14:$AW$989= AX$4))-ROW(DATABASE!$AV$14)+1,AX$5)),"")</f>
        <v>-2.6226429660675716</v>
      </c>
      <c r="AY20" s="107" cm="1">
        <f t="array" ref="AY20">IFERROR(_xlfn.SINGLE(INDEX(DATABASE!$AV$14:$BC$989,SUMPRODUCT((ROW(DATABASE!$AV$14:$AV$989)) * (DATABASE!$AV$14:IA$989='Résultats observations'!$A20 ) * (DATABASE!$AW$14:$AW$989= AY$4))-ROW(DATABASE!$AV$14)+1,AY$5)),"")</f>
        <v>-0.78526827168288094</v>
      </c>
      <c r="AZ20" s="107" cm="1">
        <f t="array" ref="AZ20">IFERROR(_xlfn.SINGLE(INDEX(DATABASE!$AV$14:$BC$989,SUMPRODUCT((ROW(DATABASE!$AV$14:$AV$989)) * (DATABASE!$AV$14:IB$989='Résultats observations'!$A20 ) * (DATABASE!$AW$14:$AW$989= AZ$4))-ROW(DATABASE!$AV$14)+1,AZ$5)),"")</f>
        <v>5.0650800096079358</v>
      </c>
      <c r="BA20" s="107" cm="1">
        <f t="array" ref="BA20">IFERROR(_xlfn.SINGLE(INDEX(DATABASE!$AV$14:$BC$989,SUMPRODUCT((ROW(DATABASE!$AV$14:$AV$989)) * (DATABASE!$AV$14:IC$989='Résultats observations'!$A20 ) * (DATABASE!$AW$14:$AW$989= BA$4))-ROW(DATABASE!$AV$14)+1,BA$5)),"")</f>
        <v>-2.5294505444047948</v>
      </c>
      <c r="BB20" s="107" cm="1">
        <f t="array" ref="BB20">IFERROR(_xlfn.SINGLE(INDEX(DATABASE!$AV$14:$BC$989,SUMPRODUCT((ROW(DATABASE!$AV$14:$AV$989)) * (DATABASE!$AV$14:ID$989='Résultats observations'!$A20 ) * (DATABASE!$AW$14:$AW$989= BB$4))-ROW(DATABASE!$AV$14)+1,BB$5)),"")</f>
        <v>1.1472491999039107</v>
      </c>
      <c r="BC20" s="107" cm="1">
        <f t="array" ref="BC20">IFERROR(_xlfn.SINGLE(INDEX(DATABASE!$AV$14:$BC$989,SUMPRODUCT((ROW(DATABASE!$AV$14:$AV$989)) * (DATABASE!$AV$14:IE$989='Résultats observations'!$A20 ) * (DATABASE!$AW$14:$AW$989= BC$4))-ROW(DATABASE!$AV$14)+1,BC$5)),"")</f>
        <v>4.9218579006609415</v>
      </c>
      <c r="BD20" s="107" cm="1">
        <f t="array" ref="BD20">IFERROR(_xlfn.SINGLE(INDEX(DATABASE!$AV$14:$BC$989,SUMPRODUCT((ROW(DATABASE!$AV$14:$AV$989)) * (DATABASE!$AV$14:IF$989='Résultats observations'!$A20 ) * (DATABASE!$AW$14:$AW$989= BD$4))-ROW(DATABASE!$AV$14)+1,BD$5)),"")</f>
        <v>-1.1479401445187352E-2</v>
      </c>
      <c r="BE20" s="107" cm="1">
        <f t="array" ref="BE20">IFERROR(_xlfn.SINGLE(INDEX(DATABASE!$AV$14:$BC$989,SUMPRODUCT((ROW(DATABASE!$AV$14:$AV$989)) * (DATABASE!$AV$14:IG$989='Résultats observations'!$A20 ) * (DATABASE!$AW$14:$AW$989= BE$4))-ROW(DATABASE!$AV$14)+1,BE$5)),"")</f>
        <v>2.589081420993395</v>
      </c>
      <c r="BF20" s="107" cm="1">
        <f t="array" ref="BF20">IFERROR(_xlfn.SINGLE(INDEX(DATABASE!$AV$14:$BC$989,SUMPRODUCT((ROW(DATABASE!$AV$14:$AV$989)) * (DATABASE!$AV$14:IH$989='Résultats observations'!$A20 ) * (DATABASE!$AW$14:$AW$989= BF$4))-ROW(DATABASE!$AV$14)+1,BF$5)),"")</f>
        <v>5.3016866230559581</v>
      </c>
      <c r="BG20" s="107" cm="1">
        <f t="array" ref="BG20">IFERROR(_xlfn.SINGLE(INDEX(DATABASE!$AV$14:$BC$989,SUMPRODUCT((ROW(DATABASE!$AV$14:$AV$989)) * (DATABASE!$AV$14:II$989='Résultats observations'!$A20 ) * (DATABASE!$AW$14:$AW$989= BG$4))-ROW(DATABASE!$AV$14)+1,BG$5)),"")</f>
        <v>1.5989075650855427</v>
      </c>
      <c r="BH20" s="107" cm="1">
        <f t="array" ref="BH20">IFERROR(_xlfn.SINGLE(INDEX(DATABASE!$AV$14:$BC$989,SUMPRODUCT((ROW(DATABASE!$AV$14:$AV$989)) * (DATABASE!$AV$14:IJ$989='Résultats observations'!$A20 ) * (DATABASE!$AW$14:$AW$989= BH$4))-ROW(DATABASE!$AV$14)+1,BH$5)),"")</f>
        <v>2.1785831337694361</v>
      </c>
      <c r="BI20" s="107" cm="1">
        <f t="array" ref="BI20">IFERROR(_xlfn.SINGLE(INDEX(DATABASE!$AV$14:$BC$989,SUMPRODUCT((ROW(DATABASE!$AV$14:$AV$989)) * (DATABASE!$AV$14:IK$989='Résultats observations'!$A20 ) * (DATABASE!$AW$14:$AW$989= BI$4))-ROW(DATABASE!$AV$14)+1,BI$5)),"")</f>
        <v>5.0848031747050682</v>
      </c>
      <c r="BJ20" s="107" cm="1">
        <f t="array" ref="BJ20">IFERROR(_xlfn.SINGLE(INDEX(DATABASE!$AV$14:$BC$989,SUMPRODUCT((ROW(DATABASE!$AV$14:$AV$989)) * (DATABASE!$AV$14:IL$989='Résultats observations'!$A20 ) * (DATABASE!$AW$14:$AW$989= BJ$4))-ROW(DATABASE!$AV$14)+1,BJ$5)),"")</f>
        <v>2.675955553556483</v>
      </c>
      <c r="BK20" s="107" cm="1">
        <f t="array" ref="BK20">IFERROR(_xlfn.SINGLE(INDEX(DATABASE!$AV$14:$BC$989,SUMPRODUCT((ROW(DATABASE!$AV$14:$AV$989)) * (DATABASE!$AV$14:IM$989='Résultats observations'!$A20 ) * (DATABASE!$AW$14:$AW$989= BK$4))-ROW(DATABASE!$AV$14)+1,BK$5)),"")</f>
        <v>-0.72824803174705721</v>
      </c>
      <c r="BL20" s="105"/>
      <c r="BM20" s="106">
        <f t="shared" si="47"/>
        <v>-1.2194405409600151</v>
      </c>
      <c r="BN20" s="106">
        <f t="shared" si="48"/>
        <v>2.8518354279958302</v>
      </c>
      <c r="BO20" s="106">
        <f t="shared" si="49"/>
        <v>-0.28780559458141397</v>
      </c>
      <c r="BP20" s="106">
        <f t="shared" ref="BP20" si="198">IF(AZ20="","",(AZ20-AZ$10)*1000)</f>
        <v>0.36609553425126506</v>
      </c>
      <c r="BQ20" s="106">
        <f t="shared" ref="BQ20" si="199">IF(BA20="","",(BA20-BA$10)*1000)</f>
        <v>1.9360977149101011</v>
      </c>
      <c r="BR20" s="106">
        <f t="shared" ref="BR20" si="200">IF(BB20="","",(BB20-BB$10)*1000)</f>
        <v>-1.5036609553504832</v>
      </c>
      <c r="BS20" s="106">
        <f t="shared" ref="BS20" si="201">IF(BC20="","",(BC20-BC$10)*1000)</f>
        <v>1.8111168726990812</v>
      </c>
      <c r="BT20" s="106">
        <f t="shared" ref="BT20" si="202">IF(BD20="","",(BD20-BD$10)*1000)</f>
        <v>5.6993293791131574</v>
      </c>
      <c r="BU20" s="106">
        <f t="shared" ref="BU20" si="203">IF(BE20="","",(BE20-BE$10)*1000)</f>
        <v>-2.768111168720111</v>
      </c>
      <c r="BV20" s="106">
        <f t="shared" ref="BV20" si="204">IF(BF20="","",(BF20-BF$10)*1000)</f>
        <v>-1.9860118630630197</v>
      </c>
      <c r="BW20" s="106">
        <f t="shared" ref="BW20" si="205">IF(BG20="","",(BG20-BG$10)*1000)</f>
        <v>-4.7326796011295524</v>
      </c>
      <c r="BX20" s="106">
        <f t="shared" si="189"/>
        <v>-4.6480574087439663</v>
      </c>
      <c r="BY20" s="106">
        <f t="shared" si="59"/>
        <v>-0.50561240347590797</v>
      </c>
      <c r="BZ20" s="106">
        <f t="shared" si="60"/>
        <v>-3.7665444523362623</v>
      </c>
      <c r="CA20" s="106">
        <f t="shared" si="61"/>
        <v>1.0050561240291245</v>
      </c>
    </row>
    <row r="21" spans="1:79" s="108" customFormat="1" ht="29.25" customHeight="1">
      <c r="A21" s="99">
        <v>45350</v>
      </c>
      <c r="B21" s="100">
        <f t="shared" si="171"/>
        <v>26</v>
      </c>
      <c r="C21" s="101">
        <v>11.5</v>
      </c>
      <c r="D21" s="101">
        <f t="shared" si="146"/>
        <v>6.41</v>
      </c>
      <c r="E21" s="102" cm="1">
        <f t="array" ref="E21">IFERROR(_xlfn.SINGLE(INDEX(DATABASE!$AV$14:$BC$989,SUMPRODUCT((ROW(DATABASE!$AV$14:$AV$989)) * (DATABASE!AG$14:$AV$989='Résultats observations'!$A21 ) * (DATABASE!$AW$14:$AW$989= E$4))-ROW(DATABASE!$AV$14)+1,E$5)),"")</f>
        <v>823058.96900000004</v>
      </c>
      <c r="F21" s="102" cm="1">
        <f t="array" ref="F21">IFERROR(_xlfn.SINGLE(INDEX(DATABASE!$AV$14:$BC$989,SUMPRODUCT((ROW(DATABASE!$AV$14:$AV$989)) * (DATABASE!AH$14:$AV$989='Résultats observations'!$A21 ) * (DATABASE!$AW$14:$AW$989= F$4))-ROW(DATABASE!$AV$14)+1,F$5)),"")</f>
        <v>1091426.6568</v>
      </c>
      <c r="G21" s="102" cm="1">
        <f t="array" ref="G21">IFERROR(_xlfn.SINGLE(INDEX(DATABASE!$AV$14:$BC$989,SUMPRODUCT((ROW(DATABASE!$AV$14:$AV$989)) * (DATABASE!AI$14:$AV$989='Résultats observations'!$A21 ) * (DATABASE!$AW$14:$AW$989= G$4))-ROW(DATABASE!$AV$14)+1,G$5)),"")</f>
        <v>-123.0616</v>
      </c>
      <c r="H21" s="102" cm="1">
        <f t="array" ref="H21">IFERROR(_xlfn.SINGLE(INDEX(DATABASE!$AV$14:$BC$989,SUMPRODUCT((ROW(DATABASE!$AV$14:$AV$989)) * (DATABASE!AJ$14:$AV$989='Résultats observations'!$A21 ) * (DATABASE!$AW$14:$AW$989= H$4))-ROW(DATABASE!$AV$14)+1,H$5)),"")</f>
        <v>823058.93059999996</v>
      </c>
      <c r="I21" s="102" cm="1">
        <f t="array" ref="I21">IFERROR(_xlfn.SINGLE(INDEX(DATABASE!$AV$14:$BC$989,SUMPRODUCT((ROW(DATABASE!$AV$14:$AV$989)) * (DATABASE!AK$14:$AV$989='Résultats observations'!$A21 ) * (DATABASE!$AW$14:$AW$989= I$4))-ROW(DATABASE!$AV$14)+1,I$5)),"")</f>
        <v>1091426.7416000001</v>
      </c>
      <c r="J21" s="102" cm="1">
        <f t="array" ref="J21">IFERROR(_xlfn.SINGLE(INDEX(DATABASE!$AV$14:$BC$989,SUMPRODUCT((ROW(DATABASE!$AV$14:$AV$989)) * (DATABASE!AL$14:$AV$989='Résultats observations'!$A21 ) * (DATABASE!$AW$14:$AW$989= J$4))-ROW(DATABASE!$AV$14)+1,J$5)),"")</f>
        <v>-121.12910000000001</v>
      </c>
      <c r="K21" s="102" cm="1">
        <f t="array" ref="K21">IFERROR(_xlfn.SINGLE(INDEX(DATABASE!$AV$14:$BC$989,SUMPRODUCT((ROW(DATABASE!$AV$14:$AV$989)) * (DATABASE!AM$14:$AV$989='Résultats observations'!$A21 ) * (DATABASE!$AW$14:$AW$989= K$4))-ROW(DATABASE!$AV$14)+1,K$5)),"")</f>
        <v>823057.99699999997</v>
      </c>
      <c r="L21" s="102" cm="1">
        <f t="array" ref="L21">IFERROR(_xlfn.SINGLE(INDEX(DATABASE!$AV$14:$BC$989,SUMPRODUCT((ROW(DATABASE!$AV$14:$AV$989)) * (DATABASE!AN$14:$AV$989='Résultats observations'!$A21 ) * (DATABASE!$AW$14:$AW$989= L$4))-ROW(DATABASE!$AV$14)+1,L$5)),"")</f>
        <v>1091429.0847</v>
      </c>
      <c r="M21" s="102" cm="1">
        <f t="array" ref="M21">IFERROR(_xlfn.SINGLE(INDEX(DATABASE!$AV$14:$BC$989,SUMPRODUCT((ROW(DATABASE!$AV$14:$AV$989)) * (DATABASE!AO$14:$AV$989='Résultats observations'!$A21 ) * (DATABASE!$AW$14:$AW$989= M$4))-ROW(DATABASE!$AV$14)+1,M$5)),"")</f>
        <v>-119.6887</v>
      </c>
      <c r="N21" s="102" cm="1">
        <f t="array" ref="N21">IFERROR(_xlfn.SINGLE(INDEX(DATABASE!$AV$14:$BC$989,SUMPRODUCT((ROW(DATABASE!$AV$14:$AV$989)) * (DATABASE!AP$14:$AV$989='Résultats observations'!$A21 ) * (DATABASE!$AW$14:$AW$989= N$4))-ROW(DATABASE!$AV$14)+1,N$5)),"")</f>
        <v>823056.97180000006</v>
      </c>
      <c r="O21" s="102" cm="1">
        <f t="array" ref="O21">IFERROR(_xlfn.SINGLE(INDEX(DATABASE!$AV$14:$BC$989,SUMPRODUCT((ROW(DATABASE!$AV$14:$AV$989)) * (DATABASE!AQ$14:$AV$989='Résultats observations'!$A21 ) * (DATABASE!$AW$14:$AW$989= O$4))-ROW(DATABASE!$AV$14)+1,O$5)),"")</f>
        <v>1091430.3836000001</v>
      </c>
      <c r="P21" s="102" cm="1">
        <f t="array" ref="P21">IFERROR(_xlfn.SINGLE(INDEX(DATABASE!$AV$14:$BC$989,SUMPRODUCT((ROW(DATABASE!$AV$14:$AV$989)) * (DATABASE!AR$14:$AV$989='Résultats observations'!$A21 ) * (DATABASE!$AW$14:$AW$989= P$4))-ROW(DATABASE!$AV$14)+1,P$5)),"")</f>
        <v>-120.0954</v>
      </c>
      <c r="Q21" s="102" cm="1">
        <f t="array" ref="Q21">IFERROR(_xlfn.SINGLE(INDEX(DATABASE!$AV$14:$BC$989,SUMPRODUCT((ROW(DATABASE!$AV$14:$AV$989)) * (DATABASE!AS$14:$AV$989='Résultats observations'!$A21 ) * (DATABASE!$AW$14:$AW$989= Q$4))-ROW(DATABASE!$AV$14)+1,Q$5)),"")</f>
        <v>823056.71360000002</v>
      </c>
      <c r="R21" s="102" cm="1">
        <f t="array" ref="R21">IFERROR(_xlfn.SINGLE(INDEX(DATABASE!$AV$14:$BC$989,SUMPRODUCT((ROW(DATABASE!$AV$14:$AV$989)) * (DATABASE!AT$14:$AV$989='Résultats observations'!$A21 ) * (DATABASE!$AW$14:$AW$989= R$4))-ROW(DATABASE!$AV$14)+1,R$5)),"")</f>
        <v>1091431.4517000001</v>
      </c>
      <c r="S21" s="102" cm="1">
        <f t="array" ref="S21">IFERROR(_xlfn.SINGLE(INDEX(DATABASE!$AV$14:$BC$989,SUMPRODUCT((ROW(DATABASE!$AV$14:$AV$989)) * (DATABASE!AU$14:$AV$989='Résultats observations'!$A21 ) * (DATABASE!$AW$14:$AW$989= S$4))-ROW(DATABASE!$AV$14)+1,S$5)),"")</f>
        <v>-123.0044</v>
      </c>
      <c r="T21" s="103">
        <f t="shared" si="2"/>
        <v>4.2680132169637659</v>
      </c>
      <c r="U21" s="103">
        <f t="shared" si="3"/>
        <v>2.9045617104305328</v>
      </c>
      <c r="V21" s="103">
        <f t="shared" si="4"/>
        <v>1.7039897710857812</v>
      </c>
      <c r="W21" s="103">
        <f t="shared" si="5"/>
        <v>4.2712610608922352</v>
      </c>
      <c r="X21" s="103">
        <f t="shared" si="6"/>
        <v>4.2625810408221589</v>
      </c>
      <c r="Y21" s="103">
        <f t="shared" si="7"/>
        <v>5.2991666336341288</v>
      </c>
      <c r="Z21" s="104">
        <f t="shared" si="165"/>
        <v>-0.26562763320647775</v>
      </c>
      <c r="AA21" s="104">
        <f t="shared" si="166"/>
        <v>2.7476705056059814</v>
      </c>
      <c r="AB21" s="104">
        <f t="shared" si="167"/>
        <v>-9.9650146458134525</v>
      </c>
      <c r="AC21" s="104">
        <f t="shared" si="168"/>
        <v>-8.8480396801013939</v>
      </c>
      <c r="AD21" s="104">
        <f t="shared" si="169"/>
        <v>-7.2839904030308489</v>
      </c>
      <c r="AE21" s="104">
        <f t="shared" si="170"/>
        <v>-6.3728435148204809</v>
      </c>
      <c r="AF21" s="105"/>
      <c r="AG21" s="106">
        <f t="shared" si="32"/>
        <v>0.70000009145587683</v>
      </c>
      <c r="AH21" s="106">
        <f t="shared" si="33"/>
        <v>3.1000000890344381</v>
      </c>
      <c r="AI21" s="106">
        <f t="shared" si="34"/>
        <v>-0.29999999999574811</v>
      </c>
      <c r="AJ21" s="106">
        <f t="shared" ref="AJ21" si="206">IF(H21="","",(H21-H$10)*1000)</f>
        <v>-0.95000001601874828</v>
      </c>
      <c r="AK21" s="106">
        <f t="shared" ref="AK21" si="207">IF(I21="","",(I21-I$10)*1000)</f>
        <v>1.2000000569969416</v>
      </c>
      <c r="AL21" s="106">
        <f t="shared" ref="AL21" si="208">IF(J21="","",(J21-J$10)*1000)</f>
        <v>-1.5000000000071623</v>
      </c>
      <c r="AM21" s="106">
        <f t="shared" ref="AM21" si="209">IF(K21="","",(K21-K$10)*1000)</f>
        <v>-3.1500000040978193</v>
      </c>
      <c r="AN21" s="106">
        <f t="shared" ref="AN21" si="210">IF(L21="","",(L21-L$10)*1000)</f>
        <v>4.5000000391155481</v>
      </c>
      <c r="AO21" s="106">
        <f t="shared" ref="AO21" si="211">IF(M21="","",(M21-M$10)*1000)</f>
        <v>-2.7499999999918145</v>
      </c>
      <c r="AP21" s="106">
        <f t="shared" ref="AP21" si="212">IF(N21="","",(N21-N$10)*1000)</f>
        <v>4.3000000296160579</v>
      </c>
      <c r="AQ21" s="106">
        <f t="shared" ref="AQ21" si="213">IF(O21="","",(O21-O$10)*1000)</f>
        <v>-3.4499999601393938</v>
      </c>
      <c r="AR21" s="106">
        <f t="shared" si="180"/>
        <v>-4.6750000000201908</v>
      </c>
      <c r="AS21" s="106">
        <f t="shared" si="73"/>
        <v>2.9499999945983291</v>
      </c>
      <c r="AT21" s="106">
        <f t="shared" si="74"/>
        <v>-2.899999963119626</v>
      </c>
      <c r="AU21" s="106">
        <f t="shared" si="75"/>
        <v>0.99999999999056399</v>
      </c>
      <c r="AV21" s="105"/>
      <c r="AW21" s="107" cm="1">
        <f t="array" ref="AW21">IFERROR(_xlfn.SINGLE(INDEX(DATABASE!$AV$14:$BC$989,SUMPRODUCT((ROW(DATABASE!$AV$14:$AV$989)) * (DATABASE!$AV$14:HY$989='Résultats observations'!$A21 ) * (DATABASE!$AW$14:$AW$989= AW$4))-ROW(DATABASE!$AV$14)+1,AW$5)),"")</f>
        <v>5.0661021166442453</v>
      </c>
      <c r="AX21" s="107" cm="1">
        <f t="array" ref="AX21">IFERROR(_xlfn.SINGLE(INDEX(DATABASE!$AV$14:$BC$989,SUMPRODUCT((ROW(DATABASE!$AV$14:$AV$989)) * (DATABASE!$AV$14:HZ$989='Résultats observations'!$A21 ) * (DATABASE!$AW$14:$AW$989= AX$4))-ROW(DATABASE!$AV$14)+1,AX$5)),"")</f>
        <v>-2.6229810491561558</v>
      </c>
      <c r="AY21" s="107" cm="1">
        <f t="array" ref="AY21">IFERROR(_xlfn.SINGLE(INDEX(DATABASE!$AV$14:$BC$989,SUMPRODUCT((ROW(DATABASE!$AV$14:$AV$989)) * (DATABASE!$AV$14:IA$989='Résultats observations'!$A21 ) * (DATABASE!$AW$14:$AW$989= AY$4))-ROW(DATABASE!$AV$14)+1,AY$5)),"")</f>
        <v>-0.78526102116644836</v>
      </c>
      <c r="AZ21" s="107" cm="1">
        <f t="array" ref="AZ21">IFERROR(_xlfn.SINGLE(INDEX(DATABASE!$AV$14:$BC$989,SUMPRODUCT((ROW(DATABASE!$AV$14:$AV$989)) * (DATABASE!$AV$14:IB$989='Résultats observations'!$A21 ) * (DATABASE!$AW$14:$AW$989= AZ$4))-ROW(DATABASE!$AV$14)+1,AZ$5)),"")</f>
        <v>5.0650677882413069</v>
      </c>
      <c r="BA21" s="107" cm="1">
        <f t="array" ref="BA21">IFERROR(_xlfn.SINGLE(INDEX(DATABASE!$AV$14:$BC$989,SUMPRODUCT((ROW(DATABASE!$AV$14:$AV$989)) * (DATABASE!$AV$14:IC$989='Résultats observations'!$A21 ) * (DATABASE!$AW$14:$AW$989= BA$4))-ROW(DATABASE!$AV$14)+1,BA$5)),"")</f>
        <v>-2.5298975909987833</v>
      </c>
      <c r="BB21" s="107" cm="1">
        <f t="array" ref="BB21">IFERROR(_xlfn.SINGLE(INDEX(DATABASE!$AV$14:$BC$989,SUMPRODUCT((ROW(DATABASE!$AV$14:$AV$989)) * (DATABASE!$AV$14:ID$989='Résultats observations'!$A21 ) * (DATABASE!$AW$14:$AW$989= BB$4))-ROW(DATABASE!$AV$14)+1,BB$5)),"")</f>
        <v>1.1472493221175739</v>
      </c>
      <c r="BC21" s="107" cm="1">
        <f t="array" ref="BC21">IFERROR(_xlfn.SINGLE(INDEX(DATABASE!$AV$14:$BC$989,SUMPRODUCT((ROW(DATABASE!$AV$14:$AV$989)) * (DATABASE!$AV$14:IE$989='Résultats observations'!$A21 ) * (DATABASE!$AW$14:$AW$989= BC$4))-ROW(DATABASE!$AV$14)+1,BC$5)),"")</f>
        <v>4.9209999572038781</v>
      </c>
      <c r="BD21" s="107" cm="1">
        <f t="array" ref="BD21">IFERROR(_xlfn.SINGLE(INDEX(DATABASE!$AV$14:$BC$989,SUMPRODUCT((ROW(DATABASE!$AV$14:$AV$989)) * (DATABASE!$AV$14:IF$989='Résultats observations'!$A21 ) * (DATABASE!$AW$14:$AW$989= BD$4))-ROW(DATABASE!$AV$14)+1,BD$5)),"")</f>
        <v>-1.1769113387030412E-2</v>
      </c>
      <c r="BE21" s="107" cm="1">
        <f t="array" ref="BE21">IFERROR(_xlfn.SINGLE(INDEX(DATABASE!$AV$14:$BC$989,SUMPRODUCT((ROW(DATABASE!$AV$14:$AV$989)) * (DATABASE!$AV$14:IG$989='Résultats observations'!$A21 ) * (DATABASE!$AW$14:$AW$989= BE$4))-ROW(DATABASE!$AV$14)+1,BE$5)),"")</f>
        <v>2.5890900004279587</v>
      </c>
      <c r="BF21" s="107" cm="1">
        <f t="array" ref="BF21">IFERROR(_xlfn.SINGLE(INDEX(DATABASE!$AV$14:$BC$989,SUMPRODUCT((ROW(DATABASE!$AV$14:$AV$989)) * (DATABASE!$AV$14:IH$989='Résultats observations'!$A21 ) * (DATABASE!$AW$14:$AW$989= BF$4))-ROW(DATABASE!$AV$14)+1,BF$5)),"")</f>
        <v>5.3012334657259004</v>
      </c>
      <c r="BG21" s="107" cm="1">
        <f t="array" ref="BG21">IFERROR(_xlfn.SINGLE(INDEX(DATABASE!$AV$14:$BC$989,SUMPRODUCT((ROW(DATABASE!$AV$14:$AV$989)) * (DATABASE!$AV$14:II$989='Résultats observations'!$A21 ) * (DATABASE!$AW$14:$AW$989= BG$4))-ROW(DATABASE!$AV$14)+1,BG$5)),"")</f>
        <v>1.5986962631305781</v>
      </c>
      <c r="BH21" s="107" cm="1">
        <f t="array" ref="BH21">IFERROR(_xlfn.SINGLE(INDEX(DATABASE!$AV$14:$BC$989,SUMPRODUCT((ROW(DATABASE!$AV$14:$AV$989)) * (DATABASE!$AV$14:IJ$989='Résultats observations'!$A21 ) * (DATABASE!$AW$14:$AW$989= BH$4))-ROW(DATABASE!$AV$14)+1,BH$5)),"")</f>
        <v>2.1785876653427465</v>
      </c>
      <c r="BI21" s="107" cm="1">
        <f t="array" ref="BI21">IFERROR(_xlfn.SINGLE(INDEX(DATABASE!$AV$14:$BC$989,SUMPRODUCT((ROW(DATABASE!$AV$14:$AV$989)) * (DATABASE!$AV$14:IK$989='Résultats observations'!$A21 ) * (DATABASE!$AW$14:$AW$989= BI$4))-ROW(DATABASE!$AV$14)+1,BI$5)),"")</f>
        <v>5.0838607104266629</v>
      </c>
      <c r="BJ21" s="107" cm="1">
        <f t="array" ref="BJ21">IFERROR(_xlfn.SINGLE(INDEX(DATABASE!$AV$14:$BC$989,SUMPRODUCT((ROW(DATABASE!$AV$14:$AV$989)) * (DATABASE!$AV$14:IL$989='Résultats observations'!$A21 ) * (DATABASE!$AW$14:$AW$989= BJ$4))-ROW(DATABASE!$AV$14)+1,BJ$5)),"")</f>
        <v>2.675847104631067</v>
      </c>
      <c r="BK21" s="107" cm="1">
        <f t="array" ref="BK21">IFERROR(_xlfn.SINGLE(INDEX(DATABASE!$AV$14:$BC$989,SUMPRODUCT((ROW(DATABASE!$AV$14:$AV$989)) * (DATABASE!$AV$14:IM$989='Résultats observations'!$A21 ) * (DATABASE!$AW$14:$AW$989= BK$4))-ROW(DATABASE!$AV$14)+1,BK$5)),"")</f>
        <v>-0.72823860710427368</v>
      </c>
      <c r="BL21" s="105"/>
      <c r="BM21" s="106">
        <f t="shared" si="47"/>
        <v>-1.9444921846440977</v>
      </c>
      <c r="BN21" s="106">
        <f t="shared" si="48"/>
        <v>2.5137523394116457</v>
      </c>
      <c r="BO21" s="106">
        <f t="shared" si="49"/>
        <v>-0.2805550781488364</v>
      </c>
      <c r="BP21" s="106">
        <f t="shared" ref="BP21" si="214">IF(AZ21="","",(AZ21-AZ$10)*1000)</f>
        <v>0.3538741676223367</v>
      </c>
      <c r="BQ21" s="106">
        <f t="shared" ref="BQ21" si="215">IF(BA21="","",(BA21-BA$10)*1000)</f>
        <v>1.4890511209215695</v>
      </c>
      <c r="BR21" s="106">
        <f t="shared" ref="BR21" si="216">IF(BB21="","",(BB21-BB$10)*1000)</f>
        <v>-1.5035387416872936</v>
      </c>
      <c r="BS21" s="106">
        <f t="shared" ref="BS21" si="217">IF(BC21="","",(BC21-BC$10)*1000)</f>
        <v>0.95317341563561087</v>
      </c>
      <c r="BT21" s="106">
        <f t="shared" ref="BT21" si="218">IF(BD21="","",(BD21-BD$10)*1000)</f>
        <v>5.4096174372700974</v>
      </c>
      <c r="BU21" s="106">
        <f t="shared" ref="BU21" si="219">IF(BE21="","",(BE21-BE$10)*1000)</f>
        <v>-2.7595317341564396</v>
      </c>
      <c r="BV21" s="106">
        <f t="shared" ref="BV21" si="220">IF(BF21="","",(BF21-BF$10)*1000)</f>
        <v>-2.4391691931207049</v>
      </c>
      <c r="BW21" s="106">
        <f t="shared" ref="BW21" si="221">IF(BG21="","",(BG21-BG$10)*1000)</f>
        <v>-4.9439815560941014</v>
      </c>
      <c r="BX21" s="106">
        <f t="shared" si="189"/>
        <v>-4.6435258354335929</v>
      </c>
      <c r="BY21" s="106">
        <f t="shared" si="59"/>
        <v>-1.448076681881183</v>
      </c>
      <c r="BZ21" s="106">
        <f t="shared" si="60"/>
        <v>-3.8749933777522116</v>
      </c>
      <c r="CA21" s="106">
        <f t="shared" si="61"/>
        <v>1.0144807668126532</v>
      </c>
    </row>
    <row r="22" spans="1:79" s="108" customFormat="1" ht="29.25" customHeight="1">
      <c r="A22" s="99">
        <v>45364</v>
      </c>
      <c r="B22" s="100">
        <f t="shared" si="171"/>
        <v>40</v>
      </c>
      <c r="C22" s="101">
        <v>11.5</v>
      </c>
      <c r="D22" s="101">
        <f t="shared" si="146"/>
        <v>6.41</v>
      </c>
      <c r="E22" s="102" cm="1">
        <f t="array" ref="E22">IFERROR(_xlfn.SINGLE(INDEX(DATABASE!$AV$14:$BC$989,SUMPRODUCT((ROW(DATABASE!$AV$14:$AV$989)) * (DATABASE!AG$14:$AV$989='Résultats observations'!$A22 ) * (DATABASE!$AW$14:$AW$989= E$4))-ROW(DATABASE!$AV$14)+1,E$5)),"")</f>
        <v>823058.96860000002</v>
      </c>
      <c r="F22" s="102" cm="1">
        <f t="array" ref="F22">IFERROR(_xlfn.SINGLE(INDEX(DATABASE!$AV$14:$BC$989,SUMPRODUCT((ROW(DATABASE!$AV$14:$AV$989)) * (DATABASE!AH$14:$AV$989='Résultats observations'!$A22 ) * (DATABASE!$AW$14:$AW$989= F$4))-ROW(DATABASE!$AV$14)+1,F$5)),"")</f>
        <v>1091426.6575</v>
      </c>
      <c r="G22" s="102" cm="1">
        <f t="array" ref="G22">IFERROR(_xlfn.SINGLE(INDEX(DATABASE!$AV$14:$BC$989,SUMPRODUCT((ROW(DATABASE!$AV$14:$AV$989)) * (DATABASE!AI$14:$AV$989='Résultats observations'!$A22 ) * (DATABASE!$AW$14:$AW$989= G$4))-ROW(DATABASE!$AV$14)+1,G$5)),"")</f>
        <v>-123.0616</v>
      </c>
      <c r="H22" s="102" cm="1">
        <f t="array" ref="H22">IFERROR(_xlfn.SINGLE(INDEX(DATABASE!$AV$14:$BC$989,SUMPRODUCT((ROW(DATABASE!$AV$14:$AV$989)) * (DATABASE!AJ$14:$AV$989='Résultats observations'!$A22 ) * (DATABASE!$AW$14:$AW$989= H$4))-ROW(DATABASE!$AV$14)+1,H$5)),"")</f>
        <v>823058.93099999998</v>
      </c>
      <c r="I22" s="102" cm="1">
        <f t="array" ref="I22">IFERROR(_xlfn.SINGLE(INDEX(DATABASE!$AV$14:$BC$989,SUMPRODUCT((ROW(DATABASE!$AV$14:$AV$989)) * (DATABASE!AK$14:$AV$989='Résultats observations'!$A22 ) * (DATABASE!$AW$14:$AW$989= I$4))-ROW(DATABASE!$AV$14)+1,I$5)),"")</f>
        <v>1091426.743</v>
      </c>
      <c r="J22" s="102" cm="1">
        <f t="array" ref="J22">IFERROR(_xlfn.SINGLE(INDEX(DATABASE!$AV$14:$BC$989,SUMPRODUCT((ROW(DATABASE!$AV$14:$AV$989)) * (DATABASE!AL$14:$AV$989='Résultats observations'!$A22 ) * (DATABASE!$AW$14:$AW$989= J$4))-ROW(DATABASE!$AV$14)+1,J$5)),"")</f>
        <v>-121.12910000000001</v>
      </c>
      <c r="K22" s="102" cm="1">
        <f t="array" ref="K22">IFERROR(_xlfn.SINGLE(INDEX(DATABASE!$AV$14:$BC$989,SUMPRODUCT((ROW(DATABASE!$AV$14:$AV$989)) * (DATABASE!AM$14:$AV$989='Résultats observations'!$A22 ) * (DATABASE!$AW$14:$AW$989= K$4))-ROW(DATABASE!$AV$14)+1,K$5)),"")</f>
        <v>823057.99699999997</v>
      </c>
      <c r="L22" s="102" cm="1">
        <f t="array" ref="L22">IFERROR(_xlfn.SINGLE(INDEX(DATABASE!$AV$14:$BC$989,SUMPRODUCT((ROW(DATABASE!$AV$14:$AV$989)) * (DATABASE!AN$14:$AV$989='Résultats observations'!$A22 ) * (DATABASE!$AW$14:$AW$989= L$4))-ROW(DATABASE!$AV$14)+1,L$5)),"")</f>
        <v>1091429.0852000001</v>
      </c>
      <c r="M22" s="102" cm="1">
        <f t="array" ref="M22">IFERROR(_xlfn.SINGLE(INDEX(DATABASE!$AV$14:$BC$989,SUMPRODUCT((ROW(DATABASE!$AV$14:$AV$989)) * (DATABASE!AO$14:$AV$989='Résultats observations'!$A22 ) * (DATABASE!$AW$14:$AW$989= M$4))-ROW(DATABASE!$AV$14)+1,M$5)),"")</f>
        <v>-119.6887</v>
      </c>
      <c r="N22" s="102" cm="1">
        <f t="array" ref="N22">IFERROR(_xlfn.SINGLE(INDEX(DATABASE!$AV$14:$BC$989,SUMPRODUCT((ROW(DATABASE!$AV$14:$AV$989)) * (DATABASE!AP$14:$AV$989='Résultats observations'!$A22 ) * (DATABASE!$AW$14:$AW$989= N$4))-ROW(DATABASE!$AV$14)+1,N$5)),"")</f>
        <v>823056.97259999998</v>
      </c>
      <c r="O22" s="102" cm="1">
        <f t="array" ref="O22">IFERROR(_xlfn.SINGLE(INDEX(DATABASE!$AV$14:$BC$989,SUMPRODUCT((ROW(DATABASE!$AV$14:$AV$989)) * (DATABASE!AQ$14:$AV$989='Résultats observations'!$A22 ) * (DATABASE!$AW$14:$AW$989= O$4))-ROW(DATABASE!$AV$14)+1,O$5)),"")</f>
        <v>1091430.3842</v>
      </c>
      <c r="P22" s="102" cm="1">
        <f t="array" ref="P22">IFERROR(_xlfn.SINGLE(INDEX(DATABASE!$AV$14:$BC$989,SUMPRODUCT((ROW(DATABASE!$AV$14:$AV$989)) * (DATABASE!AR$14:$AV$989='Résultats observations'!$A22 ) * (DATABASE!$AW$14:$AW$989= P$4))-ROW(DATABASE!$AV$14)+1,P$5)),"")</f>
        <v>-120.0954</v>
      </c>
      <c r="Q22" s="102" cm="1">
        <f t="array" ref="Q22">IFERROR(_xlfn.SINGLE(INDEX(DATABASE!$AV$14:$BC$989,SUMPRODUCT((ROW(DATABASE!$AV$14:$AV$989)) * (DATABASE!AS$14:$AV$989='Résultats observations'!$A22 ) * (DATABASE!$AW$14:$AW$989= Q$4))-ROW(DATABASE!$AV$14)+1,Q$5)),"")</f>
        <v>823056.71380000003</v>
      </c>
      <c r="R22" s="102" cm="1">
        <f t="array" ref="R22">IFERROR(_xlfn.SINGLE(INDEX(DATABASE!$AV$14:$BC$989,SUMPRODUCT((ROW(DATABASE!$AV$14:$AV$989)) * (DATABASE!AT$14:$AV$989='Résultats observations'!$A22 ) * (DATABASE!$AW$14:$AW$989= R$4))-ROW(DATABASE!$AV$14)+1,R$5)),"")</f>
        <v>1091431.4519</v>
      </c>
      <c r="S22" s="102" cm="1">
        <f t="array" ref="S22">IFERROR(_xlfn.SINGLE(INDEX(DATABASE!$AV$14:$BC$989,SUMPRODUCT((ROW(DATABASE!$AV$14:$AV$989)) * (DATABASE!AU$14:$AV$989='Résultats observations'!$A22 ) * (DATABASE!$AW$14:$AW$989= S$4))-ROW(DATABASE!$AV$14)+1,S$5)),"")</f>
        <v>-123.0044</v>
      </c>
      <c r="T22" s="103">
        <f t="shared" si="2"/>
        <v>4.2678083673777509</v>
      </c>
      <c r="U22" s="103">
        <f t="shared" si="3"/>
        <v>2.9039643593461144</v>
      </c>
      <c r="V22" s="103">
        <f t="shared" si="4"/>
        <v>1.7035848231551163</v>
      </c>
      <c r="W22" s="103">
        <f t="shared" si="5"/>
        <v>4.2710347246745535</v>
      </c>
      <c r="X22" s="103">
        <f t="shared" si="6"/>
        <v>4.2617137033922692</v>
      </c>
      <c r="Y22" s="103">
        <f t="shared" si="7"/>
        <v>5.2984588551867375</v>
      </c>
      <c r="Z22" s="104">
        <f t="shared" si="165"/>
        <v>-0.47047721922144348</v>
      </c>
      <c r="AA22" s="104">
        <f t="shared" si="166"/>
        <v>2.1503194211875964</v>
      </c>
      <c r="AB22" s="104">
        <f t="shared" si="167"/>
        <v>-10.369962576478375</v>
      </c>
      <c r="AC22" s="104">
        <f t="shared" si="168"/>
        <v>-9.074375897783149</v>
      </c>
      <c r="AD22" s="104">
        <f t="shared" si="169"/>
        <v>-8.1513278329206074</v>
      </c>
      <c r="AE22" s="104">
        <f t="shared" si="170"/>
        <v>-7.0806219622117084</v>
      </c>
      <c r="AF22" s="105"/>
      <c r="AG22" s="106">
        <f t="shared" si="32"/>
        <v>0.30000007245689631</v>
      </c>
      <c r="AH22" s="106">
        <f t="shared" si="33"/>
        <v>3.8000000640749931</v>
      </c>
      <c r="AI22" s="106">
        <f t="shared" si="34"/>
        <v>-0.29999999999574811</v>
      </c>
      <c r="AJ22" s="106">
        <f t="shared" ref="AJ22" si="222">IF(H22="","",(H22-H$10)*1000)</f>
        <v>-0.54999999701976776</v>
      </c>
      <c r="AK22" s="106">
        <f t="shared" ref="AK22" si="223">IF(I22="","",(I22-I$10)*1000)</f>
        <v>2.6000000070780516</v>
      </c>
      <c r="AL22" s="106">
        <f t="shared" ref="AL22" si="224">IF(J22="","",(J22-J$10)*1000)</f>
        <v>-1.5000000000071623</v>
      </c>
      <c r="AM22" s="106">
        <f t="shared" ref="AM22" si="225">IF(K22="","",(K22-K$10)*1000)</f>
        <v>-3.1500000040978193</v>
      </c>
      <c r="AN22" s="106">
        <f t="shared" ref="AN22" si="226">IF(L22="","",(L22-L$10)*1000)</f>
        <v>5.0000001210719347</v>
      </c>
      <c r="AO22" s="106">
        <f t="shared" ref="AO22" si="227">IF(M22="","",(M22-M$10)*1000)</f>
        <v>-2.7499999999918145</v>
      </c>
      <c r="AP22" s="106">
        <f t="shared" ref="AP22" si="228">IF(N22="","",(N22-N$10)*1000)</f>
        <v>5.0999999511986971</v>
      </c>
      <c r="AQ22" s="106">
        <f t="shared" ref="AQ22" si="229">IF(O22="","",(O22-O$10)*1000)</f>
        <v>-2.8500000480562449</v>
      </c>
      <c r="AR22" s="106">
        <f t="shared" si="180"/>
        <v>-4.6750000000201908</v>
      </c>
      <c r="AS22" s="106">
        <f t="shared" si="73"/>
        <v>3.1500000040978193</v>
      </c>
      <c r="AT22" s="106">
        <f t="shared" si="74"/>
        <v>-2.7000000700354576</v>
      </c>
      <c r="AU22" s="106">
        <f t="shared" si="75"/>
        <v>0.99999999999056399</v>
      </c>
      <c r="AV22" s="105"/>
      <c r="AW22" s="107" cm="1">
        <f t="array" ref="AW22">IFERROR(_xlfn.SINGLE(INDEX(DATABASE!$AV$14:$BC$989,SUMPRODUCT((ROW(DATABASE!$AV$14:$AV$989)) * (DATABASE!$AV$14:HY$989='Résultats observations'!$A22 ) * (DATABASE!$AW$14:$AW$989= AW$4))-ROW(DATABASE!$AV$14)+1,AW$5)),"")</f>
        <v>5.0661688197881745</v>
      </c>
      <c r="AX22" s="107" cm="1">
        <f t="array" ref="AX22">IFERROR(_xlfn.SINGLE(INDEX(DATABASE!$AV$14:$BC$989,SUMPRODUCT((ROW(DATABASE!$AV$14:$AV$989)) * (DATABASE!$AV$14:HZ$989='Résultats observations'!$A22 ) * (DATABASE!$AW$14:$AW$989= AX$4))-ROW(DATABASE!$AV$14)+1,AX$5)),"")</f>
        <v>-2.6221775874763953</v>
      </c>
      <c r="AY22" s="107" cm="1">
        <f t="array" ref="AY22">IFERROR(_xlfn.SINGLE(INDEX(DATABASE!$AV$14:$BC$989,SUMPRODUCT((ROW(DATABASE!$AV$14:$AV$989)) * (DATABASE!$AV$14:IA$989='Résultats observations'!$A22 ) * (DATABASE!$AW$14:$AW$989= AY$4))-ROW(DATABASE!$AV$14)+1,AY$5)),"")</f>
        <v>-0.78526168819787756</v>
      </c>
      <c r="AZ22" s="107" cm="1">
        <f t="array" ref="AZ22">IFERROR(_xlfn.SINGLE(INDEX(DATABASE!$AV$14:$BC$989,SUMPRODUCT((ROW(DATABASE!$AV$14:$AV$989)) * (DATABASE!$AV$14:IB$989='Résultats observations'!$A22 ) * (DATABASE!$AW$14:$AW$989= AZ$4))-ROW(DATABASE!$AV$14)+1,AZ$5)),"")</f>
        <v>5.06411361706364</v>
      </c>
      <c r="BA22" s="107" cm="1">
        <f t="array" ref="BA22">IFERROR(_xlfn.SINGLE(INDEX(DATABASE!$AV$14:$BC$989,SUMPRODUCT((ROW(DATABASE!$AV$14:$AV$989)) * (DATABASE!$AV$14:IC$989='Résultats observations'!$A22 ) * (DATABASE!$AW$14:$AW$989= BA$4))-ROW(DATABASE!$AV$14)+1,BA$5)),"")</f>
        <v>-2.5287977922721359</v>
      </c>
      <c r="BB22" s="107" cm="1">
        <f t="array" ref="BB22">IFERROR(_xlfn.SINGLE(INDEX(DATABASE!$AV$14:$BC$989,SUMPRODUCT((ROW(DATABASE!$AV$14:$AV$989)) * (DATABASE!$AV$14:ID$989='Résultats observations'!$A22 ) * (DATABASE!$AW$14:$AW$989= BB$4))-ROW(DATABASE!$AV$14)+1,BB$5)),"")</f>
        <v>1.1472588638293502</v>
      </c>
      <c r="BC22" s="107" cm="1">
        <f t="array" ref="BC22">IFERROR(_xlfn.SINGLE(INDEX(DATABASE!$AV$14:$BC$989,SUMPRODUCT((ROW(DATABASE!$AV$14:$AV$989)) * (DATABASE!$AV$14:IE$989='Résultats observations'!$A22 ) * (DATABASE!$AW$14:$AW$989= BC$4))-ROW(DATABASE!$AV$14)+1,BC$5)),"")</f>
        <v>4.9207886552489146</v>
      </c>
      <c r="BD22" s="107" cm="1">
        <f t="array" ref="BD22">IFERROR(_xlfn.SINGLE(INDEX(DATABASE!$AV$14:$BC$989,SUMPRODUCT((ROW(DATABASE!$AV$14:$AV$989)) * (DATABASE!$AV$14:IF$989='Résultats observations'!$A22 ) * (DATABASE!$AW$14:$AW$989= BD$4))-ROW(DATABASE!$AV$14)+1,BD$5)),"")</f>
        <v>-1.1315956056975931E-2</v>
      </c>
      <c r="BE22" s="107" cm="1">
        <f t="array" ref="BE22">IFERROR(_xlfn.SINGLE(INDEX(DATABASE!$AV$14:$BC$989,SUMPRODUCT((ROW(DATABASE!$AV$14:$AV$989)) * (DATABASE!$AV$14:IG$989='Résultats observations'!$A22 ) * (DATABASE!$AW$14:$AW$989= BE$4))-ROW(DATABASE!$AV$14)+1,BE$5)),"")</f>
        <v>2.5890921134475064</v>
      </c>
      <c r="BF22" s="107" cm="1">
        <f t="array" ref="BF22">IFERROR(_xlfn.SINGLE(INDEX(DATABASE!$AV$14:$BC$989,SUMPRODUCT((ROW(DATABASE!$AV$14:$AV$989)) * (DATABASE!$AV$14:IH$989='Résultats observations'!$A22 ) * (DATABASE!$AW$14:$AW$989= BF$4))-ROW(DATABASE!$AV$14)+1,BF$5)),"")</f>
        <v>5.3002548519204842</v>
      </c>
      <c r="BG22" s="107" cm="1">
        <f t="array" ref="BG22">IFERROR(_xlfn.SINGLE(INDEX(DATABASE!$AV$14:$BC$989,SUMPRODUCT((ROW(DATABASE!$AV$14:$AV$989)) * (DATABASE!$AV$14:II$989='Résultats observations'!$A22 ) * (DATABASE!$AW$14:$AW$989= BG$4))-ROW(DATABASE!$AV$14)+1,BG$5)),"")</f>
        <v>1.5989019687184469</v>
      </c>
      <c r="BH22" s="107" cm="1">
        <f t="array" ref="BH22">IFERROR(_xlfn.SINGLE(INDEX(DATABASE!$AV$14:$BC$989,SUMPRODUCT((ROW(DATABASE!$AV$14:$AV$989)) * (DATABASE!$AV$14:IJ$989='Résultats observations'!$A22 ) * (DATABASE!$AW$14:$AW$989= BH$4))-ROW(DATABASE!$AV$14)+1,BH$5)),"")</f>
        <v>2.1785974514807975</v>
      </c>
      <c r="BI22" s="107" cm="1">
        <f t="array" ref="BI22">IFERROR(_xlfn.SINGLE(INDEX(DATABASE!$AV$14:$BC$989,SUMPRODUCT((ROW(DATABASE!$AV$14:$AV$989)) * (DATABASE!$AV$14:IK$989='Résultats observations'!$A22 ) * (DATABASE!$AW$14:$AW$989= BI$4))-ROW(DATABASE!$AV$14)+1,BI$5)),"")</f>
        <v>5.0835949267927925</v>
      </c>
      <c r="BJ22" s="107" cm="1">
        <f t="array" ref="BJ22">IFERROR(_xlfn.SINGLE(INDEX(DATABASE!$AV$14:$BC$989,SUMPRODUCT((ROW(DATABASE!$AV$14:$AV$989)) * (DATABASE!$AV$14:IL$989='Résultats observations'!$A22 ) * (DATABASE!$AW$14:$AW$989= BJ$4))-ROW(DATABASE!$AV$14)+1,BJ$5)),"")</f>
        <v>2.6759438466643344</v>
      </c>
      <c r="BK22" s="107" cm="1">
        <f t="array" ref="BK22">IFERROR(_xlfn.SINGLE(INDEX(DATABASE!$AV$14:$BC$989,SUMPRODUCT((ROW(DATABASE!$AV$14:$AV$989)) * (DATABASE!$AV$14:IM$989='Résultats observations'!$A22 ) * (DATABASE!$AW$14:$AW$989= BK$4))-ROW(DATABASE!$AV$14)+1,BK$5)),"")</f>
        <v>-0.72823594926794044</v>
      </c>
      <c r="BL22" s="105"/>
      <c r="BM22" s="106">
        <f t="shared" si="47"/>
        <v>-1.8777890407148945</v>
      </c>
      <c r="BN22" s="106">
        <f t="shared" si="48"/>
        <v>3.3172140191721766</v>
      </c>
      <c r="BO22" s="106">
        <f t="shared" si="49"/>
        <v>-0.28122210957803873</v>
      </c>
      <c r="BP22" s="106">
        <f t="shared" ref="BP22" si="230">IF(AZ22="","",(AZ22-AZ$10)*1000)</f>
        <v>-0.60029701004449265</v>
      </c>
      <c r="BQ22" s="106">
        <f t="shared" ref="BQ22" si="231">IF(BA22="","",(BA22-BA$10)*1000)</f>
        <v>2.5888498475690191</v>
      </c>
      <c r="BR22" s="106">
        <f t="shared" ref="BR22" si="232">IF(BB22="","",(BB22-BB$10)*1000)</f>
        <v>-1.4939970299110428</v>
      </c>
      <c r="BS22" s="106">
        <f t="shared" ref="BS22" si="233">IF(BC22="","",(BC22-BC$10)*1000)</f>
        <v>0.74187146067217213</v>
      </c>
      <c r="BT22" s="106">
        <f t="shared" ref="BT22" si="234">IF(BD22="","",(BD22-BD$10)*1000)</f>
        <v>5.862774767324578</v>
      </c>
      <c r="BU22" s="106">
        <f t="shared" ref="BU22" si="235">IF(BE22="","",(BE22-BE$10)*1000)</f>
        <v>-2.7574187146086615</v>
      </c>
      <c r="BV22" s="106">
        <f t="shared" ref="BV22" si="236">IF(BF22="","",(BF22-BF$10)*1000)</f>
        <v>-3.4177829985369002</v>
      </c>
      <c r="BW22" s="106">
        <f t="shared" ref="BW22" si="237">IF(BG22="","",(BG22-BG$10)*1000)</f>
        <v>-4.7382759682252917</v>
      </c>
      <c r="BX22" s="106">
        <f t="shared" si="189"/>
        <v>-4.6337396973825662</v>
      </c>
      <c r="BY22" s="106">
        <f t="shared" si="59"/>
        <v>-1.713860315751603</v>
      </c>
      <c r="BZ22" s="106">
        <f t="shared" si="60"/>
        <v>-3.7782513444848398</v>
      </c>
      <c r="CA22" s="106">
        <f t="shared" si="61"/>
        <v>1.0171386031458951</v>
      </c>
    </row>
    <row r="23" spans="1:79" s="108" customFormat="1" ht="29.25" customHeight="1">
      <c r="A23" s="99">
        <v>45390</v>
      </c>
      <c r="B23" s="100">
        <f t="shared" si="171"/>
        <v>66</v>
      </c>
      <c r="C23" s="101">
        <v>11.5</v>
      </c>
      <c r="D23" s="101">
        <f t="shared" si="146"/>
        <v>6.41</v>
      </c>
      <c r="E23" s="102" cm="1">
        <f t="array" ref="E23">IFERROR(_xlfn.SINGLE(INDEX(DATABASE!$AV$14:$BC$989,SUMPRODUCT((ROW(DATABASE!$AV$14:$AV$989)) * (DATABASE!AG$14:$AV$989='Résultats observations'!$A23 ) * (DATABASE!$AW$14:$AW$989= E$4))-ROW(DATABASE!$AV$14)+1,E$5)),"")</f>
        <v>823058.96840000001</v>
      </c>
      <c r="F23" s="102" cm="1">
        <f t="array" ref="F23">IFERROR(_xlfn.SINGLE(INDEX(DATABASE!$AV$14:$BC$989,SUMPRODUCT((ROW(DATABASE!$AV$14:$AV$989)) * (DATABASE!AH$14:$AV$989='Résultats observations'!$A23 ) * (DATABASE!$AW$14:$AW$989= F$4))-ROW(DATABASE!$AV$14)+1,F$5)),"")</f>
        <v>1091426.6579</v>
      </c>
      <c r="G23" s="102" cm="1">
        <f t="array" ref="G23">IFERROR(_xlfn.SINGLE(INDEX(DATABASE!$AV$14:$BC$989,SUMPRODUCT((ROW(DATABASE!$AV$14:$AV$989)) * (DATABASE!AI$14:$AV$989='Résultats observations'!$A23 ) * (DATABASE!$AW$14:$AW$989= G$4))-ROW(DATABASE!$AV$14)+1,G$5)),"")</f>
        <v>-123.0616</v>
      </c>
      <c r="H23" s="102" cm="1">
        <f t="array" ref="H23">IFERROR(_xlfn.SINGLE(INDEX(DATABASE!$AV$14:$BC$989,SUMPRODUCT((ROW(DATABASE!$AV$14:$AV$989)) * (DATABASE!AJ$14:$AV$989='Résultats observations'!$A23 ) * (DATABASE!$AW$14:$AW$989= H$4))-ROW(DATABASE!$AV$14)+1,H$5)),"")</f>
        <v>823058.93030000001</v>
      </c>
      <c r="I23" s="102" cm="1">
        <f t="array" ref="I23">IFERROR(_xlfn.SINGLE(INDEX(DATABASE!$AV$14:$BC$989,SUMPRODUCT((ROW(DATABASE!$AV$14:$AV$989)) * (DATABASE!AK$14:$AV$989='Résultats observations'!$A23 ) * (DATABASE!$AW$14:$AW$989= I$4))-ROW(DATABASE!$AV$14)+1,I$5)),"")</f>
        <v>1091426.7427999999</v>
      </c>
      <c r="J23" s="102" cm="1">
        <f t="array" ref="J23">IFERROR(_xlfn.SINGLE(INDEX(DATABASE!$AV$14:$BC$989,SUMPRODUCT((ROW(DATABASE!$AV$14:$AV$989)) * (DATABASE!AL$14:$AV$989='Résultats observations'!$A23 ) * (DATABASE!$AW$14:$AW$989= J$4))-ROW(DATABASE!$AV$14)+1,J$5)),"")</f>
        <v>-121.12910000000001</v>
      </c>
      <c r="K23" s="102" cm="1">
        <f t="array" ref="K23">IFERROR(_xlfn.SINGLE(INDEX(DATABASE!$AV$14:$BC$989,SUMPRODUCT((ROW(DATABASE!$AV$14:$AV$989)) * (DATABASE!AM$14:$AV$989='Résultats observations'!$A23 ) * (DATABASE!$AW$14:$AW$989= K$4))-ROW(DATABASE!$AV$14)+1,K$5)),"")</f>
        <v>823057.9963</v>
      </c>
      <c r="L23" s="102" cm="1">
        <f t="array" ref="L23">IFERROR(_xlfn.SINGLE(INDEX(DATABASE!$AV$14:$BC$989,SUMPRODUCT((ROW(DATABASE!$AV$14:$AV$989)) * (DATABASE!AN$14:$AV$989='Résultats observations'!$A23 ) * (DATABASE!$AW$14:$AW$989= L$4))-ROW(DATABASE!$AV$14)+1,L$5)),"")</f>
        <v>1091429.0843</v>
      </c>
      <c r="M23" s="102" cm="1">
        <f t="array" ref="M23">IFERROR(_xlfn.SINGLE(INDEX(DATABASE!$AV$14:$BC$989,SUMPRODUCT((ROW(DATABASE!$AV$14:$AV$989)) * (DATABASE!AO$14:$AV$989='Résultats observations'!$A23 ) * (DATABASE!$AW$14:$AW$989= M$4))-ROW(DATABASE!$AV$14)+1,M$5)),"")</f>
        <v>-119.6887</v>
      </c>
      <c r="N23" s="102" cm="1">
        <f t="array" ref="N23">IFERROR(_xlfn.SINGLE(INDEX(DATABASE!$AV$14:$BC$989,SUMPRODUCT((ROW(DATABASE!$AV$14:$AV$989)) * (DATABASE!AP$14:$AV$989='Résultats observations'!$A23 ) * (DATABASE!$AW$14:$AW$989= N$4))-ROW(DATABASE!$AV$14)+1,N$5)),"")</f>
        <v>823056.97129999998</v>
      </c>
      <c r="O23" s="102" cm="1">
        <f t="array" ref="O23">IFERROR(_xlfn.SINGLE(INDEX(DATABASE!$AV$14:$BC$989,SUMPRODUCT((ROW(DATABASE!$AV$14:$AV$989)) * (DATABASE!AQ$14:$AV$989='Résultats observations'!$A23 ) * (DATABASE!$AW$14:$AW$989= O$4))-ROW(DATABASE!$AV$14)+1,O$5)),"")</f>
        <v>1091430.3840000001</v>
      </c>
      <c r="P23" s="102" cm="1">
        <f t="array" ref="P23">IFERROR(_xlfn.SINGLE(INDEX(DATABASE!$AV$14:$BC$989,SUMPRODUCT((ROW(DATABASE!$AV$14:$AV$989)) * (DATABASE!AR$14:$AV$989='Résultats observations'!$A23 ) * (DATABASE!$AW$14:$AW$989= P$4))-ROW(DATABASE!$AV$14)+1,P$5)),"")</f>
        <v>-120.0954</v>
      </c>
      <c r="Q23" s="102" cm="1">
        <f t="array" ref="Q23">IFERROR(_xlfn.SINGLE(INDEX(DATABASE!$AV$14:$BC$989,SUMPRODUCT((ROW(DATABASE!$AV$14:$AV$989)) * (DATABASE!AS$14:$AV$989='Résultats observations'!$A23 ) * (DATABASE!$AW$14:$AW$989= Q$4))-ROW(DATABASE!$AV$14)+1,Q$5)),"")</f>
        <v>823056.71360000002</v>
      </c>
      <c r="R23" s="102" cm="1">
        <f t="array" ref="R23">IFERROR(_xlfn.SINGLE(INDEX(DATABASE!$AV$14:$BC$989,SUMPRODUCT((ROW(DATABASE!$AV$14:$AV$989)) * (DATABASE!AT$14:$AV$989='Résultats observations'!$A23 ) * (DATABASE!$AW$14:$AW$989= R$4))-ROW(DATABASE!$AV$14)+1,R$5)),"")</f>
        <v>1091431.4517000001</v>
      </c>
      <c r="S23" s="102" cm="1">
        <f t="array" ref="S23">IFERROR(_xlfn.SINGLE(INDEX(DATABASE!$AV$14:$BC$989,SUMPRODUCT((ROW(DATABASE!$AV$14:$AV$989)) * (DATABASE!AU$14:$AV$989='Résultats observations'!$A23 ) * (DATABASE!$AW$14:$AW$989= S$4))-ROW(DATABASE!$AV$14)+1,S$5)),"")</f>
        <v>-123.0044</v>
      </c>
      <c r="T23" s="103">
        <f t="shared" si="2"/>
        <v>4.2671828856999063</v>
      </c>
      <c r="U23" s="103">
        <f t="shared" si="3"/>
        <v>2.9033998020371348</v>
      </c>
      <c r="V23" s="103">
        <f t="shared" si="4"/>
        <v>1.7044793868753709</v>
      </c>
      <c r="W23" s="103">
        <f t="shared" si="5"/>
        <v>4.2712724732154914</v>
      </c>
      <c r="X23" s="103">
        <f t="shared" si="6"/>
        <v>4.2619894569893857</v>
      </c>
      <c r="Y23" s="103">
        <f t="shared" si="7"/>
        <v>5.2979159412876351</v>
      </c>
      <c r="Z23" s="104">
        <f t="shared" si="165"/>
        <v>-1.0959588970660405</v>
      </c>
      <c r="AA23" s="104">
        <f t="shared" si="166"/>
        <v>1.5857621122079557</v>
      </c>
      <c r="AB23" s="104">
        <f t="shared" si="167"/>
        <v>-9.4753988562237268</v>
      </c>
      <c r="AC23" s="104">
        <f t="shared" si="168"/>
        <v>-8.8366273568452058</v>
      </c>
      <c r="AD23" s="104">
        <f t="shared" si="169"/>
        <v>-7.8755742358040948</v>
      </c>
      <c r="AE23" s="104">
        <f t="shared" si="170"/>
        <v>-7.6235358613141457</v>
      </c>
      <c r="AF23" s="105"/>
      <c r="AG23" s="106">
        <f t="shared" si="32"/>
        <v>0.10000006295740604</v>
      </c>
      <c r="AH23" s="106">
        <f t="shared" si="33"/>
        <v>4.2000000830739737</v>
      </c>
      <c r="AI23" s="106">
        <f t="shared" si="34"/>
        <v>-0.29999999999574811</v>
      </c>
      <c r="AJ23" s="106">
        <f t="shared" ref="AJ23" si="238">IF(H23="","",(H23-H$10)*1000)</f>
        <v>-1.2499999720603228</v>
      </c>
      <c r="AK23" s="106">
        <f t="shared" ref="AK23" si="239">IF(I23="","",(I23-I$10)*1000)</f>
        <v>2.3999998811632395</v>
      </c>
      <c r="AL23" s="106">
        <f t="shared" ref="AL23" si="240">IF(J23="","",(J23-J$10)*1000)</f>
        <v>-1.5000000000071623</v>
      </c>
      <c r="AM23" s="106">
        <f t="shared" ref="AM23" si="241">IF(K23="","",(K23-K$10)*1000)</f>
        <v>-3.8499999791383743</v>
      </c>
      <c r="AN23" s="106">
        <f t="shared" ref="AN23" si="242">IF(L23="","",(L23-L$10)*1000)</f>
        <v>4.1000000201165676</v>
      </c>
      <c r="AO23" s="106">
        <f t="shared" ref="AO23" si="243">IF(M23="","",(M23-M$10)*1000)</f>
        <v>-2.7499999999918145</v>
      </c>
      <c r="AP23" s="106">
        <f t="shared" ref="AP23" si="244">IF(N23="","",(N23-N$10)*1000)</f>
        <v>3.7999999476596713</v>
      </c>
      <c r="AQ23" s="106">
        <f t="shared" ref="AQ23" si="245">IF(O23="","",(O23-O$10)*1000)</f>
        <v>-3.0499999411404133</v>
      </c>
      <c r="AR23" s="106">
        <f t="shared" si="180"/>
        <v>-4.6750000000201908</v>
      </c>
      <c r="AS23" s="106">
        <f t="shared" si="73"/>
        <v>2.9499999945983291</v>
      </c>
      <c r="AT23" s="106">
        <f t="shared" si="74"/>
        <v>-2.899999963119626</v>
      </c>
      <c r="AU23" s="106">
        <f t="shared" si="75"/>
        <v>0.99999999999056399</v>
      </c>
      <c r="AV23" s="105"/>
      <c r="AW23" s="107" cm="1">
        <f t="array" ref="AW23">IFERROR(_xlfn.SINGLE(INDEX(DATABASE!$AV$14:$BC$989,SUMPRODUCT((ROW(DATABASE!$AV$14:$AV$989)) * (DATABASE!$AV$14:HY$989='Résultats observations'!$A23 ) * (DATABASE!$AW$14:$AW$989= AW$4))-ROW(DATABASE!$AV$14)+1,AW$5)),"")</f>
        <v>5.0661810411548043</v>
      </c>
      <c r="AX23" s="107" cm="1">
        <f t="array" ref="AX23">IFERROR(_xlfn.SINGLE(INDEX(DATABASE!$AV$14:$BC$989,SUMPRODUCT((ROW(DATABASE!$AV$14:$AV$989)) * (DATABASE!$AV$14:HZ$989='Résultats observations'!$A23 ) * (DATABASE!$AW$14:$AW$989= AX$4))-ROW(DATABASE!$AV$14)+1,AX$5)),"")</f>
        <v>-2.6217305408824045</v>
      </c>
      <c r="AY23" s="107" cm="1">
        <f t="array" ref="AY23">IFERROR(_xlfn.SINGLE(INDEX(DATABASE!$AV$14:$BC$989,SUMPRODUCT((ROW(DATABASE!$AV$14:$AV$989)) * (DATABASE!$AV$14:IA$989='Résultats observations'!$A23 ) * (DATABASE!$AW$14:$AW$989= AY$4))-ROW(DATABASE!$AV$14)+1,AY$5)),"")</f>
        <v>-0.78526181041155496</v>
      </c>
      <c r="AZ23" s="107" cm="1">
        <f t="array" ref="AZ23">IFERROR(_xlfn.SINGLE(INDEX(DATABASE!$AV$14:$BC$989,SUMPRODUCT((ROW(DATABASE!$AV$14:$AV$989)) * (DATABASE!$AV$14:IB$989='Résultats observations'!$A23 ) * (DATABASE!$AW$14:$AW$989= AZ$4))-ROW(DATABASE!$AV$14)+1,AZ$5)),"")</f>
        <v>5.064832558020453</v>
      </c>
      <c r="BA23" s="107" cm="1">
        <f t="array" ref="BA23">IFERROR(_xlfn.SINGLE(INDEX(DATABASE!$AV$14:$BC$989,SUMPRODUCT((ROW(DATABASE!$AV$14:$AV$989)) * (DATABASE!$AV$14:IC$989='Résultats observations'!$A23 ) * (DATABASE!$AW$14:$AW$989= BA$4))-ROW(DATABASE!$AV$14)+1,BA$5)),"")</f>
        <v>-2.5286832326106534</v>
      </c>
      <c r="BB23" s="107" cm="1">
        <f t="array" ref="BB23">IFERROR(_xlfn.SINGLE(INDEX(DATABASE!$AV$14:$BC$989,SUMPRODUCT((ROW(DATABASE!$AV$14:$AV$989)) * (DATABASE!$AV$14:ID$989='Résultats observations'!$A23 ) * (DATABASE!$AW$14:$AW$989= BB$4))-ROW(DATABASE!$AV$14)+1,BB$5)),"")</f>
        <v>1.1472516744197918</v>
      </c>
      <c r="BC23" s="107" cm="1">
        <f t="array" ref="BC23">IFERROR(_xlfn.SINGLE(INDEX(DATABASE!$AV$14:$BC$989,SUMPRODUCT((ROW(DATABASE!$AV$14:$AV$989)) * (DATABASE!$AV$14:IE$989='Résultats observations'!$A23 ) * (DATABASE!$AW$14:$AW$989= BC$4))-ROW(DATABASE!$AV$14)+1,BC$5)),"")</f>
        <v>4.9218034188836404</v>
      </c>
      <c r="BD23" s="107" cm="1">
        <f t="array" ref="BD23">IFERROR(_xlfn.SINGLE(INDEX(DATABASE!$AV$14:$BC$989,SUMPRODUCT((ROW(DATABASE!$AV$14:$AV$989)) * (DATABASE!$AV$14:IF$989='Résultats observations'!$A23 ) * (DATABASE!$AW$14:$AW$989= BD$4))-ROW(DATABASE!$AV$14)+1,BD$5)),"")</f>
        <v>-1.1835816530961227E-2</v>
      </c>
      <c r="BE23" s="107" cm="1">
        <f t="array" ref="BE23">IFERROR(_xlfn.SINGLE(INDEX(DATABASE!$AV$14:$BC$989,SUMPRODUCT((ROW(DATABASE!$AV$14:$AV$989)) * (DATABASE!$AV$14:IG$989='Résultats observations'!$A23 ) * (DATABASE!$AW$14:$AW$989= BE$4))-ROW(DATABASE!$AV$14)+1,BE$5)),"")</f>
        <v>2.589081965811161</v>
      </c>
      <c r="BF23" s="107" cm="1">
        <f t="array" ref="BF23">IFERROR(_xlfn.SINGLE(INDEX(DATABASE!$AV$14:$BC$989,SUMPRODUCT((ROW(DATABASE!$AV$14:$AV$989)) * (DATABASE!$AV$14:IH$989='Résultats observations'!$A23 ) * (DATABASE!$AW$14:$AW$989= BF$4))-ROW(DATABASE!$AV$14)+1,BF$5)),"")</f>
        <v>5.301517581511666</v>
      </c>
      <c r="BG23" s="107" cm="1">
        <f t="array" ref="BG23">IFERROR(_xlfn.SINGLE(INDEX(DATABASE!$AV$14:$BC$989,SUMPRODUCT((ROW(DATABASE!$AV$14:$AV$989)) * (DATABASE!$AV$14:II$989='Résultats observations'!$A23 ) * (DATABASE!$AW$14:$AW$989= BG$4))-ROW(DATABASE!$AV$14)+1,BG$5)),"")</f>
        <v>1.5992700909073847</v>
      </c>
      <c r="BH23" s="107" cm="1">
        <f t="array" ref="BH23">IFERROR(_xlfn.SINGLE(INDEX(DATABASE!$AV$14:$BC$989,SUMPRODUCT((ROW(DATABASE!$AV$14:$AV$989)) * (DATABASE!$AV$14:IJ$989='Résultats observations'!$A23 ) * (DATABASE!$AW$14:$AW$989= BH$4))-ROW(DATABASE!$AV$14)+1,BH$5)),"")</f>
        <v>2.1785848241848811</v>
      </c>
      <c r="BI23" s="107" cm="1">
        <f t="array" ref="BI23">IFERROR(_xlfn.SINGLE(INDEX(DATABASE!$AV$14:$BC$989,SUMPRODUCT((ROW(DATABASE!$AV$14:$AV$989)) * (DATABASE!$AV$14:IK$989='Résultats observations'!$A23 ) * (DATABASE!$AW$14:$AW$989= BI$4))-ROW(DATABASE!$AV$14)+1,BI$5)),"")</f>
        <v>5.0838607104266629</v>
      </c>
      <c r="BJ23" s="107" cm="1">
        <f t="array" ref="BJ23">IFERROR(_xlfn.SINGLE(INDEX(DATABASE!$AV$14:$BC$989,SUMPRODUCT((ROW(DATABASE!$AV$14:$AV$989)) * (DATABASE!$AV$14:IL$989='Résultats observations'!$A23 ) * (DATABASE!$AW$14:$AW$989= BJ$4))-ROW(DATABASE!$AV$14)+1,BJ$5)),"")</f>
        <v>2.675847104631067</v>
      </c>
      <c r="BK23" s="107" cm="1">
        <f t="array" ref="BK23">IFERROR(_xlfn.SINGLE(INDEX(DATABASE!$AV$14:$BC$989,SUMPRODUCT((ROW(DATABASE!$AV$14:$AV$989)) * (DATABASE!$AV$14:IM$989='Résultats observations'!$A23 ) * (DATABASE!$AW$14:$AW$989= BK$4))-ROW(DATABASE!$AV$14)+1,BK$5)),"")</f>
        <v>-0.72823860710427368</v>
      </c>
      <c r="BL23" s="105"/>
      <c r="BM23" s="106">
        <f t="shared" si="47"/>
        <v>-1.865567674085078</v>
      </c>
      <c r="BN23" s="106">
        <f t="shared" si="48"/>
        <v>3.7642606131629286</v>
      </c>
      <c r="BO23" s="106">
        <f t="shared" si="49"/>
        <v>-0.28134432325543912</v>
      </c>
      <c r="BP23" s="106">
        <f t="shared" ref="BP23" si="246">IF(AZ23="","",(AZ23-AZ$10)*1000)</f>
        <v>0.11864394676841528</v>
      </c>
      <c r="BQ23" s="106">
        <f t="shared" ref="BQ23" si="247">IF(BA23="","",(BA23-BA$10)*1000)</f>
        <v>2.7034095090514576</v>
      </c>
      <c r="BR23" s="106">
        <f t="shared" ref="BR23" si="248">IF(BB23="","",(BB23-BB$10)*1000)</f>
        <v>-1.501186439469393</v>
      </c>
      <c r="BS23" s="106">
        <f t="shared" ref="BS23" si="249">IF(BC23="","",(BC23-BC$10)*1000)</f>
        <v>1.7566350953979182</v>
      </c>
      <c r="BT23" s="106">
        <f t="shared" ref="BT23" si="250">IF(BD23="","",(BD23-BD$10)*1000)</f>
        <v>5.3429142933392821</v>
      </c>
      <c r="BU23" s="106">
        <f t="shared" ref="BU23" si="251">IF(BE23="","",(BE23-BE$10)*1000)</f>
        <v>-2.7675663509540982</v>
      </c>
      <c r="BV23" s="106">
        <f t="shared" ref="BV23" si="252">IF(BF23="","",(BF23-BF$10)*1000)</f>
        <v>-2.155053407355112</v>
      </c>
      <c r="BW23" s="106">
        <f t="shared" ref="BW23" si="253">IF(BG23="","",(BG23-BG$10)*1000)</f>
        <v>-4.3701537792875111</v>
      </c>
      <c r="BX23" s="106">
        <f t="shared" si="189"/>
        <v>-4.6463669932990115</v>
      </c>
      <c r="BY23" s="106">
        <f t="shared" si="59"/>
        <v>-1.448076681881183</v>
      </c>
      <c r="BZ23" s="106">
        <f t="shared" si="60"/>
        <v>-3.8749933777522116</v>
      </c>
      <c r="CA23" s="106">
        <f t="shared" si="61"/>
        <v>1.0144807668126532</v>
      </c>
    </row>
    <row r="24" spans="1:79" s="108" customFormat="1" ht="29.25" customHeight="1">
      <c r="A24" s="99">
        <v>45404</v>
      </c>
      <c r="B24" s="100">
        <f t="shared" si="171"/>
        <v>80</v>
      </c>
      <c r="C24" s="101">
        <v>11.5</v>
      </c>
      <c r="D24" s="101">
        <f t="shared" ref="D24" si="254">C24-$W$6</f>
        <v>6.41</v>
      </c>
      <c r="E24" s="102" cm="1">
        <f t="array" ref="E24">IFERROR(_xlfn.SINGLE(INDEX(DATABASE!$AV$14:$BC$989,SUMPRODUCT((ROW(DATABASE!$AV$14:$AV$989)) * (DATABASE!AG$14:$AV$989='Résultats observations'!$A24 ) * (DATABASE!$AW$14:$AW$989= E$4))-ROW(DATABASE!$AV$14)+1,E$5)),"")</f>
        <v>823058.96880000003</v>
      </c>
      <c r="F24" s="102" cm="1">
        <f t="array" ref="F24">IFERROR(_xlfn.SINGLE(INDEX(DATABASE!$AV$14:$BC$989,SUMPRODUCT((ROW(DATABASE!$AV$14:$AV$989)) * (DATABASE!AH$14:$AV$989='Résultats observations'!$A24 ) * (DATABASE!$AW$14:$AW$989= F$4))-ROW(DATABASE!$AV$14)+1,F$5)),"")</f>
        <v>1091426.6580000001</v>
      </c>
      <c r="G24" s="102" cm="1">
        <f t="array" ref="G24">IFERROR(_xlfn.SINGLE(INDEX(DATABASE!$AV$14:$BC$989,SUMPRODUCT((ROW(DATABASE!$AV$14:$AV$989)) * (DATABASE!AI$14:$AV$989='Résultats observations'!$A24 ) * (DATABASE!$AW$14:$AW$989= G$4))-ROW(DATABASE!$AV$14)+1,G$5)),"")</f>
        <v>-123.06059999999999</v>
      </c>
      <c r="H24" s="102" cm="1">
        <f t="array" ref="H24">IFERROR(_xlfn.SINGLE(INDEX(DATABASE!$AV$14:$BC$989,SUMPRODUCT((ROW(DATABASE!$AV$14:$AV$989)) * (DATABASE!AJ$14:$AV$989='Résultats observations'!$A24 ) * (DATABASE!$AW$14:$AW$989= H$4))-ROW(DATABASE!$AV$14)+1,H$5)),"")</f>
        <v>823058.93059999996</v>
      </c>
      <c r="I24" s="102" cm="1">
        <f t="array" ref="I24">IFERROR(_xlfn.SINGLE(INDEX(DATABASE!$AV$14:$BC$989,SUMPRODUCT((ROW(DATABASE!$AV$14:$AV$989)) * (DATABASE!AK$14:$AV$989='Résultats observations'!$A24 ) * (DATABASE!$AW$14:$AW$989= I$4))-ROW(DATABASE!$AV$14)+1,I$5)),"")</f>
        <v>1091426.7420000001</v>
      </c>
      <c r="J24" s="102" cm="1">
        <f t="array" ref="J24">IFERROR(_xlfn.SINGLE(INDEX(DATABASE!$AV$14:$BC$989,SUMPRODUCT((ROW(DATABASE!$AV$14:$AV$989)) * (DATABASE!AL$14:$AV$989='Résultats observations'!$A24 ) * (DATABASE!$AW$14:$AW$989= J$4))-ROW(DATABASE!$AV$14)+1,J$5)),"")</f>
        <v>-121.1289</v>
      </c>
      <c r="K24" s="102" cm="1">
        <f t="array" ref="K24">IFERROR(_xlfn.SINGLE(INDEX(DATABASE!$AV$14:$BC$989,SUMPRODUCT((ROW(DATABASE!$AV$14:$AV$989)) * (DATABASE!AM$14:$AV$989='Résultats observations'!$A24 ) * (DATABASE!$AW$14:$AW$989= K$4))-ROW(DATABASE!$AV$14)+1,K$5)),"")</f>
        <v>823057.99699999997</v>
      </c>
      <c r="L24" s="102" cm="1">
        <f t="array" ref="L24">IFERROR(_xlfn.SINGLE(INDEX(DATABASE!$AV$14:$BC$989,SUMPRODUCT((ROW(DATABASE!$AV$14:$AV$989)) * (DATABASE!AN$14:$AV$989='Résultats observations'!$A24 ) * (DATABASE!$AW$14:$AW$989= L$4))-ROW(DATABASE!$AV$14)+1,L$5)),"")</f>
        <v>1091429.0837000001</v>
      </c>
      <c r="M24" s="102" cm="1">
        <f t="array" ref="M24">IFERROR(_xlfn.SINGLE(INDEX(DATABASE!$AV$14:$BC$989,SUMPRODUCT((ROW(DATABASE!$AV$14:$AV$989)) * (DATABASE!AO$14:$AV$989='Résultats observations'!$A24 ) * (DATABASE!$AW$14:$AW$989= M$4))-ROW(DATABASE!$AV$14)+1,M$5)),"")</f>
        <v>-119.6887</v>
      </c>
      <c r="N24" s="102" cm="1">
        <f t="array" ref="N24">IFERROR(_xlfn.SINGLE(INDEX(DATABASE!$AV$14:$BC$989,SUMPRODUCT((ROW(DATABASE!$AV$14:$AV$989)) * (DATABASE!AP$14:$AV$989='Résultats observations'!$A24 ) * (DATABASE!$AW$14:$AW$989= N$4))-ROW(DATABASE!$AV$14)+1,N$5)),"")</f>
        <v>823056.97219999996</v>
      </c>
      <c r="O24" s="102" cm="1">
        <f t="array" ref="O24">IFERROR(_xlfn.SINGLE(INDEX(DATABASE!$AV$14:$BC$989,SUMPRODUCT((ROW(DATABASE!$AV$14:$AV$989)) * (DATABASE!AQ$14:$AV$989='Résultats observations'!$A24 ) * (DATABASE!$AW$14:$AW$989= O$4))-ROW(DATABASE!$AV$14)+1,O$5)),"")</f>
        <v>1091430.3832</v>
      </c>
      <c r="P24" s="102" cm="1">
        <f t="array" ref="P24">IFERROR(_xlfn.SINGLE(INDEX(DATABASE!$AV$14:$BC$989,SUMPRODUCT((ROW(DATABASE!$AV$14:$AV$989)) * (DATABASE!AR$14:$AV$989='Résultats observations'!$A24 ) * (DATABASE!$AW$14:$AW$989= P$4))-ROW(DATABASE!$AV$14)+1,P$5)),"")</f>
        <v>-120.09610000000001</v>
      </c>
      <c r="Q24" s="102" cm="1">
        <f t="array" ref="Q24">IFERROR(_xlfn.SINGLE(INDEX(DATABASE!$AV$14:$BC$989,SUMPRODUCT((ROW(DATABASE!$AV$14:$AV$989)) * (DATABASE!AS$14:$AV$989='Résultats observations'!$A24 ) * (DATABASE!$AW$14:$AW$989= Q$4))-ROW(DATABASE!$AV$14)+1,Q$5)),"")</f>
        <v>823056.7132</v>
      </c>
      <c r="R24" s="102" cm="1">
        <f t="array" ref="R24">IFERROR(_xlfn.SINGLE(INDEX(DATABASE!$AV$14:$BC$989,SUMPRODUCT((ROW(DATABASE!$AV$14:$AV$989)) * (DATABASE!AT$14:$AV$989='Résultats observations'!$A24 ) * (DATABASE!$AW$14:$AW$989= R$4))-ROW(DATABASE!$AV$14)+1,R$5)),"")</f>
        <v>1091431.4506999999</v>
      </c>
      <c r="S24" s="102" cm="1">
        <f t="array" ref="S24">IFERROR(_xlfn.SINGLE(INDEX(DATABASE!$AV$14:$BC$989,SUMPRODUCT((ROW(DATABASE!$AV$14:$AV$989)) * (DATABASE!AU$14:$AV$989='Résultats observations'!$A24 ) * (DATABASE!$AW$14:$AW$989= S$4))-ROW(DATABASE!$AV$14)+1,S$5)),"")</f>
        <v>-123.00369999999999</v>
      </c>
      <c r="T24" s="103">
        <f t="shared" si="2"/>
        <v>4.2659260823667191</v>
      </c>
      <c r="U24" s="103">
        <f t="shared" si="3"/>
        <v>2.9033332378376895</v>
      </c>
      <c r="V24" s="103">
        <f t="shared" si="4"/>
        <v>1.7043737999442141</v>
      </c>
      <c r="W24" s="103">
        <f t="shared" si="5"/>
        <v>4.2708379083314236</v>
      </c>
      <c r="X24" s="103">
        <f t="shared" si="6"/>
        <v>4.2614954933311164</v>
      </c>
      <c r="Y24" s="103">
        <f t="shared" si="7"/>
        <v>5.2972579943727673</v>
      </c>
      <c r="Z24" s="104">
        <f t="shared" si="165"/>
        <v>-2.3527622302532691</v>
      </c>
      <c r="AA24" s="104">
        <f t="shared" si="166"/>
        <v>1.5191979127626709</v>
      </c>
      <c r="AB24" s="104">
        <f t="shared" si="167"/>
        <v>-9.580985787380536</v>
      </c>
      <c r="AC24" s="104">
        <f t="shared" si="168"/>
        <v>-9.2711922409129954</v>
      </c>
      <c r="AD24" s="104">
        <f t="shared" si="169"/>
        <v>-8.3695378940733534</v>
      </c>
      <c r="AE24" s="104">
        <f t="shared" si="170"/>
        <v>-8.2814827761819032</v>
      </c>
      <c r="AF24" s="105"/>
      <c r="AG24" s="106">
        <f t="shared" si="32"/>
        <v>0.50000008195638657</v>
      </c>
      <c r="AH24" s="106">
        <f t="shared" si="33"/>
        <v>4.3000001460313797</v>
      </c>
      <c r="AI24" s="106">
        <f t="shared" si="34"/>
        <v>0.70000000000902673</v>
      </c>
      <c r="AJ24" s="106">
        <f t="shared" ref="AJ24" si="255">IF(H24="","",(H24-H$10)*1000)</f>
        <v>-0.95000001601874828</v>
      </c>
      <c r="AK24" s="106">
        <f t="shared" ref="AK24" si="256">IF(I24="","",(I24-I$10)*1000)</f>
        <v>1.6000000759959221</v>
      </c>
      <c r="AL24" s="106">
        <f t="shared" ref="AL24" si="257">IF(J24="","",(J24-J$10)*1000)</f>
        <v>-1.300000000000523</v>
      </c>
      <c r="AM24" s="106">
        <f t="shared" ref="AM24" si="258">IF(K24="","",(K24-K$10)*1000)</f>
        <v>-3.1500000040978193</v>
      </c>
      <c r="AN24" s="106">
        <f t="shared" ref="AN24" si="259">IF(L24="","",(L24-L$10)*1000)</f>
        <v>3.5000001080334187</v>
      </c>
      <c r="AO24" s="106">
        <f t="shared" ref="AO24" si="260">IF(M24="","",(M24-M$10)*1000)</f>
        <v>-2.7499999999918145</v>
      </c>
      <c r="AP24" s="106">
        <f t="shared" ref="AP24" si="261">IF(N24="","",(N24-N$10)*1000)</f>
        <v>4.6999999321997166</v>
      </c>
      <c r="AQ24" s="106">
        <f t="shared" ref="AQ24" si="262">IF(O24="","",(O24-O$10)*1000)</f>
        <v>-3.8499999791383743</v>
      </c>
      <c r="AR24" s="106">
        <f t="shared" si="180"/>
        <v>-5.3750000000292175</v>
      </c>
      <c r="AS24" s="106">
        <f t="shared" si="73"/>
        <v>2.5499999755993485</v>
      </c>
      <c r="AT24" s="106">
        <f t="shared" si="74"/>
        <v>-3.9000001270323992</v>
      </c>
      <c r="AU24" s="106">
        <f t="shared" si="75"/>
        <v>1.6999999999995907</v>
      </c>
      <c r="AV24" s="105"/>
      <c r="AW24" s="107" cm="1">
        <f t="array" ref="AW24">IFERROR(_xlfn.SINGLE(INDEX(DATABASE!$AV$14:$BC$989,SUMPRODUCT((ROW(DATABASE!$AV$14:$AV$989)) * (DATABASE!$AV$14:HY$989='Résultats observations'!$A24 ) * (DATABASE!$AW$14:$AW$989= AW$4))-ROW(DATABASE!$AV$14)+1,AW$5)),"")</f>
        <v>5.06577625492229</v>
      </c>
      <c r="AX24" s="107" cm="1">
        <f t="array" ref="AX24">IFERROR(_xlfn.SINGLE(INDEX(DATABASE!$AV$14:$BC$989,SUMPRODUCT((ROW(DATABASE!$AV$14:$AV$989)) * (DATABASE!$AV$14:HZ$989='Résultats observations'!$A24 ) * (DATABASE!$AW$14:$AW$989= AX$4))-ROW(DATABASE!$AV$14)+1,AX$5)),"")</f>
        <v>-2.621808950918481</v>
      </c>
      <c r="AY24" s="107" cm="1">
        <f t="array" ref="AY24">IFERROR(_xlfn.SINGLE(INDEX(DATABASE!$AV$14:$BC$989,SUMPRODUCT((ROW(DATABASE!$AV$14:$AV$989)) * (DATABASE!$AV$14:IA$989='Résultats observations'!$A24 ) * (DATABASE!$AW$14:$AW$989= AY$4))-ROW(DATABASE!$AV$14)+1,AY$5)),"")</f>
        <v>-0.78425776254921686</v>
      </c>
      <c r="AZ24" s="107" cm="1">
        <f t="array" ref="AZ24">IFERROR(_xlfn.SINGLE(INDEX(DATABASE!$AV$14:$BC$989,SUMPRODUCT((ROW(DATABASE!$AV$14:$AV$989)) * (DATABASE!$AV$14:IB$989='Résultats observations'!$A24 ) * (DATABASE!$AW$14:$AW$989= AZ$4))-ROW(DATABASE!$AV$14)+1,AZ$5)),"")</f>
        <v>5.0648987466970139</v>
      </c>
      <c r="BA24" s="107" cm="1">
        <f t="array" ref="BA24">IFERROR(_xlfn.SINGLE(INDEX(DATABASE!$AV$14:$BC$989,SUMPRODUCT((ROW(DATABASE!$AV$14:$AV$989)) * (DATABASE!$AV$14:IC$989='Résultats observations'!$A24 ) * (DATABASE!$AW$14:$AW$989= BA$4))-ROW(DATABASE!$AV$14)+1,BA$5)),"")</f>
        <v>-2.5295350651769413</v>
      </c>
      <c r="BB24" s="107" cm="1">
        <f t="array" ref="BB24">IFERROR(_xlfn.SINGLE(INDEX(DATABASE!$AV$14:$BC$989,SUMPRODUCT((ROW(DATABASE!$AV$14:$AV$989)) * (DATABASE!$AV$14:ID$989='Résultats observations'!$A24 ) * (DATABASE!$AW$14:$AW$989= BB$4))-ROW(DATABASE!$AV$14)+1,BB$5)),"")</f>
        <v>1.1474510125330255</v>
      </c>
      <c r="BC24" s="107" cm="1">
        <f t="array" ref="BC24">IFERROR(_xlfn.SINGLE(INDEX(DATABASE!$AV$14:$BC$989,SUMPRODUCT((ROW(DATABASE!$AV$14:$AV$989)) * (DATABASE!$AV$14:IE$989='Résultats observations'!$A24 ) * (DATABASE!$AW$14:$AW$989= BC$4))-ROW(DATABASE!$AV$14)+1,BC$5)),"")</f>
        <v>4.9214225610154108</v>
      </c>
      <c r="BD24" s="107" cm="1">
        <f t="array" ref="BD24">IFERROR(_xlfn.SINGLE(INDEX(DATABASE!$AV$14:$BC$989,SUMPRODUCT((ROW(DATABASE!$AV$14:$AV$989)) * (DATABASE!$AV$14:IF$989='Résultats observations'!$A24 ) * (DATABASE!$AW$14:$AW$989= BD$4))-ROW(DATABASE!$AV$14)+1,BD$5)),"")</f>
        <v>-1.2675427836128008E-2</v>
      </c>
      <c r="BE24" s="107" cm="1">
        <f t="array" ref="BE24">IFERROR(_xlfn.SINGLE(INDEX(DATABASE!$AV$14:$BC$989,SUMPRODUCT((ROW(DATABASE!$AV$14:$AV$989)) * (DATABASE!$AV$14:IG$989='Résultats observations'!$A24 ) * (DATABASE!$AW$14:$AW$989= BE$4))-ROW(DATABASE!$AV$14)+1,BE$5)),"")</f>
        <v>2.5890857743898437</v>
      </c>
      <c r="BF24" s="107" cm="1">
        <f t="array" ref="BF24">IFERROR(_xlfn.SINGLE(INDEX(DATABASE!$AV$14:$BC$989,SUMPRODUCT((ROW(DATABASE!$AV$14:$AV$989)) * (DATABASE!$AV$14:IH$989='Résultats observations'!$A24 ) * (DATABASE!$AW$14:$AW$989= BF$4))-ROW(DATABASE!$AV$14)+1,BF$5)),"")</f>
        <v>5.3010399815538589</v>
      </c>
      <c r="BG24" s="107" cm="1">
        <f t="array" ref="BG24">IFERROR(_xlfn.SINGLE(INDEX(DATABASE!$AV$14:$BC$989,SUMPRODUCT((ROW(DATABASE!$AV$14:$AV$989)) * (DATABASE!$AV$14:II$989='Résultats observations'!$A24 ) * (DATABASE!$AW$14:$AW$989= BG$4))-ROW(DATABASE!$AV$14)+1,BG$5)),"")</f>
        <v>1.5981646958136417</v>
      </c>
      <c r="BH24" s="107" cm="1">
        <f t="array" ref="BH24">IFERROR(_xlfn.SINGLE(INDEX(DATABASE!$AV$14:$BC$989,SUMPRODUCT((ROW(DATABASE!$AV$14:$AV$989)) * (DATABASE!$AV$14:IJ$989='Résultats observations'!$A24 ) * (DATABASE!$AW$14:$AW$989= BH$4))-ROW(DATABASE!$AV$14)+1,BH$5)),"")</f>
        <v>2.1778896001844572</v>
      </c>
      <c r="BI24" s="107" cm="1">
        <f t="array" ref="BI24">IFERROR(_xlfn.SINGLE(INDEX(DATABASE!$AV$14:$BC$989,SUMPRODUCT((ROW(DATABASE!$AV$14:$AV$989)) * (DATABASE!$AV$14:IK$989='Résultats observations'!$A24 ) * (DATABASE!$AW$14:$AW$989= BI$4))-ROW(DATABASE!$AV$14)+1,BI$5)),"")</f>
        <v>5.0846458401584318</v>
      </c>
      <c r="BJ24" s="107" cm="1">
        <f t="array" ref="BJ24">IFERROR(_xlfn.SINGLE(INDEX(DATABASE!$AV$14:$BC$989,SUMPRODUCT((ROW(DATABASE!$AV$14:$AV$989)) * (DATABASE!$AV$14:IL$989='Résultats observations'!$A24 ) * (DATABASE!$AW$14:$AW$989= BJ$4))-ROW(DATABASE!$AV$14)+1,BJ$5)),"")</f>
        <v>2.6751098315152473</v>
      </c>
      <c r="BK24" s="107" cm="1">
        <f t="array" ref="BK24">IFERROR(_xlfn.SINGLE(INDEX(DATABASE!$AV$14:$BC$989,SUMPRODUCT((ROW(DATABASE!$AV$14:$AV$989)) * (DATABASE!$AV$14:IM$989='Résultats observations'!$A24 ) * (DATABASE!$AW$14:$AW$989= BK$4))-ROW(DATABASE!$AV$14)+1,BK$5)),"")</f>
        <v>-0.7275464584015765</v>
      </c>
      <c r="BL24" s="105"/>
      <c r="BM24" s="106">
        <f t="shared" si="47"/>
        <v>-2.2703539065993539</v>
      </c>
      <c r="BN24" s="106">
        <f t="shared" si="48"/>
        <v>3.6858505770864802</v>
      </c>
      <c r="BO24" s="106">
        <f t="shared" si="49"/>
        <v>0.72270353908265861</v>
      </c>
      <c r="BP24" s="106">
        <f t="shared" ref="BP24" si="263">IF(AZ24="","",(AZ24-AZ$10)*1000)</f>
        <v>0.18483262332935624</v>
      </c>
      <c r="BQ24" s="106">
        <f t="shared" ref="BQ24" si="264">IF(BA24="","",(BA24-BA$10)*1000)</f>
        <v>1.8515769427636108</v>
      </c>
      <c r="BR24" s="106">
        <f t="shared" ref="BR24" si="265">IF(BB24="","",(BB24-BB$10)*1000)</f>
        <v>-1.3018483262356995</v>
      </c>
      <c r="BS24" s="106">
        <f t="shared" ref="BS24" si="266">IF(BC24="","",(BC24-BC$10)*1000)</f>
        <v>1.3757772271683066</v>
      </c>
      <c r="BT24" s="106">
        <f t="shared" ref="BT24" si="267">IF(BD24="","",(BD24-BD$10)*1000)</f>
        <v>4.5033029881725009</v>
      </c>
      <c r="BU24" s="106">
        <f t="shared" ref="BU24" si="268">IF(BE24="","",(BE24-BE$10)*1000)</f>
        <v>-2.7637577722714468</v>
      </c>
      <c r="BV24" s="106">
        <f t="shared" ref="BV24" si="269">IF(BF24="","",(BF24-BF$10)*1000)</f>
        <v>-2.6326533651621631</v>
      </c>
      <c r="BW24" s="106">
        <f t="shared" ref="BW24" si="270">IF(BG24="","",(BG24-BG$10)*1000)</f>
        <v>-5.475548873030478</v>
      </c>
      <c r="BX24" s="106">
        <f t="shared" si="189"/>
        <v>-5.3415909937228889</v>
      </c>
      <c r="BY24" s="106">
        <f t="shared" si="59"/>
        <v>-0.66294695011226423</v>
      </c>
      <c r="BZ24" s="106">
        <f t="shared" si="60"/>
        <v>-4.6122664935719371</v>
      </c>
      <c r="CA24" s="106">
        <f t="shared" si="61"/>
        <v>1.706629469509835</v>
      </c>
    </row>
    <row r="25" spans="1:79" s="108" customFormat="1" ht="29.25" customHeight="1">
      <c r="A25" s="99">
        <v>45411</v>
      </c>
      <c r="B25" s="100">
        <f t="shared" si="171"/>
        <v>87</v>
      </c>
      <c r="C25" s="101">
        <v>11.5</v>
      </c>
      <c r="D25" s="101">
        <f t="shared" ref="D25" si="271">C25-$W$6</f>
        <v>6.41</v>
      </c>
      <c r="E25" s="102" cm="1">
        <f t="array" ref="E25">IFERROR(_xlfn.SINGLE(INDEX(DATABASE!$AV$14:$BC$989,SUMPRODUCT((ROW(DATABASE!$AV$14:$AV$989)) * (DATABASE!AG$14:$AV$989='Résultats observations'!$A25 ) * (DATABASE!$AW$14:$AW$989= E$4))-ROW(DATABASE!$AV$14)+1,E$5)),"")</f>
        <v>823058.96849999996</v>
      </c>
      <c r="F25" s="102" cm="1">
        <f t="array" ref="F25">IFERROR(_xlfn.SINGLE(INDEX(DATABASE!$AV$14:$BC$989,SUMPRODUCT((ROW(DATABASE!$AV$14:$AV$989)) * (DATABASE!AH$14:$AV$989='Résultats observations'!$A25 ) * (DATABASE!$AW$14:$AW$989= F$4))-ROW(DATABASE!$AV$14)+1,F$5)),"")</f>
        <v>1091426.6584000001</v>
      </c>
      <c r="G25" s="102" cm="1">
        <f t="array" ref="G25">IFERROR(_xlfn.SINGLE(INDEX(DATABASE!$AV$14:$BC$989,SUMPRODUCT((ROW(DATABASE!$AV$14:$AV$989)) * (DATABASE!AI$14:$AV$989='Résultats observations'!$A25 ) * (DATABASE!$AW$14:$AW$989= G$4))-ROW(DATABASE!$AV$14)+1,G$5)),"")</f>
        <v>-123.0604</v>
      </c>
      <c r="H25" s="102" cm="1">
        <f t="array" ref="H25">IFERROR(_xlfn.SINGLE(INDEX(DATABASE!$AV$14:$BC$989,SUMPRODUCT((ROW(DATABASE!$AV$14:$AV$989)) * (DATABASE!AJ$14:$AV$989='Résultats observations'!$A25 ) * (DATABASE!$AW$14:$AW$989= H$4))-ROW(DATABASE!$AV$14)+1,H$5)),"")</f>
        <v>823058.93039999995</v>
      </c>
      <c r="I25" s="102" cm="1">
        <f t="array" ref="I25">IFERROR(_xlfn.SINGLE(INDEX(DATABASE!$AV$14:$BC$989,SUMPRODUCT((ROW(DATABASE!$AV$14:$AV$989)) * (DATABASE!AK$14:$AV$989='Résultats observations'!$A25 ) * (DATABASE!$AW$14:$AW$989= I$4))-ROW(DATABASE!$AV$14)+1,I$5)),"")</f>
        <v>1091426.7427000001</v>
      </c>
      <c r="J25" s="102" cm="1">
        <f t="array" ref="J25">IFERROR(_xlfn.SINGLE(INDEX(DATABASE!$AV$14:$BC$989,SUMPRODUCT((ROW(DATABASE!$AV$14:$AV$989)) * (DATABASE!AL$14:$AV$989='Résultats observations'!$A25 ) * (DATABASE!$AW$14:$AW$989= J$4))-ROW(DATABASE!$AV$14)+1,J$5)),"")</f>
        <v>-121.1288</v>
      </c>
      <c r="K25" s="102" cm="1">
        <f t="array" ref="K25">IFERROR(_xlfn.SINGLE(INDEX(DATABASE!$AV$14:$BC$989,SUMPRODUCT((ROW(DATABASE!$AV$14:$AV$989)) * (DATABASE!AM$14:$AV$989='Résultats observations'!$A25 ) * (DATABASE!$AW$14:$AW$989= K$4))-ROW(DATABASE!$AV$14)+1,K$5)),"")</f>
        <v>823057.99670000002</v>
      </c>
      <c r="L25" s="102" cm="1">
        <f t="array" ref="L25">IFERROR(_xlfn.SINGLE(INDEX(DATABASE!$AV$14:$BC$989,SUMPRODUCT((ROW(DATABASE!$AV$14:$AV$989)) * (DATABASE!AN$14:$AV$989='Résultats observations'!$A25 ) * (DATABASE!$AW$14:$AW$989= L$4))-ROW(DATABASE!$AV$14)+1,L$5)),"")</f>
        <v>1091429.0841000001</v>
      </c>
      <c r="M25" s="102" cm="1">
        <f t="array" ref="M25">IFERROR(_xlfn.SINGLE(INDEX(DATABASE!$AV$14:$BC$989,SUMPRODUCT((ROW(DATABASE!$AV$14:$AV$989)) * (DATABASE!AO$14:$AV$989='Résultats observations'!$A25 ) * (DATABASE!$AW$14:$AW$989= M$4))-ROW(DATABASE!$AV$14)+1,M$5)),"")</f>
        <v>-119.6885</v>
      </c>
      <c r="N25" s="102" cm="1">
        <f t="array" ref="N25">IFERROR(_xlfn.SINGLE(INDEX(DATABASE!$AV$14:$BC$989,SUMPRODUCT((ROW(DATABASE!$AV$14:$AV$989)) * (DATABASE!AP$14:$AV$989='Résultats observations'!$A25 ) * (DATABASE!$AW$14:$AW$989= N$4))-ROW(DATABASE!$AV$14)+1,N$5)),"")</f>
        <v>823056.97160000005</v>
      </c>
      <c r="O25" s="102" cm="1">
        <f t="array" ref="O25">IFERROR(_xlfn.SINGLE(INDEX(DATABASE!$AV$14:$BC$989,SUMPRODUCT((ROW(DATABASE!$AV$14:$AV$989)) * (DATABASE!AQ$14:$AV$989='Résultats observations'!$A25 ) * (DATABASE!$AW$14:$AW$989= O$4))-ROW(DATABASE!$AV$14)+1,O$5)),"")</f>
        <v>1091430.3836999999</v>
      </c>
      <c r="P25" s="102" cm="1">
        <f t="array" ref="P25">IFERROR(_xlfn.SINGLE(INDEX(DATABASE!$AV$14:$BC$989,SUMPRODUCT((ROW(DATABASE!$AV$14:$AV$989)) * (DATABASE!AR$14:$AV$989='Résultats observations'!$A25 ) * (DATABASE!$AW$14:$AW$989= P$4))-ROW(DATABASE!$AV$14)+1,P$5)),"")</f>
        <v>-120.0956</v>
      </c>
      <c r="Q25" s="102" cm="1">
        <f t="array" ref="Q25">IFERROR(_xlfn.SINGLE(INDEX(DATABASE!$AV$14:$BC$989,SUMPRODUCT((ROW(DATABASE!$AV$14:$AV$989)) * (DATABASE!AS$14:$AV$989='Résultats observations'!$A25 ) * (DATABASE!$AW$14:$AW$989= Q$4))-ROW(DATABASE!$AV$14)+1,Q$5)),"")</f>
        <v>823056.71380000003</v>
      </c>
      <c r="R25" s="102" cm="1">
        <f t="array" ref="R25">IFERROR(_xlfn.SINGLE(INDEX(DATABASE!$AV$14:$BC$989,SUMPRODUCT((ROW(DATABASE!$AV$14:$AV$989)) * (DATABASE!AT$14:$AV$989='Résultats observations'!$A25 ) * (DATABASE!$AW$14:$AW$989= R$4))-ROW(DATABASE!$AV$14)+1,R$5)),"")</f>
        <v>1091431.4513999999</v>
      </c>
      <c r="S25" s="102" cm="1">
        <f t="array" ref="S25">IFERROR(_xlfn.SINGLE(INDEX(DATABASE!$AV$14:$BC$989,SUMPRODUCT((ROW(DATABASE!$AV$14:$AV$989)) * (DATABASE!AU$14:$AV$989='Résultats observations'!$A25 ) * (DATABASE!$AW$14:$AW$989= S$4))-ROW(DATABASE!$AV$14)+1,S$5)),"")</f>
        <v>-123.0033</v>
      </c>
      <c r="T25" s="103">
        <f t="shared" si="2"/>
        <v>4.265926082340199</v>
      </c>
      <c r="U25" s="103">
        <f t="shared" si="3"/>
        <v>2.9031730468642536</v>
      </c>
      <c r="V25" s="103">
        <f t="shared" si="4"/>
        <v>1.7045587638461206</v>
      </c>
      <c r="W25" s="103">
        <f t="shared" si="5"/>
        <v>4.2705785016871172</v>
      </c>
      <c r="X25" s="103">
        <f t="shared" si="6"/>
        <v>4.2616054109200308</v>
      </c>
      <c r="Y25" s="103">
        <f t="shared" si="7"/>
        <v>5.2971484308134533</v>
      </c>
      <c r="Z25" s="104">
        <f t="shared" si="165"/>
        <v>-2.3527622567733886</v>
      </c>
      <c r="AA25" s="104">
        <f t="shared" si="166"/>
        <v>1.359006939326779</v>
      </c>
      <c r="AB25" s="104">
        <f t="shared" si="167"/>
        <v>-9.3960218854740596</v>
      </c>
      <c r="AC25" s="104">
        <f t="shared" si="168"/>
        <v>-9.5305988852194545</v>
      </c>
      <c r="AD25" s="104">
        <f t="shared" si="169"/>
        <v>-8.2596203051590322</v>
      </c>
      <c r="AE25" s="104">
        <f t="shared" si="170"/>
        <v>-8.3910463354959219</v>
      </c>
      <c r="AF25" s="105"/>
      <c r="AG25" s="106">
        <f t="shared" si="32"/>
        <v>0.20000000949949026</v>
      </c>
      <c r="AH25" s="106">
        <f t="shared" si="33"/>
        <v>4.7000001650303602</v>
      </c>
      <c r="AI25" s="106">
        <f t="shared" si="34"/>
        <v>0.90000000000145519</v>
      </c>
      <c r="AJ25" s="106">
        <f t="shared" ref="AJ25" si="272">IF(H25="","",(H25-H$10)*1000)</f>
        <v>-1.1500000255182385</v>
      </c>
      <c r="AK25" s="106">
        <f t="shared" ref="AK25" si="273">IF(I25="","",(I25-I$10)*1000)</f>
        <v>2.3000000510364771</v>
      </c>
      <c r="AL25" s="106">
        <f t="shared" ref="AL25" si="274">IF(J25="","",(J25-J$10)*1000)</f>
        <v>-1.1999999999972033</v>
      </c>
      <c r="AM25" s="106">
        <f t="shared" ref="AM25" si="275">IF(K25="","",(K25-K$10)*1000)</f>
        <v>-3.4499999601393938</v>
      </c>
      <c r="AN25" s="106">
        <f t="shared" ref="AN25" si="276">IF(L25="","",(L25-L$10)*1000)</f>
        <v>3.9000001270323992</v>
      </c>
      <c r="AO25" s="106">
        <f t="shared" ref="AO25" si="277">IF(M25="","",(M25-M$10)*1000)</f>
        <v>-2.5499999999993861</v>
      </c>
      <c r="AP25" s="106">
        <f t="shared" ref="AP25" si="278">IF(N25="","",(N25-N$10)*1000)</f>
        <v>4.1000000201165676</v>
      </c>
      <c r="AQ25" s="106">
        <f t="shared" ref="AQ25" si="279">IF(O25="","",(O25-O$10)*1000)</f>
        <v>-3.3500001300126314</v>
      </c>
      <c r="AR25" s="106">
        <f t="shared" ref="AR25" si="280">IF(P25="","",(P25-P$18)*1000)+AR$18</f>
        <v>-4.8750000000268301</v>
      </c>
      <c r="AS25" s="106">
        <f t="shared" si="73"/>
        <v>3.1500000040978193</v>
      </c>
      <c r="AT25" s="106">
        <f t="shared" si="74"/>
        <v>-3.2000001519918442</v>
      </c>
      <c r="AU25" s="106">
        <f t="shared" si="75"/>
        <v>2.0999999999986585</v>
      </c>
      <c r="AV25" s="105"/>
      <c r="AW25" s="107" cm="1">
        <f t="array" ref="AW25">IFERROR(_xlfn.SINGLE(INDEX(DATABASE!$AV$14:$BC$989,SUMPRODUCT((ROW(DATABASE!$AV$14:$AV$989)) * (DATABASE!$AV$14:HY$989='Résultats observations'!$A25 ) * (DATABASE!$AW$14:$AW$989= AW$4))-ROW(DATABASE!$AV$14)+1,AW$5)),"")</f>
        <v>5.0658791077971355</v>
      </c>
      <c r="AX25" s="107" cm="1">
        <f t="array" ref="AX25">IFERROR(_xlfn.SINGLE(INDEX(DATABASE!$AV$14:$BC$989,SUMPRODUCT((ROW(DATABASE!$AV$14:$AV$989)) * (DATABASE!$AV$14:HZ$989='Résultats observations'!$A25 ) * (DATABASE!$AW$14:$AW$989= AX$4))-ROW(DATABASE!$AV$14)+1,AX$5)),"")</f>
        <v>-2.6213196439138193</v>
      </c>
      <c r="AY25" s="107" cm="1">
        <f t="array" ref="AY25">IFERROR(_xlfn.SINGLE(INDEX(DATABASE!$AV$14:$BC$989,SUMPRODUCT((ROW(DATABASE!$AV$14:$AV$989)) * (DATABASE!$AV$14:IA$989='Résultats observations'!$A25 ) * (DATABASE!$AW$14:$AW$989= AY$4))-ROW(DATABASE!$AV$14)+1,AY$5)),"")</f>
        <v>-0.7840587910779675</v>
      </c>
      <c r="AZ25" s="107" cm="1">
        <f t="array" ref="AZ25">IFERROR(_xlfn.SINGLE(INDEX(DATABASE!$AV$14:$BC$989,SUMPRODUCT((ROW(DATABASE!$AV$14:$AV$989)) * (DATABASE!$AV$14:IB$989='Résultats observations'!$A25 ) * (DATABASE!$AW$14:$AW$989= AZ$4))-ROW(DATABASE!$AV$14)+1,AZ$5)),"")</f>
        <v>5.0647841869300239</v>
      </c>
      <c r="BA25" s="107" cm="1">
        <f t="array" ref="BA25">IFERROR(_xlfn.SINGLE(INDEX(DATABASE!$AV$14:$BC$989,SUMPRODUCT((ROW(DATABASE!$AV$14:$AV$989)) * (DATABASE!$AV$14:IC$989='Résultats observations'!$A25 ) * (DATABASE!$AW$14:$AW$989= BA$4))-ROW(DATABASE!$AV$14)+1,BA$5)),"")</f>
        <v>-2.5288161242693268</v>
      </c>
      <c r="BB25" s="107" cm="1">
        <f t="array" ref="BB25">IFERROR(_xlfn.SINGLE(INDEX(DATABASE!$AV$14:$BC$989,SUMPRODUCT((ROW(DATABASE!$AV$14:$AV$989)) * (DATABASE!$AV$14:ID$989='Résultats observations'!$A25 ) * (DATABASE!$AW$14:$AW$989= BB$4))-ROW(DATABASE!$AV$14)+1,BB$5)),"")</f>
        <v>1.1475521581306936</v>
      </c>
      <c r="BC25" s="107" cm="1">
        <f t="array" ref="BC25">IFERROR(_xlfn.SINGLE(INDEX(DATABASE!$AV$14:$BC$989,SUMPRODUCT((ROW(DATABASE!$AV$14:$AV$989)) * (DATABASE!$AV$14:IE$989='Résultats observations'!$A25 ) * (DATABASE!$AW$14:$AW$989= BC$4))-ROW(DATABASE!$AV$14)+1,BC$5)),"")</f>
        <v>4.921525413784746</v>
      </c>
      <c r="BD25" s="107" cm="1">
        <f t="array" ref="BD25">IFERROR(_xlfn.SINGLE(INDEX(DATABASE!$AV$14:$BC$989,SUMPRODUCT((ROW(DATABASE!$AV$14:$AV$989)) * (DATABASE!$AV$14:IF$989='Résultats observations'!$A25 ) * (DATABASE!$AW$14:$AW$989= BD$4))-ROW(DATABASE!$AV$14)+1,BD$5)),"")</f>
        <v>-1.2186120880668448E-2</v>
      </c>
      <c r="BE25" s="107" cm="1">
        <f t="array" ref="BE25">IFERROR(_xlfn.SINGLE(INDEX(DATABASE!$AV$14:$BC$989,SUMPRODUCT((ROW(DATABASE!$AV$14:$AV$989)) * (DATABASE!$AV$14:IG$989='Résultats observations'!$A25 ) * (DATABASE!$AW$14:$AW$989= BE$4))-ROW(DATABASE!$AV$14)+1,BE$5)),"")</f>
        <v>2.5892847458621446</v>
      </c>
      <c r="BF25" s="107" cm="1">
        <f t="array" ref="BF25">IFERROR(_xlfn.SINGLE(INDEX(DATABASE!$AV$14:$BC$989,SUMPRODUCT((ROW(DATABASE!$AV$14:$AV$989)) * (DATABASE!$AV$14:IH$989='Résultats observations'!$A25 ) * (DATABASE!$AW$14:$AW$989= BF$4))-ROW(DATABASE!$AV$14)+1,BF$5)),"")</f>
        <v>5.3013724683245451</v>
      </c>
      <c r="BG25" s="107" cm="1">
        <f t="array" ref="BG25">IFERROR(_xlfn.SINGLE(INDEX(DATABASE!$AV$14:$BC$989,SUMPRODUCT((ROW(DATABASE!$AV$14:$AV$989)) * (DATABASE!$AV$14:II$989='Résultats observations'!$A25 ) * (DATABASE!$AW$14:$AW$989= BG$4))-ROW(DATABASE!$AV$14)+1,BG$5)),"")</f>
        <v>1.5988714151999204</v>
      </c>
      <c r="BH25" s="107" cm="1">
        <f t="array" ref="BH25">IFERROR(_xlfn.SINGLE(INDEX(DATABASE!$AV$14:$BC$989,SUMPRODUCT((ROW(DATABASE!$AV$14:$AV$989)) * (DATABASE!$AV$14:IJ$989='Résultats observations'!$A25 ) * (DATABASE!$AW$14:$AW$989= BH$4))-ROW(DATABASE!$AV$14)+1,BH$5)),"")</f>
        <v>2.178386275316754</v>
      </c>
      <c r="BI25" s="107" cm="1">
        <f t="array" ref="BI25">IFERROR(_xlfn.SINGLE(INDEX(DATABASE!$AV$14:$BC$989,SUMPRODUCT((ROW(DATABASE!$AV$14:$AV$989)) * (DATABASE!$AV$14:IK$989='Résultats observations'!$A25 ) * (DATABASE!$AW$14:$AW$989= BI$4))-ROW(DATABASE!$AV$14)+1,BI$5)),"")</f>
        <v>5.083806228747755</v>
      </c>
      <c r="BJ25" s="107" cm="1">
        <f t="array" ref="BJ25">IFERROR(_xlfn.SINGLE(INDEX(DATABASE!$AV$14:$BC$989,SUMPRODUCT((ROW(DATABASE!$AV$14:$AV$989)) * (DATABASE!$AV$14:IL$989='Résultats observations'!$A25 ) * (DATABASE!$AW$14:$AW$989= BJ$4))-ROW(DATABASE!$AV$14)+1,BJ$5)),"")</f>
        <v>2.6754906893342789</v>
      </c>
      <c r="BK25" s="107" cm="1">
        <f t="array" ref="BK25">IFERROR(_xlfn.SINGLE(INDEX(DATABASE!$AV$14:$BC$989,SUMPRODUCT((ROW(DATABASE!$AV$14:$AV$989)) * (DATABASE!$AV$14:IM$989='Résultats observations'!$A25 ) * (DATABASE!$AW$14:$AW$989= BK$4))-ROW(DATABASE!$AV$14)+1,BK$5)),"")</f>
        <v>-0.72713806228748012</v>
      </c>
      <c r="BL25" s="105"/>
      <c r="BM25" s="106">
        <f t="shared" si="47"/>
        <v>-2.1675010317538934</v>
      </c>
      <c r="BN25" s="106">
        <f t="shared" si="48"/>
        <v>4.1751575817481346</v>
      </c>
      <c r="BO25" s="106">
        <f t="shared" si="49"/>
        <v>0.9216750103320237</v>
      </c>
      <c r="BP25" s="106">
        <f t="shared" ref="BP25" si="281">IF(AZ25="","",(AZ25-AZ$10)*1000)</f>
        <v>7.0272856339315126E-2</v>
      </c>
      <c r="BQ25" s="106">
        <f t="shared" ref="BQ25" si="282">IF(BA25="","",(BA25-BA$10)*1000)</f>
        <v>2.5705178503780957</v>
      </c>
      <c r="BR25" s="106">
        <f t="shared" ref="BR25" si="283">IF(BB25="","",(BB25-BB$10)*1000)</f>
        <v>-1.2007027285676486</v>
      </c>
      <c r="BS25" s="106">
        <f t="shared" ref="BS25" si="284">IF(BC25="","",(BC25-BC$10)*1000)</f>
        <v>1.4786299965034999</v>
      </c>
      <c r="BT25" s="106">
        <f t="shared" ref="BT25" si="285">IF(BD25="","",(BD25-BD$10)*1000)</f>
        <v>4.9926099436320612</v>
      </c>
      <c r="BU25" s="106">
        <f t="shared" ref="BU25" si="286">IF(BE25="","",(BE25-BE$10)*1000)</f>
        <v>-2.5647862999704785</v>
      </c>
      <c r="BV25" s="106">
        <f t="shared" ref="BV25" si="287">IF(BF25="","",(BF25-BF$10)*1000)</f>
        <v>-2.3001665944759608</v>
      </c>
      <c r="BW25" s="106">
        <f t="shared" ref="BW25" si="288">IF(BG25="","",(BG25-BG$10)*1000)</f>
        <v>-4.7688294867518355</v>
      </c>
      <c r="BX25" s="106">
        <f t="shared" ref="BX25" si="289">IF(BH25="","",(BH25-BH$18)*1000)+BX$18</f>
        <v>-4.8449158614261023</v>
      </c>
      <c r="BY25" s="106">
        <f t="shared" si="59"/>
        <v>-1.5025583607890525</v>
      </c>
      <c r="BZ25" s="106">
        <f t="shared" si="60"/>
        <v>-4.2314086745403046</v>
      </c>
      <c r="CA25" s="106">
        <f t="shared" si="61"/>
        <v>2.1150255836062115</v>
      </c>
    </row>
    <row r="26" spans="1:79" s="108" customFormat="1" ht="29.25" customHeight="1">
      <c r="A26" s="99">
        <v>45426</v>
      </c>
      <c r="B26" s="100">
        <f t="shared" si="171"/>
        <v>102</v>
      </c>
      <c r="C26" s="101">
        <v>11.5</v>
      </c>
      <c r="D26" s="101">
        <f t="shared" ref="D26" si="290">C26-$W$6</f>
        <v>6.41</v>
      </c>
      <c r="E26" s="102" cm="1">
        <f t="array" ref="E26">IFERROR(_xlfn.SINGLE(INDEX(DATABASE!$AV$14:$BC$989,SUMPRODUCT((ROW(DATABASE!$AV$14:$AV$989)) * (DATABASE!AG$14:$AV$989='Résultats observations'!$A26 ) * (DATABASE!$AW$14:$AW$989= E$4))-ROW(DATABASE!$AV$14)+1,E$5)),"")</f>
        <v>823058.96880000003</v>
      </c>
      <c r="F26" s="102" cm="1">
        <f t="array" ref="F26">IFERROR(_xlfn.SINGLE(INDEX(DATABASE!$AV$14:$BC$989,SUMPRODUCT((ROW(DATABASE!$AV$14:$AV$989)) * (DATABASE!AH$14:$AV$989='Résultats observations'!$A26 ) * (DATABASE!$AW$14:$AW$989= F$4))-ROW(DATABASE!$AV$14)+1,F$5)),"")</f>
        <v>1091426.6580000001</v>
      </c>
      <c r="G26" s="102" cm="1">
        <f t="array" ref="G26">IFERROR(_xlfn.SINGLE(INDEX(DATABASE!$AV$14:$BC$989,SUMPRODUCT((ROW(DATABASE!$AV$14:$AV$989)) * (DATABASE!AI$14:$AV$989='Résultats observations'!$A26 ) * (DATABASE!$AW$14:$AW$989= G$4))-ROW(DATABASE!$AV$14)+1,G$5)),"")</f>
        <v>-123.06059999999999</v>
      </c>
      <c r="H26" s="102" cm="1">
        <f t="array" ref="H26">IFERROR(_xlfn.SINGLE(INDEX(DATABASE!$AV$14:$BC$989,SUMPRODUCT((ROW(DATABASE!$AV$14:$AV$989)) * (DATABASE!AJ$14:$AV$989='Résultats observations'!$A26 ) * (DATABASE!$AW$14:$AW$989= H$4))-ROW(DATABASE!$AV$14)+1,H$5)),"")</f>
        <v>823058.93059999996</v>
      </c>
      <c r="I26" s="102" cm="1">
        <f t="array" ref="I26">IFERROR(_xlfn.SINGLE(INDEX(DATABASE!$AV$14:$BC$989,SUMPRODUCT((ROW(DATABASE!$AV$14:$AV$989)) * (DATABASE!AK$14:$AV$989='Résultats observations'!$A26 ) * (DATABASE!$AW$14:$AW$989= I$4))-ROW(DATABASE!$AV$14)+1,I$5)),"")</f>
        <v>1091426.7420000001</v>
      </c>
      <c r="J26" s="102" cm="1">
        <f t="array" ref="J26">IFERROR(_xlfn.SINGLE(INDEX(DATABASE!$AV$14:$BC$989,SUMPRODUCT((ROW(DATABASE!$AV$14:$AV$989)) * (DATABASE!AL$14:$AV$989='Résultats observations'!$A26 ) * (DATABASE!$AW$14:$AW$989= J$4))-ROW(DATABASE!$AV$14)+1,J$5)),"")</f>
        <v>-121.1289</v>
      </c>
      <c r="K26" s="102" cm="1">
        <f t="array" ref="K26">IFERROR(_xlfn.SINGLE(INDEX(DATABASE!$AV$14:$BC$989,SUMPRODUCT((ROW(DATABASE!$AV$14:$AV$989)) * (DATABASE!AM$14:$AV$989='Résultats observations'!$A26 ) * (DATABASE!$AW$14:$AW$989= K$4))-ROW(DATABASE!$AV$14)+1,K$5)),"")</f>
        <v>823057.99699999997</v>
      </c>
      <c r="L26" s="102" cm="1">
        <f t="array" ref="L26">IFERROR(_xlfn.SINGLE(INDEX(DATABASE!$AV$14:$BC$989,SUMPRODUCT((ROW(DATABASE!$AV$14:$AV$989)) * (DATABASE!AN$14:$AV$989='Résultats observations'!$A26 ) * (DATABASE!$AW$14:$AW$989= L$4))-ROW(DATABASE!$AV$14)+1,L$5)),"")</f>
        <v>1091429.0837000001</v>
      </c>
      <c r="M26" s="102" cm="1">
        <f t="array" ref="M26">IFERROR(_xlfn.SINGLE(INDEX(DATABASE!$AV$14:$BC$989,SUMPRODUCT((ROW(DATABASE!$AV$14:$AV$989)) * (DATABASE!AO$14:$AV$989='Résultats observations'!$A26 ) * (DATABASE!$AW$14:$AW$989= M$4))-ROW(DATABASE!$AV$14)+1,M$5)),"")</f>
        <v>-119.6887</v>
      </c>
      <c r="N26" s="102" cm="1">
        <f t="array" ref="N26">IFERROR(_xlfn.SINGLE(INDEX(DATABASE!$AV$14:$BC$989,SUMPRODUCT((ROW(DATABASE!$AV$14:$AV$989)) * (DATABASE!AP$14:$AV$989='Résultats observations'!$A26 ) * (DATABASE!$AW$14:$AW$989= N$4))-ROW(DATABASE!$AV$14)+1,N$5)),"")</f>
        <v>823056.97219999996</v>
      </c>
      <c r="O26" s="102" cm="1">
        <f t="array" ref="O26">IFERROR(_xlfn.SINGLE(INDEX(DATABASE!$AV$14:$BC$989,SUMPRODUCT((ROW(DATABASE!$AV$14:$AV$989)) * (DATABASE!AQ$14:$AV$989='Résultats observations'!$A26 ) * (DATABASE!$AW$14:$AW$989= O$4))-ROW(DATABASE!$AV$14)+1,O$5)),"")</f>
        <v>1091430.3832</v>
      </c>
      <c r="P26" s="102" cm="1">
        <f t="array" ref="P26">IFERROR(_xlfn.SINGLE(INDEX(DATABASE!$AV$14:$BC$989,SUMPRODUCT((ROW(DATABASE!$AV$14:$AV$989)) * (DATABASE!AR$14:$AV$989='Résultats observations'!$A26 ) * (DATABASE!$AW$14:$AW$989= P$4))-ROW(DATABASE!$AV$14)+1,P$5)),"")</f>
        <v>-120.09610000000001</v>
      </c>
      <c r="Q26" s="102" cm="1">
        <f t="array" ref="Q26">IFERROR(_xlfn.SINGLE(INDEX(DATABASE!$AV$14:$BC$989,SUMPRODUCT((ROW(DATABASE!$AV$14:$AV$989)) * (DATABASE!AS$14:$AV$989='Résultats observations'!$A26 ) * (DATABASE!$AW$14:$AW$989= Q$4))-ROW(DATABASE!$AV$14)+1,Q$5)),"")</f>
        <v>823056.7132</v>
      </c>
      <c r="R26" s="102" cm="1">
        <f t="array" ref="R26">IFERROR(_xlfn.SINGLE(INDEX(DATABASE!$AV$14:$BC$989,SUMPRODUCT((ROW(DATABASE!$AV$14:$AV$989)) * (DATABASE!AT$14:$AV$989='Résultats observations'!$A26 ) * (DATABASE!$AW$14:$AW$989= R$4))-ROW(DATABASE!$AV$14)+1,R$5)),"")</f>
        <v>1091431.4506999999</v>
      </c>
      <c r="S26" s="102" cm="1">
        <f t="array" ref="S26">IFERROR(_xlfn.SINGLE(INDEX(DATABASE!$AV$14:$BC$989,SUMPRODUCT((ROW(DATABASE!$AV$14:$AV$989)) * (DATABASE!AU$14:$AV$989='Résultats observations'!$A26 ) * (DATABASE!$AW$14:$AW$989= S$4))-ROW(DATABASE!$AV$14)+1,S$5)),"")</f>
        <v>-123.00369999999999</v>
      </c>
      <c r="T26" s="103">
        <f t="shared" si="2"/>
        <v>4.2659260823667191</v>
      </c>
      <c r="U26" s="103">
        <f t="shared" si="3"/>
        <v>2.9033332378376895</v>
      </c>
      <c r="V26" s="103">
        <f t="shared" si="4"/>
        <v>1.7043737999442141</v>
      </c>
      <c r="W26" s="103">
        <f t="shared" si="5"/>
        <v>4.2708379083314236</v>
      </c>
      <c r="X26" s="103">
        <f t="shared" si="6"/>
        <v>4.2614954933311164</v>
      </c>
      <c r="Y26" s="103">
        <f t="shared" si="7"/>
        <v>5.2972579943727673</v>
      </c>
      <c r="Z26" s="104">
        <f t="shared" si="165"/>
        <v>-2.3527622302532691</v>
      </c>
      <c r="AA26" s="104">
        <f t="shared" si="166"/>
        <v>1.5191979127626709</v>
      </c>
      <c r="AB26" s="104">
        <f t="shared" si="167"/>
        <v>-9.580985787380536</v>
      </c>
      <c r="AC26" s="104">
        <f t="shared" si="168"/>
        <v>-9.2711922409129954</v>
      </c>
      <c r="AD26" s="104">
        <f t="shared" si="169"/>
        <v>-8.3695378940733534</v>
      </c>
      <c r="AE26" s="104">
        <f t="shared" si="170"/>
        <v>-8.2814827761819032</v>
      </c>
      <c r="AF26" s="105"/>
      <c r="AG26" s="106">
        <f t="shared" si="32"/>
        <v>0.50000008195638657</v>
      </c>
      <c r="AH26" s="106">
        <f t="shared" si="33"/>
        <v>4.3000001460313797</v>
      </c>
      <c r="AI26" s="106">
        <f t="shared" si="34"/>
        <v>0.70000000000902673</v>
      </c>
      <c r="AJ26" s="106">
        <f t="shared" ref="AJ26" si="291">IF(H26="","",(H26-H$10)*1000)</f>
        <v>-0.95000001601874828</v>
      </c>
      <c r="AK26" s="106">
        <f t="shared" ref="AK26" si="292">IF(I26="","",(I26-I$10)*1000)</f>
        <v>1.6000000759959221</v>
      </c>
      <c r="AL26" s="106">
        <f t="shared" ref="AL26" si="293">IF(J26="","",(J26-J$10)*1000)</f>
        <v>-1.300000000000523</v>
      </c>
      <c r="AM26" s="106">
        <f t="shared" ref="AM26" si="294">IF(K26="","",(K26-K$10)*1000)</f>
        <v>-3.1500000040978193</v>
      </c>
      <c r="AN26" s="106">
        <f t="shared" ref="AN26" si="295">IF(L26="","",(L26-L$10)*1000)</f>
        <v>3.5000001080334187</v>
      </c>
      <c r="AO26" s="106">
        <f t="shared" ref="AO26" si="296">IF(M26="","",(M26-M$10)*1000)</f>
        <v>-2.7499999999918145</v>
      </c>
      <c r="AP26" s="106">
        <f t="shared" ref="AP26" si="297">IF(N26="","",(N26-N$10)*1000)</f>
        <v>4.6999999321997166</v>
      </c>
      <c r="AQ26" s="106">
        <f t="shared" ref="AQ26" si="298">IF(O26="","",(O26-O$10)*1000)</f>
        <v>-3.8499999791383743</v>
      </c>
      <c r="AR26" s="106">
        <f t="shared" ref="AR26" si="299">IF(P26="","",(P26-P$18)*1000)+AR$18</f>
        <v>-5.3750000000292175</v>
      </c>
      <c r="AS26" s="106">
        <f t="shared" si="73"/>
        <v>2.5499999755993485</v>
      </c>
      <c r="AT26" s="106">
        <f t="shared" si="74"/>
        <v>-3.9000001270323992</v>
      </c>
      <c r="AU26" s="106">
        <f t="shared" si="75"/>
        <v>1.6999999999995907</v>
      </c>
      <c r="AV26" s="105"/>
      <c r="AW26" s="107" cm="1">
        <f t="array" ref="AW26">IFERROR(_xlfn.SINGLE(INDEX(DATABASE!$AV$14:$BC$989,SUMPRODUCT((ROW(DATABASE!$AV$14:$AV$989)) * (DATABASE!$AV$14:HY$989='Résultats observations'!$A26 ) * (DATABASE!$AW$14:$AW$989= AW$4))-ROW(DATABASE!$AV$14)+1,AW$5)),"")</f>
        <v>5.06577625492229</v>
      </c>
      <c r="AX26" s="107" cm="1">
        <f t="array" ref="AX26">IFERROR(_xlfn.SINGLE(INDEX(DATABASE!$AV$14:$BC$989,SUMPRODUCT((ROW(DATABASE!$AV$14:$AV$989)) * (DATABASE!$AV$14:HZ$989='Résultats observations'!$A26 ) * (DATABASE!$AW$14:$AW$989= AX$4))-ROW(DATABASE!$AV$14)+1,AX$5)),"")</f>
        <v>-2.621808950918481</v>
      </c>
      <c r="AY26" s="107" cm="1">
        <f t="array" ref="AY26">IFERROR(_xlfn.SINGLE(INDEX(DATABASE!$AV$14:$BC$989,SUMPRODUCT((ROW(DATABASE!$AV$14:$AV$989)) * (DATABASE!$AV$14:IA$989='Résultats observations'!$A26 ) * (DATABASE!$AW$14:$AW$989= AY$4))-ROW(DATABASE!$AV$14)+1,AY$5)),"")</f>
        <v>-0.78425776254921686</v>
      </c>
      <c r="AZ26" s="107" cm="1">
        <f t="array" ref="AZ26">IFERROR(_xlfn.SINGLE(INDEX(DATABASE!$AV$14:$BC$989,SUMPRODUCT((ROW(DATABASE!$AV$14:$AV$989)) * (DATABASE!$AV$14:IB$989='Résultats observations'!$A26 ) * (DATABASE!$AW$14:$AW$989= AZ$4))-ROW(DATABASE!$AV$14)+1,AZ$5)),"")</f>
        <v>5.0648987466970139</v>
      </c>
      <c r="BA26" s="107" cm="1">
        <f t="array" ref="BA26">IFERROR(_xlfn.SINGLE(INDEX(DATABASE!$AV$14:$BC$989,SUMPRODUCT((ROW(DATABASE!$AV$14:$AV$989)) * (DATABASE!$AV$14:IC$989='Résultats observations'!$A26 ) * (DATABASE!$AW$14:$AW$989= BA$4))-ROW(DATABASE!$AV$14)+1,BA$5)),"")</f>
        <v>-2.5295350651769413</v>
      </c>
      <c r="BB26" s="107" cm="1">
        <f t="array" ref="BB26">IFERROR(_xlfn.SINGLE(INDEX(DATABASE!$AV$14:$BC$989,SUMPRODUCT((ROW(DATABASE!$AV$14:$AV$989)) * (DATABASE!$AV$14:ID$989='Résultats observations'!$A26 ) * (DATABASE!$AW$14:$AW$989= BB$4))-ROW(DATABASE!$AV$14)+1,BB$5)),"")</f>
        <v>1.1474510125330255</v>
      </c>
      <c r="BC26" s="107" cm="1">
        <f t="array" ref="BC26">IFERROR(_xlfn.SINGLE(INDEX(DATABASE!$AV$14:$BC$989,SUMPRODUCT((ROW(DATABASE!$AV$14:$AV$989)) * (DATABASE!$AV$14:IE$989='Résultats observations'!$A26 ) * (DATABASE!$AW$14:$AW$989= BC$4))-ROW(DATABASE!$AV$14)+1,BC$5)),"")</f>
        <v>4.9214225610154108</v>
      </c>
      <c r="BD26" s="107" cm="1">
        <f t="array" ref="BD26">IFERROR(_xlfn.SINGLE(INDEX(DATABASE!$AV$14:$BC$989,SUMPRODUCT((ROW(DATABASE!$AV$14:$AV$989)) * (DATABASE!$AV$14:IF$989='Résultats observations'!$A26 ) * (DATABASE!$AW$14:$AW$989= BD$4))-ROW(DATABASE!$AV$14)+1,BD$5)),"")</f>
        <v>-1.2675427836128008E-2</v>
      </c>
      <c r="BE26" s="107" cm="1">
        <f t="array" ref="BE26">IFERROR(_xlfn.SINGLE(INDEX(DATABASE!$AV$14:$BC$989,SUMPRODUCT((ROW(DATABASE!$AV$14:$AV$989)) * (DATABASE!$AV$14:IG$989='Résultats observations'!$A26 ) * (DATABASE!$AW$14:$AW$989= BE$4))-ROW(DATABASE!$AV$14)+1,BE$5)),"")</f>
        <v>2.5890857743898437</v>
      </c>
      <c r="BF26" s="107" cm="1">
        <f t="array" ref="BF26">IFERROR(_xlfn.SINGLE(INDEX(DATABASE!$AV$14:$BC$989,SUMPRODUCT((ROW(DATABASE!$AV$14:$AV$989)) * (DATABASE!$AV$14:IH$989='Résultats observations'!$A26 ) * (DATABASE!$AW$14:$AW$989= BF$4))-ROW(DATABASE!$AV$14)+1,BF$5)),"")</f>
        <v>5.3010399815538589</v>
      </c>
      <c r="BG26" s="107" cm="1">
        <f t="array" ref="BG26">IFERROR(_xlfn.SINGLE(INDEX(DATABASE!$AV$14:$BC$989,SUMPRODUCT((ROW(DATABASE!$AV$14:$AV$989)) * (DATABASE!$AV$14:II$989='Résultats observations'!$A26 ) * (DATABASE!$AW$14:$AW$989= BG$4))-ROW(DATABASE!$AV$14)+1,BG$5)),"")</f>
        <v>1.5981646958136417</v>
      </c>
      <c r="BH26" s="107" cm="1">
        <f t="array" ref="BH26">IFERROR(_xlfn.SINGLE(INDEX(DATABASE!$AV$14:$BC$989,SUMPRODUCT((ROW(DATABASE!$AV$14:$AV$989)) * (DATABASE!$AV$14:IJ$989='Résultats observations'!$A26 ) * (DATABASE!$AW$14:$AW$989= BH$4))-ROW(DATABASE!$AV$14)+1,BH$5)),"")</f>
        <v>2.1778896001844572</v>
      </c>
      <c r="BI26" s="107" cm="1">
        <f t="array" ref="BI26">IFERROR(_xlfn.SINGLE(INDEX(DATABASE!$AV$14:$BC$989,SUMPRODUCT((ROW(DATABASE!$AV$14:$AV$989)) * (DATABASE!$AV$14:IK$989='Résultats observations'!$A26 ) * (DATABASE!$AW$14:$AW$989= BI$4))-ROW(DATABASE!$AV$14)+1,BI$5)),"")</f>
        <v>5.0846458401584318</v>
      </c>
      <c r="BJ26" s="107" cm="1">
        <f t="array" ref="BJ26">IFERROR(_xlfn.SINGLE(INDEX(DATABASE!$AV$14:$BC$989,SUMPRODUCT((ROW(DATABASE!$AV$14:$AV$989)) * (DATABASE!$AV$14:IL$989='Résultats observations'!$A26 ) * (DATABASE!$AW$14:$AW$989= BJ$4))-ROW(DATABASE!$AV$14)+1,BJ$5)),"")</f>
        <v>2.6751098315152473</v>
      </c>
      <c r="BK26" s="107" cm="1">
        <f t="array" ref="BK26">IFERROR(_xlfn.SINGLE(INDEX(DATABASE!$AV$14:$BC$989,SUMPRODUCT((ROW(DATABASE!$AV$14:$AV$989)) * (DATABASE!$AV$14:IM$989='Résultats observations'!$A26 ) * (DATABASE!$AW$14:$AW$989= BK$4))-ROW(DATABASE!$AV$14)+1,BK$5)),"")</f>
        <v>-0.7275464584015765</v>
      </c>
      <c r="BL26" s="105"/>
      <c r="BM26" s="106">
        <f t="shared" si="47"/>
        <v>-2.2703539065993539</v>
      </c>
      <c r="BN26" s="106">
        <f t="shared" si="48"/>
        <v>3.6858505770864802</v>
      </c>
      <c r="BO26" s="106">
        <f t="shared" si="49"/>
        <v>0.72270353908265861</v>
      </c>
      <c r="BP26" s="106">
        <f t="shared" ref="BP26" si="300">IF(AZ26="","",(AZ26-AZ$10)*1000)</f>
        <v>0.18483262332935624</v>
      </c>
      <c r="BQ26" s="106">
        <f t="shared" ref="BQ26" si="301">IF(BA26="","",(BA26-BA$10)*1000)</f>
        <v>1.8515769427636108</v>
      </c>
      <c r="BR26" s="106">
        <f t="shared" ref="BR26" si="302">IF(BB26="","",(BB26-BB$10)*1000)</f>
        <v>-1.3018483262356995</v>
      </c>
      <c r="BS26" s="106">
        <f t="shared" ref="BS26" si="303">IF(BC26="","",(BC26-BC$10)*1000)</f>
        <v>1.3757772271683066</v>
      </c>
      <c r="BT26" s="106">
        <f t="shared" ref="BT26" si="304">IF(BD26="","",(BD26-BD$10)*1000)</f>
        <v>4.5033029881725009</v>
      </c>
      <c r="BU26" s="106">
        <f t="shared" ref="BU26" si="305">IF(BE26="","",(BE26-BE$10)*1000)</f>
        <v>-2.7637577722714468</v>
      </c>
      <c r="BV26" s="106">
        <f t="shared" ref="BV26" si="306">IF(BF26="","",(BF26-BF$10)*1000)</f>
        <v>-2.6326533651621631</v>
      </c>
      <c r="BW26" s="106">
        <f t="shared" ref="BW26" si="307">IF(BG26="","",(BG26-BG$10)*1000)</f>
        <v>-5.475548873030478</v>
      </c>
      <c r="BX26" s="106">
        <f t="shared" ref="BX26" si="308">IF(BH26="","",(BH26-BH$18)*1000)+BX$18</f>
        <v>-5.3415909937228889</v>
      </c>
      <c r="BY26" s="106">
        <f t="shared" si="59"/>
        <v>-0.66294695011226423</v>
      </c>
      <c r="BZ26" s="106">
        <f t="shared" si="60"/>
        <v>-4.6122664935719371</v>
      </c>
      <c r="CA26" s="106">
        <f t="shared" si="61"/>
        <v>1.706629469509835</v>
      </c>
    </row>
    <row r="27" spans="1:79" s="108" customFormat="1" ht="29.25" customHeight="1">
      <c r="A27" s="99">
        <v>45453</v>
      </c>
      <c r="B27" s="100">
        <f t="shared" ref="B27" si="309">A27-$A$10</f>
        <v>129</v>
      </c>
      <c r="C27" s="101">
        <v>11.5</v>
      </c>
      <c r="D27" s="101">
        <f t="shared" ref="D27" si="310">C27-$W$6</f>
        <v>6.41</v>
      </c>
      <c r="E27" s="102" cm="1">
        <f t="array" ref="E27">IFERROR(_xlfn.SINGLE(INDEX(DATABASE!$AV$14:$BC$989,SUMPRODUCT((ROW(DATABASE!$AV$14:$AV$989)) * (DATABASE!AG$14:$AV$989='Résultats observations'!$A27 ) * (DATABASE!$AW$14:$AW$989= E$4))-ROW(DATABASE!$AV$14)+1,E$5)),"")</f>
        <v>823058.96849999996</v>
      </c>
      <c r="F27" s="102" cm="1">
        <f t="array" ref="F27">IFERROR(_xlfn.SINGLE(INDEX(DATABASE!$AV$14:$BC$989,SUMPRODUCT((ROW(DATABASE!$AV$14:$AV$989)) * (DATABASE!AH$14:$AV$989='Résultats observations'!$A27 ) * (DATABASE!$AW$14:$AW$989= F$4))-ROW(DATABASE!$AV$14)+1,F$5)),"")</f>
        <v>1091426.6580000001</v>
      </c>
      <c r="G27" s="102" cm="1">
        <f t="array" ref="G27">IFERROR(_xlfn.SINGLE(INDEX(DATABASE!$AV$14:$BC$989,SUMPRODUCT((ROW(DATABASE!$AV$14:$AV$989)) * (DATABASE!AI$14:$AV$989='Résultats observations'!$A27 ) * (DATABASE!$AW$14:$AW$989= G$4))-ROW(DATABASE!$AV$14)+1,G$5)),"")</f>
        <v>-123.06044999999999</v>
      </c>
      <c r="H27" s="102" cm="1">
        <f t="array" ref="H27">IFERROR(_xlfn.SINGLE(INDEX(DATABASE!$AV$14:$BC$989,SUMPRODUCT((ROW(DATABASE!$AV$14:$AV$989)) * (DATABASE!AJ$14:$AV$989='Résultats observations'!$A27 ) * (DATABASE!$AW$14:$AW$989= H$4))-ROW(DATABASE!$AV$14)+1,H$5)),"")</f>
        <v>823058.93003333348</v>
      </c>
      <c r="I27" s="102" cm="1">
        <f t="array" ref="I27">IFERROR(_xlfn.SINGLE(INDEX(DATABASE!$AV$14:$BC$989,SUMPRODUCT((ROW(DATABASE!$AV$14:$AV$989)) * (DATABASE!AK$14:$AV$989='Résultats observations'!$A27 ) * (DATABASE!$AW$14:$AW$989= I$4))-ROW(DATABASE!$AV$14)+1,I$5)),"")</f>
        <v>1091426.7420000001</v>
      </c>
      <c r="J27" s="102" cm="1">
        <f t="array" ref="J27">IFERROR(_xlfn.SINGLE(INDEX(DATABASE!$AV$14:$BC$989,SUMPRODUCT((ROW(DATABASE!$AV$14:$AV$989)) * (DATABASE!AL$14:$AV$989='Résultats observations'!$A27 ) * (DATABASE!$AW$14:$AW$989= J$4))-ROW(DATABASE!$AV$14)+1,J$5)),"")</f>
        <v>-121.12906666666666</v>
      </c>
      <c r="K27" s="102" cm="1">
        <f t="array" ref="K27">IFERROR(_xlfn.SINGLE(INDEX(DATABASE!$AV$14:$BC$989,SUMPRODUCT((ROW(DATABASE!$AV$14:$AV$989)) * (DATABASE!AM$14:$AV$989='Résultats observations'!$A27 ) * (DATABASE!$AW$14:$AW$989= K$4))-ROW(DATABASE!$AV$14)+1,K$5)),"")</f>
        <v>823057.99659999995</v>
      </c>
      <c r="L27" s="102" cm="1">
        <f t="array" ref="L27">IFERROR(_xlfn.SINGLE(INDEX(DATABASE!$AV$14:$BC$989,SUMPRODUCT((ROW(DATABASE!$AV$14:$AV$989)) * (DATABASE!AN$14:$AV$989='Résultats observations'!$A27 ) * (DATABASE!$AW$14:$AW$989= L$4))-ROW(DATABASE!$AV$14)+1,L$5)),"")</f>
        <v>1091429.0834142859</v>
      </c>
      <c r="M27" s="102" cm="1">
        <f t="array" ref="M27">IFERROR(_xlfn.SINGLE(INDEX(DATABASE!$AV$14:$BC$989,SUMPRODUCT((ROW(DATABASE!$AV$14:$AV$989)) * (DATABASE!AO$14:$AV$989='Résultats observations'!$A27 ) * (DATABASE!$AW$14:$AW$989= M$4))-ROW(DATABASE!$AV$14)+1,M$5)),"")</f>
        <v>-119.6887</v>
      </c>
      <c r="N27" s="102" cm="1">
        <f t="array" ref="N27">IFERROR(_xlfn.SINGLE(INDEX(DATABASE!$AV$14:$BC$989,SUMPRODUCT((ROW(DATABASE!$AV$14:$AV$989)) * (DATABASE!AP$14:$AV$989='Résultats observations'!$A27 ) * (DATABASE!$AW$14:$AW$989= N$4))-ROW(DATABASE!$AV$14)+1,N$5)),"")</f>
        <v>823056.97160000016</v>
      </c>
      <c r="O27" s="102" cm="1">
        <f t="array" ref="O27">IFERROR(_xlfn.SINGLE(INDEX(DATABASE!$AV$14:$BC$989,SUMPRODUCT((ROW(DATABASE!$AV$14:$AV$989)) * (DATABASE!AQ$14:$AV$989='Résultats observations'!$A27 ) * (DATABASE!$AW$14:$AW$989= O$4))-ROW(DATABASE!$AV$14)+1,O$5)),"")</f>
        <v>1091430.3826666668</v>
      </c>
      <c r="P27" s="102" cm="1">
        <f t="array" ref="P27">IFERROR(_xlfn.SINGLE(INDEX(DATABASE!$AV$14:$BC$989,SUMPRODUCT((ROW(DATABASE!$AV$14:$AV$989)) * (DATABASE!AR$14:$AV$989='Résultats observations'!$A27 ) * (DATABASE!$AW$14:$AW$989= P$4))-ROW(DATABASE!$AV$14)+1,P$5)),"")</f>
        <v>-120.0962</v>
      </c>
      <c r="Q27" s="102" cm="1">
        <f t="array" ref="Q27">IFERROR(_xlfn.SINGLE(INDEX(DATABASE!$AV$14:$BC$989,SUMPRODUCT((ROW(DATABASE!$AV$14:$AV$989)) * (DATABASE!AS$14:$AV$989='Résultats observations'!$A27 ) * (DATABASE!$AW$14:$AW$989= Q$4))-ROW(DATABASE!$AV$14)+1,Q$5)),"")</f>
        <v>823056.71369999985</v>
      </c>
      <c r="R27" s="102" cm="1">
        <f t="array" ref="R27">IFERROR(_xlfn.SINGLE(INDEX(DATABASE!$AV$14:$BC$989,SUMPRODUCT((ROW(DATABASE!$AV$14:$AV$989)) * (DATABASE!AT$14:$AV$989='Résultats observations'!$A27 ) * (DATABASE!$AW$14:$AW$989= R$4))-ROW(DATABASE!$AV$14)+1,R$5)),"")</f>
        <v>1091431.4502833334</v>
      </c>
      <c r="S27" s="102" cm="1">
        <f t="array" ref="S27">IFERROR(_xlfn.SINGLE(INDEX(DATABASE!$AV$14:$BC$989,SUMPRODUCT((ROW(DATABASE!$AV$14:$AV$989)) * (DATABASE!AU$14:$AV$989='Résultats observations'!$A27 ) * (DATABASE!$AW$14:$AW$989= S$4))-ROW(DATABASE!$AV$14)+1,S$5)),"")</f>
        <v>-123.00335</v>
      </c>
      <c r="T27" s="103">
        <f t="shared" si="2"/>
        <v>4.2656678410934923</v>
      </c>
      <c r="U27" s="103">
        <f t="shared" si="3"/>
        <v>2.9031318916724009</v>
      </c>
      <c r="V27" s="103">
        <f t="shared" si="4"/>
        <v>1.7043291931766831</v>
      </c>
      <c r="W27" s="103">
        <f t="shared" si="5"/>
        <v>4.2702231933318879</v>
      </c>
      <c r="X27" s="103">
        <f t="shared" si="6"/>
        <v>4.2610712796188155</v>
      </c>
      <c r="Y27" s="103">
        <f t="shared" si="7"/>
        <v>5.2965425513084767</v>
      </c>
      <c r="Z27" s="104">
        <f t="shared" ref="Z27:Z33" si="311">IF(T27="","",(T27-T$10)*1000)</f>
        <v>-2.6110035034800916</v>
      </c>
      <c r="AA27" s="104">
        <f t="shared" ref="AA27:AA33" si="312">IF(U27="","",(U27-U$10)*1000)</f>
        <v>1.3178517474741192</v>
      </c>
      <c r="AB27" s="104">
        <f t="shared" ref="AB27:AB33" si="313">IF(V27="","",(V27-V$10)*1000)</f>
        <v>-9.6255925549115773</v>
      </c>
      <c r="AC27" s="104">
        <f t="shared" ref="AC27:AC33" si="314">IF(W27="","",(W27-W$10)*1000)</f>
        <v>-9.8859072404486881</v>
      </c>
      <c r="AD27" s="104">
        <f t="shared" ref="AD27:AD33" si="315">IF(X27="","",(X27-X$10)*1000)</f>
        <v>-8.7937516063743004</v>
      </c>
      <c r="AE27" s="104">
        <f t="shared" ref="AE27:AE33" si="316">IF(Y27="","",(Y27-Y$10)*1000)</f>
        <v>-8.9969258404725139</v>
      </c>
      <c r="AF27" s="105"/>
      <c r="AG27" s="106">
        <f t="shared" si="32"/>
        <v>0.20000000949949026</v>
      </c>
      <c r="AH27" s="106">
        <f t="shared" si="33"/>
        <v>4.3000001460313797</v>
      </c>
      <c r="AI27" s="106">
        <f t="shared" si="34"/>
        <v>0.85000000001400622</v>
      </c>
      <c r="AJ27" s="106">
        <f t="shared" ref="AJ27" si="317">IF(H27="","",(H27-H$10)*1000)</f>
        <v>-1.5166664961725473</v>
      </c>
      <c r="AK27" s="106">
        <f t="shared" ref="AK27" si="318">IF(I27="","",(I27-I$10)*1000)</f>
        <v>1.6000000759959221</v>
      </c>
      <c r="AL27" s="106">
        <f t="shared" ref="AL27" si="319">IF(J27="","",(J27-J$10)*1000)</f>
        <v>-1.4666666666585115</v>
      </c>
      <c r="AM27" s="106">
        <f t="shared" ref="AM27" si="320">IF(K27="","",(K27-K$10)*1000)</f>
        <v>-3.5500000230967999</v>
      </c>
      <c r="AN27" s="106">
        <f t="shared" ref="AN27" si="321">IF(L27="","",(L27-L$10)*1000)</f>
        <v>3.2142859417945147</v>
      </c>
      <c r="AO27" s="106">
        <f t="shared" ref="AO27" si="322">IF(M27="","",(M27-M$10)*1000)</f>
        <v>-2.7499999999918145</v>
      </c>
      <c r="AP27" s="106">
        <f t="shared" ref="AP27" si="323">IF(N27="","",(N27-N$10)*1000)</f>
        <v>4.1000001365318894</v>
      </c>
      <c r="AQ27" s="106">
        <f t="shared" ref="AQ27" si="324">IF(O27="","",(O27-O$10)*1000)</f>
        <v>-4.3833332601934671</v>
      </c>
      <c r="AR27" s="106">
        <f t="shared" ref="AR27" si="325">IF(P27="","",(P27-P$18)*1000)+AR$18</f>
        <v>-5.4750000000183263</v>
      </c>
      <c r="AS27" s="106">
        <f t="shared" si="73"/>
        <v>3.0499998247250915</v>
      </c>
      <c r="AT27" s="106">
        <f t="shared" si="74"/>
        <v>-4.316666629165411</v>
      </c>
      <c r="AU27" s="106">
        <f t="shared" si="75"/>
        <v>2.0499999999969987</v>
      </c>
      <c r="AV27" s="105"/>
      <c r="AW27" s="107" cm="1">
        <f t="array" ref="AW27">IFERROR(_xlfn.SINGLE(INDEX(DATABASE!$AV$14:$BC$989,SUMPRODUCT((ROW(DATABASE!$AV$14:$AV$989)) * (DATABASE!$AV$14:HY$989='Résultats observations'!$A27 ) * (DATABASE!$AW$14:$AW$989= AW$4))-ROW(DATABASE!$AV$14)+1,AW$5)),"")</f>
        <v>5.0660481493414267</v>
      </c>
      <c r="AX27" s="107" cm="1">
        <f t="array" ref="AX27">IFERROR(_xlfn.SINGLE(INDEX(DATABASE!$AV$14:$BC$989,SUMPRODUCT((ROW(DATABASE!$AV$14:$AV$989)) * (DATABASE!$AV$14:HZ$989='Résultats observations'!$A27 ) * (DATABASE!$AW$14:$AW$989= AX$4))-ROW(DATABASE!$AV$14)+1,AX$5)),"")</f>
        <v>-2.6216821697356623</v>
      </c>
      <c r="AY27" s="107" cm="1">
        <f t="array" ref="AY27">IFERROR(_xlfn.SINGLE(INDEX(DATABASE!$AV$14:$BC$989,SUMPRODUCT((ROW(DATABASE!$AV$14:$AV$989)) * (DATABASE!$AV$14:IA$989='Résultats observations'!$A27 ) * (DATABASE!$AW$14:$AW$989= AY$4))-ROW(DATABASE!$AV$14)+1,AY$5)),"")</f>
        <v>-0.7841104814933999</v>
      </c>
      <c r="AZ27" s="107" cm="1">
        <f t="array" ref="AZ27">IFERROR(_xlfn.SINGLE(INDEX(DATABASE!$AV$14:$BC$989,SUMPRODUCT((ROW(DATABASE!$AV$14:$AV$989)) * (DATABASE!$AV$14:IB$989='Résultats observations'!$A27 ) * (DATABASE!$AW$14:$AW$989= AZ$4))-ROW(DATABASE!$AV$14)+1,AZ$5)),"")</f>
        <v>5.0654123247511915</v>
      </c>
      <c r="BA27" s="107" cm="1">
        <f t="array" ref="BA27">IFERROR(_xlfn.SINGLE(INDEX(DATABASE!$AV$14:$BC$989,SUMPRODUCT((ROW(DATABASE!$AV$14:$AV$989)) * (DATABASE!$AV$14:IC$989='Résultats observations'!$A27 ) * (DATABASE!$AW$14:$AW$989= BA$4))-ROW(DATABASE!$AV$14)+1,BA$5)),"")</f>
        <v>-2.5292955897460572</v>
      </c>
      <c r="BB27" s="107" cm="1">
        <f t="array" ref="BB27">IFERROR(_xlfn.SINGLE(INDEX(DATABASE!$AV$14:$BC$989,SUMPRODUCT((ROW(DATABASE!$AV$14:$AV$989)) * (DATABASE!$AV$14:ID$989='Résultats observations'!$A27 ) * (DATABASE!$AW$14:$AW$989= BB$4))-ROW(DATABASE!$AV$14)+1,BB$5)),"")</f>
        <v>1.1472792100858271</v>
      </c>
      <c r="BC27" s="107" cm="1">
        <f t="array" ref="BC27">IFERROR(_xlfn.SINGLE(INDEX(DATABASE!$AV$14:$BC$989,SUMPRODUCT((ROW(DATABASE!$AV$14:$AV$989)) * (DATABASE!$AV$14:IE$989='Résultats observations'!$A27 ) * (DATABASE!$AW$14:$AW$989= BC$4))-ROW(DATABASE!$AV$14)+1,BC$5)),"")</f>
        <v>4.9219058307412356</v>
      </c>
      <c r="BD27" s="107" cm="1">
        <f t="array" ref="BD27">IFERROR(_xlfn.SINGLE(INDEX(DATABASE!$AV$14:$BC$989,SUMPRODUCT((ROW(DATABASE!$AV$14:$AV$989)) * (DATABASE!$AV$14:IF$989='Résultats observations'!$A27 ) * (DATABASE!$AW$14:$AW$989= BD$4))-ROW(DATABASE!$AV$14)+1,BD$5)),"")</f>
        <v>-1.2765333186860128E-2</v>
      </c>
      <c r="BE27" s="107" cm="1">
        <f t="array" ref="BE27">IFERROR(_xlfn.SINGLE(INDEX(DATABASE!$AV$14:$BC$989,SUMPRODUCT((ROW(DATABASE!$AV$14:$AV$989)) * (DATABASE!$AV$14:IG$989='Résultats observations'!$A27 ) * (DATABASE!$AW$14:$AW$989= BE$4))-ROW(DATABASE!$AV$14)+1,BE$5)),"")</f>
        <v>2.5890809416925862</v>
      </c>
      <c r="BF27" s="107" cm="1">
        <f t="array" ref="BF27">IFERROR(_xlfn.SINGLE(INDEX(DATABASE!$AV$14:$BC$989,SUMPRODUCT((ROW(DATABASE!$AV$14:$AV$989)) * (DATABASE!$AV$14:IH$989='Résultats observations'!$A27 ) * (DATABASE!$AW$14:$AW$989= BF$4))-ROW(DATABASE!$AV$14)+1,BF$5)),"")</f>
        <v>5.3018091587685294</v>
      </c>
      <c r="BG27" s="107" cm="1">
        <f t="array" ref="BG27">IFERROR(_xlfn.SINGLE(INDEX(DATABASE!$AV$14:$BC$989,SUMPRODUCT((ROW(DATABASE!$AV$14:$AV$989)) * (DATABASE!$AV$14:II$989='Résultats observations'!$A27 ) * (DATABASE!$AW$14:$AW$989= BG$4))-ROW(DATABASE!$AV$14)+1,BG$5)),"")</f>
        <v>1.5979348903395665</v>
      </c>
      <c r="BH27" s="107" cm="1">
        <f t="array" ref="BH27">IFERROR(_xlfn.SINGLE(INDEX(DATABASE!$AV$14:$BC$989,SUMPRODUCT((ROW(DATABASE!$AV$14:$AV$989)) * (DATABASE!$AV$14:IJ$989='Résultats observations'!$A27 ) * (DATABASE!$AW$14:$AW$989= BH$4))-ROW(DATABASE!$AV$14)+1,BH$5)),"")</f>
        <v>2.1777819084123138</v>
      </c>
      <c r="BI27" s="107" cm="1">
        <f t="array" ref="BI27">IFERROR(_xlfn.SINGLE(INDEX(DATABASE!$AV$14:$BC$989,SUMPRODUCT((ROW(DATABASE!$AV$14:$AV$989)) * (DATABASE!$AV$14:IK$989='Résultats observations'!$A27 ) * (DATABASE!$AW$14:$AW$989= BI$4))-ROW(DATABASE!$AV$14)+1,BI$5)),"")</f>
        <v>5.0843687679034657</v>
      </c>
      <c r="BJ27" s="107" cm="1">
        <f t="array" ref="BJ27">IFERROR(_xlfn.SINGLE(INDEX(DATABASE!$AV$14:$BC$989,SUMPRODUCT((ROW(DATABASE!$AV$14:$AV$989)) * (DATABASE!$AV$14:IL$989='Résultats observations'!$A27 ) * (DATABASE!$AW$14:$AW$989= BJ$4))-ROW(DATABASE!$AV$14)+1,BJ$5)),"")</f>
        <v>2.6745208987613149</v>
      </c>
      <c r="BK27" s="107" cm="1">
        <f t="array" ref="BK27">IFERROR(_xlfn.SINGLE(INDEX(DATABASE!$AV$14:$BC$989,SUMPRODUCT((ROW(DATABASE!$AV$14:$AV$989)) * (DATABASE!$AV$14:IM$989='Résultats observations'!$A27 ) * (DATABASE!$AW$14:$AW$989= BK$4))-ROW(DATABASE!$AV$14)+1,BK$5)),"")</f>
        <v>-0.72719368767903347</v>
      </c>
      <c r="BL27" s="105"/>
      <c r="BM27" s="106">
        <f t="shared" si="47"/>
        <v>-1.9984594874626893</v>
      </c>
      <c r="BN27" s="106">
        <f t="shared" si="48"/>
        <v>3.8126317599052051</v>
      </c>
      <c r="BO27" s="106">
        <f t="shared" si="49"/>
        <v>0.86998459489961988</v>
      </c>
      <c r="BP27" s="106">
        <f t="shared" ref="BP27" si="326">IF(AZ27="","",(AZ27-AZ$10)*1000)</f>
        <v>0.69841067750697761</v>
      </c>
      <c r="BQ27" s="106">
        <f t="shared" ref="BQ27" si="327">IF(BA27="","",(BA27-BA$10)*1000)</f>
        <v>2.091052373647706</v>
      </c>
      <c r="BR27" s="106">
        <f t="shared" ref="BR27" si="328">IF(BB27="","",(BB27-BB$10)*1000)</f>
        <v>-1.4736507734340876</v>
      </c>
      <c r="BS27" s="106">
        <f t="shared" ref="BS27" si="329">IF(BC27="","",(BC27-BC$10)*1000)</f>
        <v>1.8590469529931042</v>
      </c>
      <c r="BT27" s="106">
        <f t="shared" ref="BT27" si="330">IF(BD27="","",(BD27-BD$10)*1000)</f>
        <v>4.4133976374403812</v>
      </c>
      <c r="BU27" s="106">
        <f t="shared" ref="BU27" si="331">IF(BE27="","",(BE27-BE$10)*1000)</f>
        <v>-2.768590469528931</v>
      </c>
      <c r="BV27" s="106">
        <f t="shared" ref="BV27" si="332">IF(BF27="","",(BF27-BF$10)*1000)</f>
        <v>-1.8634761504916497</v>
      </c>
      <c r="BW27" s="106">
        <f t="shared" ref="BW27" si="333">IF(BG27="","",(BG27-BG$10)*1000)</f>
        <v>-5.7053543471057289</v>
      </c>
      <c r="BX27" s="106">
        <f t="shared" ref="BX27" si="334">IF(BH27="","",(BH27-BH$18)*1000)+BX$18</f>
        <v>-5.4492827658663145</v>
      </c>
      <c r="BY27" s="106">
        <f t="shared" si="59"/>
        <v>-0.94001920507835734</v>
      </c>
      <c r="BZ27" s="106">
        <f t="shared" si="60"/>
        <v>-5.2011992475042845</v>
      </c>
      <c r="CA27" s="106">
        <f t="shared" si="61"/>
        <v>2.0594001920528626</v>
      </c>
    </row>
    <row r="28" spans="1:79" s="108" customFormat="1" ht="29.25" customHeight="1">
      <c r="A28" s="99">
        <v>45481</v>
      </c>
      <c r="B28" s="100">
        <f t="shared" ref="B28" si="335">A28-$A$10</f>
        <v>157</v>
      </c>
      <c r="C28" s="101">
        <v>11.5</v>
      </c>
      <c r="D28" s="101">
        <f t="shared" ref="D28" si="336">C28-$W$6</f>
        <v>6.41</v>
      </c>
      <c r="E28" s="102" cm="1">
        <f t="array" ref="E28">IFERROR(_xlfn.SINGLE(INDEX(DATABASE!$AV$14:$BC$989,SUMPRODUCT((ROW(DATABASE!$AV$14:$AV$989)) * (DATABASE!AG$14:$AV$989='Résultats observations'!$A28 ) * (DATABASE!$AW$14:$AW$989= E$4))-ROW(DATABASE!$AV$14)+1,E$5)),"")</f>
        <v>823058.96849999996</v>
      </c>
      <c r="F28" s="102" cm="1">
        <f t="array" ref="F28">IFERROR(_xlfn.SINGLE(INDEX(DATABASE!$AV$14:$BC$989,SUMPRODUCT((ROW(DATABASE!$AV$14:$AV$989)) * (DATABASE!AH$14:$AV$989='Résultats observations'!$A28 ) * (DATABASE!$AW$14:$AW$989= F$4))-ROW(DATABASE!$AV$14)+1,F$5)),"")</f>
        <v>1091426.6592999999</v>
      </c>
      <c r="G28" s="102" cm="1">
        <f t="array" ref="G28">IFERROR(_xlfn.SINGLE(INDEX(DATABASE!$AV$14:$BC$989,SUMPRODUCT((ROW(DATABASE!$AV$14:$AV$989)) * (DATABASE!AI$14:$AV$989='Résultats observations'!$A28 ) * (DATABASE!$AW$14:$AW$989= G$4))-ROW(DATABASE!$AV$14)+1,G$5)),"")</f>
        <v>-123.06100000000001</v>
      </c>
      <c r="H28" s="102" cm="1">
        <f t="array" ref="H28">IFERROR(_xlfn.SINGLE(INDEX(DATABASE!$AV$14:$BC$989,SUMPRODUCT((ROW(DATABASE!$AV$14:$AV$989)) * (DATABASE!AJ$14:$AV$989='Résultats observations'!$A28 ) * (DATABASE!$AW$14:$AW$989= H$4))-ROW(DATABASE!$AV$14)+1,H$5)),"")</f>
        <v>823058.9301</v>
      </c>
      <c r="I28" s="102" cm="1">
        <f t="array" ref="I28">IFERROR(_xlfn.SINGLE(INDEX(DATABASE!$AV$14:$BC$989,SUMPRODUCT((ROW(DATABASE!$AV$14:$AV$989)) * (DATABASE!AK$14:$AV$989='Résultats observations'!$A28 ) * (DATABASE!$AW$14:$AW$989= I$4))-ROW(DATABASE!$AV$14)+1,I$5)),"")</f>
        <v>1091426.7431999999</v>
      </c>
      <c r="J28" s="102" cm="1">
        <f t="array" ref="J28">IFERROR(_xlfn.SINGLE(INDEX(DATABASE!$AV$14:$BC$989,SUMPRODUCT((ROW(DATABASE!$AV$14:$AV$989)) * (DATABASE!AL$14:$AV$989='Résultats observations'!$A28 ) * (DATABASE!$AW$14:$AW$989= J$4))-ROW(DATABASE!$AV$14)+1,J$5)),"")</f>
        <v>-121.1292</v>
      </c>
      <c r="K28" s="102" cm="1">
        <f t="array" ref="K28">IFERROR(_xlfn.SINGLE(INDEX(DATABASE!$AV$14:$BC$989,SUMPRODUCT((ROW(DATABASE!$AV$14:$AV$989)) * (DATABASE!AM$14:$AV$989='Résultats observations'!$A28 ) * (DATABASE!$AW$14:$AW$989= K$4))-ROW(DATABASE!$AV$14)+1,K$5)),"")</f>
        <v>823057.99659999995</v>
      </c>
      <c r="L28" s="102" cm="1">
        <f t="array" ref="L28">IFERROR(_xlfn.SINGLE(INDEX(DATABASE!$AV$14:$BC$989,SUMPRODUCT((ROW(DATABASE!$AV$14:$AV$989)) * (DATABASE!AN$14:$AV$989='Résultats observations'!$A28 ) * (DATABASE!$AW$14:$AW$989= L$4))-ROW(DATABASE!$AV$14)+1,L$5)),"")</f>
        <v>1091429.0843</v>
      </c>
      <c r="M28" s="102" cm="1">
        <f t="array" ref="M28">IFERROR(_xlfn.SINGLE(INDEX(DATABASE!$AV$14:$BC$989,SUMPRODUCT((ROW(DATABASE!$AV$14:$AV$989)) * (DATABASE!AO$14:$AV$989='Résultats observations'!$A28 ) * (DATABASE!$AW$14:$AW$989= M$4))-ROW(DATABASE!$AV$14)+1,M$5)),"")</f>
        <v>-119.6891</v>
      </c>
      <c r="N28" s="102" cm="1">
        <f t="array" ref="N28">IFERROR(_xlfn.SINGLE(INDEX(DATABASE!$AV$14:$BC$989,SUMPRODUCT((ROW(DATABASE!$AV$14:$AV$989)) * (DATABASE!AP$14:$AV$989='Résultats observations'!$A28 ) * (DATABASE!$AW$14:$AW$989= N$4))-ROW(DATABASE!$AV$14)+1,N$5)),"")</f>
        <v>823056.97239999997</v>
      </c>
      <c r="O28" s="102" cm="1">
        <f t="array" ref="O28">IFERROR(_xlfn.SINGLE(INDEX(DATABASE!$AV$14:$BC$989,SUMPRODUCT((ROW(DATABASE!$AV$14:$AV$989)) * (DATABASE!AQ$14:$AV$989='Résultats observations'!$A28 ) * (DATABASE!$AW$14:$AW$989= O$4))-ROW(DATABASE!$AV$14)+1,O$5)),"")</f>
        <v>1091430.3835</v>
      </c>
      <c r="P28" s="102" cm="1">
        <f t="array" ref="P28">IFERROR(_xlfn.SINGLE(INDEX(DATABASE!$AV$14:$BC$989,SUMPRODUCT((ROW(DATABASE!$AV$14:$AV$989)) * (DATABASE!AR$14:$AV$989='Résultats observations'!$A28 ) * (DATABASE!$AW$14:$AW$989= P$4))-ROW(DATABASE!$AV$14)+1,P$5)),"")</f>
        <v>-120.0967</v>
      </c>
      <c r="Q28" s="102" cm="1">
        <f t="array" ref="Q28">IFERROR(_xlfn.SINGLE(INDEX(DATABASE!$AV$14:$BC$989,SUMPRODUCT((ROW(DATABASE!$AV$14:$AV$989)) * (DATABASE!AS$14:$AV$989='Résultats observations'!$A28 ) * (DATABASE!$AW$14:$AW$989= Q$4))-ROW(DATABASE!$AV$14)+1,Q$5)),"")</f>
        <v>823056.71400000004</v>
      </c>
      <c r="R28" s="102" cm="1">
        <f t="array" ref="R28">IFERROR(_xlfn.SINGLE(INDEX(DATABASE!$AV$14:$BC$989,SUMPRODUCT((ROW(DATABASE!$AV$14:$AV$989)) * (DATABASE!AT$14:$AV$989='Résultats observations'!$A28 ) * (DATABASE!$AW$14:$AW$989= R$4))-ROW(DATABASE!$AV$14)+1,R$5)),"")</f>
        <v>1091431.4512</v>
      </c>
      <c r="S28" s="102" cm="1">
        <f t="array" ref="S28">IFERROR(_xlfn.SINGLE(INDEX(DATABASE!$AV$14:$BC$989,SUMPRODUCT((ROW(DATABASE!$AV$14:$AV$989)) * (DATABASE!AU$14:$AV$989='Résultats observations'!$A28 ) * (DATABASE!$AW$14:$AW$989= S$4))-ROW(DATABASE!$AV$14)+1,S$5)),"")</f>
        <v>-123.00369999999999</v>
      </c>
      <c r="T28" s="103">
        <f t="shared" si="2"/>
        <v>4.2655508694931639</v>
      </c>
      <c r="U28" s="103">
        <f t="shared" si="3"/>
        <v>2.9027675536364494</v>
      </c>
      <c r="V28" s="103">
        <f t="shared" si="4"/>
        <v>1.7038321630935727</v>
      </c>
      <c r="W28" s="103">
        <f t="shared" si="5"/>
        <v>4.2701114189092024</v>
      </c>
      <c r="X28" s="103">
        <f t="shared" si="6"/>
        <v>4.2603321033388184</v>
      </c>
      <c r="Y28" s="103">
        <f t="shared" si="7"/>
        <v>5.2960701610076431</v>
      </c>
      <c r="Z28" s="104">
        <f t="shared" si="311"/>
        <v>-2.7279751038085109</v>
      </c>
      <c r="AA28" s="104">
        <f t="shared" si="312"/>
        <v>0.95351371152263553</v>
      </c>
      <c r="AB28" s="104">
        <f t="shared" si="313"/>
        <v>-10.122622638021994</v>
      </c>
      <c r="AC28" s="104">
        <f t="shared" si="314"/>
        <v>-9.9976816631341947</v>
      </c>
      <c r="AD28" s="104">
        <f t="shared" si="315"/>
        <v>-9.5329278863713895</v>
      </c>
      <c r="AE28" s="104">
        <f t="shared" si="316"/>
        <v>-9.4693161413061944</v>
      </c>
      <c r="AF28" s="105"/>
      <c r="AG28" s="106">
        <f t="shared" si="32"/>
        <v>0.20000000949949026</v>
      </c>
      <c r="AH28" s="106">
        <f t="shared" si="33"/>
        <v>5.6000000331550837</v>
      </c>
      <c r="AI28" s="106">
        <f t="shared" si="34"/>
        <v>0.29999999999574811</v>
      </c>
      <c r="AJ28" s="106">
        <f t="shared" ref="AJ28" si="337">IF(H28="","",(H28-H$10)*1000)</f>
        <v>-1.449999981559813</v>
      </c>
      <c r="AK28" s="106">
        <f t="shared" ref="AK28" si="338">IF(I28="","",(I28-I$10)*1000)</f>
        <v>2.79999990016222</v>
      </c>
      <c r="AL28" s="106">
        <f t="shared" ref="AL28" si="339">IF(J28="","",(J28-J$10)*1000)</f>
        <v>-1.5999999999962711</v>
      </c>
      <c r="AM28" s="106">
        <f t="shared" ref="AM28" si="340">IF(K28="","",(K28-K$10)*1000)</f>
        <v>-3.5500000230967999</v>
      </c>
      <c r="AN28" s="106">
        <f t="shared" ref="AN28" si="341">IF(L28="","",(L28-L$10)*1000)</f>
        <v>4.1000000201165676</v>
      </c>
      <c r="AO28" s="106">
        <f t="shared" ref="AO28" si="342">IF(M28="","",(M28-M$10)*1000)</f>
        <v>-3.1499999999908823</v>
      </c>
      <c r="AP28" s="106">
        <f t="shared" ref="AP28" si="343">IF(N28="","",(N28-N$10)*1000)</f>
        <v>4.8999999416992068</v>
      </c>
      <c r="AQ28" s="106">
        <f t="shared" ref="AQ28" si="344">IF(O28="","",(O28-O$10)*1000)</f>
        <v>-3.5500000230967999</v>
      </c>
      <c r="AR28" s="106">
        <f t="shared" ref="AR28" si="345">IF(P28="","",(P28-P$18)*1000)+AR$18</f>
        <v>-5.9750000000207137</v>
      </c>
      <c r="AS28" s="106">
        <f t="shared" si="73"/>
        <v>3.3500000135973096</v>
      </c>
      <c r="AT28" s="106">
        <f t="shared" si="74"/>
        <v>-3.4000000450760126</v>
      </c>
      <c r="AU28" s="106">
        <f t="shared" si="75"/>
        <v>1.6999999999995907</v>
      </c>
      <c r="AV28" s="105"/>
      <c r="AW28" s="107" cm="1">
        <f t="array" ref="AW28">IFERROR(_xlfn.SINGLE(INDEX(DATABASE!$AV$14:$BC$989,SUMPRODUCT((ROW(DATABASE!$AV$14:$AV$989)) * (DATABASE!$AV$14:HY$989='Résultats observations'!$A28 ) * (DATABASE!$AW$14:$AW$989= AW$4))-ROW(DATABASE!$AV$14)+1,AW$5)),"")</f>
        <v>5.0654987643962741</v>
      </c>
      <c r="AX28" s="107" cm="1">
        <f t="array" ref="AX28">IFERROR(_xlfn.SINGLE(INDEX(DATABASE!$AV$14:$BC$989,SUMPRODUCT((ROW(DATABASE!$AV$14:$AV$989)) * (DATABASE!$AV$14:HZ$989='Résultats observations'!$A28 ) * (DATABASE!$AW$14:$AW$989= AX$4))-ROW(DATABASE!$AV$14)+1,AX$5)),"")</f>
        <v>-2.6205039609729379</v>
      </c>
      <c r="AY28" s="107" cm="1">
        <f t="array" ref="AY28">IFERROR(_xlfn.SINGLE(INDEX(DATABASE!$AV$14:$BC$989,SUMPRODUCT((ROW(DATABASE!$AV$14:$AV$989)) * (DATABASE!$AV$14:IA$989='Résultats observations'!$A28 ) * (DATABASE!$AW$14:$AW$989= AY$4))-ROW(DATABASE!$AV$14)+1,AY$5)),"")</f>
        <v>-0.78465498764397523</v>
      </c>
      <c r="AZ28" s="107" cm="1">
        <f t="array" ref="AZ28">IFERROR(_xlfn.SINGLE(INDEX(DATABASE!$AV$14:$BC$989,SUMPRODUCT((ROW(DATABASE!$AV$14:$AV$989)) * (DATABASE!$AV$14:IB$989='Résultats observations'!$A28 ) * (DATABASE!$AW$14:$AW$989= AZ$4))-ROW(DATABASE!$AV$14)+1,AZ$5)),"")</f>
        <v>5.0648447793870837</v>
      </c>
      <c r="BA28" s="107" cm="1">
        <f t="array" ref="BA28">IFERROR(_xlfn.SINGLE(INDEX(DATABASE!$AV$14:$BC$989,SUMPRODUCT((ROW(DATABASE!$AV$14:$AV$989)) * (DATABASE!$AV$14:IC$989='Résultats observations'!$A28 ) * (DATABASE!$AW$14:$AW$989= BA$4))-ROW(DATABASE!$AV$14)+1,BA$5)),"")</f>
        <v>-2.5282361860166649</v>
      </c>
      <c r="BB28" s="107" cm="1">
        <f t="array" ref="BB28">IFERROR(_xlfn.SINGLE(INDEX(DATABASE!$AV$14:$BC$989,SUMPRODUCT((ROW(DATABASE!$AV$14:$AV$989)) * (DATABASE!$AV$14:ID$989='Résultats observations'!$A28 ) * (DATABASE!$AW$14:$AW$989= BB$4))-ROW(DATABASE!$AV$14)+1,BB$5)),"")</f>
        <v>1.1471515522061253</v>
      </c>
      <c r="BC28" s="107" cm="1">
        <f t="array" ref="BC28">IFERROR(_xlfn.SINGLE(INDEX(DATABASE!$AV$14:$BC$989,SUMPRODUCT((ROW(DATABASE!$AV$14:$AV$989)) * (DATABASE!$AV$14:IE$989='Résultats observations'!$A28 ) * (DATABASE!$AW$14:$AW$989= BC$4))-ROW(DATABASE!$AV$14)+1,BC$5)),"")</f>
        <v>4.9215315245700122</v>
      </c>
      <c r="BD28" s="107" cm="1">
        <f t="array" ref="BD28">IFERROR(_xlfn.SINGLE(INDEX(DATABASE!$AV$14:$BC$989,SUMPRODUCT((ROW(DATABASE!$AV$14:$AV$989)) * (DATABASE!$AV$14:IF$989='Résultats observations'!$A28 ) * (DATABASE!$AW$14:$AW$989= BD$4))-ROW(DATABASE!$AV$14)+1,BD$5)),"")</f>
        <v>-1.1962597664583144E-2</v>
      </c>
      <c r="BE28" s="107" cm="1">
        <f t="array" ref="BE28">IFERROR(_xlfn.SINGLE(INDEX(DATABASE!$AV$14:$BC$989,SUMPRODUCT((ROW(DATABASE!$AV$14:$AV$989)) * (DATABASE!$AV$14:IG$989='Résultats observations'!$A28 ) * (DATABASE!$AW$14:$AW$989= BE$4))-ROW(DATABASE!$AV$14)+1,BE$5)),"")</f>
        <v>2.5886846847542984</v>
      </c>
      <c r="BF28" s="107" cm="1">
        <f t="array" ref="BF28">IFERROR(_xlfn.SINGLE(INDEX(DATABASE!$AV$14:$BC$989,SUMPRODUCT((ROW(DATABASE!$AV$14:$AV$989)) * (DATABASE!$AV$14:IH$989='Résultats observations'!$A28 ) * (DATABASE!$AW$14:$AW$989= BF$4))-ROW(DATABASE!$AV$14)+1,BF$5)),"")</f>
        <v>5.300731937509318</v>
      </c>
      <c r="BG28" s="107" cm="1">
        <f t="array" ref="BG28">IFERROR(_xlfn.SINGLE(INDEX(DATABASE!$AV$14:$BC$989,SUMPRODUCT((ROW(DATABASE!$AV$14:$AV$989)) * (DATABASE!$AV$14:II$989='Résultats observations'!$A28 ) * (DATABASE!$AW$14:$AW$989= BG$4))-ROW(DATABASE!$AV$14)+1,BG$5)),"")</f>
        <v>1.5983520693551208</v>
      </c>
      <c r="BH28" s="107" cm="1">
        <f t="array" ref="BH28">IFERROR(_xlfn.SINGLE(INDEX(DATABASE!$AV$14:$BC$989,SUMPRODUCT((ROW(DATABASE!$AV$14:$AV$989)) * (DATABASE!$AV$14:IJ$989='Résultats observations'!$A28 ) * (DATABASE!$AW$14:$AW$989= BH$4))-ROW(DATABASE!$AV$14)+1,BH$5)),"")</f>
        <v>2.1772926806249018</v>
      </c>
      <c r="BI28" s="107" cm="1">
        <f t="array" ref="BI28">IFERROR(_xlfn.SINGLE(INDEX(DATABASE!$AV$14:$BC$989,SUMPRODUCT((ROW(DATABASE!$AV$14:$AV$989)) * (DATABASE!$AV$14:IK$989='Résultats observations'!$A28 ) * (DATABASE!$AW$14:$AW$989= BI$4))-ROW(DATABASE!$AV$14)+1,BI$5)),"")</f>
        <v>5.0837094865597825</v>
      </c>
      <c r="BJ28" s="107" cm="1">
        <f t="array" ref="BJ28">IFERROR(_xlfn.SINGLE(INDEX(DATABASE!$AV$14:$BC$989,SUMPRODUCT((ROW(DATABASE!$AV$14:$AV$989)) * (DATABASE!$AV$14:IL$989='Résultats observations'!$A28 ) * (DATABASE!$AW$14:$AW$989= BJ$4))-ROW(DATABASE!$AV$14)+1,BJ$5)),"")</f>
        <v>2.6752249057567203</v>
      </c>
      <c r="BK28" s="107" cm="1">
        <f t="array" ref="BK28">IFERROR(_xlfn.SINGLE(INDEX(DATABASE!$AV$14:$BC$989,SUMPRODUCT((ROW(DATABASE!$AV$14:$AV$989)) * (DATABASE!$AV$14:IM$989='Résultats observations'!$A28 ) * (DATABASE!$AW$14:$AW$989= BK$4))-ROW(DATABASE!$AV$14)+1,BK$5)),"")</f>
        <v>-0.72753709486559615</v>
      </c>
      <c r="BL28" s="105"/>
      <c r="BM28" s="106">
        <f t="shared" si="47"/>
        <v>-2.5478444326152427</v>
      </c>
      <c r="BN28" s="106">
        <f t="shared" si="48"/>
        <v>4.9908405226295471</v>
      </c>
      <c r="BO28" s="106">
        <f t="shared" si="49"/>
        <v>0.32547844432428974</v>
      </c>
      <c r="BP28" s="106">
        <f t="shared" ref="BP28" si="346">IF(AZ28="","",(AZ28-AZ$10)*1000)</f>
        <v>0.13086531339912</v>
      </c>
      <c r="BQ28" s="106">
        <f t="shared" ref="BQ28" si="347">IF(BA28="","",(BA28-BA$10)*1000)</f>
        <v>3.1504561030399891</v>
      </c>
      <c r="BR28" s="106">
        <f t="shared" ref="BR28" si="348">IF(BB28="","",(BB28-BB$10)*1000)</f>
        <v>-1.6013086531359022</v>
      </c>
      <c r="BS28" s="106">
        <f t="shared" ref="BS28" si="349">IF(BC28="","",(BC28-BC$10)*1000)</f>
        <v>1.4847407817697444</v>
      </c>
      <c r="BT28" s="106">
        <f t="shared" ref="BT28" si="350">IF(BD28="","",(BD28-BD$10)*1000)</f>
        <v>5.2161331597173657</v>
      </c>
      <c r="BU28" s="106">
        <f t="shared" ref="BU28" si="351">IF(BE28="","",(BE28-BE$10)*1000)</f>
        <v>-3.164847407816751</v>
      </c>
      <c r="BV28" s="106">
        <f t="shared" ref="BV28" si="352">IF(BF28="","",(BF28-BF$10)*1000)</f>
        <v>-2.9406974097030414</v>
      </c>
      <c r="BW28" s="106">
        <f t="shared" ref="BW28" si="353">IF(BG28="","",(BG28-BG$10)*1000)</f>
        <v>-5.288175331551459</v>
      </c>
      <c r="BX28" s="106">
        <f t="shared" ref="BX28" si="354">IF(BH28="","",(BH28-BH$18)*1000)+BX$18</f>
        <v>-5.93851055327832</v>
      </c>
      <c r="BY28" s="106">
        <f t="shared" si="59"/>
        <v>-1.5993005487615619</v>
      </c>
      <c r="BZ28" s="106">
        <f t="shared" si="60"/>
        <v>-4.4971922520988805</v>
      </c>
      <c r="CA28" s="106">
        <f t="shared" si="61"/>
        <v>1.7159930054901906</v>
      </c>
    </row>
    <row r="29" spans="1:79" s="108" customFormat="1" ht="29.25" customHeight="1">
      <c r="A29" s="99">
        <v>45544</v>
      </c>
      <c r="B29" s="100">
        <f t="shared" ref="B29" si="355">A29-$A$10</f>
        <v>220</v>
      </c>
      <c r="C29" s="101">
        <v>11.5</v>
      </c>
      <c r="D29" s="101">
        <f t="shared" ref="D29" si="356">C29-$W$6</f>
        <v>6.41</v>
      </c>
      <c r="E29" s="102" cm="1">
        <f t="array" ref="E29">IFERROR(_xlfn.SINGLE(INDEX(DATABASE!$AV$14:$BC$989,SUMPRODUCT((ROW(DATABASE!$AV$14:$AV$989)) * (DATABASE!AG$14:$AV$989='Résultats observations'!$A29 ) * (DATABASE!$AW$14:$AW$989= E$4))-ROW(DATABASE!$AV$14)+1,E$5)),"")</f>
        <v>823058.96860000002</v>
      </c>
      <c r="F29" s="102" cm="1">
        <f t="array" ref="F29">IFERROR(_xlfn.SINGLE(INDEX(DATABASE!$AV$14:$BC$989,SUMPRODUCT((ROW(DATABASE!$AV$14:$AV$989)) * (DATABASE!AH$14:$AV$989='Résultats observations'!$A29 ) * (DATABASE!$AW$14:$AW$989= F$4))-ROW(DATABASE!$AV$14)+1,F$5)),"")</f>
        <v>1091426.6580999999</v>
      </c>
      <c r="G29" s="102" cm="1">
        <f t="array" ref="G29">IFERROR(_xlfn.SINGLE(INDEX(DATABASE!$AV$14:$BC$989,SUMPRODUCT((ROW(DATABASE!$AV$14:$AV$989)) * (DATABASE!AI$14:$AV$989='Résultats observations'!$A29 ) * (DATABASE!$AW$14:$AW$989= G$4))-ROW(DATABASE!$AV$14)+1,G$5)),"")</f>
        <v>-123.0616</v>
      </c>
      <c r="H29" s="102" cm="1">
        <f t="array" ref="H29">IFERROR(_xlfn.SINGLE(INDEX(DATABASE!$AV$14:$BC$989,SUMPRODUCT((ROW(DATABASE!$AV$14:$AV$989)) * (DATABASE!AJ$14:$AV$989='Résultats observations'!$A29 ) * (DATABASE!$AW$14:$AW$989= H$4))-ROW(DATABASE!$AV$14)+1,H$5)),"")</f>
        <v>823058.9301</v>
      </c>
      <c r="I29" s="102" cm="1">
        <f t="array" ref="I29">IFERROR(_xlfn.SINGLE(INDEX(DATABASE!$AV$14:$BC$989,SUMPRODUCT((ROW(DATABASE!$AV$14:$AV$989)) * (DATABASE!AK$14:$AV$989='Résultats observations'!$A29 ) * (DATABASE!$AW$14:$AW$989= I$4))-ROW(DATABASE!$AV$14)+1,I$5)),"")</f>
        <v>1091426.7422</v>
      </c>
      <c r="J29" s="102" cm="1">
        <f t="array" ref="J29">IFERROR(_xlfn.SINGLE(INDEX(DATABASE!$AV$14:$BC$989,SUMPRODUCT((ROW(DATABASE!$AV$14:$AV$989)) * (DATABASE!AL$14:$AV$989='Résultats observations'!$A29 ) * (DATABASE!$AW$14:$AW$989= J$4))-ROW(DATABASE!$AV$14)+1,J$5)),"")</f>
        <v>-121.12910000000001</v>
      </c>
      <c r="K29" s="102" cm="1">
        <f t="array" ref="K29">IFERROR(_xlfn.SINGLE(INDEX(DATABASE!$AV$14:$BC$989,SUMPRODUCT((ROW(DATABASE!$AV$14:$AV$989)) * (DATABASE!AM$14:$AV$989='Résultats observations'!$A29 ) * (DATABASE!$AW$14:$AW$989= K$4))-ROW(DATABASE!$AV$14)+1,K$5)),"")</f>
        <v>823057.99650000001</v>
      </c>
      <c r="L29" s="102" cm="1">
        <f t="array" ref="L29">IFERROR(_xlfn.SINGLE(INDEX(DATABASE!$AV$14:$BC$989,SUMPRODUCT((ROW(DATABASE!$AV$14:$AV$989)) * (DATABASE!AN$14:$AV$989='Résultats observations'!$A29 ) * (DATABASE!$AW$14:$AW$989= L$4))-ROW(DATABASE!$AV$14)+1,L$5)),"")</f>
        <v>1091429.0834999999</v>
      </c>
      <c r="M29" s="102" cm="1">
        <f t="array" ref="M29">IFERROR(_xlfn.SINGLE(INDEX(DATABASE!$AV$14:$BC$989,SUMPRODUCT((ROW(DATABASE!$AV$14:$AV$989)) * (DATABASE!AO$14:$AV$989='Résultats observations'!$A29 ) * (DATABASE!$AW$14:$AW$989= M$4))-ROW(DATABASE!$AV$14)+1,M$5)),"")</f>
        <v>-119.6887</v>
      </c>
      <c r="N29" s="102" cm="1">
        <f t="array" ref="N29">IFERROR(_xlfn.SINGLE(INDEX(DATABASE!$AV$14:$BC$989,SUMPRODUCT((ROW(DATABASE!$AV$14:$AV$989)) * (DATABASE!AP$14:$AV$989='Résultats observations'!$A29 ) * (DATABASE!$AW$14:$AW$989= N$4))-ROW(DATABASE!$AV$14)+1,N$5)),"")</f>
        <v>823056.97204999998</v>
      </c>
      <c r="O29" s="102" cm="1">
        <f t="array" ref="O29">IFERROR(_xlfn.SINGLE(INDEX(DATABASE!$AV$14:$BC$989,SUMPRODUCT((ROW(DATABASE!$AV$14:$AV$989)) * (DATABASE!AQ$14:$AV$989='Résultats observations'!$A29 ) * (DATABASE!$AW$14:$AW$989= O$4))-ROW(DATABASE!$AV$14)+1,O$5)),"")</f>
        <v>1091430.3834000002</v>
      </c>
      <c r="P29" s="102" cm="1">
        <f t="array" ref="P29">IFERROR(_xlfn.SINGLE(INDEX(DATABASE!$AV$14:$BC$989,SUMPRODUCT((ROW(DATABASE!$AV$14:$AV$989)) * (DATABASE!AR$14:$AV$989='Résultats observations'!$A29 ) * (DATABASE!$AW$14:$AW$989= P$4))-ROW(DATABASE!$AV$14)+1,P$5)),"")</f>
        <v>-120.09604999999999</v>
      </c>
      <c r="Q29" s="102" cm="1">
        <f t="array" ref="Q29">IFERROR(_xlfn.SINGLE(INDEX(DATABASE!$AV$14:$BC$989,SUMPRODUCT((ROW(DATABASE!$AV$14:$AV$989)) * (DATABASE!AS$14:$AV$989='Résultats observations'!$A29 ) * (DATABASE!$AW$14:$AW$989= Q$4))-ROW(DATABASE!$AV$14)+1,Q$5)),"")</f>
        <v>823056.71349999995</v>
      </c>
      <c r="R29" s="102" cm="1">
        <f t="array" ref="R29">IFERROR(_xlfn.SINGLE(INDEX(DATABASE!$AV$14:$BC$989,SUMPRODUCT((ROW(DATABASE!$AV$14:$AV$989)) * (DATABASE!AT$14:$AV$989='Résultats observations'!$A29 ) * (DATABASE!$AW$14:$AW$989= R$4))-ROW(DATABASE!$AV$14)+1,R$5)),"")</f>
        <v>1091431.4509999999</v>
      </c>
      <c r="S29" s="102" cm="1">
        <f t="array" ref="S29">IFERROR(_xlfn.SINGLE(INDEX(DATABASE!$AV$14:$BC$989,SUMPRODUCT((ROW(DATABASE!$AV$14:$AV$989)) * (DATABASE!AU$14:$AV$989='Résultats observations'!$A29 ) * (DATABASE!$AW$14:$AW$989= S$4))-ROW(DATABASE!$AV$14)+1,S$5)),"")</f>
        <v>-123.0044</v>
      </c>
      <c r="T29" s="103">
        <f t="shared" si="2"/>
        <v>4.2666143463341619</v>
      </c>
      <c r="U29" s="103">
        <f t="shared" si="3"/>
        <v>2.9031098514944529</v>
      </c>
      <c r="V29" s="103">
        <f t="shared" si="4"/>
        <v>1.7044564633972041</v>
      </c>
      <c r="W29" s="103">
        <f t="shared" si="5"/>
        <v>4.2714180010659177</v>
      </c>
      <c r="X29" s="103">
        <f t="shared" si="6"/>
        <v>4.2613952581784638</v>
      </c>
      <c r="Y29" s="103">
        <f t="shared" si="7"/>
        <v>5.2972293003331963</v>
      </c>
      <c r="Z29" s="104">
        <f t="shared" si="311"/>
        <v>-1.6644982628104543</v>
      </c>
      <c r="AA29" s="104">
        <f t="shared" si="312"/>
        <v>1.295811569526073</v>
      </c>
      <c r="AB29" s="104">
        <f t="shared" si="313"/>
        <v>-9.4983223343905188</v>
      </c>
      <c r="AC29" s="104">
        <f t="shared" si="314"/>
        <v>-8.6910995064188867</v>
      </c>
      <c r="AD29" s="104">
        <f t="shared" si="315"/>
        <v>-8.4697730467260257</v>
      </c>
      <c r="AE29" s="104">
        <f t="shared" si="316"/>
        <v>-8.3101768157529676</v>
      </c>
      <c r="AF29" s="105"/>
      <c r="AG29" s="106">
        <f t="shared" si="32"/>
        <v>0.30000007245689631</v>
      </c>
      <c r="AH29" s="106">
        <f t="shared" si="33"/>
        <v>4.3999999761581421</v>
      </c>
      <c r="AI29" s="106">
        <f t="shared" si="34"/>
        <v>-0.29999999999574811</v>
      </c>
      <c r="AJ29" s="106">
        <f t="shared" ref="AJ29:AJ31" si="357">IF(H29="","",(H29-H$10)*1000)</f>
        <v>-1.449999981559813</v>
      </c>
      <c r="AK29" s="106">
        <f t="shared" ref="AK29:AK31" si="358">IF(I29="","",(I29-I$10)*1000)</f>
        <v>1.7999999690800905</v>
      </c>
      <c r="AL29" s="106">
        <f t="shared" ref="AL29:AL31" si="359">IF(J29="","",(J29-J$10)*1000)</f>
        <v>-1.5000000000071623</v>
      </c>
      <c r="AM29" s="106">
        <f t="shared" ref="AM29:AM31" si="360">IF(K29="","",(K29-K$10)*1000)</f>
        <v>-3.6499999696388841</v>
      </c>
      <c r="AN29" s="106">
        <f t="shared" ref="AN29:AN31" si="361">IF(L29="","",(L29-L$10)*1000)</f>
        <v>3.2999999821186066</v>
      </c>
      <c r="AO29" s="106">
        <f t="shared" ref="AO29:AO31" si="362">IF(M29="","",(M29-M$10)*1000)</f>
        <v>-2.7499999999918145</v>
      </c>
      <c r="AP29" s="106">
        <f t="shared" ref="AP29:AP31" si="363">IF(N29="","",(N29-N$10)*1000)</f>
        <v>4.5499999541789293</v>
      </c>
      <c r="AQ29" s="106">
        <f t="shared" ref="AQ29:AQ31" si="364">IF(O29="","",(O29-O$10)*1000)</f>
        <v>-3.6499998532235622</v>
      </c>
      <c r="AR29" s="106">
        <f t="shared" ref="AR29:AR31" si="365">IF(P29="","",(P29-P$18)*1000)+AR$18</f>
        <v>-5.3250000000133468</v>
      </c>
      <c r="AS29" s="106">
        <f t="shared" si="73"/>
        <v>2.849999931640923</v>
      </c>
      <c r="AT29" s="106">
        <f t="shared" si="74"/>
        <v>-3.6000001709908247</v>
      </c>
      <c r="AU29" s="106">
        <f t="shared" si="75"/>
        <v>0.99999999999056399</v>
      </c>
      <c r="AV29" s="105"/>
      <c r="AW29" s="107" cm="1">
        <f t="array" ref="AW29">IFERROR(_xlfn.SINGLE(INDEX(DATABASE!$AV$14:$BC$989,SUMPRODUCT((ROW(DATABASE!$AV$14:$AV$989)) * (DATABASE!$AV$14:HY$989='Résultats observations'!$A29 ) * (DATABASE!$AW$14:$AW$989= AW$4))-ROW(DATABASE!$AV$14)+1,AW$5)),"")</f>
        <v>5.0659152575209365</v>
      </c>
      <c r="AX29" s="107" cm="1">
        <f t="array" ref="AX29">IFERROR(_xlfn.SINGLE(INDEX(DATABASE!$AV$14:$BC$989,SUMPRODUCT((ROW(DATABASE!$AV$14:$AV$989)) * (DATABASE!$AV$14:HZ$989='Résultats observations'!$A29 ) * (DATABASE!$AW$14:$AW$989= AX$4))-ROW(DATABASE!$AV$14)+1,AX$5)),"")</f>
        <v>-2.6216337988491367</v>
      </c>
      <c r="AY29" s="107" cm="1">
        <f t="array" ref="AY29">IFERROR(_xlfn.SINGLE(INDEX(DATABASE!$AV$14:$BC$989,SUMPRODUCT((ROW(DATABASE!$AV$14:$AV$989)) * (DATABASE!$AV$14:IA$989='Résultats observations'!$A29 ) * (DATABASE!$AW$14:$AW$989= AY$4))-ROW(DATABASE!$AV$14)+1,AY$5)),"")</f>
        <v>-0.78525915257520751</v>
      </c>
      <c r="AZ29" s="107" cm="1">
        <f t="array" ref="AZ29">IFERROR(_xlfn.SINGLE(INDEX(DATABASE!$AV$14:$BC$989,SUMPRODUCT((ROW(DATABASE!$AV$14:$AV$989)) * (DATABASE!$AV$14:IB$989='Résultats observations'!$A29 ) * (DATABASE!$AW$14:$AW$989= AZ$4))-ROW(DATABASE!$AV$14)+1,AZ$5)),"")</f>
        <v>5.0652673831986146</v>
      </c>
      <c r="BA29" s="107" cm="1">
        <f t="array" ref="BA29">IFERROR(_xlfn.SINGLE(INDEX(DATABASE!$AV$14:$BC$989,SUMPRODUCT((ROW(DATABASE!$AV$14:$AV$989)) * (DATABASE!$AV$14:IC$989='Résultats observations'!$A29 ) * (DATABASE!$AW$14:$AW$989= BA$4))-ROW(DATABASE!$AV$14)+1,BA$5)),"")</f>
        <v>-2.5291425004657628</v>
      </c>
      <c r="BB29" s="107" cm="1">
        <f t="array" ref="BB29">IFERROR(_xlfn.SINGLE(INDEX(DATABASE!$AV$14:$BC$989,SUMPRODUCT((ROW(DATABASE!$AV$14:$AV$989)) * (DATABASE!$AV$14:ID$989='Résultats observations'!$A29 ) * (DATABASE!$AW$14:$AW$989= BB$4))-ROW(DATABASE!$AV$14)+1,BB$5)),"")</f>
        <v>1.1472473261679994</v>
      </c>
      <c r="BC29" s="107" cm="1">
        <f t="array" ref="BC29">IFERROR(_xlfn.SINGLE(INDEX(DATABASE!$AV$14:$BC$989,SUMPRODUCT((ROW(DATABASE!$AV$14:$AV$989)) * (DATABASE!$AV$14:IE$989='Résultats observations'!$A29 ) * (DATABASE!$AW$14:$AW$989= BC$4))-ROW(DATABASE!$AV$14)+1,BC$5)),"")</f>
        <v>4.9219602390613026</v>
      </c>
      <c r="BD29" s="107" cm="1">
        <f t="array" ref="BD29">IFERROR(_xlfn.SINGLE(INDEX(DATABASE!$AV$14:$BC$989,SUMPRODUCT((ROW(DATABASE!$AV$14:$AV$989)) * (DATABASE!$AV$14:IF$989='Résultats observations'!$A29 ) * (DATABASE!$AW$14:$AW$989= BD$4))-ROW(DATABASE!$AV$14)+1,BD$5)),"")</f>
        <v>-1.2645388946792043E-2</v>
      </c>
      <c r="BE29" s="107" cm="1">
        <f t="array" ref="BE29">IFERROR(_xlfn.SINGLE(INDEX(DATABASE!$AV$14:$BC$989,SUMPRODUCT((ROW(DATABASE!$AV$14:$AV$989)) * (DATABASE!$AV$14:IG$989='Résultats observations'!$A29 ) * (DATABASE!$AW$14:$AW$989= BE$4))-ROW(DATABASE!$AV$14)+1,BE$5)),"")</f>
        <v>2.5890803976093935</v>
      </c>
      <c r="BF29" s="107" cm="1">
        <f t="array" ref="BF29">IFERROR(_xlfn.SINGLE(INDEX(DATABASE!$AV$14:$BC$989,SUMPRODUCT((ROW(DATABASE!$AV$14:$AV$989)) * (DATABASE!$AV$14:IH$989='Résultats observations'!$A29 ) * (DATABASE!$AW$14:$AW$989= BF$4))-ROW(DATABASE!$AV$14)+1,BF$5)),"")</f>
        <v>5.301091407889329</v>
      </c>
      <c r="BG29" s="107" cm="1">
        <f t="array" ref="BG29">IFERROR(_xlfn.SINGLE(INDEX(DATABASE!$AV$14:$BC$989,SUMPRODUCT((ROW(DATABASE!$AV$14:$AV$989)) * (DATABASE!$AV$14:II$989='Résultats observations'!$A29 ) * (DATABASE!$AW$14:$AW$989= BG$4))-ROW(DATABASE!$AV$14)+1,BG$5)),"")</f>
        <v>1.5984093493968827</v>
      </c>
      <c r="BH29" s="107" cm="1">
        <f t="array" ref="BH29">IFERROR(_xlfn.SINGLE(INDEX(DATABASE!$AV$14:$BC$989,SUMPRODUCT((ROW(DATABASE!$AV$14:$AV$989)) * (DATABASE!$AV$14:IJ$989='Résultats observations'!$A29 ) * (DATABASE!$AW$14:$AW$989= BH$4))-ROW(DATABASE!$AV$14)+1,BH$5)),"")</f>
        <v>2.1779390859211105</v>
      </c>
      <c r="BI29" s="107" cm="1">
        <f t="array" ref="BI29">IFERROR(_xlfn.SINGLE(INDEX(DATABASE!$AV$14:$BC$989,SUMPRODUCT((ROW(DATABASE!$AV$14:$AV$989)) * (DATABASE!$AV$14:IK$989='Résultats observations'!$A29 ) * (DATABASE!$AW$14:$AW$989= BI$4))-ROW(DATABASE!$AV$14)+1,BI$5)),"")</f>
        <v>5.0842471647111847</v>
      </c>
      <c r="BJ29" s="107" cm="1">
        <f t="array" ref="BJ29">IFERROR(_xlfn.SINGLE(INDEX(DATABASE!$AV$14:$BC$989,SUMPRODUCT((ROW(DATABASE!$AV$14:$AV$989)) * (DATABASE!$AV$14:IL$989='Résultats observations'!$A29 ) * (DATABASE!$AW$14:$AW$989= BJ$4))-ROW(DATABASE!$AV$14)+1,BJ$5)),"")</f>
        <v>2.6752549446952512</v>
      </c>
      <c r="BK29" s="107" cm="1">
        <f t="array" ref="BK29">IFERROR(_xlfn.SINGLE(INDEX(DATABASE!$AV$14:$BC$989,SUMPRODUCT((ROW(DATABASE!$AV$14:$AV$989)) * (DATABASE!$AV$14:IM$989='Résultats observations'!$A29 ) * (DATABASE!$AW$14:$AW$989= BK$4))-ROW(DATABASE!$AV$14)+1,BK$5)),"")</f>
        <v>-0.72824247164712119</v>
      </c>
      <c r="BL29" s="105"/>
      <c r="BM29" s="106">
        <f t="shared" si="47"/>
        <v>-2.1313513079528335</v>
      </c>
      <c r="BN29" s="106">
        <f t="shared" si="48"/>
        <v>3.8610026464307445</v>
      </c>
      <c r="BO29" s="106">
        <f t="shared" si="49"/>
        <v>-0.27868648690798636</v>
      </c>
      <c r="BP29" s="106">
        <f t="shared" ref="BP29" si="366">IF(AZ29="","",(AZ29-AZ$10)*1000)</f>
        <v>0.55346912493003941</v>
      </c>
      <c r="BQ29" s="106">
        <f t="shared" ref="BQ29" si="367">IF(BA29="","",(BA29-BA$10)*1000)</f>
        <v>2.2441416539420445</v>
      </c>
      <c r="BR29" s="106">
        <f t="shared" ref="BR29" si="368">IF(BB29="","",(BB29-BB$10)*1000)</f>
        <v>-1.5055346912618006</v>
      </c>
      <c r="BS29" s="106">
        <f t="shared" ref="BS29" si="369">IF(BC29="","",(BC29-BC$10)*1000)</f>
        <v>1.9134552730601939</v>
      </c>
      <c r="BT29" s="106">
        <f t="shared" ref="BT29" si="370">IF(BD29="","",(BD29-BD$10)*1000)</f>
        <v>4.5333418775084668</v>
      </c>
      <c r="BU29" s="106">
        <f t="shared" ref="BU29" si="371">IF(BE29="","",(BE29-BE$10)*1000)</f>
        <v>-2.7691345527216527</v>
      </c>
      <c r="BV29" s="106">
        <f t="shared" ref="BV29" si="372">IF(BF29="","",(BF29-BF$10)*1000)</f>
        <v>-2.5812270296921014</v>
      </c>
      <c r="BW29" s="106">
        <f t="shared" ref="BW29" si="373">IF(BG29="","",(BG29-BG$10)*1000)</f>
        <v>-5.2308952897894834</v>
      </c>
      <c r="BX29" s="106">
        <f t="shared" ref="BX29" si="374">IF(BH29="","",(BH29-BH$18)*1000)+BX$18</f>
        <v>-5.2921052570695792</v>
      </c>
      <c r="BY29" s="106">
        <f t="shared" si="59"/>
        <v>-1.0616223973594074</v>
      </c>
      <c r="BZ29" s="106">
        <f t="shared" si="60"/>
        <v>-4.4671533135680619</v>
      </c>
      <c r="CA29" s="106">
        <f t="shared" si="61"/>
        <v>1.0106162239651439</v>
      </c>
    </row>
    <row r="30" spans="1:79" s="108" customFormat="1" ht="29.25" customHeight="1">
      <c r="A30" s="99">
        <v>45601</v>
      </c>
      <c r="B30" s="100">
        <f t="shared" ref="B30" si="375">A30-$A$10</f>
        <v>277</v>
      </c>
      <c r="C30" s="101">
        <v>11.5</v>
      </c>
      <c r="D30" s="101">
        <f t="shared" ref="D30:D31" si="376">C30-$W$6</f>
        <v>6.41</v>
      </c>
      <c r="E30" s="102" cm="1">
        <f t="array" ref="E30">IFERROR(_xlfn.SINGLE(INDEX(DATABASE!$AV$14:$BC$989,SUMPRODUCT((ROW(DATABASE!$AV$14:$AV$989)) * (DATABASE!AG$14:$AV$989='Résultats observations'!$A30 ) * (DATABASE!$AW$14:$AW$989= E$4))-ROW(DATABASE!$AV$14)+1,E$5)),"")</f>
        <v>823058.96860000002</v>
      </c>
      <c r="F30" s="102" cm="1">
        <f t="array" ref="F30">IFERROR(_xlfn.SINGLE(INDEX(DATABASE!$AV$14:$BC$989,SUMPRODUCT((ROW(DATABASE!$AV$14:$AV$989)) * (DATABASE!AH$14:$AV$989='Résultats observations'!$A30 ) * (DATABASE!$AW$14:$AW$989= F$4))-ROW(DATABASE!$AV$14)+1,F$5)),"")</f>
        <v>1091426.6580999999</v>
      </c>
      <c r="G30" s="102" cm="1">
        <f t="array" ref="G30">IFERROR(_xlfn.SINGLE(INDEX(DATABASE!$AV$14:$BC$989,SUMPRODUCT((ROW(DATABASE!$AV$14:$AV$989)) * (DATABASE!AI$14:$AV$989='Résultats observations'!$A30 ) * (DATABASE!$AW$14:$AW$989= G$4))-ROW(DATABASE!$AV$14)+1,G$5)),"")</f>
        <v>-123.0613</v>
      </c>
      <c r="H30" s="102" cm="1">
        <f t="array" ref="H30">IFERROR(_xlfn.SINGLE(INDEX(DATABASE!$AV$14:$BC$989,SUMPRODUCT((ROW(DATABASE!$AV$14:$AV$989)) * (DATABASE!AJ$14:$AV$989='Résultats observations'!$A30 ) * (DATABASE!$AW$14:$AW$989= H$4))-ROW(DATABASE!$AV$14)+1,H$5)),"")</f>
        <v>823058.9301</v>
      </c>
      <c r="I30" s="102" cm="1">
        <f t="array" ref="I30">IFERROR(_xlfn.SINGLE(INDEX(DATABASE!$AV$14:$BC$989,SUMPRODUCT((ROW(DATABASE!$AV$14:$AV$989)) * (DATABASE!AK$14:$AV$989='Résultats observations'!$A30 ) * (DATABASE!$AW$14:$AW$989= I$4))-ROW(DATABASE!$AV$14)+1,I$5)),"")</f>
        <v>1091426.7422</v>
      </c>
      <c r="J30" s="102" cm="1">
        <f t="array" ref="J30">IFERROR(_xlfn.SINGLE(INDEX(DATABASE!$AV$14:$BC$989,SUMPRODUCT((ROW(DATABASE!$AV$14:$AV$989)) * (DATABASE!AL$14:$AV$989='Résultats observations'!$A30 ) * (DATABASE!$AW$14:$AW$989= J$4))-ROW(DATABASE!$AV$14)+1,J$5)),"")</f>
        <v>-121.12960000000001</v>
      </c>
      <c r="K30" s="102" cm="1">
        <f t="array" ref="K30">IFERROR(_xlfn.SINGLE(INDEX(DATABASE!$AV$14:$BC$989,SUMPRODUCT((ROW(DATABASE!$AV$14:$AV$989)) * (DATABASE!AM$14:$AV$989='Résultats observations'!$A30 ) * (DATABASE!$AW$14:$AW$989= K$4))-ROW(DATABASE!$AV$14)+1,K$5)),"")</f>
        <v>823057.99650000001</v>
      </c>
      <c r="L30" s="102" cm="1">
        <f t="array" ref="L30">IFERROR(_xlfn.SINGLE(INDEX(DATABASE!$AV$14:$BC$989,SUMPRODUCT((ROW(DATABASE!$AV$14:$AV$989)) * (DATABASE!AN$14:$AV$989='Résultats observations'!$A30 ) * (DATABASE!$AW$14:$AW$989= L$4))-ROW(DATABASE!$AV$14)+1,L$5)),"")</f>
        <v>1091429.0834999999</v>
      </c>
      <c r="M30" s="102" cm="1">
        <f t="array" ref="M30">IFERROR(_xlfn.SINGLE(INDEX(DATABASE!$AV$14:$BC$989,SUMPRODUCT((ROW(DATABASE!$AV$14:$AV$989)) * (DATABASE!AO$14:$AV$989='Résultats observations'!$A30 ) * (DATABASE!$AW$14:$AW$989= M$4))-ROW(DATABASE!$AV$14)+1,M$5)),"")</f>
        <v>-119.6892</v>
      </c>
      <c r="N30" s="102" cm="1">
        <f t="array" ref="N30">IFERROR(_xlfn.SINGLE(INDEX(DATABASE!$AV$14:$BC$989,SUMPRODUCT((ROW(DATABASE!$AV$14:$AV$989)) * (DATABASE!AP$14:$AV$989='Résultats observations'!$A30 ) * (DATABASE!$AW$14:$AW$989= N$4))-ROW(DATABASE!$AV$14)+1,N$5)),"")</f>
        <v>823056.97169999999</v>
      </c>
      <c r="O30" s="102" cm="1">
        <f t="array" ref="O30">IFERROR(_xlfn.SINGLE(INDEX(DATABASE!$AV$14:$BC$989,SUMPRODUCT((ROW(DATABASE!$AV$14:$AV$989)) * (DATABASE!AQ$14:$AV$989='Résultats observations'!$A30 ) * (DATABASE!$AW$14:$AW$989= O$4))-ROW(DATABASE!$AV$14)+1,O$5)),"")</f>
        <v>1091430.3833000001</v>
      </c>
      <c r="P30" s="102" cm="1">
        <f t="array" ref="P30">IFERROR(_xlfn.SINGLE(INDEX(DATABASE!$AV$14:$BC$989,SUMPRODUCT((ROW(DATABASE!$AV$14:$AV$989)) * (DATABASE!AR$14:$AV$989='Résultats observations'!$A30 ) * (DATABASE!$AW$14:$AW$989= P$4))-ROW(DATABASE!$AV$14)+1,P$5)),"")</f>
        <v>-120.09650000000001</v>
      </c>
      <c r="Q30" s="102" cm="1">
        <f t="array" ref="Q30">IFERROR(_xlfn.SINGLE(INDEX(DATABASE!$AV$14:$BC$989,SUMPRODUCT((ROW(DATABASE!$AV$14:$AV$989)) * (DATABASE!AS$14:$AV$989='Résultats observations'!$A30 ) * (DATABASE!$AW$14:$AW$989= Q$4))-ROW(DATABASE!$AV$14)+1,Q$5)),"")</f>
        <v>823056.71349999995</v>
      </c>
      <c r="R30" s="102" cm="1">
        <f t="array" ref="R30">IFERROR(_xlfn.SINGLE(INDEX(DATABASE!$AV$14:$BC$989,SUMPRODUCT((ROW(DATABASE!$AV$14:$AV$989)) * (DATABASE!AT$14:$AV$989='Résultats observations'!$A30 ) * (DATABASE!$AW$14:$AW$989= R$4))-ROW(DATABASE!$AV$14)+1,R$5)),"")</f>
        <v>1091431.4509999999</v>
      </c>
      <c r="S30" s="102" cm="1">
        <f t="array" ref="S30">IFERROR(_xlfn.SINGLE(INDEX(DATABASE!$AV$14:$BC$989,SUMPRODUCT((ROW(DATABASE!$AV$14:$AV$989)) * (DATABASE!AU$14:$AV$989='Résultats observations'!$A30 ) * (DATABASE!$AW$14:$AW$989= S$4))-ROW(DATABASE!$AV$14)+1,S$5)),"")</f>
        <v>-123.00420000000001</v>
      </c>
      <c r="T30" s="103">
        <f t="shared" si="2"/>
        <v>4.2659819479628016</v>
      </c>
      <c r="U30" s="103">
        <f t="shared" si="3"/>
        <v>2.9031098514944529</v>
      </c>
      <c r="V30" s="103">
        <f t="shared" si="4"/>
        <v>1.7045786489415056</v>
      </c>
      <c r="W30" s="103">
        <f t="shared" si="5"/>
        <v>4.2708746469347467</v>
      </c>
      <c r="X30" s="103">
        <f t="shared" si="6"/>
        <v>4.2614827678776903</v>
      </c>
      <c r="Y30" s="103">
        <f t="shared" si="7"/>
        <v>5.2972282214671971</v>
      </c>
      <c r="Z30" s="104">
        <f t="shared" si="311"/>
        <v>-2.2968966341707642</v>
      </c>
      <c r="AA30" s="104">
        <f t="shared" si="312"/>
        <v>1.295811569526073</v>
      </c>
      <c r="AB30" s="104">
        <f t="shared" si="313"/>
        <v>-9.3761367900890846</v>
      </c>
      <c r="AC30" s="104">
        <f t="shared" si="314"/>
        <v>-9.2344536375899011</v>
      </c>
      <c r="AD30" s="104">
        <f t="shared" si="315"/>
        <v>-8.3822633474994745</v>
      </c>
      <c r="AE30" s="104">
        <f t="shared" si="316"/>
        <v>-8.3112556817521721</v>
      </c>
      <c r="AF30" s="105"/>
      <c r="AG30" s="106">
        <f t="shared" si="32"/>
        <v>0.30000007245689631</v>
      </c>
      <c r="AH30" s="106">
        <f t="shared" si="33"/>
        <v>4.3999999761581421</v>
      </c>
      <c r="AI30" s="106">
        <f t="shared" si="34"/>
        <v>0</v>
      </c>
      <c r="AJ30" s="106">
        <f t="shared" si="357"/>
        <v>-1.449999981559813</v>
      </c>
      <c r="AK30" s="106">
        <f t="shared" si="358"/>
        <v>1.7999999690800905</v>
      </c>
      <c r="AL30" s="106">
        <f t="shared" si="359"/>
        <v>-2.0000000000095497</v>
      </c>
      <c r="AM30" s="106">
        <f t="shared" si="360"/>
        <v>-3.6499999696388841</v>
      </c>
      <c r="AN30" s="106">
        <f t="shared" si="361"/>
        <v>3.2999999821186066</v>
      </c>
      <c r="AO30" s="106">
        <f t="shared" si="362"/>
        <v>-3.249999999994202</v>
      </c>
      <c r="AP30" s="106">
        <f t="shared" si="363"/>
        <v>4.1999999666586518</v>
      </c>
      <c r="AQ30" s="106">
        <f t="shared" si="364"/>
        <v>-3.7499999161809683</v>
      </c>
      <c r="AR30" s="106">
        <f t="shared" si="365"/>
        <v>-5.7750000000282853</v>
      </c>
      <c r="AS30" s="106">
        <f t="shared" si="73"/>
        <v>2.849999931640923</v>
      </c>
      <c r="AT30" s="106">
        <f t="shared" si="74"/>
        <v>-3.6000001709908247</v>
      </c>
      <c r="AU30" s="106">
        <f t="shared" si="75"/>
        <v>1.1999999999829924</v>
      </c>
      <c r="AV30" s="105"/>
      <c r="AW30" s="107" cm="1">
        <f t="array" ref="AW30">IFERROR(_xlfn.SINGLE(INDEX(DATABASE!$AV$14:$BC$989,SUMPRODUCT((ROW(DATABASE!$AV$14:$AV$989)) * (DATABASE!$AV$14:HY$989='Résultats observations'!$A30 ) * (DATABASE!$AW$14:$AW$989= AW$4))-ROW(DATABASE!$AV$14)+1,AW$5)),"")</f>
        <v>5.0659152575209365</v>
      </c>
      <c r="AX30" s="107" cm="1">
        <f t="array" ref="AX30">IFERROR(_xlfn.SINGLE(INDEX(DATABASE!$AV$14:$BC$989,SUMPRODUCT((ROW(DATABASE!$AV$14:$AV$989)) * (DATABASE!$AV$14:HZ$989='Résultats observations'!$A30 ) * (DATABASE!$AW$14:$AW$989= AX$4))-ROW(DATABASE!$AV$14)+1,AX$5)),"")</f>
        <v>-2.6216337988491367</v>
      </c>
      <c r="AY30" s="107" cm="1">
        <f t="array" ref="AY30">IFERROR(_xlfn.SINGLE(INDEX(DATABASE!$AV$14:$BC$989,SUMPRODUCT((ROW(DATABASE!$AV$14:$AV$989)) * (DATABASE!$AV$14:IA$989='Résultats observations'!$A30 ) * (DATABASE!$AW$14:$AW$989= AY$4))-ROW(DATABASE!$AV$14)+1,AY$5)),"")</f>
        <v>-0.78495915257521176</v>
      </c>
      <c r="AZ30" s="107" cm="1">
        <f t="array" ref="AZ30">IFERROR(_xlfn.SINGLE(INDEX(DATABASE!$AV$14:$BC$989,SUMPRODUCT((ROW(DATABASE!$AV$14:$AV$989)) * (DATABASE!$AV$14:IB$989='Résultats observations'!$A30 ) * (DATABASE!$AW$14:$AW$989= AZ$4))-ROW(DATABASE!$AV$14)+1,AZ$5)),"")</f>
        <v>5.0652673831986146</v>
      </c>
      <c r="BA30" s="107" cm="1">
        <f t="array" ref="BA30">IFERROR(_xlfn.SINGLE(INDEX(DATABASE!$AV$14:$BC$989,SUMPRODUCT((ROW(DATABASE!$AV$14:$AV$989)) * (DATABASE!$AV$14:IC$989='Résultats observations'!$A30 ) * (DATABASE!$AW$14:$AW$989= BA$4))-ROW(DATABASE!$AV$14)+1,BA$5)),"")</f>
        <v>-2.5291425004657628</v>
      </c>
      <c r="BB30" s="107" cm="1">
        <f t="array" ref="BB30">IFERROR(_xlfn.SINGLE(INDEX(DATABASE!$AV$14:$BC$989,SUMPRODUCT((ROW(DATABASE!$AV$14:$AV$989)) * (DATABASE!$AV$14:ID$989='Résultats observations'!$A30 ) * (DATABASE!$AW$14:$AW$989= BB$4))-ROW(DATABASE!$AV$14)+1,BB$5)),"")</f>
        <v>1.146747326167997</v>
      </c>
      <c r="BC30" s="107" cm="1">
        <f t="array" ref="BC30">IFERROR(_xlfn.SINGLE(INDEX(DATABASE!$AV$14:$BC$989,SUMPRODUCT((ROW(DATABASE!$AV$14:$AV$989)) * (DATABASE!$AV$14:IE$989='Résultats observations'!$A30 ) * (DATABASE!$AW$14:$AW$989= BC$4))-ROW(DATABASE!$AV$14)+1,BC$5)),"")</f>
        <v>4.9219602390613026</v>
      </c>
      <c r="BD30" s="107" cm="1">
        <f t="array" ref="BD30">IFERROR(_xlfn.SINGLE(INDEX(DATABASE!$AV$14:$BC$989,SUMPRODUCT((ROW(DATABASE!$AV$14:$AV$989)) * (DATABASE!$AV$14:IF$989='Résultats observations'!$A30 ) * (DATABASE!$AW$14:$AW$989= BD$4))-ROW(DATABASE!$AV$14)+1,BD$5)),"")</f>
        <v>-1.2645388946792043E-2</v>
      </c>
      <c r="BE30" s="107" cm="1">
        <f t="array" ref="BE30">IFERROR(_xlfn.SINGLE(INDEX(DATABASE!$AV$14:$BC$989,SUMPRODUCT((ROW(DATABASE!$AV$14:$AV$989)) * (DATABASE!$AV$14:IG$989='Résultats observations'!$A30 ) * (DATABASE!$AW$14:$AW$989= BE$4))-ROW(DATABASE!$AV$14)+1,BE$5)),"")</f>
        <v>2.5885803976093911</v>
      </c>
      <c r="BF30" s="107" cm="1">
        <f t="array" ref="BF30">IFERROR(_xlfn.SINGLE(INDEX(DATABASE!$AV$14:$BC$989,SUMPRODUCT((ROW(DATABASE!$AV$14:$AV$989)) * (DATABASE!$AV$14:IH$989='Résultats observations'!$A30 ) * (DATABASE!$AW$14:$AW$989= BF$4))-ROW(DATABASE!$AV$14)+1,BF$5)),"")</f>
        <v>5.3014508783677359</v>
      </c>
      <c r="BG30" s="107" cm="1">
        <f t="array" ref="BG30">IFERROR(_xlfn.SINGLE(INDEX(DATABASE!$AV$14:$BC$989,SUMPRODUCT((ROW(DATABASE!$AV$14:$AV$989)) * (DATABASE!$AV$14:II$989='Résultats observations'!$A30 ) * (DATABASE!$AW$14:$AW$989= BG$4))-ROW(DATABASE!$AV$14)+1,BG$5)),"")</f>
        <v>1.5984666292276217</v>
      </c>
      <c r="BH30" s="107" cm="1">
        <f t="array" ref="BH30">IFERROR(_xlfn.SINGLE(INDEX(DATABASE!$AV$14:$BC$989,SUMPRODUCT((ROW(DATABASE!$AV$14:$AV$989)) * (DATABASE!$AV$14:IJ$989='Résultats observations'!$A30 ) * (DATABASE!$AW$14:$AW$989= BH$4))-ROW(DATABASE!$AV$14)+1,BH$5)),"")</f>
        <v>2.1774854912163164</v>
      </c>
      <c r="BI30" s="107" cm="1">
        <f t="array" ref="BI30">IFERROR(_xlfn.SINGLE(INDEX(DATABASE!$AV$14:$BC$989,SUMPRODUCT((ROW(DATABASE!$AV$14:$AV$989)) * (DATABASE!$AV$14:IK$989='Résultats observations'!$A30 ) * (DATABASE!$AW$14:$AW$989= BI$4))-ROW(DATABASE!$AV$14)+1,BI$5)),"")</f>
        <v>5.0842471647111847</v>
      </c>
      <c r="BJ30" s="107" cm="1">
        <f t="array" ref="BJ30">IFERROR(_xlfn.SINGLE(INDEX(DATABASE!$AV$14:$BC$989,SUMPRODUCT((ROW(DATABASE!$AV$14:$AV$989)) * (DATABASE!$AV$14:IL$989='Résultats observations'!$A30 ) * (DATABASE!$AW$14:$AW$989= BJ$4))-ROW(DATABASE!$AV$14)+1,BJ$5)),"")</f>
        <v>2.6752549446952512</v>
      </c>
      <c r="BK30" s="107" cm="1">
        <f t="array" ref="BK30">IFERROR(_xlfn.SINGLE(INDEX(DATABASE!$AV$14:$BC$989,SUMPRODUCT((ROW(DATABASE!$AV$14:$AV$989)) * (DATABASE!$AV$14:IM$989='Résultats observations'!$A30 ) * (DATABASE!$AW$14:$AW$989= BK$4))-ROW(DATABASE!$AV$14)+1,BK$5)),"")</f>
        <v>-0.72804247164712876</v>
      </c>
      <c r="BL30" s="105"/>
      <c r="BM30" s="106">
        <f t="shared" si="47"/>
        <v>-2.1313513079528335</v>
      </c>
      <c r="BN30" s="106">
        <f t="shared" si="48"/>
        <v>3.8610026464307445</v>
      </c>
      <c r="BO30" s="106">
        <f t="shared" si="49"/>
        <v>2.1313513087761748E-2</v>
      </c>
      <c r="BP30" s="106">
        <f t="shared" ref="BP30" si="377">IF(AZ30="","",(AZ30-AZ$10)*1000)</f>
        <v>0.55346912493003941</v>
      </c>
      <c r="BQ30" s="106">
        <f t="shared" ref="BQ30" si="378">IF(BA30="","",(BA30-BA$10)*1000)</f>
        <v>2.2441416539420445</v>
      </c>
      <c r="BR30" s="106">
        <f t="shared" ref="BR30" si="379">IF(BB30="","",(BB30-BB$10)*1000)</f>
        <v>-2.005534691264188</v>
      </c>
      <c r="BS30" s="106">
        <f t="shared" ref="BS30" si="380">IF(BC30="","",(BC30-BC$10)*1000)</f>
        <v>1.9134552730601939</v>
      </c>
      <c r="BT30" s="106">
        <f t="shared" ref="BT30" si="381">IF(BD30="","",(BD30-BD$10)*1000)</f>
        <v>4.5333418775084668</v>
      </c>
      <c r="BU30" s="106">
        <f t="shared" ref="BU30" si="382">IF(BE30="","",(BE30-BE$10)*1000)</f>
        <v>-3.2691345527240401</v>
      </c>
      <c r="BV30" s="106">
        <f t="shared" ref="BV30" si="383">IF(BF30="","",(BF30-BF$10)*1000)</f>
        <v>-2.2217565512852033</v>
      </c>
      <c r="BW30" s="106">
        <f t="shared" ref="BW30" si="384">IF(BG30="","",(BG30-BG$10)*1000)</f>
        <v>-5.1736154590504846</v>
      </c>
      <c r="BX30" s="106">
        <f t="shared" ref="BX30" si="385">IF(BH30="","",(BH30-BH$18)*1000)+BX$18</f>
        <v>-5.7456999618636928</v>
      </c>
      <c r="BY30" s="106">
        <f t="shared" si="59"/>
        <v>-1.0616223973594074</v>
      </c>
      <c r="BZ30" s="106">
        <f t="shared" si="60"/>
        <v>-4.4671533135680619</v>
      </c>
      <c r="CA30" s="106">
        <f t="shared" si="61"/>
        <v>1.2106162239575724</v>
      </c>
    </row>
    <row r="31" spans="1:79" s="108" customFormat="1" ht="29.25" customHeight="1">
      <c r="A31" s="99">
        <v>45671</v>
      </c>
      <c r="B31" s="100">
        <f t="shared" ref="B31" si="386">A31-$A$10</f>
        <v>347</v>
      </c>
      <c r="C31" s="101">
        <v>11.5</v>
      </c>
      <c r="D31" s="101">
        <f t="shared" si="376"/>
        <v>6.41</v>
      </c>
      <c r="E31" s="102" cm="1">
        <f t="array" ref="E31">IFERROR(_xlfn.SINGLE(INDEX(DATABASE!$AV$14:$BC$989,SUMPRODUCT((ROW(DATABASE!$AV$14:$AV$989)) * (DATABASE!AG$14:$AV$989='Résultats observations'!$A31 ) * (DATABASE!$AW$14:$AW$989= E$4))-ROW(DATABASE!$AV$14)+1,E$5)),"")</f>
        <v>823058.97019999998</v>
      </c>
      <c r="F31" s="102" cm="1">
        <f t="array" ref="F31">IFERROR(_xlfn.SINGLE(INDEX(DATABASE!$AV$14:$BC$989,SUMPRODUCT((ROW(DATABASE!$AV$14:$AV$989)) * (DATABASE!AH$14:$AV$989='Résultats observations'!$A31 ) * (DATABASE!$AW$14:$AW$989= F$4))-ROW(DATABASE!$AV$14)+1,F$5)),"")</f>
        <v>1091426.6610000001</v>
      </c>
      <c r="G31" s="102" cm="1">
        <f t="array" ref="G31">IFERROR(_xlfn.SINGLE(INDEX(DATABASE!$AV$14:$BC$989,SUMPRODUCT((ROW(DATABASE!$AV$14:$AV$989)) * (DATABASE!AI$14:$AV$989='Résultats observations'!$A31 ) * (DATABASE!$AW$14:$AW$989= G$4))-ROW(DATABASE!$AV$14)+1,G$5)),"")</f>
        <v>-123.0605</v>
      </c>
      <c r="H31" s="102" cm="1">
        <f t="array" ref="H31">IFERROR(_xlfn.SINGLE(INDEX(DATABASE!$AV$14:$BC$989,SUMPRODUCT((ROW(DATABASE!$AV$14:$AV$989)) * (DATABASE!AJ$14:$AV$989='Résultats observations'!$A31 ) * (DATABASE!$AW$14:$AW$989= H$4))-ROW(DATABASE!$AV$14)+1,H$5)),"")</f>
        <v>823058.93119999999</v>
      </c>
      <c r="I31" s="102" cm="1">
        <f t="array" ref="I31">IFERROR(_xlfn.SINGLE(INDEX(DATABASE!$AV$14:$BC$989,SUMPRODUCT((ROW(DATABASE!$AV$14:$AV$989)) * (DATABASE!AK$14:$AV$989='Résultats observations'!$A31 ) * (DATABASE!$AW$14:$AW$989= I$4))-ROW(DATABASE!$AV$14)+1,I$5)),"")</f>
        <v>1091426.7438000001</v>
      </c>
      <c r="J31" s="102" cm="1">
        <f t="array" ref="J31">IFERROR(_xlfn.SINGLE(INDEX(DATABASE!$AV$14:$BC$989,SUMPRODUCT((ROW(DATABASE!$AV$14:$AV$989)) * (DATABASE!AL$14:$AV$989='Résultats observations'!$A31 ) * (DATABASE!$AW$14:$AW$989= J$4))-ROW(DATABASE!$AV$14)+1,J$5)),"")</f>
        <v>-121.13</v>
      </c>
      <c r="K31" s="102" cm="1">
        <f t="array" ref="K31">IFERROR(_xlfn.SINGLE(INDEX(DATABASE!$AV$14:$BC$989,SUMPRODUCT((ROW(DATABASE!$AV$14:$AV$989)) * (DATABASE!AM$14:$AV$989='Résultats observations'!$A31 ) * (DATABASE!$AW$14:$AW$989= K$4))-ROW(DATABASE!$AV$14)+1,K$5)),"")</f>
        <v>823057.99820000003</v>
      </c>
      <c r="L31" s="102" cm="1">
        <f t="array" ref="L31">IFERROR(_xlfn.SINGLE(INDEX(DATABASE!$AV$14:$BC$989,SUMPRODUCT((ROW(DATABASE!$AV$14:$AV$989)) * (DATABASE!AN$14:$AV$989='Résultats observations'!$A31 ) * (DATABASE!$AW$14:$AW$989= L$4))-ROW(DATABASE!$AV$14)+1,L$5)),"")</f>
        <v>1091429.0839</v>
      </c>
      <c r="M31" s="102" cm="1">
        <f t="array" ref="M31">IFERROR(_xlfn.SINGLE(INDEX(DATABASE!$AV$14:$BC$989,SUMPRODUCT((ROW(DATABASE!$AV$14:$AV$989)) * (DATABASE!AO$14:$AV$989='Résultats observations'!$A31 ) * (DATABASE!$AW$14:$AW$989= M$4))-ROW(DATABASE!$AV$14)+1,M$5)),"")</f>
        <v>-119.6902</v>
      </c>
      <c r="N31" s="102" cm="1">
        <f t="array" ref="N31">IFERROR(_xlfn.SINGLE(INDEX(DATABASE!$AV$14:$BC$989,SUMPRODUCT((ROW(DATABASE!$AV$14:$AV$989)) * (DATABASE!AP$14:$AV$989='Résultats observations'!$A31 ) * (DATABASE!$AW$14:$AW$989= N$4))-ROW(DATABASE!$AV$14)+1,N$5)),"")</f>
        <v>823056.97389999998</v>
      </c>
      <c r="O31" s="102" cm="1">
        <f t="array" ref="O31">IFERROR(_xlfn.SINGLE(INDEX(DATABASE!$AV$14:$BC$989,SUMPRODUCT((ROW(DATABASE!$AV$14:$AV$989)) * (DATABASE!AQ$14:$AV$989='Résultats observations'!$A31 ) * (DATABASE!$AW$14:$AW$989= O$4))-ROW(DATABASE!$AV$14)+1,O$5)),"")</f>
        <v>1091430.3825999999</v>
      </c>
      <c r="P31" s="102" cm="1">
        <f t="array" ref="P31">IFERROR(_xlfn.SINGLE(INDEX(DATABASE!$AV$14:$BC$989,SUMPRODUCT((ROW(DATABASE!$AV$14:$AV$989)) * (DATABASE!AR$14:$AV$989='Résultats observations'!$A31 ) * (DATABASE!$AW$14:$AW$989= P$4))-ROW(DATABASE!$AV$14)+1,P$5)),"")</f>
        <v>-120.0979</v>
      </c>
      <c r="Q31" s="102" cm="1">
        <f t="array" ref="Q31">IFERROR(_xlfn.SINGLE(INDEX(DATABASE!$AV$14:$BC$989,SUMPRODUCT((ROW(DATABASE!$AV$14:$AV$989)) * (DATABASE!AS$14:$AV$989='Résultats observations'!$A31 ) * (DATABASE!$AW$14:$AW$989= Q$4))-ROW(DATABASE!$AV$14)+1,Q$5)),"")</f>
        <v>823056.71550000005</v>
      </c>
      <c r="R31" s="102" cm="1">
        <f t="array" ref="R31">IFERROR(_xlfn.SINGLE(INDEX(DATABASE!$AV$14:$BC$989,SUMPRODUCT((ROW(DATABASE!$AV$14:$AV$989)) * (DATABASE!AT$14:$AV$989='Résultats observations'!$A31 ) * (DATABASE!$AW$14:$AW$989= R$4))-ROW(DATABASE!$AV$14)+1,R$5)),"")</f>
        <v>1091431.4498999999</v>
      </c>
      <c r="S31" s="102" cm="1">
        <f t="array" ref="S31">IFERROR(_xlfn.SINGLE(INDEX(DATABASE!$AV$14:$BC$989,SUMPRODUCT((ROW(DATABASE!$AV$14:$AV$989)) * (DATABASE!AU$14:$AV$989='Résultats observations'!$A31 ) * (DATABASE!$AW$14:$AW$989= S$4))-ROW(DATABASE!$AV$14)+1,S$5)),"")</f>
        <v>-123.00320000000001</v>
      </c>
      <c r="T31" s="103">
        <f t="shared" si="2"/>
        <v>4.2631151168323251</v>
      </c>
      <c r="U31" s="103">
        <f t="shared" si="3"/>
        <v>2.9016514348770825</v>
      </c>
      <c r="V31" s="103">
        <f t="shared" si="4"/>
        <v>1.7035349922758276</v>
      </c>
      <c r="W31" s="103">
        <f t="shared" si="5"/>
        <v>4.2684006711627385</v>
      </c>
      <c r="X31" s="103">
        <f t="shared" si="6"/>
        <v>4.2587696743162065</v>
      </c>
      <c r="Y31" s="103">
        <f t="shared" si="7"/>
        <v>5.2934410913769643</v>
      </c>
      <c r="Z31" s="104">
        <f t="shared" si="311"/>
        <v>-5.1637277646472413</v>
      </c>
      <c r="AA31" s="104">
        <f t="shared" si="312"/>
        <v>-0.16260504784426644</v>
      </c>
      <c r="AB31" s="104">
        <f t="shared" si="313"/>
        <v>-10.419793455767046</v>
      </c>
      <c r="AC31" s="104">
        <f t="shared" si="314"/>
        <v>-11.708429409598153</v>
      </c>
      <c r="AD31" s="104">
        <f t="shared" si="315"/>
        <v>-11.095356908983334</v>
      </c>
      <c r="AE31" s="104">
        <f t="shared" si="316"/>
        <v>-12.098385771984965</v>
      </c>
      <c r="AF31" s="105"/>
      <c r="AG31" s="106">
        <f t="shared" si="32"/>
        <v>1.9000000320374966</v>
      </c>
      <c r="AH31" s="106">
        <f t="shared" si="33"/>
        <v>7.3000001721084118</v>
      </c>
      <c r="AI31" s="106">
        <f t="shared" si="34"/>
        <v>0.79999999999813554</v>
      </c>
      <c r="AJ31" s="106">
        <f t="shared" si="357"/>
        <v>-0.3499999875202775</v>
      </c>
      <c r="AK31" s="106">
        <f t="shared" si="358"/>
        <v>3.4000000450760126</v>
      </c>
      <c r="AL31" s="106">
        <f t="shared" si="359"/>
        <v>-2.3999999999944066</v>
      </c>
      <c r="AM31" s="106">
        <f t="shared" si="360"/>
        <v>-1.9499999471008778</v>
      </c>
      <c r="AN31" s="106">
        <f t="shared" si="361"/>
        <v>3.7000000011175871</v>
      </c>
      <c r="AO31" s="106">
        <f t="shared" si="362"/>
        <v>-4.2499999999989768</v>
      </c>
      <c r="AP31" s="106">
        <f t="shared" si="363"/>
        <v>6.3999999547377229</v>
      </c>
      <c r="AQ31" s="106">
        <f t="shared" si="364"/>
        <v>-4.4500001240521669</v>
      </c>
      <c r="AR31" s="106">
        <f t="shared" si="365"/>
        <v>-7.175000000017917</v>
      </c>
      <c r="AS31" s="106">
        <f t="shared" si="73"/>
        <v>4.8500000266358256</v>
      </c>
      <c r="AT31" s="106">
        <f t="shared" si="74"/>
        <v>-4.7000001650303602</v>
      </c>
      <c r="AU31" s="106">
        <f t="shared" si="75"/>
        <v>2.1999999999877673</v>
      </c>
      <c r="AV31" s="105"/>
      <c r="AW31" s="107" cm="1">
        <f t="array" ref="AW31">IFERROR(_xlfn.SINGLE(INDEX(DATABASE!$AV$14:$BC$989,SUMPRODUCT((ROW(DATABASE!$AV$14:$AV$989)) * (DATABASE!$AV$14:HY$989='Résultats observations'!$A31 ) * (DATABASE!$AW$14:$AW$989= AW$4))-ROW(DATABASE!$AV$14)+1,AW$5)),"")</f>
        <v>5.0632396031183573</v>
      </c>
      <c r="AX31" s="107" cm="1">
        <f t="array" ref="AX31">IFERROR(_xlfn.SINGLE(INDEX(DATABASE!$AV$14:$BC$989,SUMPRODUCT((ROW(DATABASE!$AV$14:$AV$989)) * (DATABASE!$AV$14:HZ$989='Résultats observations'!$A31 ) * (DATABASE!$AW$14:$AW$989= AX$4))-ROW(DATABASE!$AV$14)+1,AX$5)),"")</f>
        <v>-2.6196816527159967</v>
      </c>
      <c r="AY31" s="107" cm="1">
        <f t="array" ref="AY31">IFERROR(_xlfn.SINGLE(INDEX(DATABASE!$AV$14:$BC$989,SUMPRODUCT((ROW(DATABASE!$AV$14:$AV$989)) * (DATABASE!$AV$14:IA$989='Résultats observations'!$A31 ) * (DATABASE!$AW$14:$AW$989= AY$4))-ROW(DATABASE!$AV$14)+1,AY$5)),"")</f>
        <v>-0.78413239603119678</v>
      </c>
      <c r="AZ31" s="107" cm="1">
        <f t="array" ref="AZ31">IFERROR(_xlfn.SINGLE(INDEX(DATABASE!$AV$14:$BC$989,SUMPRODUCT((ROW(DATABASE!$AV$14:$AV$989)) * (DATABASE!$AV$14:IB$989='Résultats observations'!$A31 ) * (DATABASE!$AW$14:$AW$989= AZ$4))-ROW(DATABASE!$AV$14)+1,AZ$5)),"")</f>
        <v>5.063594271064134</v>
      </c>
      <c r="BA31" s="107" cm="1">
        <f t="array" ref="BA31">IFERROR(_xlfn.SINGLE(INDEX(DATABASE!$AV$14:$BC$989,SUMPRODUCT((ROW(DATABASE!$AV$14:$AV$989)) * (DATABASE!$AV$14:IC$989='Résultats observations'!$A31 ) * (DATABASE!$AW$14:$AW$989= BA$4))-ROW(DATABASE!$AV$14)+1,BA$5)),"")</f>
        <v>-2.5281572614005987</v>
      </c>
      <c r="BB31" s="107" cm="1">
        <f t="array" ref="BB31">IFERROR(_xlfn.SINGLE(INDEX(DATABASE!$AV$14:$BC$989,SUMPRODUCT((ROW(DATABASE!$AV$14:$AV$989)) * (DATABASE!$AV$14:ID$989='Résultats observations'!$A31 ) * (DATABASE!$AW$14:$AW$989= BB$4))-ROW(DATABASE!$AV$14)+1,BB$5)),"")</f>
        <v>1.146364057289361</v>
      </c>
      <c r="BC31" s="107" cm="1">
        <f t="array" ref="BC31">IFERROR(_xlfn.SINGLE(INDEX(DATABASE!$AV$14:$BC$989,SUMPRODUCT((ROW(DATABASE!$AV$14:$AV$989)) * (DATABASE!$AV$14:IE$989='Résultats observations'!$A31 ) * (DATABASE!$AW$14:$AW$989= BC$4))-ROW(DATABASE!$AV$14)+1,BC$5)),"")</f>
        <v>4.9202504628269352</v>
      </c>
      <c r="BD31" s="107" cm="1">
        <f t="array" ref="BD31">IFERROR(_xlfn.SINGLE(INDEX(DATABASE!$AV$14:$BC$989,SUMPRODUCT((ROW(DATABASE!$AV$14:$AV$989)) * (DATABASE!$AV$14:IF$989='Résultats observations'!$A31 ) * (DATABASE!$AW$14:$AW$989= BD$4))-ROW(DATABASE!$AV$14)+1,BD$5)),"")</f>
        <v>-1.3001289663593462E-2</v>
      </c>
      <c r="BE31" s="107" cm="1">
        <f t="array" ref="BE31">IFERROR(_xlfn.SINGLE(INDEX(DATABASE!$AV$14:$BC$989,SUMPRODUCT((ROW(DATABASE!$AV$14:$AV$989)) * (DATABASE!$AV$14:IG$989='Résultats observations'!$A31 ) * (DATABASE!$AW$14:$AW$989= BE$4))-ROW(DATABASE!$AV$14)+1,BE$5)),"")</f>
        <v>2.5875974953717247</v>
      </c>
      <c r="BF31" s="107" cm="1">
        <f t="array" ref="BF31">IFERROR(_xlfn.SINGLE(INDEX(DATABASE!$AV$14:$BC$989,SUMPRODUCT((ROW(DATABASE!$AV$14:$AV$989)) * (DATABASE!$AV$14:IH$989='Résultats observations'!$A31 ) * (DATABASE!$AW$14:$AW$989= BF$4))-ROW(DATABASE!$AV$14)+1,BF$5)),"")</f>
        <v>5.2997528092294193</v>
      </c>
      <c r="BG31" s="107" cm="1">
        <f t="array" ref="BG31">IFERROR(_xlfn.SINGLE(INDEX(DATABASE!$AV$14:$BC$989,SUMPRODUCT((ROW(DATABASE!$AV$14:$AV$989)) * (DATABASE!$AV$14:II$989='Résultats observations'!$A31 ) * (DATABASE!$AW$14:$AW$989= BG$4))-ROW(DATABASE!$AV$14)+1,BG$5)),"")</f>
        <v>1.5969024804367251</v>
      </c>
      <c r="BH31" s="107" cm="1">
        <f t="array" ref="BH31">IFERROR(_xlfn.SINGLE(INDEX(DATABASE!$AV$14:$BC$989,SUMPRODUCT((ROW(DATABASE!$AV$14:$AV$989)) * (DATABASE!$AV$14:IJ$989='Résultats observations'!$A31 ) * (DATABASE!$AW$14:$AW$989= BH$4))-ROW(DATABASE!$AV$14)+1,BH$5)),"")</f>
        <v>2.1761024719077113</v>
      </c>
      <c r="BI31" s="107" cm="1">
        <f t="array" ref="BI31">IFERROR(_xlfn.SINGLE(INDEX(DATABASE!$AV$14:$BC$989,SUMPRODUCT((ROW(DATABASE!$AV$14:$AV$989)) * (DATABASE!$AV$14:IK$989='Résultats observations'!$A31 ) * (DATABASE!$AW$14:$AW$989= BI$4))-ROW(DATABASE!$AV$14)+1,BI$5)),"")</f>
        <v>5.082899399824174</v>
      </c>
      <c r="BJ31" s="107" cm="1">
        <f t="array" ref="BJ31">IFERROR(_xlfn.SINGLE(INDEX(DATABASE!$AV$14:$BC$989,SUMPRODUCT((ROW(DATABASE!$AV$14:$AV$989)) * (DATABASE!$AV$14:IL$989='Résultats observations'!$A31 ) * (DATABASE!$AW$14:$AW$989= BJ$4))-ROW(DATABASE!$AV$14)+1,BJ$5)),"")</f>
        <v>2.673412791016482</v>
      </c>
      <c r="BK31" s="107" cm="1">
        <f t="array" ref="BK31">IFERROR(_xlfn.SINGLE(INDEX(DATABASE!$AV$14:$BC$989,SUMPRODUCT((ROW(DATABASE!$AV$14:$AV$989)) * (DATABASE!$AV$14:IM$989='Résultats observations'!$A31 ) * (DATABASE!$AW$14:$AW$989= BK$4))-ROW(DATABASE!$AV$14)+1,BK$5)),"")</f>
        <v>-0.72702899399824616</v>
      </c>
      <c r="BL31" s="105"/>
      <c r="BM31" s="106">
        <f t="shared" si="47"/>
        <v>-4.8070057105320529</v>
      </c>
      <c r="BN31" s="106">
        <f t="shared" si="48"/>
        <v>5.8131487795707315</v>
      </c>
      <c r="BO31" s="106">
        <f t="shared" si="49"/>
        <v>0.84807005710274552</v>
      </c>
      <c r="BP31" s="106">
        <f t="shared" ref="BP31" si="387">IF(AZ31="","",(AZ31-AZ$10)*1000)</f>
        <v>-1.119643009550586</v>
      </c>
      <c r="BQ31" s="106">
        <f t="shared" ref="BQ31" si="388">IF(BA31="","",(BA31-BA$10)*1000)</f>
        <v>3.2293807191061674</v>
      </c>
      <c r="BR31" s="106">
        <f t="shared" ref="BR31" si="389">IF(BB31="","",(BB31-BB$10)*1000)</f>
        <v>-2.388803569900233</v>
      </c>
      <c r="BS31" s="106">
        <f t="shared" ref="BS31" si="390">IF(BC31="","",(BC31-BC$10)*1000)</f>
        <v>0.20367903869278337</v>
      </c>
      <c r="BT31" s="106">
        <f t="shared" ref="BT31" si="391">IF(BD31="","",(BD31-BD$10)*1000)</f>
        <v>4.1774411607070467</v>
      </c>
      <c r="BU31" s="106">
        <f t="shared" ref="BU31" si="392">IF(BE31="","",(BE31-BE$10)*1000)</f>
        <v>-4.2520367903904344</v>
      </c>
      <c r="BV31" s="106">
        <f t="shared" ref="BV31" si="393">IF(BF31="","",(BF31-BF$10)*1000)</f>
        <v>-3.919825689601808</v>
      </c>
      <c r="BW31" s="106">
        <f t="shared" ref="BW31" si="394">IF(BG31="","",(BG31-BG$10)*1000)</f>
        <v>-6.737764249947098</v>
      </c>
      <c r="BX31" s="106">
        <f t="shared" ref="BX31" si="395">IF(BH31="","",(BH31-BH$18)*1000)+BX$18</f>
        <v>-7.1287192704687641</v>
      </c>
      <c r="BY31" s="106">
        <f t="shared" si="59"/>
        <v>-2.4093872843700126</v>
      </c>
      <c r="BZ31" s="106">
        <f t="shared" si="60"/>
        <v>-6.3093069923372269</v>
      </c>
      <c r="CA31" s="106">
        <f t="shared" si="61"/>
        <v>2.2240938728401716</v>
      </c>
    </row>
    <row r="32" spans="1:79" s="108" customFormat="1" ht="29.25" customHeight="1">
      <c r="A32" s="189">
        <v>45712</v>
      </c>
      <c r="B32" s="100">
        <f t="shared" ref="B32" si="396">A32-$A$10</f>
        <v>388</v>
      </c>
      <c r="C32" s="101">
        <v>11.5</v>
      </c>
      <c r="D32" s="101">
        <f t="shared" ref="D32" si="397">C32-$W$6</f>
        <v>6.41</v>
      </c>
      <c r="E32" s="102" cm="1">
        <f t="array" ref="E32">IFERROR(_xlfn.SINGLE(INDEX(DATABASE!$AV$14:$BC$989,SUMPRODUCT((ROW(DATABASE!$AV$14:$AV$989)) * (DATABASE!AG$14:$AV$989='Résultats observations'!$A32 ) * (DATABASE!$AW$14:$AW$989= E$4))-ROW(DATABASE!$AV$14)+1,E$5)),"")</f>
        <v>823058.96869999997</v>
      </c>
      <c r="F32" s="102" cm="1">
        <f t="array" ref="F32">IFERROR(_xlfn.SINGLE(INDEX(DATABASE!$AV$14:$BC$989,SUMPRODUCT((ROW(DATABASE!$AV$14:$AV$989)) * (DATABASE!AH$14:$AV$989='Résultats observations'!$A32 ) * (DATABASE!$AW$14:$AW$989= F$4))-ROW(DATABASE!$AV$14)+1,F$5)),"")</f>
        <v>1091426.6606000001</v>
      </c>
      <c r="G32" s="102" cm="1">
        <f t="array" ref="G32">IFERROR(_xlfn.SINGLE(INDEX(DATABASE!$AV$14:$BC$989,SUMPRODUCT((ROW(DATABASE!$AV$14:$AV$989)) * (DATABASE!AI$14:$AV$989='Résultats observations'!$A32 ) * (DATABASE!$AW$14:$AW$989= G$4))-ROW(DATABASE!$AV$14)+1,G$5)),"")</f>
        <v>-123.0605</v>
      </c>
      <c r="H32" s="102" cm="1">
        <f t="array" ref="H32">IFERROR(_xlfn.SINGLE(INDEX(DATABASE!$AV$14:$BC$989,SUMPRODUCT((ROW(DATABASE!$AV$14:$AV$989)) * (DATABASE!AJ$14:$AV$989='Résultats observations'!$A32 ) * (DATABASE!$AW$14:$AW$989= H$4))-ROW(DATABASE!$AV$14)+1,H$5)),"")</f>
        <v>823058.92969999998</v>
      </c>
      <c r="I32" s="102" cm="1">
        <f t="array" ref="I32">IFERROR(_xlfn.SINGLE(INDEX(DATABASE!$AV$14:$BC$989,SUMPRODUCT((ROW(DATABASE!$AV$14:$AV$989)) * (DATABASE!AK$14:$AV$989='Résultats observations'!$A32 ) * (DATABASE!$AW$14:$AW$989= I$4))-ROW(DATABASE!$AV$14)+1,I$5)),"")</f>
        <v>1091426.7435000001</v>
      </c>
      <c r="J32" s="102" cm="1">
        <f t="array" ref="J32">IFERROR(_xlfn.SINGLE(INDEX(DATABASE!$AV$14:$BC$989,SUMPRODUCT((ROW(DATABASE!$AV$14:$AV$989)) * (DATABASE!AL$14:$AV$989='Résultats observations'!$A32 ) * (DATABASE!$AW$14:$AW$989= J$4))-ROW(DATABASE!$AV$14)+1,J$5)),"")</f>
        <v>-121.1298</v>
      </c>
      <c r="K32" s="102" cm="1">
        <f t="array" ref="K32">IFERROR(_xlfn.SINGLE(INDEX(DATABASE!$AV$14:$BC$989,SUMPRODUCT((ROW(DATABASE!$AV$14:$AV$989)) * (DATABASE!AM$14:$AV$989='Résultats observations'!$A32 ) * (DATABASE!$AW$14:$AW$989= K$4))-ROW(DATABASE!$AV$14)+1,K$5)),"")</f>
        <v>823057.99730000005</v>
      </c>
      <c r="L32" s="102" cm="1">
        <f t="array" ref="L32">IFERROR(_xlfn.SINGLE(INDEX(DATABASE!$AV$14:$BC$989,SUMPRODUCT((ROW(DATABASE!$AV$14:$AV$989)) * (DATABASE!AN$14:$AV$989='Résultats observations'!$A32 ) * (DATABASE!$AW$14:$AW$989= L$4))-ROW(DATABASE!$AV$14)+1,L$5)),"")</f>
        <v>1091429.0837000001</v>
      </c>
      <c r="M32" s="102" cm="1">
        <f t="array" ref="M32">IFERROR(_xlfn.SINGLE(INDEX(DATABASE!$AV$14:$BC$989,SUMPRODUCT((ROW(DATABASE!$AV$14:$AV$989)) * (DATABASE!AO$14:$AV$989='Résultats observations'!$A32 ) * (DATABASE!$AW$14:$AW$989= M$4))-ROW(DATABASE!$AV$14)+1,M$5)),"")</f>
        <v>-119.69</v>
      </c>
      <c r="N32" s="102" cm="1">
        <f t="array" ref="N32">IFERROR(_xlfn.SINGLE(INDEX(DATABASE!$AV$14:$BC$989,SUMPRODUCT((ROW(DATABASE!$AV$14:$AV$989)) * (DATABASE!AP$14:$AV$989='Résultats observations'!$A32 ) * (DATABASE!$AW$14:$AW$989= N$4))-ROW(DATABASE!$AV$14)+1,N$5)),"")</f>
        <v>823056.97279999999</v>
      </c>
      <c r="O32" s="102" cm="1">
        <f t="array" ref="O32">IFERROR(_xlfn.SINGLE(INDEX(DATABASE!$AV$14:$BC$989,SUMPRODUCT((ROW(DATABASE!$AV$14:$AV$989)) * (DATABASE!AQ$14:$AV$989='Résultats observations'!$A32 ) * (DATABASE!$AW$14:$AW$989= O$4))-ROW(DATABASE!$AV$14)+1,O$5)),"")</f>
        <v>1091430.3831</v>
      </c>
      <c r="P32" s="102" cm="1">
        <f t="array" ref="P32">IFERROR(_xlfn.SINGLE(INDEX(DATABASE!$AV$14:$BC$989,SUMPRODUCT((ROW(DATABASE!$AV$14:$AV$989)) * (DATABASE!AR$14:$AV$989='Résultats observations'!$A32 ) * (DATABASE!$AW$14:$AW$989= P$4))-ROW(DATABASE!$AV$14)+1,P$5)),"")</f>
        <v>-120.0979</v>
      </c>
      <c r="Q32" s="102" cm="1">
        <f t="array" ref="Q32">IFERROR(_xlfn.SINGLE(INDEX(DATABASE!$AV$14:$BC$989,SUMPRODUCT((ROW(DATABASE!$AV$14:$AV$989)) * (DATABASE!AS$14:$AV$989='Résultats observations'!$A32 ) * (DATABASE!$AW$14:$AW$989= Q$4))-ROW(DATABASE!$AV$14)+1,Q$5)),"")</f>
        <v>823056.71440000006</v>
      </c>
      <c r="R32" s="102" cm="1">
        <f t="array" ref="R32">IFERROR(_xlfn.SINGLE(INDEX(DATABASE!$AV$14:$BC$989,SUMPRODUCT((ROW(DATABASE!$AV$14:$AV$989)) * (DATABASE!AT$14:$AV$989='Résultats observations'!$A32 ) * (DATABASE!$AW$14:$AW$989= R$4))-ROW(DATABASE!$AV$14)+1,R$5)),"")</f>
        <v>1091431.4504</v>
      </c>
      <c r="S32" s="102" cm="1">
        <f t="array" ref="S32">IFERROR(_xlfn.SINGLE(INDEX(DATABASE!$AV$14:$BC$989,SUMPRODUCT((ROW(DATABASE!$AV$14:$AV$989)) * (DATABASE!AU$14:$AV$989='Résultats observations'!$A32 ) * (DATABASE!$AW$14:$AW$989= S$4))-ROW(DATABASE!$AV$14)+1,S$5)),"")</f>
        <v>-123.0034</v>
      </c>
      <c r="T32" s="103">
        <f t="shared" si="2"/>
        <v>4.2632501474719016</v>
      </c>
      <c r="U32" s="103">
        <f t="shared" si="3"/>
        <v>2.9015392190638796</v>
      </c>
      <c r="V32" s="103">
        <f t="shared" si="4"/>
        <v>1.704236785151267</v>
      </c>
      <c r="W32" s="103">
        <f t="shared" si="5"/>
        <v>4.2691592684612534</v>
      </c>
      <c r="X32" s="103">
        <f t="shared" si="6"/>
        <v>4.2592209826536775</v>
      </c>
      <c r="Y32" s="103">
        <f t="shared" si="7"/>
        <v>5.2940828231865913</v>
      </c>
      <c r="Z32" s="104">
        <f t="shared" si="311"/>
        <v>-5.0286971250708135</v>
      </c>
      <c r="AA32" s="104">
        <f t="shared" si="312"/>
        <v>-0.27482086104724246</v>
      </c>
      <c r="AB32" s="104">
        <f t="shared" si="313"/>
        <v>-9.7180005803276792</v>
      </c>
      <c r="AC32" s="104">
        <f t="shared" si="314"/>
        <v>-10.949832111083246</v>
      </c>
      <c r="AD32" s="104">
        <f t="shared" si="315"/>
        <v>-10.644048571512243</v>
      </c>
      <c r="AE32" s="104">
        <f t="shared" si="316"/>
        <v>-11.456653962357954</v>
      </c>
      <c r="AF32" s="105"/>
      <c r="AG32" s="106">
        <f t="shared" si="32"/>
        <v>0.40000001899898052</v>
      </c>
      <c r="AH32" s="106">
        <f t="shared" si="33"/>
        <v>6.9000001531094313</v>
      </c>
      <c r="AI32" s="106">
        <f t="shared" si="34"/>
        <v>0.79999999999813554</v>
      </c>
      <c r="AJ32" s="106">
        <f t="shared" ref="AJ32" si="398">IF(H32="","",(H32-H$10)*1000)</f>
        <v>-1.8500000005587935</v>
      </c>
      <c r="AK32" s="106">
        <f t="shared" ref="AK32" si="399">IF(I32="","",(I32-I$10)*1000)</f>
        <v>3.1000000890344381</v>
      </c>
      <c r="AL32" s="106">
        <f t="shared" ref="AL32" si="400">IF(J32="","",(J32-J$10)*1000)</f>
        <v>-2.2000000000019782</v>
      </c>
      <c r="AM32" s="106">
        <f t="shared" ref="AM32" si="401">IF(K32="","",(K32-K$10)*1000)</f>
        <v>-2.849999931640923</v>
      </c>
      <c r="AN32" s="106">
        <f t="shared" ref="AN32" si="402">IF(L32="","",(L32-L$10)*1000)</f>
        <v>3.5000001080334187</v>
      </c>
      <c r="AO32" s="106">
        <f t="shared" ref="AO32" si="403">IF(M32="","",(M32-M$10)*1000)</f>
        <v>-4.0499999999923375</v>
      </c>
      <c r="AP32" s="106">
        <f t="shared" ref="AP32" si="404">IF(N32="","",(N32-N$10)*1000)</f>
        <v>5.2999999606981874</v>
      </c>
      <c r="AQ32" s="106">
        <f t="shared" ref="AQ32" si="405">IF(O32="","",(O32-O$10)*1000)</f>
        <v>-3.9500000420957804</v>
      </c>
      <c r="AR32" s="106">
        <f t="shared" ref="AR32" si="406">IF(P32="","",(P32-P$18)*1000)+AR$18</f>
        <v>-7.175000000017917</v>
      </c>
      <c r="AS32" s="106">
        <f t="shared" si="73"/>
        <v>3.7500000325962901</v>
      </c>
      <c r="AT32" s="106">
        <f t="shared" si="74"/>
        <v>-4.2000000830739737</v>
      </c>
      <c r="AU32" s="106">
        <f t="shared" si="75"/>
        <v>1.9999999999953388</v>
      </c>
      <c r="AV32" s="105"/>
      <c r="AW32" s="107" cm="1">
        <f t="array" ref="AW32">IFERROR(_xlfn.SINGLE(INDEX(DATABASE!$AV$14:$BC$989,SUMPRODUCT((ROW(DATABASE!$AV$14:$AV$989)) * (DATABASE!$AV$14:HY$989='Résultats observations'!$A32 ) * (DATABASE!$AW$14:$AW$989= AW$4))-ROW(DATABASE!$AV$14)+1,AW$5)),"")</f>
        <v>5.0647681164418046</v>
      </c>
      <c r="AX32" s="107" cm="1">
        <f t="array" ref="AX32">IFERROR(_xlfn.SINGLE(INDEX(DATABASE!$AV$14:$BC$989,SUMPRODUCT((ROW(DATABASE!$AV$14:$AV$989)) * (DATABASE!$AV$14:HZ$989='Résultats observations'!$A32 ) * (DATABASE!$AW$14:$AW$989= AX$4))-ROW(DATABASE!$AV$14)+1,AX$5)),"")</f>
        <v>-2.619410272771344</v>
      </c>
      <c r="AY32" s="107" cm="1">
        <f t="array" ref="AY32">IFERROR(_xlfn.SINGLE(INDEX(DATABASE!$AV$14:$BC$989,SUMPRODUCT((ROW(DATABASE!$AV$14:$AV$989)) * (DATABASE!$AV$14:IA$989='Résultats observations'!$A32 ) * (DATABASE!$AW$14:$AW$989= AY$4))-ROW(DATABASE!$AV$14)+1,AY$5)),"")</f>
        <v>-0.78414768116442701</v>
      </c>
      <c r="AZ32" s="107" cm="1">
        <f t="array" ref="AZ32">IFERROR(_xlfn.SINGLE(INDEX(DATABASE!$AV$14:$BC$989,SUMPRODUCT((ROW(DATABASE!$AV$14:$AV$989)) * (DATABASE!$AV$14:IB$989='Résultats observations'!$A32 ) * (DATABASE!$AW$14:$AW$989= AZ$4))-ROW(DATABASE!$AV$14)+1,AZ$5)),"")</f>
        <v>5.0650805239769081</v>
      </c>
      <c r="BA32" s="107" cm="1">
        <f t="array" ref="BA32">IFERROR(_xlfn.SINGLE(INDEX(DATABASE!$AV$14:$BC$989,SUMPRODUCT((ROW(DATABASE!$AV$14:$AV$989)) * (DATABASE!$AV$14:IC$989='Résultats observations'!$A32 ) * (DATABASE!$AW$14:$AW$989= BA$4))-ROW(DATABASE!$AV$14)+1,BA$5)),"")</f>
        <v>-2.5277952499477294</v>
      </c>
      <c r="BB32" s="107" cm="1">
        <f t="array" ref="BB32">IFERROR(_xlfn.SINGLE(INDEX(DATABASE!$AV$14:$BC$989,SUMPRODUCT((ROW(DATABASE!$AV$14:$AV$989)) * (DATABASE!$AV$14:ID$989='Résultats observations'!$A32 ) * (DATABASE!$AW$14:$AW$989= BB$4))-ROW(DATABASE!$AV$14)+1,BB$5)),"")</f>
        <v>1.146549194760226</v>
      </c>
      <c r="BC32" s="107" cm="1">
        <f t="array" ref="BC32">IFERROR(_xlfn.SINGLE(INDEX(DATABASE!$AV$14:$BC$989,SUMPRODUCT((ROW(DATABASE!$AV$14:$AV$989)) * (DATABASE!$AV$14:IE$989='Résultats observations'!$A32 ) * (DATABASE!$AW$14:$AW$989= BC$4))-ROW(DATABASE!$AV$14)+1,BC$5)),"")</f>
        <v>4.9211506665962741</v>
      </c>
      <c r="BD32" s="107" cm="1">
        <f t="array" ref="BD32">IFERROR(_xlfn.SINGLE(INDEX(DATABASE!$AV$14:$BC$989,SUMPRODUCT((ROW(DATABASE!$AV$14:$AV$989)) * (DATABASE!$AV$14:IF$989='Résultats observations'!$A32 ) * (DATABASE!$AW$14:$AW$989= BD$4))-ROW(DATABASE!$AV$14)+1,BD$5)),"")</f>
        <v>-1.28022090189446E-2</v>
      </c>
      <c r="BE32" s="107" cm="1">
        <f t="array" ref="BE32">IFERROR(_xlfn.SINGLE(INDEX(DATABASE!$AV$14:$BC$989,SUMPRODUCT((ROW(DATABASE!$AV$14:$AV$989)) * (DATABASE!$AV$14:IG$989='Résultats observations'!$A32 ) * (DATABASE!$AW$14:$AW$989= BE$4))-ROW(DATABASE!$AV$14)+1,BE$5)),"")</f>
        <v>2.5877884933340312</v>
      </c>
      <c r="BF32" s="107" cm="1">
        <f t="array" ref="BF32">IFERROR(_xlfn.SINGLE(INDEX(DATABASE!$AV$14:$BC$989,SUMPRODUCT((ROW(DATABASE!$AV$14:$AV$989)) * (DATABASE!$AV$14:IH$989='Résultats observations'!$A32 ) * (DATABASE!$AW$14:$AW$989= BF$4))-ROW(DATABASE!$AV$14)+1,BF$5)),"")</f>
        <v>5.3005384532317663</v>
      </c>
      <c r="BG32" s="107" cm="1">
        <f t="array" ref="BG32">IFERROR(_xlfn.SINGLE(INDEX(DATABASE!$AV$14:$BC$989,SUMPRODUCT((ROW(DATABASE!$AV$14:$AV$989)) * (DATABASE!$AV$14:II$989='Résultats observations'!$A32 ) * (DATABASE!$AW$14:$AW$989= BG$4))-ROW(DATABASE!$AV$14)+1,BG$5)),"")</f>
        <v>1.5978205019889897</v>
      </c>
      <c r="BH32" s="107" cm="1">
        <f t="array" ref="BH32">IFERROR(_xlfn.SINGLE(INDEX(DATABASE!$AV$14:$BC$989,SUMPRODUCT((ROW(DATABASE!$AV$14:$AV$989)) * (DATABASE!$AV$14:IJ$989='Résultats observations'!$A32 ) * (DATABASE!$AW$14:$AW$989= BH$4))-ROW(DATABASE!$AV$14)+1,BH$5)),"")</f>
        <v>2.1760946154676901</v>
      </c>
      <c r="BI32" s="107" cm="1">
        <f t="array" ref="BI32">IFERROR(_xlfn.SINGLE(INDEX(DATABASE!$AV$14:$BC$989,SUMPRODUCT((ROW(DATABASE!$AV$14:$AV$989)) * (DATABASE!$AV$14:IK$989='Résultats observations'!$A32 ) * (DATABASE!$AW$14:$AW$989= BI$4))-ROW(DATABASE!$AV$14)+1,BI$5)),"")</f>
        <v>5.0836850438265246</v>
      </c>
      <c r="BJ32" s="107" cm="1">
        <f t="array" ref="BJ32">IFERROR(_xlfn.SINGLE(INDEX(DATABASE!$AV$14:$BC$989,SUMPRODUCT((ROW(DATABASE!$AV$14:$AV$989)) * (DATABASE!$AV$14:IL$989='Résultats observations'!$A32 ) * (DATABASE!$AW$14:$AW$989= BJ$4))-ROW(DATABASE!$AV$14)+1,BJ$5)),"")</f>
        <v>2.6743308125687433</v>
      </c>
      <c r="BK32" s="107" cm="1">
        <f t="array" ref="BK32">IFERROR(_xlfn.SINGLE(INDEX(DATABASE!$AV$14:$BC$989,SUMPRODUCT((ROW(DATABASE!$AV$14:$AV$989)) * (DATABASE!$AV$14:IM$989='Résultats observations'!$A32 ) * (DATABASE!$AW$14:$AW$989= BK$4))-ROW(DATABASE!$AV$14)+1,BK$5)),"")</f>
        <v>-0.72723685043825981</v>
      </c>
      <c r="BL32" s="105"/>
      <c r="BM32" s="106">
        <f t="shared" si="47"/>
        <v>-3.2784923870847749</v>
      </c>
      <c r="BN32" s="106">
        <f t="shared" si="48"/>
        <v>6.0845287242234924</v>
      </c>
      <c r="BO32" s="106">
        <f t="shared" si="49"/>
        <v>0.83278492387250935</v>
      </c>
      <c r="BP32" s="106">
        <f t="shared" ref="BP32" si="407">IF(AZ32="","",(AZ32-AZ$10)*1000)</f>
        <v>0.36660990322356923</v>
      </c>
      <c r="BQ32" s="106">
        <f t="shared" ref="BQ32" si="408">IF(BA32="","",(BA32-BA$10)*1000)</f>
        <v>3.5913921719754605</v>
      </c>
      <c r="BR32" s="106">
        <f t="shared" ref="BR32" si="409">IF(BB32="","",(BB32-BB$10)*1000)</f>
        <v>-2.2036660990352175</v>
      </c>
      <c r="BS32" s="106">
        <f t="shared" ref="BS32" si="410">IF(BC32="","",(BC32-BC$10)*1000)</f>
        <v>1.1038828080316421</v>
      </c>
      <c r="BT32" s="106">
        <f t="shared" ref="BT32" si="411">IF(BD32="","",(BD32-BD$10)*1000)</f>
        <v>4.3765218053559103</v>
      </c>
      <c r="BU32" s="106">
        <f t="shared" ref="BU32" si="412">IF(BE32="","",(BE32-BE$10)*1000)</f>
        <v>-4.0610388280839516</v>
      </c>
      <c r="BV32" s="106">
        <f t="shared" ref="BV32" si="413">IF(BF32="","",(BF32-BF$10)*1000)</f>
        <v>-3.1341816872547668</v>
      </c>
      <c r="BW32" s="106">
        <f t="shared" ref="BW32" si="414">IF(BG32="","",(BG32-BG$10)*1000)</f>
        <v>-5.819742697682484</v>
      </c>
      <c r="BX32" s="106">
        <f t="shared" ref="BX32" si="415">IF(BH32="","",(BH32-BH$18)*1000)+BX$18</f>
        <v>-7.1365757104899785</v>
      </c>
      <c r="BY32" s="106">
        <f t="shared" si="59"/>
        <v>-1.6237432820194186</v>
      </c>
      <c r="BZ32" s="106">
        <f t="shared" si="60"/>
        <v>-5.3912854400759436</v>
      </c>
      <c r="CA32" s="106">
        <f t="shared" si="61"/>
        <v>2.0162374328265287</v>
      </c>
    </row>
    <row r="33" spans="1:79" s="108" customFormat="1" ht="29.25" customHeight="1">
      <c r="A33" s="189">
        <v>45722</v>
      </c>
      <c r="B33" s="100">
        <f t="shared" ref="B33" si="416">A33-$A$10</f>
        <v>398</v>
      </c>
      <c r="C33" s="101">
        <v>13</v>
      </c>
      <c r="D33" s="101">
        <f t="shared" ref="D33" si="417">C33-$W$6</f>
        <v>7.91</v>
      </c>
      <c r="E33" s="102" cm="1">
        <f t="array" ref="E33">IFERROR(_xlfn.SINGLE(INDEX(DATABASE!$AV$14:$BC$989,SUMPRODUCT((ROW(DATABASE!$AV$14:$AV$989)) * (DATABASE!AG$14:$AV$989='Résultats observations'!$A33 ) * (DATABASE!$AW$14:$AW$989= E$4))-ROW(DATABASE!$AV$14)+1,E$5)),"")</f>
        <v>823058.96909999999</v>
      </c>
      <c r="F33" s="102" cm="1">
        <f t="array" ref="F33">IFERROR(_xlfn.SINGLE(INDEX(DATABASE!$AV$14:$BC$989,SUMPRODUCT((ROW(DATABASE!$AV$14:$AV$989)) * (DATABASE!AH$14:$AV$989='Résultats observations'!$A33 ) * (DATABASE!$AW$14:$AW$989= F$4))-ROW(DATABASE!$AV$14)+1,F$5)),"")</f>
        <v>1091426.6603999999</v>
      </c>
      <c r="G33" s="102" cm="1">
        <f t="array" ref="G33">IFERROR(_xlfn.SINGLE(INDEX(DATABASE!$AV$14:$BC$989,SUMPRODUCT((ROW(DATABASE!$AV$14:$AV$989)) * (DATABASE!AI$14:$AV$989='Résultats observations'!$A33 ) * (DATABASE!$AW$14:$AW$989= G$4))-ROW(DATABASE!$AV$14)+1,G$5)),"")</f>
        <v>-123.0599</v>
      </c>
      <c r="H33" s="102" t="str" cm="1">
        <f t="array" ref="H33">IFERROR(_xlfn.SINGLE(INDEX(DATABASE!$AV$14:$BC$989,SUMPRODUCT((ROW(DATABASE!$AV$14:$AV$989)) * (DATABASE!AJ$14:$AV$989='Résultats observations'!$A33 ) * (DATABASE!$AW$14:$AW$989= H$4))-ROW(DATABASE!$AV$14)+1,H$5)),"")</f>
        <v/>
      </c>
      <c r="I33" s="102" t="str" cm="1">
        <f t="array" ref="I33">IFERROR(_xlfn.SINGLE(INDEX(DATABASE!$AV$14:$BC$989,SUMPRODUCT((ROW(DATABASE!$AV$14:$AV$989)) * (DATABASE!AK$14:$AV$989='Résultats observations'!$A33 ) * (DATABASE!$AW$14:$AW$989= I$4))-ROW(DATABASE!$AV$14)+1,I$5)),"")</f>
        <v/>
      </c>
      <c r="J33" s="102" t="str" cm="1">
        <f t="array" ref="J33">IFERROR(_xlfn.SINGLE(INDEX(DATABASE!$AV$14:$BC$989,SUMPRODUCT((ROW(DATABASE!$AV$14:$AV$989)) * (DATABASE!AL$14:$AV$989='Résultats observations'!$A33 ) * (DATABASE!$AW$14:$AW$989= J$4))-ROW(DATABASE!$AV$14)+1,J$5)),"")</f>
        <v/>
      </c>
      <c r="K33" s="102" cm="1">
        <f t="array" ref="K33">IFERROR(_xlfn.SINGLE(INDEX(DATABASE!$AV$14:$BC$989,SUMPRODUCT((ROW(DATABASE!$AV$14:$AV$989)) * (DATABASE!AM$14:$AV$989='Résultats observations'!$A33 ) * (DATABASE!$AW$14:$AW$989= K$4))-ROW(DATABASE!$AV$14)+1,K$5)),"")</f>
        <v>823057.99820000003</v>
      </c>
      <c r="L33" s="102" cm="1">
        <f t="array" ref="L33">IFERROR(_xlfn.SINGLE(INDEX(DATABASE!$AV$14:$BC$989,SUMPRODUCT((ROW(DATABASE!$AV$14:$AV$989)) * (DATABASE!AN$14:$AV$989='Résultats observations'!$A33 ) * (DATABASE!$AW$14:$AW$989= L$4))-ROW(DATABASE!$AV$14)+1,L$5)),"")</f>
        <v>1091429.0836</v>
      </c>
      <c r="M33" s="102" cm="1">
        <f t="array" ref="M33">IFERROR(_xlfn.SINGLE(INDEX(DATABASE!$AV$14:$BC$989,SUMPRODUCT((ROW(DATABASE!$AV$14:$AV$989)) * (DATABASE!AO$14:$AV$989='Résultats observations'!$A33 ) * (DATABASE!$AW$14:$AW$989= M$4))-ROW(DATABASE!$AV$14)+1,M$5)),"")</f>
        <v>-119.69029999999999</v>
      </c>
      <c r="N33" s="102" t="str" cm="1">
        <f t="array" ref="N33">IFERROR(_xlfn.SINGLE(INDEX(DATABASE!$AV$14:$BC$989,SUMPRODUCT((ROW(DATABASE!$AV$14:$AV$989)) * (DATABASE!AP$14:$AV$989='Résultats observations'!$A33 ) * (DATABASE!$AW$14:$AW$989= N$4))-ROW(DATABASE!$AV$14)+1,N$5)),"")</f>
        <v/>
      </c>
      <c r="O33" s="102" t="str" cm="1">
        <f t="array" ref="O33">IFERROR(_xlfn.SINGLE(INDEX(DATABASE!$AV$14:$BC$989,SUMPRODUCT((ROW(DATABASE!$AV$14:$AV$989)) * (DATABASE!AQ$14:$AV$989='Résultats observations'!$A33 ) * (DATABASE!$AW$14:$AW$989= O$4))-ROW(DATABASE!$AV$14)+1,O$5)),"")</f>
        <v/>
      </c>
      <c r="P33" s="102" t="str" cm="1">
        <f t="array" ref="P33">IFERROR(_xlfn.SINGLE(INDEX(DATABASE!$AV$14:$BC$989,SUMPRODUCT((ROW(DATABASE!$AV$14:$AV$989)) * (DATABASE!AR$14:$AV$989='Résultats observations'!$A33 ) * (DATABASE!$AW$14:$AW$989= P$4))-ROW(DATABASE!$AV$14)+1,P$5)),"")</f>
        <v/>
      </c>
      <c r="Q33" s="102" cm="1">
        <f t="array" ref="Q33">IFERROR(_xlfn.SINGLE(INDEX(DATABASE!$AV$14:$BC$989,SUMPRODUCT((ROW(DATABASE!$AV$14:$AV$989)) * (DATABASE!AS$14:$AV$989='Résultats observations'!$A33 ) * (DATABASE!$AW$14:$AW$989= Q$4))-ROW(DATABASE!$AV$14)+1,Q$5)),"")</f>
        <v>823056.71490000002</v>
      </c>
      <c r="R33" s="102" cm="1">
        <f t="array" ref="R33">IFERROR(_xlfn.SINGLE(INDEX(DATABASE!$AV$14:$BC$989,SUMPRODUCT((ROW(DATABASE!$AV$14:$AV$989)) * (DATABASE!AT$14:$AV$989='Résultats observations'!$A33 ) * (DATABASE!$AW$14:$AW$989= R$4))-ROW(DATABASE!$AV$14)+1,R$5)),"")</f>
        <v>1091431.4494</v>
      </c>
      <c r="S33" s="102" cm="1">
        <f t="array" ref="S33">IFERROR(_xlfn.SINGLE(INDEX(DATABASE!$AV$14:$BC$989,SUMPRODUCT((ROW(DATABASE!$AV$14:$AV$989)) * (DATABASE!AU$14:$AV$989='Résultats observations'!$A33 ) * (DATABASE!$AW$14:$AW$989= S$4))-ROW(DATABASE!$AV$14)+1,S$5)),"")</f>
        <v>-123.0031</v>
      </c>
      <c r="T33" s="103">
        <f t="shared" si="2"/>
        <v>4.2624815788799948</v>
      </c>
      <c r="U33" s="103" t="e">
        <f t="shared" si="3"/>
        <v>#VALUE!</v>
      </c>
      <c r="V33" s="103" t="e">
        <f t="shared" si="4"/>
        <v>#VALUE!</v>
      </c>
      <c r="W33" s="103">
        <f t="shared" si="5"/>
        <v>4.2683149333386359</v>
      </c>
      <c r="X33" s="103" t="str">
        <f t="shared" si="6"/>
        <v/>
      </c>
      <c r="Y33" s="103">
        <f t="shared" si="7"/>
        <v>5.2933132233853861</v>
      </c>
      <c r="Z33" s="104">
        <f t="shared" si="311"/>
        <v>-5.7972657169775843</v>
      </c>
      <c r="AA33" s="104" t="e">
        <f t="shared" si="312"/>
        <v>#VALUE!</v>
      </c>
      <c r="AB33" s="104" t="e">
        <f t="shared" si="313"/>
        <v>#VALUE!</v>
      </c>
      <c r="AC33" s="104">
        <f t="shared" si="314"/>
        <v>-11.794167233700747</v>
      </c>
      <c r="AD33" s="104" t="str">
        <f t="shared" si="315"/>
        <v/>
      </c>
      <c r="AE33" s="104">
        <f t="shared" si="316"/>
        <v>-12.226253763563122</v>
      </c>
      <c r="AF33" s="105"/>
      <c r="AG33" s="106">
        <f t="shared" si="32"/>
        <v>0.80000003799796104</v>
      </c>
      <c r="AH33" s="106">
        <f t="shared" si="33"/>
        <v>6.7000000271946192</v>
      </c>
      <c r="AI33" s="106">
        <f t="shared" si="34"/>
        <v>1.4000000000038426</v>
      </c>
      <c r="AJ33" s="106" t="str">
        <f t="shared" ref="AJ33" si="418">IF(H33="","",(H33-H$10)*1000)</f>
        <v/>
      </c>
      <c r="AK33" s="106" t="str">
        <f t="shared" ref="AK33" si="419">IF(I33="","",(I33-I$10)*1000)</f>
        <v/>
      </c>
      <c r="AL33" s="106" t="str">
        <f t="shared" ref="AL33" si="420">IF(J33="","",(J33-J$10)*1000)</f>
        <v/>
      </c>
      <c r="AM33" s="106">
        <f t="shared" ref="AM33" si="421">IF(K33="","",(K33-K$10)*1000)</f>
        <v>-1.9499999471008778</v>
      </c>
      <c r="AN33" s="106">
        <f t="shared" ref="AN33" si="422">IF(L33="","",(L33-L$10)*1000)</f>
        <v>3.4000000450760126</v>
      </c>
      <c r="AO33" s="106">
        <f t="shared" ref="AO33" si="423">IF(M33="","",(M33-M$10)*1000)</f>
        <v>-4.3499999999880856</v>
      </c>
      <c r="AP33" s="106" t="str">
        <f t="shared" ref="AP33" si="424">IF(N33="","",(N33-N$10)*1000)</f>
        <v/>
      </c>
      <c r="AQ33" s="106" t="str">
        <f t="shared" ref="AQ33" si="425">IF(O33="","",(O33-O$10)*1000)</f>
        <v/>
      </c>
      <c r="AR33" s="106" t="e">
        <f t="shared" ref="AR33" si="426">IF(P33="","",(P33-P$18)*1000)+AR$18</f>
        <v>#VALUE!</v>
      </c>
      <c r="AS33" s="106">
        <f t="shared" si="73"/>
        <v>4.2499999981373549</v>
      </c>
      <c r="AT33" s="106">
        <f t="shared" si="74"/>
        <v>-5.2000000141561031</v>
      </c>
      <c r="AU33" s="106">
        <f t="shared" si="75"/>
        <v>2.299999999991087</v>
      </c>
      <c r="AV33" s="105"/>
      <c r="AW33" s="107" cm="1">
        <f t="array" ref="AW33">IFERROR(_xlfn.SINGLE(INDEX(DATABASE!$AV$14:$BC$989,SUMPRODUCT((ROW(DATABASE!$AV$14:$AV$989)) * (DATABASE!$AV$14:HY$989='Résultats observations'!$A33 ) * (DATABASE!$AW$14:$AW$989= AW$4))-ROW(DATABASE!$AV$14)+1,AW$5)),"")</f>
        <v>5.064490111441307</v>
      </c>
      <c r="AX33" s="107" cm="1">
        <f t="array" ref="AX33">IFERROR(_xlfn.SINGLE(INDEX(DATABASE!$AV$14:$BC$989,SUMPRODUCT((ROW(DATABASE!$AV$14:$AV$989)) * (DATABASE!$AV$14:HZ$989='Résultats observations'!$A33 ) * (DATABASE!$AW$14:$AW$989= AX$4))-ROW(DATABASE!$AV$14)+1,AX$5)),"")</f>
        <v>-2.6197605773320629</v>
      </c>
      <c r="AY33" s="107" cm="1">
        <f t="array" ref="AY33">IFERROR(_xlfn.SINGLE(INDEX(DATABASE!$AV$14:$BC$989,SUMPRODUCT((ROW(DATABASE!$AV$14:$AV$989)) * (DATABASE!$AV$14:IA$989='Résultats observations'!$A33 ) * (DATABASE!$AW$14:$AW$989= AY$4))-ROW(DATABASE!$AV$14)+1,AY$5)),"")</f>
        <v>-0.78354490111441066</v>
      </c>
      <c r="AZ33" s="107" t="str" cm="1">
        <f t="array" ref="AZ33">IFERROR(_xlfn.SINGLE(INDEX(DATABASE!$AV$14:$BC$989,SUMPRODUCT((ROW(DATABASE!$AV$14:$AV$989)) * (DATABASE!$AV$14:IB$989='Résultats observations'!$A33 ) * (DATABASE!$AW$14:$AW$989= AZ$4))-ROW(DATABASE!$AV$14)+1,AZ$5)),"")</f>
        <v/>
      </c>
      <c r="BA33" s="107" t="str" cm="1">
        <f t="array" ref="BA33">IFERROR(_xlfn.SINGLE(INDEX(DATABASE!$AV$14:$BC$989,SUMPRODUCT((ROW(DATABASE!$AV$14:$AV$989)) * (DATABASE!$AV$14:IC$989='Résultats observations'!$A33 ) * (DATABASE!$AW$14:$AW$989= BA$4))-ROW(DATABASE!$AV$14)+1,BA$5)),"")</f>
        <v/>
      </c>
      <c r="BB33" s="107" t="str" cm="1">
        <f t="array" ref="BB33">IFERROR(_xlfn.SINGLE(INDEX(DATABASE!$AV$14:$BC$989,SUMPRODUCT((ROW(DATABASE!$AV$14:$AV$989)) * (DATABASE!$AV$14:ID$989='Résultats observations'!$A33 ) * (DATABASE!$AW$14:$AW$989= BB$4))-ROW(DATABASE!$AV$14)+1,BB$5)),"")</f>
        <v/>
      </c>
      <c r="BC33" s="107" cm="1">
        <f t="array" ref="BC33">IFERROR(_xlfn.SINGLE(INDEX(DATABASE!$AV$14:$BC$989,SUMPRODUCT((ROW(DATABASE!$AV$14:$AV$989)) * (DATABASE!$AV$14:IE$989='Résultats observations'!$A33 ) * (DATABASE!$AW$14:$AW$989= BC$4))-ROW(DATABASE!$AV$14)+1,BC$5)),"")</f>
        <v>4.9203772439605542</v>
      </c>
      <c r="BD33" s="107" cm="1">
        <f t="array" ref="BD33">IFERROR(_xlfn.SINGLE(INDEX(DATABASE!$AV$14:$BC$989,SUMPRODUCT((ROW(DATABASE!$AV$14:$AV$989)) * (DATABASE!$AV$14:IF$989='Résultats observations'!$A33 ) * (DATABASE!$AW$14:$AW$989= BD$4))-ROW(DATABASE!$AV$14)+1,BD$5)),"")</f>
        <v>-1.3273183977218956E-2</v>
      </c>
      <c r="BE33" s="107" cm="1">
        <f t="array" ref="BE33">IFERROR(_xlfn.SINGLE(INDEX(DATABASE!$AV$14:$BC$989,SUMPRODUCT((ROW(DATABASE!$AV$14:$AV$989)) * (DATABASE!$AV$14:IG$989='Résultats observations'!$A33 ) * (DATABASE!$AW$14:$AW$989= BE$4))-ROW(DATABASE!$AV$14)+1,BE$5)),"")</f>
        <v>2.5874962275603934</v>
      </c>
      <c r="BF33" s="107" t="str" cm="1">
        <f t="array" ref="BF33">IFERROR(_xlfn.SINGLE(INDEX(DATABASE!$AV$14:$BC$989,SUMPRODUCT((ROW(DATABASE!$AV$14:$AV$989)) * (DATABASE!$AV$14:IH$989='Résultats observations'!$A33 ) * (DATABASE!$AW$14:$AW$989= BF$4))-ROW(DATABASE!$AV$14)+1,BF$5)),"")</f>
        <v/>
      </c>
      <c r="BG33" s="107" t="str" cm="1">
        <f t="array" ref="BG33">IFERROR(_xlfn.SINGLE(INDEX(DATABASE!$AV$14:$BC$989,SUMPRODUCT((ROW(DATABASE!$AV$14:$AV$989)) * (DATABASE!$AV$14:II$989='Résultats observations'!$A33 ) * (DATABASE!$AW$14:$AW$989= BG$4))-ROW(DATABASE!$AV$14)+1,BG$5)),"")</f>
        <v/>
      </c>
      <c r="BH33" s="107" t="str" cm="1">
        <f t="array" ref="BH33">IFERROR(_xlfn.SINGLE(INDEX(DATABASE!$AV$14:$BC$989,SUMPRODUCT((ROW(DATABASE!$AV$14:$AV$989)) * (DATABASE!$AV$14:IJ$989='Résultats observations'!$A33 ) * (DATABASE!$AW$14:$AW$989= BH$4))-ROW(DATABASE!$AV$14)+1,BH$5)),"")</f>
        <v/>
      </c>
      <c r="BI33" s="107" cm="1">
        <f t="array" ref="BI33">IFERROR(_xlfn.SINGLE(INDEX(DATABASE!$AV$14:$BC$989,SUMPRODUCT((ROW(DATABASE!$AV$14:$AV$989)) * (DATABASE!$AV$14:IK$989='Résultats observations'!$A33 ) * (DATABASE!$AW$14:$AW$989= BI$4))-ROW(DATABASE!$AV$14)+1,BI$5)),"")</f>
        <v>5.083654490413509</v>
      </c>
      <c r="BJ33" s="107" cm="1">
        <f t="array" ref="BJ33">IFERROR(_xlfn.SINGLE(INDEX(DATABASE!$AV$14:$BC$989,SUMPRODUCT((ROW(DATABASE!$AV$14:$AV$989)) * (DATABASE!$AV$14:IL$989='Résultats observations'!$A33 ) * (DATABASE!$AW$14:$AW$989= BJ$4))-ROW(DATABASE!$AV$14)+1,BJ$5)),"")</f>
        <v>2.6732131962138777</v>
      </c>
      <c r="BK33" s="107" cm="1">
        <f t="array" ref="BK33">IFERROR(_xlfn.SINGLE(INDEX(DATABASE!$AV$14:$BC$989,SUMPRODUCT((ROW(DATABASE!$AV$14:$AV$989)) * (DATABASE!$AV$14:IM$989='Résultats observations'!$A33 ) * (DATABASE!$AW$14:$AW$989= BK$4))-ROW(DATABASE!$AV$14)+1,BK$5)),"")</f>
        <v>-0.72693654490413451</v>
      </c>
      <c r="BL33" s="105"/>
      <c r="BM33" s="106">
        <f t="shared" si="47"/>
        <v>-3.5564973875823469</v>
      </c>
      <c r="BN33" s="106">
        <f t="shared" si="48"/>
        <v>5.7342241635045532</v>
      </c>
      <c r="BO33" s="106">
        <f t="shared" si="49"/>
        <v>1.4355649738888587</v>
      </c>
      <c r="BP33" s="106" t="str">
        <f t="shared" ref="BP33" si="427">IF(AZ33="","",(AZ33-AZ$10)*1000)</f>
        <v/>
      </c>
      <c r="BQ33" s="106" t="str">
        <f t="shared" ref="BQ33" si="428">IF(BA33="","",(BA33-BA$10)*1000)</f>
        <v/>
      </c>
      <c r="BR33" s="106" t="str">
        <f t="shared" ref="BR33" si="429">IF(BB33="","",(BB33-BB$10)*1000)</f>
        <v/>
      </c>
      <c r="BS33" s="106">
        <f t="shared" ref="BS33" si="430">IF(BC33="","",(BC33-BC$10)*1000)</f>
        <v>0.33046017231175284</v>
      </c>
      <c r="BT33" s="106">
        <f t="shared" ref="BT33" si="431">IF(BD33="","",(BD33-BD$10)*1000)</f>
        <v>3.9055468470815535</v>
      </c>
      <c r="BU33" s="106">
        <f t="shared" ref="BU33" si="432">IF(BE33="","",(BE33-BE$10)*1000)</f>
        <v>-4.3533046017216748</v>
      </c>
      <c r="BV33" s="106" t="str">
        <f t="shared" ref="BV33" si="433">IF(BF33="","",(BF33-BF$10)*1000)</f>
        <v/>
      </c>
      <c r="BW33" s="106" t="str">
        <f t="shared" ref="BW33" si="434">IF(BG33="","",(BG33-BG$10)*1000)</f>
        <v/>
      </c>
      <c r="BX33" s="106" t="e">
        <f t="shared" ref="BX33" si="435">IF(BH33="","",(BH33-BH$18)*1000)+BX$18</f>
        <v>#VALUE!</v>
      </c>
      <c r="BY33" s="106">
        <f t="shared" si="59"/>
        <v>-1.6542966950350291</v>
      </c>
      <c r="BZ33" s="106">
        <f t="shared" si="60"/>
        <v>-6.5089017949415684</v>
      </c>
      <c r="CA33" s="106">
        <f t="shared" si="61"/>
        <v>2.3165429669518289</v>
      </c>
    </row>
    <row r="34" spans="1:79" s="108" customFormat="1" ht="29.25" customHeight="1">
      <c r="A34" s="189">
        <v>45726</v>
      </c>
      <c r="B34" s="100">
        <f t="shared" ref="B34" si="436">A34-$A$10</f>
        <v>402</v>
      </c>
      <c r="C34" s="101">
        <v>13</v>
      </c>
      <c r="D34" s="101">
        <f t="shared" ref="D34" si="437">C34-$W$6</f>
        <v>7.91</v>
      </c>
      <c r="E34" s="102" cm="1">
        <f t="array" ref="E34">IFERROR(_xlfn.SINGLE(INDEX(DATABASE!$AV$14:$BC$989,SUMPRODUCT((ROW(DATABASE!$AV$14:$AV$989)) * (DATABASE!AG$14:$AV$989='Résultats observations'!$A34 ) * (DATABASE!$AW$14:$AW$989= E$4))-ROW(DATABASE!$AV$14)+1,E$5)),"")</f>
        <v>823058.96900000004</v>
      </c>
      <c r="F34" s="102" cm="1">
        <f t="array" ref="F34">IFERROR(_xlfn.SINGLE(INDEX(DATABASE!$AV$14:$BC$989,SUMPRODUCT((ROW(DATABASE!$AV$14:$AV$989)) * (DATABASE!AH$14:$AV$989='Résultats observations'!$A34 ) * (DATABASE!$AW$14:$AW$989= F$4))-ROW(DATABASE!$AV$14)+1,F$5)),"")</f>
        <v>1091426.6613</v>
      </c>
      <c r="G34" s="102" cm="1">
        <f t="array" ref="G34">IFERROR(_xlfn.SINGLE(INDEX(DATABASE!$AV$14:$BC$989,SUMPRODUCT((ROW(DATABASE!$AV$14:$AV$989)) * (DATABASE!AI$14:$AV$989='Résultats observations'!$A34 ) * (DATABASE!$AW$14:$AW$989= G$4))-ROW(DATABASE!$AV$14)+1,G$5)),"")</f>
        <v>-123.06019999999999</v>
      </c>
      <c r="H34" s="102" cm="1">
        <f t="array" ref="H34">IFERROR(_xlfn.SINGLE(INDEX(DATABASE!$AV$14:$BC$989,SUMPRODUCT((ROW(DATABASE!$AV$14:$AV$989)) * (DATABASE!AJ$14:$AV$989='Résultats observations'!$A34 ) * (DATABASE!$AW$14:$AW$989= H$4))-ROW(DATABASE!$AV$14)+1,H$5)),"")</f>
        <v>823058.92989999999</v>
      </c>
      <c r="I34" s="102" cm="1">
        <f t="array" ref="I34">IFERROR(_xlfn.SINGLE(INDEX(DATABASE!$AV$14:$BC$989,SUMPRODUCT((ROW(DATABASE!$AV$14:$AV$989)) * (DATABASE!AK$14:$AV$989='Résultats observations'!$A34 ) * (DATABASE!$AW$14:$AW$989= I$4))-ROW(DATABASE!$AV$14)+1,I$5)),"")</f>
        <v>1091426.7439999999</v>
      </c>
      <c r="J34" s="102" cm="1">
        <f t="array" ref="J34">IFERROR(_xlfn.SINGLE(INDEX(DATABASE!$AV$14:$BC$989,SUMPRODUCT((ROW(DATABASE!$AV$14:$AV$989)) * (DATABASE!AL$14:$AV$989='Résultats observations'!$A34 ) * (DATABASE!$AW$14:$AW$989= J$4))-ROW(DATABASE!$AV$14)+1,J$5)),"")</f>
        <v>-121.13030000000001</v>
      </c>
      <c r="K34" s="102" cm="1">
        <f t="array" ref="K34">IFERROR(_xlfn.SINGLE(INDEX(DATABASE!$AV$14:$BC$989,SUMPRODUCT((ROW(DATABASE!$AV$14:$AV$989)) * (DATABASE!AM$14:$AV$989='Résultats observations'!$A34 ) * (DATABASE!$AW$14:$AW$989= K$4))-ROW(DATABASE!$AV$14)+1,K$5)),"")</f>
        <v>823057.9976</v>
      </c>
      <c r="L34" s="102" cm="1">
        <f t="array" ref="L34">IFERROR(_xlfn.SINGLE(INDEX(DATABASE!$AV$14:$BC$989,SUMPRODUCT((ROW(DATABASE!$AV$14:$AV$989)) * (DATABASE!AN$14:$AV$989='Résultats observations'!$A34 ) * (DATABASE!$AW$14:$AW$989= L$4))-ROW(DATABASE!$AV$14)+1,L$5)),"")</f>
        <v>1091429.0838000001</v>
      </c>
      <c r="M34" s="102" cm="1">
        <f t="array" ref="M34">IFERROR(_xlfn.SINGLE(INDEX(DATABASE!$AV$14:$BC$989,SUMPRODUCT((ROW(DATABASE!$AV$14:$AV$989)) * (DATABASE!AO$14:$AV$989='Résultats observations'!$A34 ) * (DATABASE!$AW$14:$AW$989= M$4))-ROW(DATABASE!$AV$14)+1,M$5)),"")</f>
        <v>-119.6906</v>
      </c>
      <c r="N34" s="102" t="str" cm="1">
        <f t="array" ref="N34">IFERROR(_xlfn.SINGLE(INDEX(DATABASE!$AV$14:$BC$989,SUMPRODUCT((ROW(DATABASE!$AV$14:$AV$989)) * (DATABASE!AP$14:$AV$989='Résultats observations'!$A34 ) * (DATABASE!$AW$14:$AW$989= N$4))-ROW(DATABASE!$AV$14)+1,N$5)),"")</f>
        <v/>
      </c>
      <c r="O34" s="102" t="str" cm="1">
        <f t="array" ref="O34">IFERROR(_xlfn.SINGLE(INDEX(DATABASE!$AV$14:$BC$989,SUMPRODUCT((ROW(DATABASE!$AV$14:$AV$989)) * (DATABASE!AQ$14:$AV$989='Résultats observations'!$A34 ) * (DATABASE!$AW$14:$AW$989= O$4))-ROW(DATABASE!$AV$14)+1,O$5)),"")</f>
        <v/>
      </c>
      <c r="P34" s="102" t="str" cm="1">
        <f t="array" ref="P34">IFERROR(_xlfn.SINGLE(INDEX(DATABASE!$AV$14:$BC$989,SUMPRODUCT((ROW(DATABASE!$AV$14:$AV$989)) * (DATABASE!AR$14:$AV$989='Résultats observations'!$A34 ) * (DATABASE!$AW$14:$AW$989= P$4))-ROW(DATABASE!$AV$14)+1,P$5)),"")</f>
        <v/>
      </c>
      <c r="Q34" s="102" cm="1">
        <f t="array" ref="Q34">IFERROR(_xlfn.SINGLE(INDEX(DATABASE!$AV$14:$BC$989,SUMPRODUCT((ROW(DATABASE!$AV$14:$AV$989)) * (DATABASE!AS$14:$AV$989='Résultats observations'!$A34 ) * (DATABASE!$AW$14:$AW$989= Q$4))-ROW(DATABASE!$AV$14)+1,Q$5)),"")</f>
        <v>823056.71519999998</v>
      </c>
      <c r="R34" s="102" cm="1">
        <f t="array" ref="R34">IFERROR(_xlfn.SINGLE(INDEX(DATABASE!$AV$14:$BC$989,SUMPRODUCT((ROW(DATABASE!$AV$14:$AV$989)) * (DATABASE!AT$14:$AV$989='Résultats observations'!$A34 ) * (DATABASE!$AW$14:$AW$989= R$4))-ROW(DATABASE!$AV$14)+1,R$5)),"")</f>
        <v>1091431.4497</v>
      </c>
      <c r="S34" s="102" cm="1">
        <f t="array" ref="S34">IFERROR(_xlfn.SINGLE(INDEX(DATABASE!$AV$14:$BC$989,SUMPRODUCT((ROW(DATABASE!$AV$14:$AV$989)) * (DATABASE!AU$14:$AV$989='Résultats observations'!$A34 ) * (DATABASE!$AW$14:$AW$989= S$4))-ROW(DATABASE!$AV$14)+1,S$5)),"")</f>
        <v>-123.0034</v>
      </c>
      <c r="T34" s="103">
        <f t="shared" si="2"/>
        <v>4.2621975987243008</v>
      </c>
      <c r="U34" s="103">
        <f t="shared" si="3"/>
        <v>2.9011348505138765</v>
      </c>
      <c r="V34" s="103" t="e">
        <f t="shared" si="4"/>
        <v>#VALUE!</v>
      </c>
      <c r="W34" s="103">
        <f t="shared" si="5"/>
        <v>4.2680998593516231</v>
      </c>
      <c r="X34" s="103" t="str">
        <f t="shared" si="6"/>
        <v/>
      </c>
      <c r="Y34" s="103">
        <f t="shared" si="7"/>
        <v>5.292600045338566</v>
      </c>
      <c r="Z34" s="104">
        <f t="shared" ref="Z34" si="438">IF(T34="","",(T34-T$10)*1000)</f>
        <v>-6.081245872671559</v>
      </c>
      <c r="AA34" s="104">
        <f t="shared" ref="AA34" si="439">IF(U34="","",(U34-U$10)*1000)</f>
        <v>-0.67918941105027386</v>
      </c>
      <c r="AB34" s="104" t="e">
        <f t="shared" ref="AB34" si="440">IF(V34="","",(V34-V$10)*1000)</f>
        <v>#VALUE!</v>
      </c>
      <c r="AC34" s="104">
        <f t="shared" ref="AC34" si="441">IF(W34="","",(W34-W$10)*1000)</f>
        <v>-12.009241220713562</v>
      </c>
      <c r="AD34" s="104" t="str">
        <f t="shared" ref="AD34" si="442">IF(X34="","",(X34-X$10)*1000)</f>
        <v/>
      </c>
      <c r="AE34" s="104">
        <f t="shared" ref="AE34" si="443">IF(Y34="","",(Y34-Y$10)*1000)</f>
        <v>-12.939431810383262</v>
      </c>
      <c r="AF34" s="105"/>
      <c r="AG34" s="106">
        <f t="shared" ref="AG34" si="444">IF(E34="","",(E34-E$10)*1000)</f>
        <v>0.70000009145587683</v>
      </c>
      <c r="AH34" s="106">
        <f t="shared" ref="AH34" si="445">IF(F34="","",(F34-F$10)*1000)</f>
        <v>7.6000001281499863</v>
      </c>
      <c r="AI34" s="106">
        <f t="shared" ref="AI34" si="446">IF(G34="","",(G34-G$10)*1000)</f>
        <v>1.1000000000080945</v>
      </c>
      <c r="AJ34" s="106">
        <f t="shared" ref="AJ34" si="447">IF(H34="","",(H34-H$10)*1000)</f>
        <v>-1.6499999910593033</v>
      </c>
      <c r="AK34" s="106">
        <f t="shared" ref="AK34" si="448">IF(I34="","",(I34-I$10)*1000)</f>
        <v>3.599999938160181</v>
      </c>
      <c r="AL34" s="106">
        <f t="shared" ref="AL34" si="449">IF(J34="","",(J34-J$10)*1000)</f>
        <v>-2.7000000000043656</v>
      </c>
      <c r="AM34" s="106">
        <f t="shared" ref="AM34" si="450">IF(K34="","",(K34-K$10)*1000)</f>
        <v>-2.5499999755993485</v>
      </c>
      <c r="AN34" s="106">
        <f t="shared" ref="AN34" si="451">IF(L34="","",(L34-L$10)*1000)</f>
        <v>3.6000001709908247</v>
      </c>
      <c r="AO34" s="106">
        <f t="shared" ref="AO34" si="452">IF(M34="","",(M34-M$10)*1000)</f>
        <v>-4.6499999999980446</v>
      </c>
      <c r="AP34" s="106" t="str">
        <f t="shared" ref="AP34" si="453">IF(N34="","",(N34-N$10)*1000)</f>
        <v/>
      </c>
      <c r="AQ34" s="106" t="str">
        <f t="shared" ref="AQ34" si="454">IF(O34="","",(O34-O$10)*1000)</f>
        <v/>
      </c>
      <c r="AR34" s="106" t="e">
        <f t="shared" ref="AR34" si="455">IF(P34="","",(P34-P$18)*1000)+AR$18</f>
        <v>#VALUE!</v>
      </c>
      <c r="AS34" s="106">
        <f t="shared" ref="AS34" si="456">IF(Q34="","",(Q34-Q$10)*1000)</f>
        <v>4.5499999541789293</v>
      </c>
      <c r="AT34" s="106">
        <f t="shared" ref="AT34" si="457">IF(R34="","",(R34-R$10)*1000)</f>
        <v>-4.9000000581145287</v>
      </c>
      <c r="AU34" s="106">
        <f t="shared" ref="AU34" si="458">IF(S34="","",(S34-S$10)*1000)</f>
        <v>1.9999999999953388</v>
      </c>
      <c r="AV34" s="105"/>
      <c r="AW34" s="107" cm="1">
        <f t="array" ref="AW34">IFERROR(_xlfn.SINGLE(INDEX(DATABASE!$AV$14:$BC$989,SUMPRODUCT((ROW(DATABASE!$AV$14:$AV$989)) * (DATABASE!$AV$14:HY$989='Résultats observations'!$A34 ) * (DATABASE!$AW$14:$AW$989= AW$4))-ROW(DATABASE!$AV$14)+1,AW$5)),"")</f>
        <v>5.0642003993447551</v>
      </c>
      <c r="AX34" s="107" cm="1">
        <f t="array" ref="AX34">IFERROR(_xlfn.SINGLE(INDEX(DATABASE!$AV$14:$BC$989,SUMPRODUCT((ROW(DATABASE!$AV$14:$AV$989)) * (DATABASE!$AV$14:HZ$989='Résultats observations'!$A34 ) * (DATABASE!$AW$14:$AW$989= AX$4))-ROW(DATABASE!$AV$14)+1,AX$5)),"")</f>
        <v>-2.6189026338186907</v>
      </c>
      <c r="AY34" s="107" cm="1">
        <f t="array" ref="AY34">IFERROR(_xlfn.SINGLE(INDEX(DATABASE!$AV$14:$BC$989,SUMPRODUCT((ROW(DATABASE!$AV$14:$AV$989)) * (DATABASE!$AV$14:IA$989='Résultats observations'!$A34 ) * (DATABASE!$AW$14:$AW$989= AY$4))-ROW(DATABASE!$AV$14)+1,AY$5)),"")</f>
        <v>-0.78384200399344195</v>
      </c>
      <c r="AZ34" s="107" cm="1">
        <f t="array" ref="AZ34">IFERROR(_xlfn.SINGLE(INDEX(DATABASE!$AV$14:$BC$989,SUMPRODUCT((ROW(DATABASE!$AV$14:$AV$989)) * (DATABASE!$AV$14:IB$989='Résultats observations'!$A34 ) * (DATABASE!$AW$14:$AW$989= AZ$4))-ROW(DATABASE!$AV$14)+1,AZ$5)),"")</f>
        <v>5.0646879592094196</v>
      </c>
      <c r="BA34" s="107" cm="1">
        <f t="array" ref="BA34">IFERROR(_xlfn.SINGLE(INDEX(DATABASE!$AV$14:$BC$989,SUMPRODUCT((ROW(DATABASE!$AV$14:$AV$989)) * (DATABASE!$AV$14:IC$989='Résultats observations'!$A34 ) * (DATABASE!$AW$14:$AW$989= BA$4))-ROW(DATABASE!$AV$14)+1,BA$5)),"")</f>
        <v>-2.5274266136008343</v>
      </c>
      <c r="BB34" s="107" cm="1">
        <f t="array" ref="BB34">IFERROR(_xlfn.SINGLE(INDEX(DATABASE!$AV$14:$BC$989,SUMPRODUCT((ROW(DATABASE!$AV$14:$AV$989)) * (DATABASE!$AV$14:ID$989='Résultats observations'!$A34 ) * (DATABASE!$AW$14:$AW$989= BB$4))-ROW(DATABASE!$AV$14)+1,BB$5)),"")</f>
        <v>1.146053120407899</v>
      </c>
      <c r="BC34" s="107" cm="1">
        <f t="array" ref="BC34">IFERROR(_xlfn.SINGLE(INDEX(DATABASE!$AV$14:$BC$989,SUMPRODUCT((ROW(DATABASE!$AV$14:$AV$989)) * (DATABASE!$AV$14:IE$989='Résultats observations'!$A34 ) * (DATABASE!$AW$14:$AW$989= BC$4))-ROW(DATABASE!$AV$14)+1,BC$5)),"")</f>
        <v>4.9208365118719746</v>
      </c>
      <c r="BD34" s="107" cm="1">
        <f t="array" ref="BD34">IFERROR(_xlfn.SINGLE(INDEX(DATABASE!$AV$14:$BC$989,SUMPRODUCT((ROW(DATABASE!$AV$14:$AV$989)) * (DATABASE!$AV$14:IF$989='Résultats observations'!$A34 ) * (DATABASE!$AW$14:$AW$989= BD$4))-ROW(DATABASE!$AV$14)+1,BD$5)),"")</f>
        <v>-1.2838358644350701E-2</v>
      </c>
      <c r="BE34" s="107" cm="1">
        <f t="array" ref="BE34">IFERROR(_xlfn.SINGLE(INDEX(DATABASE!$AV$14:$BC$989,SUMPRODUCT((ROW(DATABASE!$AV$14:$AV$989)) * (DATABASE!$AV$14:IG$989='Résultats observations'!$A34 ) * (DATABASE!$AW$14:$AW$989= BE$4))-ROW(DATABASE!$AV$14)+1,BE$5)),"")</f>
        <v>2.5871916348812789</v>
      </c>
      <c r="BF34" s="107" t="str" cm="1">
        <f t="array" ref="BF34">IFERROR(_xlfn.SINGLE(INDEX(DATABASE!$AV$14:$BC$989,SUMPRODUCT((ROW(DATABASE!$AV$14:$AV$989)) * (DATABASE!$AV$14:IH$989='Résultats observations'!$A34 ) * (DATABASE!$AW$14:$AW$989= BF$4))-ROW(DATABASE!$AV$14)+1,BF$5)),"")</f>
        <v/>
      </c>
      <c r="BG34" s="107" t="str" cm="1">
        <f t="array" ref="BG34">IFERROR(_xlfn.SINGLE(INDEX(DATABASE!$AV$14:$BC$989,SUMPRODUCT((ROW(DATABASE!$AV$14:$AV$989)) * (DATABASE!$AV$14:II$989='Résultats observations'!$A34 ) * (DATABASE!$AW$14:$AW$989= BG$4))-ROW(DATABASE!$AV$14)+1,BG$5)),"")</f>
        <v/>
      </c>
      <c r="BH34" s="107" t="str" cm="1">
        <f t="array" ref="BH34">IFERROR(_xlfn.SINGLE(INDEX(DATABASE!$AV$14:$BC$989,SUMPRODUCT((ROW(DATABASE!$AV$14:$AV$989)) * (DATABASE!$AV$14:IJ$989='Résultats observations'!$A34 ) * (DATABASE!$AW$14:$AW$989= BH$4))-ROW(DATABASE!$AV$14)+1,BH$5)),"")</f>
        <v/>
      </c>
      <c r="BI34" s="107" cm="1">
        <f t="array" ref="BI34">IFERROR(_xlfn.SINGLE(INDEX(DATABASE!$AV$14:$BC$989,SUMPRODUCT((ROW(DATABASE!$AV$14:$AV$989)) * (DATABASE!$AV$14:IK$989='Résultats observations'!$A34 ) * (DATABASE!$AW$14:$AW$989= BI$4))-ROW(DATABASE!$AV$14)+1,BI$5)),"")</f>
        <v>5.083255814966261</v>
      </c>
      <c r="BJ34" s="107" cm="1">
        <f t="array" ref="BJ34">IFERROR(_xlfn.SINGLE(INDEX(DATABASE!$AV$14:$BC$989,SUMPRODUCT((ROW(DATABASE!$AV$14:$AV$989)) * (DATABASE!$AV$14:IL$989='Résultats observations'!$A34 ) * (DATABASE!$AW$14:$AW$989= BJ$4))-ROW(DATABASE!$AV$14)+1,BJ$5)),"")</f>
        <v>2.6733583093938855</v>
      </c>
      <c r="BK34" s="107" cm="1">
        <f t="array" ref="BK34">IFERROR(_xlfn.SINGLE(INDEX(DATABASE!$AV$14:$BC$989,SUMPRODUCT((ROW(DATABASE!$AV$14:$AV$989)) * (DATABASE!$AV$14:IM$989='Résultats observations'!$A34 ) * (DATABASE!$AW$14:$AW$989= BK$4))-ROW(DATABASE!$AV$14)+1,BK$5)),"")</f>
        <v>-0.72723255814966592</v>
      </c>
      <c r="BL34" s="105"/>
      <c r="BM34" s="106">
        <f t="shared" ref="BM34" si="459">IF(AW34="","",(AW34-AW$10)*1000)</f>
        <v>-3.8462094841342775</v>
      </c>
      <c r="BN34" s="106">
        <f t="shared" ref="BN34" si="460">IF(AX34="","",(AX34-AX$10)*1000)</f>
        <v>6.592167676876759</v>
      </c>
      <c r="BO34" s="106">
        <f t="shared" ref="BO34" si="461">IF(AY34="","",(AY34-AY$10)*1000)</f>
        <v>1.138462094857573</v>
      </c>
      <c r="BP34" s="106">
        <f t="shared" ref="BP34" si="462">IF(AZ34="","",(AZ34-AZ$10)*1000)</f>
        <v>-2.5954864264932098E-2</v>
      </c>
      <c r="BQ34" s="106">
        <f t="shared" ref="BQ34" si="463">IF(BA34="","",(BA34-BA$10)*1000)</f>
        <v>3.960028518870562</v>
      </c>
      <c r="BR34" s="106">
        <f t="shared" ref="BR34" si="464">IF(BB34="","",(BB34-BB$10)*1000)</f>
        <v>-2.6997404513622314</v>
      </c>
      <c r="BS34" s="106">
        <f t="shared" ref="BS34" si="465">IF(BC34="","",(BC34-BC$10)*1000)</f>
        <v>0.78972808373212189</v>
      </c>
      <c r="BT34" s="106">
        <f t="shared" ref="BT34" si="466">IF(BD34="","",(BD34-BD$10)*1000)</f>
        <v>4.3403721799498092</v>
      </c>
      <c r="BU34" s="106">
        <f t="shared" ref="BU34" si="467">IF(BE34="","",(BE34-BE$10)*1000)</f>
        <v>-4.6578972808362096</v>
      </c>
      <c r="BV34" s="106" t="str">
        <f t="shared" ref="BV34" si="468">IF(BF34="","",(BF34-BF$10)*1000)</f>
        <v/>
      </c>
      <c r="BW34" s="106" t="str">
        <f t="shared" ref="BW34" si="469">IF(BG34="","",(BG34-BG$10)*1000)</f>
        <v/>
      </c>
      <c r="BX34" s="106" t="e">
        <f t="shared" ref="BX34" si="470">IF(BH34="","",(BH34-BH$18)*1000)+BX$18</f>
        <v>#VALUE!</v>
      </c>
      <c r="BY34" s="106">
        <f t="shared" ref="BY34" si="471">IF(BI34="","",(BI34-BI$10)*1000)</f>
        <v>-2.0529721422830605</v>
      </c>
      <c r="BZ34" s="106">
        <f t="shared" ref="BZ34" si="472">IF(BJ34="","",(BJ34-BJ$10)*1000)</f>
        <v>-6.3637886149336964</v>
      </c>
      <c r="CA34" s="106">
        <f t="shared" ref="CA34" si="473">IF(BK34="","",(BK34-BK$10)*1000)</f>
        <v>2.0205297214204165</v>
      </c>
    </row>
    <row r="35" spans="1:79" s="108" customFormat="1" ht="29.25" customHeight="1">
      <c r="A35" s="189">
        <v>45730</v>
      </c>
      <c r="B35" s="100">
        <f t="shared" ref="B35" si="474">A35-$A$10</f>
        <v>406</v>
      </c>
      <c r="C35" s="101">
        <v>14.2</v>
      </c>
      <c r="D35" s="101">
        <f t="shared" ref="D35" si="475">C35-$W$6</f>
        <v>9.11</v>
      </c>
      <c r="E35" s="102" cm="1">
        <f t="array" ref="E35">IFERROR(_xlfn.SINGLE(INDEX(DATABASE!$AV$14:$BC$989,SUMPRODUCT((ROW(DATABASE!$AV$14:$AV$989)) * (DATABASE!AG$14:$AV$989='Résultats observations'!$A35 ) * (DATABASE!$AW$14:$AW$989= E$4))-ROW(DATABASE!$AV$14)+1,E$5)),"")</f>
        <v>823058.96889999998</v>
      </c>
      <c r="F35" s="102" cm="1">
        <f t="array" ref="F35">IFERROR(_xlfn.SINGLE(INDEX(DATABASE!$AV$14:$BC$989,SUMPRODUCT((ROW(DATABASE!$AV$14:$AV$989)) * (DATABASE!AH$14:$AV$989='Résultats observations'!$A35 ) * (DATABASE!$AW$14:$AW$989= F$4))-ROW(DATABASE!$AV$14)+1,F$5)),"")</f>
        <v>1091426.6603999999</v>
      </c>
      <c r="G35" s="102" cm="1">
        <f t="array" ref="G35">IFERROR(_xlfn.SINGLE(INDEX(DATABASE!$AV$14:$BC$989,SUMPRODUCT((ROW(DATABASE!$AV$14:$AV$989)) * (DATABASE!AI$14:$AV$989='Résultats observations'!$A35 ) * (DATABASE!$AW$14:$AW$989= G$4))-ROW(DATABASE!$AV$14)+1,G$5)),"")</f>
        <v>-123.0607</v>
      </c>
      <c r="H35" s="102" cm="1">
        <f t="array" ref="H35">IFERROR(_xlfn.SINGLE(INDEX(DATABASE!$AV$14:$BC$989,SUMPRODUCT((ROW(DATABASE!$AV$14:$AV$989)) * (DATABASE!AJ$14:$AV$989='Résultats observations'!$A35 ) * (DATABASE!$AW$14:$AW$989= H$4))-ROW(DATABASE!$AV$14)+1,H$5)),"")</f>
        <v>823058.93039999995</v>
      </c>
      <c r="I35" s="102" cm="1">
        <f t="array" ref="I35">IFERROR(_xlfn.SINGLE(INDEX(DATABASE!$AV$14:$BC$989,SUMPRODUCT((ROW(DATABASE!$AV$14:$AV$989)) * (DATABASE!AK$14:$AV$989='Résultats observations'!$A35 ) * (DATABASE!$AW$14:$AW$989= I$4))-ROW(DATABASE!$AV$14)+1,I$5)),"")</f>
        <v>1091426.7438000001</v>
      </c>
      <c r="J35" s="102" cm="1">
        <f t="array" ref="J35">IFERROR(_xlfn.SINGLE(INDEX(DATABASE!$AV$14:$BC$989,SUMPRODUCT((ROW(DATABASE!$AV$14:$AV$989)) * (DATABASE!AL$14:$AV$989='Résultats observations'!$A35 ) * (DATABASE!$AW$14:$AW$989= J$4))-ROW(DATABASE!$AV$14)+1,J$5)),"")</f>
        <v>-121.13039999999999</v>
      </c>
      <c r="K35" s="102" cm="1">
        <f t="array" ref="K35">IFERROR(_xlfn.SINGLE(INDEX(DATABASE!$AV$14:$BC$989,SUMPRODUCT((ROW(DATABASE!$AV$14:$AV$989)) * (DATABASE!AM$14:$AV$989='Résultats observations'!$A35 ) * (DATABASE!$AW$14:$AW$989= K$4))-ROW(DATABASE!$AV$14)+1,K$5)),"")</f>
        <v>823057.99769999995</v>
      </c>
      <c r="L35" s="102" cm="1">
        <f t="array" ref="L35">IFERROR(_xlfn.SINGLE(INDEX(DATABASE!$AV$14:$BC$989,SUMPRODUCT((ROW(DATABASE!$AV$14:$AV$989)) * (DATABASE!AN$14:$AV$989='Résultats observations'!$A35 ) * (DATABASE!$AW$14:$AW$989= L$4))-ROW(DATABASE!$AV$14)+1,L$5)),"")</f>
        <v>1091429.0829</v>
      </c>
      <c r="M35" s="102" cm="1">
        <f t="array" ref="M35">IFERROR(_xlfn.SINGLE(INDEX(DATABASE!$AV$14:$BC$989,SUMPRODUCT((ROW(DATABASE!$AV$14:$AV$989)) * (DATABASE!AO$14:$AV$989='Résultats observations'!$A35 ) * (DATABASE!$AW$14:$AW$989= M$4))-ROW(DATABASE!$AV$14)+1,M$5)),"")</f>
        <v>-119.691</v>
      </c>
      <c r="N35" s="102" t="str" cm="1">
        <f t="array" ref="N35">IFERROR(_xlfn.SINGLE(INDEX(DATABASE!$AV$14:$BC$989,SUMPRODUCT((ROW(DATABASE!$AV$14:$AV$989)) * (DATABASE!AP$14:$AV$989='Résultats observations'!$A35 ) * (DATABASE!$AW$14:$AW$989= N$4))-ROW(DATABASE!$AV$14)+1,N$5)),"")</f>
        <v/>
      </c>
      <c r="O35" s="102" t="str" cm="1">
        <f t="array" ref="O35">IFERROR(_xlfn.SINGLE(INDEX(DATABASE!$AV$14:$BC$989,SUMPRODUCT((ROW(DATABASE!$AV$14:$AV$989)) * (DATABASE!AQ$14:$AV$989='Résultats observations'!$A35 ) * (DATABASE!$AW$14:$AW$989= O$4))-ROW(DATABASE!$AV$14)+1,O$5)),"")</f>
        <v/>
      </c>
      <c r="P35" s="102" t="str" cm="1">
        <f t="array" ref="P35">IFERROR(_xlfn.SINGLE(INDEX(DATABASE!$AV$14:$BC$989,SUMPRODUCT((ROW(DATABASE!$AV$14:$AV$989)) * (DATABASE!AR$14:$AV$989='Résultats observations'!$A35 ) * (DATABASE!$AW$14:$AW$989= P$4))-ROW(DATABASE!$AV$14)+1,P$5)),"")</f>
        <v/>
      </c>
      <c r="Q35" s="102" cm="1">
        <f t="array" ref="Q35">IFERROR(_xlfn.SINGLE(INDEX(DATABASE!$AV$14:$BC$989,SUMPRODUCT((ROW(DATABASE!$AV$14:$AV$989)) * (DATABASE!AS$14:$AV$989='Résultats observations'!$A35 ) * (DATABASE!$AW$14:$AW$989= Q$4))-ROW(DATABASE!$AV$14)+1,Q$5)),"")</f>
        <v>823056.71479999996</v>
      </c>
      <c r="R35" s="102" cm="1">
        <f t="array" ref="R35">IFERROR(_xlfn.SINGLE(INDEX(DATABASE!$AV$14:$BC$989,SUMPRODUCT((ROW(DATABASE!$AV$14:$AV$989)) * (DATABASE!AT$14:$AV$989='Résultats observations'!$A35 ) * (DATABASE!$AW$14:$AW$989= R$4))-ROW(DATABASE!$AV$14)+1,R$5)),"")</f>
        <v>1091431.4487000001</v>
      </c>
      <c r="S35" s="102" cm="1">
        <f t="array" ref="S35">IFERROR(_xlfn.SINGLE(INDEX(DATABASE!$AV$14:$BC$989,SUMPRODUCT((ROW(DATABASE!$AV$14:$AV$989)) * (DATABASE!AU$14:$AV$989='Résultats observations'!$A35 ) * (DATABASE!$AW$14:$AW$989= S$4))-ROW(DATABASE!$AV$14)+1,S$5)),"")</f>
        <v>-123.0038</v>
      </c>
      <c r="T35" s="103">
        <f t="shared" si="2"/>
        <v>4.2622310801448515</v>
      </c>
      <c r="U35" s="103">
        <f t="shared" si="3"/>
        <v>2.9005500271377573</v>
      </c>
      <c r="V35" s="103" t="e">
        <f t="shared" si="4"/>
        <v>#VALUE!</v>
      </c>
      <c r="W35" s="103">
        <f t="shared" si="5"/>
        <v>4.2681946874659733</v>
      </c>
      <c r="X35" s="103" t="str">
        <f t="shared" si="6"/>
        <v/>
      </c>
      <c r="Y35" s="103">
        <f t="shared" si="7"/>
        <v>5.2926384073868551</v>
      </c>
      <c r="Z35" s="104">
        <f t="shared" ref="Z35" si="476">IF(T35="","",(T35-T$10)*1000)</f>
        <v>-6.0477644521208518</v>
      </c>
      <c r="AA35" s="104">
        <f t="shared" ref="AA35" si="477">IF(U35="","",(U35-U$10)*1000)</f>
        <v>-1.2640127871694773</v>
      </c>
      <c r="AB35" s="104" t="e">
        <f t="shared" ref="AB35" si="478">IF(V35="","",(V35-V$10)*1000)</f>
        <v>#VALUE!</v>
      </c>
      <c r="AC35" s="104">
        <f t="shared" ref="AC35" si="479">IF(W35="","",(W35-W$10)*1000)</f>
        <v>-11.91441310636332</v>
      </c>
      <c r="AD35" s="104" t="str">
        <f t="shared" ref="AD35" si="480">IF(X35="","",(X35-X$10)*1000)</f>
        <v/>
      </c>
      <c r="AE35" s="104">
        <f t="shared" ref="AE35" si="481">IF(Y35="","",(Y35-Y$10)*1000)</f>
        <v>-12.901069762094153</v>
      </c>
      <c r="AF35" s="105"/>
      <c r="AG35" s="106">
        <f t="shared" ref="AG35" si="482">IF(E35="","",(E35-E$10)*1000)</f>
        <v>0.60000002849847078</v>
      </c>
      <c r="AH35" s="106">
        <f t="shared" ref="AH35" si="483">IF(F35="","",(F35-F$10)*1000)</f>
        <v>6.7000000271946192</v>
      </c>
      <c r="AI35" s="106">
        <f t="shared" ref="AI35" si="484">IF(G35="","",(G35-G$10)*1000)</f>
        <v>0.60000000000570708</v>
      </c>
      <c r="AJ35" s="106">
        <f t="shared" ref="AJ35" si="485">IF(H35="","",(H35-H$10)*1000)</f>
        <v>-1.1500000255182385</v>
      </c>
      <c r="AK35" s="106">
        <f t="shared" ref="AK35" si="486">IF(I35="","",(I35-I$10)*1000)</f>
        <v>3.4000000450760126</v>
      </c>
      <c r="AL35" s="106">
        <f t="shared" ref="AL35" si="487">IF(J35="","",(J35-J$10)*1000)</f>
        <v>-2.7999999999934744</v>
      </c>
      <c r="AM35" s="106">
        <f t="shared" ref="AM35" si="488">IF(K35="","",(K35-K$10)*1000)</f>
        <v>-2.4500000290572643</v>
      </c>
      <c r="AN35" s="106">
        <f t="shared" ref="AN35" si="489">IF(L35="","",(L35-L$10)*1000)</f>
        <v>2.7000000700354576</v>
      </c>
      <c r="AO35" s="106">
        <f t="shared" ref="AO35" si="490">IF(M35="","",(M35-M$10)*1000)</f>
        <v>-5.0499999999971124</v>
      </c>
      <c r="AP35" s="106" t="str">
        <f t="shared" ref="AP35" si="491">IF(N35="","",(N35-N$10)*1000)</f>
        <v/>
      </c>
      <c r="AQ35" s="106" t="str">
        <f t="shared" ref="AQ35" si="492">IF(O35="","",(O35-O$10)*1000)</f>
        <v/>
      </c>
      <c r="AR35" s="106" t="e">
        <f t="shared" ref="AR35" si="493">IF(P35="","",(P35-P$18)*1000)+AR$18</f>
        <v>#VALUE!</v>
      </c>
      <c r="AS35" s="106">
        <f t="shared" ref="AS35" si="494">IF(Q35="","",(Q35-Q$10)*1000)</f>
        <v>4.1499999351799488</v>
      </c>
      <c r="AT35" s="106">
        <f t="shared" ref="AT35" si="495">IF(R35="","",(R35-R$10)*1000)</f>
        <v>-5.8999999891966581</v>
      </c>
      <c r="AU35" s="106">
        <f t="shared" ref="AU35" si="496">IF(S35="","",(S35-S$10)*1000)</f>
        <v>1.5999999999962711</v>
      </c>
      <c r="AV35" s="105"/>
      <c r="AW35" s="107" cm="1">
        <f t="array" ref="AW35">IFERROR(_xlfn.SINGLE(INDEX(DATABASE!$AV$14:$BC$989,SUMPRODUCT((ROW(DATABASE!$AV$14:$AV$989)) * (DATABASE!$AV$14:HY$989='Résultats observations'!$A35 ) * (DATABASE!$AW$14:$AW$989= AW$4))-ROW(DATABASE!$AV$14)+1,AW$5)),"")</f>
        <v>5.0646713743522271</v>
      </c>
      <c r="AX35" s="107" cm="1">
        <f t="array" ref="AX35">IFERROR(_xlfn.SINGLE(INDEX(DATABASE!$AV$14:$BC$989,SUMPRODUCT((ROW(DATABASE!$AV$14:$AV$989)) * (DATABASE!$AV$14:HZ$989='Résultats observations'!$A35 ) * (DATABASE!$AW$14:$AW$989= AX$4))-ROW(DATABASE!$AV$14)+1,AX$5)),"")</f>
        <v>-2.6196760565599186</v>
      </c>
      <c r="AY35" s="107" cm="1">
        <f t="array" ref="AY35">IFERROR(_xlfn.SINGLE(INDEX(DATABASE!$AV$14:$BC$989,SUMPRODUCT((ROW(DATABASE!$AV$14:$AV$989)) * (DATABASE!$AV$14:IA$989='Résultats observations'!$A35 ) * (DATABASE!$AW$14:$AW$989= AY$4))-ROW(DATABASE!$AV$14)+1,AY$5)),"")</f>
        <v>-0.78434671374351694</v>
      </c>
      <c r="AZ35" s="107" cm="1">
        <f t="array" ref="AZ35">IFERROR(_xlfn.SINGLE(INDEX(DATABASE!$AV$14:$BC$989,SUMPRODUCT((ROW(DATABASE!$AV$14:$AV$989)) * (DATABASE!$AV$14:IB$989='Résultats observations'!$A35 ) * (DATABASE!$AW$14:$AW$989= AZ$4))-ROW(DATABASE!$AV$14)+1,AZ$5)),"")</f>
        <v>5.0643193227078207</v>
      </c>
      <c r="BA35" s="107" cm="1">
        <f t="array" ref="BA35">IFERROR(_xlfn.SINGLE(INDEX(DATABASE!$AV$14:$BC$989,SUMPRODUCT((ROW(DATABASE!$AV$14:$AV$989)) * (DATABASE!$AV$14:IC$989='Résultats observations'!$A35 ) * (DATABASE!$AW$14:$AW$989= BA$4))-ROW(DATABASE!$AV$14)+1,BA$5)),"")</f>
        <v>-2.5278191783120127</v>
      </c>
      <c r="BB35" s="107" cm="1">
        <f t="array" ref="BB35">IFERROR(_xlfn.SINGLE(INDEX(DATABASE!$AV$14:$BC$989,SUMPRODUCT((ROW(DATABASE!$AV$14:$AV$989)) * (DATABASE!$AV$14:ID$989='Résultats observations'!$A35 ) * (DATABASE!$AW$14:$AW$989= BB$4))-ROW(DATABASE!$AV$14)+1,BB$5)),"")</f>
        <v>1.1459568067729293</v>
      </c>
      <c r="BC35" s="107" cm="1">
        <f t="array" ref="BC35">IFERROR(_xlfn.SINGLE(INDEX(DATABASE!$AV$14:$BC$989,SUMPRODUCT((ROW(DATABASE!$AV$14:$AV$989)) * (DATABASE!$AV$14:IE$989='Résultats observations'!$A35 ) * (DATABASE!$AW$14:$AW$989= BC$4))-ROW(DATABASE!$AV$14)+1,BC$5)),"")</f>
        <v>4.9211262239685247</v>
      </c>
      <c r="BD35" s="107" cm="1">
        <f t="array" ref="BD35">IFERROR(_xlfn.SINGLE(INDEX(DATABASE!$AV$14:$BC$989,SUMPRODUCT((ROW(DATABASE!$AV$14:$AV$989)) * (DATABASE!$AV$14:IF$989='Résultats observations'!$A35 ) * (DATABASE!$AW$14:$AW$989= BD$4))-ROW(DATABASE!$AV$14)+1,BD$5)),"")</f>
        <v>-1.3696302157727575E-2</v>
      </c>
      <c r="BE35" s="107" cm="1">
        <f t="array" ref="BE35">IFERROR(_xlfn.SINGLE(INDEX(DATABASE!$AV$14:$BC$989,SUMPRODUCT((ROW(DATABASE!$AV$14:$AV$989)) * (DATABASE!$AV$14:IG$989='Résultats observations'!$A35 ) * (DATABASE!$AW$14:$AW$989= BE$4))-ROW(DATABASE!$AV$14)+1,BE$5)),"")</f>
        <v>2.5867887377603154</v>
      </c>
      <c r="BF35" s="107" t="str" cm="1">
        <f t="array" ref="BF35">IFERROR(_xlfn.SINGLE(INDEX(DATABASE!$AV$14:$BC$989,SUMPRODUCT((ROW(DATABASE!$AV$14:$AV$989)) * (DATABASE!$AV$14:IH$989='Résultats observations'!$A35 ) * (DATABASE!$AW$14:$AW$989= BF$4))-ROW(DATABASE!$AV$14)+1,BF$5)),"")</f>
        <v/>
      </c>
      <c r="BG35" s="107" t="str" cm="1">
        <f t="array" ref="BG35">IFERROR(_xlfn.SINGLE(INDEX(DATABASE!$AV$14:$BC$989,SUMPRODUCT((ROW(DATABASE!$AV$14:$AV$989)) * (DATABASE!$AV$14:II$989='Résultats observations'!$A35 ) * (DATABASE!$AW$14:$AW$989= BG$4))-ROW(DATABASE!$AV$14)+1,BG$5)),"")</f>
        <v/>
      </c>
      <c r="BH35" s="107" t="str" cm="1">
        <f t="array" ref="BH35">IFERROR(_xlfn.SINGLE(INDEX(DATABASE!$AV$14:$BC$989,SUMPRODUCT((ROW(DATABASE!$AV$14:$AV$989)) * (DATABASE!$AV$14:IJ$989='Résultats observations'!$A35 ) * (DATABASE!$AW$14:$AW$989= BH$4))-ROW(DATABASE!$AV$14)+1,BH$5)),"")</f>
        <v/>
      </c>
      <c r="BI35" s="107" cm="1">
        <f t="array" ref="BI35">IFERROR(_xlfn.SINGLE(INDEX(DATABASE!$AV$14:$BC$989,SUMPRODUCT((ROW(DATABASE!$AV$14:$AV$989)) * (DATABASE!$AV$14:IK$989='Résultats observations'!$A35 ) * (DATABASE!$AW$14:$AW$989= BI$4))-ROW(DATABASE!$AV$14)+1,BI$5)),"")</f>
        <v>5.0840409445996348</v>
      </c>
      <c r="BJ35" s="107" cm="1">
        <f t="array" ref="BJ35">IFERROR(_xlfn.SINGLE(INDEX(DATABASE!$AV$14:$BC$989,SUMPRODUCT((ROW(DATABASE!$AV$14:$AV$989)) * (DATABASE!$AV$14:IL$989='Résultats observations'!$A35 ) * (DATABASE!$AW$14:$AW$989= BJ$4))-ROW(DATABASE!$AV$14)+1,BJ$5)),"")</f>
        <v>2.6726210364890814</v>
      </c>
      <c r="BK35" s="107" cm="1">
        <f t="array" ref="BK35">IFERROR(_xlfn.SINGLE(INDEX(DATABASE!$AV$14:$BC$989,SUMPRODUCT((ROW(DATABASE!$AV$14:$AV$989)) * (DATABASE!$AV$14:IM$989='Résultats observations'!$A35 ) * (DATABASE!$AW$14:$AW$989= BK$4))-ROW(DATABASE!$AV$14)+1,BK$5)),"")</f>
        <v>-0.72764040944599628</v>
      </c>
      <c r="BL35" s="105"/>
      <c r="BM35" s="106">
        <f t="shared" ref="BM35" si="497">IF(AW35="","",(AW35-AW$10)*1000)</f>
        <v>-3.3752344766622144</v>
      </c>
      <c r="BN35" s="106">
        <f t="shared" ref="BN35" si="498">IF(AX35="","",(AX35-AX$10)*1000)</f>
        <v>5.818744935648823</v>
      </c>
      <c r="BO35" s="106">
        <f t="shared" ref="BO35" si="499">IF(AY35="","",(AY35-AY$10)*1000)</f>
        <v>0.6337523447825788</v>
      </c>
      <c r="BP35" s="106">
        <f t="shared" ref="BP35" si="500">IF(AZ35="","",(AZ35-AZ$10)*1000)</f>
        <v>-0.39459136586383892</v>
      </c>
      <c r="BQ35" s="106">
        <f t="shared" ref="BQ35" si="501">IF(BA35="","",(BA35-BA$10)*1000)</f>
        <v>3.5674638076921283</v>
      </c>
      <c r="BR35" s="106">
        <f t="shared" ref="BR35" si="502">IF(BB35="","",(BB35-BB$10)*1000)</f>
        <v>-2.7960540863318784</v>
      </c>
      <c r="BS35" s="106">
        <f t="shared" ref="BS35" si="503">IF(BC35="","",(BC35-BC$10)*1000)</f>
        <v>1.0794401802822762</v>
      </c>
      <c r="BT35" s="106">
        <f t="shared" ref="BT35" si="504">IF(BD35="","",(BD35-BD$10)*1000)</f>
        <v>3.4824286665729351</v>
      </c>
      <c r="BU35" s="106">
        <f t="shared" ref="BU35" si="505">IF(BE35="","",(BE35-BE$10)*1000)</f>
        <v>-5.0607944017997397</v>
      </c>
      <c r="BV35" s="106" t="str">
        <f t="shared" ref="BV35" si="506">IF(BF35="","",(BF35-BF$10)*1000)</f>
        <v/>
      </c>
      <c r="BW35" s="106" t="str">
        <f t="shared" ref="BW35" si="507">IF(BG35="","",(BG35-BG$10)*1000)</f>
        <v/>
      </c>
      <c r="BX35" s="106" t="e">
        <f t="shared" ref="BX35" si="508">IF(BH35="","",(BH35-BH$18)*1000)+BX$18</f>
        <v>#VALUE!</v>
      </c>
      <c r="BY35" s="106">
        <f t="shared" ref="BY35" si="509">IF(BI35="","",(BI35-BI$10)*1000)</f>
        <v>-1.2678425089092116</v>
      </c>
      <c r="BZ35" s="106">
        <f t="shared" ref="BZ35" si="510">IF(BJ35="","",(BJ35-BJ$10)*1000)</f>
        <v>-7.1010615197377724</v>
      </c>
      <c r="CA35" s="106">
        <f t="shared" ref="CA35" si="511">IF(BK35="","",(BK35-BK$10)*1000)</f>
        <v>1.6126784250900528</v>
      </c>
    </row>
    <row r="36" spans="1:79" s="108" customFormat="1" ht="29.25" customHeight="1">
      <c r="A36" s="189">
        <v>45736</v>
      </c>
      <c r="B36" s="100">
        <f t="shared" ref="B36" si="512">A36-$A$10</f>
        <v>412</v>
      </c>
      <c r="C36" s="101">
        <v>14.2</v>
      </c>
      <c r="D36" s="101">
        <f t="shared" ref="D36" si="513">C36-$W$6</f>
        <v>9.11</v>
      </c>
      <c r="E36" s="102" cm="1">
        <f t="array" ref="E36">IFERROR(_xlfn.SINGLE(INDEX(DATABASE!$AV$14:$BC$989,SUMPRODUCT((ROW(DATABASE!$AV$14:$AV$989)) * (DATABASE!AG$14:$AV$989='Résultats observations'!$A36 ) * (DATABASE!$AW$14:$AW$989= E$4))-ROW(DATABASE!$AV$14)+1,E$5)),"")</f>
        <v>823058.96900000004</v>
      </c>
      <c r="F36" s="102" cm="1">
        <f t="array" ref="F36">IFERROR(_xlfn.SINGLE(INDEX(DATABASE!$AV$14:$BC$989,SUMPRODUCT((ROW(DATABASE!$AV$14:$AV$989)) * (DATABASE!AH$14:$AV$989='Résultats observations'!$A36 ) * (DATABASE!$AW$14:$AW$989= F$4))-ROW(DATABASE!$AV$14)+1,F$5)),"")</f>
        <v>1091426.6608</v>
      </c>
      <c r="G36" s="102" cm="1">
        <f t="array" ref="G36">IFERROR(_xlfn.SINGLE(INDEX(DATABASE!$AV$14:$BC$989,SUMPRODUCT((ROW(DATABASE!$AV$14:$AV$989)) * (DATABASE!AI$14:$AV$989='Résultats observations'!$A36 ) * (DATABASE!$AW$14:$AW$989= G$4))-ROW(DATABASE!$AV$14)+1,G$5)),"")</f>
        <v>-123.0605</v>
      </c>
      <c r="H36" s="102" cm="1">
        <f t="array" ref="H36">IFERROR(_xlfn.SINGLE(INDEX(DATABASE!$AV$14:$BC$989,SUMPRODUCT((ROW(DATABASE!$AV$14:$AV$989)) * (DATABASE!AJ$14:$AV$989='Résultats observations'!$A36 ) * (DATABASE!$AW$14:$AW$989= H$4))-ROW(DATABASE!$AV$14)+1,H$5)),"")</f>
        <v>823058.93019999994</v>
      </c>
      <c r="I36" s="102" cm="1">
        <f t="array" ref="I36">IFERROR(_xlfn.SINGLE(INDEX(DATABASE!$AV$14:$BC$989,SUMPRODUCT((ROW(DATABASE!$AV$14:$AV$989)) * (DATABASE!AK$14:$AV$989='Résultats observations'!$A36 ) * (DATABASE!$AW$14:$AW$989= I$4))-ROW(DATABASE!$AV$14)+1,I$5)),"")</f>
        <v>1091426.7439999999</v>
      </c>
      <c r="J36" s="102" cm="1">
        <f t="array" ref="J36">IFERROR(_xlfn.SINGLE(INDEX(DATABASE!$AV$14:$BC$989,SUMPRODUCT((ROW(DATABASE!$AV$14:$AV$989)) * (DATABASE!AL$14:$AV$989='Résultats observations'!$A36 ) * (DATABASE!$AW$14:$AW$989= J$4))-ROW(DATABASE!$AV$14)+1,J$5)),"")</f>
        <v>-121.1305</v>
      </c>
      <c r="K36" s="102" cm="1">
        <f t="array" ref="K36">IFERROR(_xlfn.SINGLE(INDEX(DATABASE!$AV$14:$BC$989,SUMPRODUCT((ROW(DATABASE!$AV$14:$AV$989)) * (DATABASE!AM$14:$AV$989='Résultats observations'!$A36 ) * (DATABASE!$AW$14:$AW$989= K$4))-ROW(DATABASE!$AV$14)+1,K$5)),"")</f>
        <v>823057.99860000005</v>
      </c>
      <c r="L36" s="102" cm="1">
        <f t="array" ref="L36">IFERROR(_xlfn.SINGLE(INDEX(DATABASE!$AV$14:$BC$989,SUMPRODUCT((ROW(DATABASE!$AV$14:$AV$989)) * (DATABASE!AN$14:$AV$989='Résultats observations'!$A36 ) * (DATABASE!$AW$14:$AW$989= L$4))-ROW(DATABASE!$AV$14)+1,L$5)),"")</f>
        <v>1091429.0833999999</v>
      </c>
      <c r="M36" s="102" cm="1">
        <f t="array" ref="M36">IFERROR(_xlfn.SINGLE(INDEX(DATABASE!$AV$14:$BC$989,SUMPRODUCT((ROW(DATABASE!$AV$14:$AV$989)) * (DATABASE!AO$14:$AV$989='Résultats observations'!$A36 ) * (DATABASE!$AW$14:$AW$989= M$4))-ROW(DATABASE!$AV$14)+1,M$5)),"")</f>
        <v>-119.6914</v>
      </c>
      <c r="N36" s="102" t="str" cm="1">
        <f t="array" ref="N36">IFERROR(_xlfn.SINGLE(INDEX(DATABASE!$AV$14:$BC$989,SUMPRODUCT((ROW(DATABASE!$AV$14:$AV$989)) * (DATABASE!AP$14:$AV$989='Résultats observations'!$A36 ) * (DATABASE!$AW$14:$AW$989= N$4))-ROW(DATABASE!$AV$14)+1,N$5)),"")</f>
        <v/>
      </c>
      <c r="O36" s="102" t="str" cm="1">
        <f t="array" ref="O36">IFERROR(_xlfn.SINGLE(INDEX(DATABASE!$AV$14:$BC$989,SUMPRODUCT((ROW(DATABASE!$AV$14:$AV$989)) * (DATABASE!AQ$14:$AV$989='Résultats observations'!$A36 ) * (DATABASE!$AW$14:$AW$989= O$4))-ROW(DATABASE!$AV$14)+1,O$5)),"")</f>
        <v/>
      </c>
      <c r="P36" s="102" t="str" cm="1">
        <f t="array" ref="P36">IFERROR(_xlfn.SINGLE(INDEX(DATABASE!$AV$14:$BC$989,SUMPRODUCT((ROW(DATABASE!$AV$14:$AV$989)) * (DATABASE!AR$14:$AV$989='Résultats observations'!$A36 ) * (DATABASE!$AW$14:$AW$989= P$4))-ROW(DATABASE!$AV$14)+1,P$5)),"")</f>
        <v/>
      </c>
      <c r="Q36" s="102" cm="1">
        <f t="array" ref="Q36">IFERROR(_xlfn.SINGLE(INDEX(DATABASE!$AV$14:$BC$989,SUMPRODUCT((ROW(DATABASE!$AV$14:$AV$989)) * (DATABASE!AS$14:$AV$989='Résultats observations'!$A36 ) * (DATABASE!$AW$14:$AW$989= Q$4))-ROW(DATABASE!$AV$14)+1,Q$5)),"")</f>
        <v>823056.71490000002</v>
      </c>
      <c r="R36" s="102" cm="1">
        <f t="array" ref="R36">IFERROR(_xlfn.SINGLE(INDEX(DATABASE!$AV$14:$BC$989,SUMPRODUCT((ROW(DATABASE!$AV$14:$AV$989)) * (DATABASE!AT$14:$AV$989='Résultats observations'!$A36 ) * (DATABASE!$AW$14:$AW$989= R$4))-ROW(DATABASE!$AV$14)+1,R$5)),"")</f>
        <v>1091431.4484000001</v>
      </c>
      <c r="S36" s="102" cm="1">
        <f t="array" ref="S36">IFERROR(_xlfn.SINGLE(INDEX(DATABASE!$AV$14:$BC$989,SUMPRODUCT((ROW(DATABASE!$AV$14:$AV$989)) * (DATABASE!AU$14:$AV$989='Résultats observations'!$A36 ) * (DATABASE!$AW$14:$AW$989= S$4))-ROW(DATABASE!$AV$14)+1,S$5)),"")</f>
        <v>-123.00369999999999</v>
      </c>
      <c r="T36" s="103">
        <f t="shared" si="2"/>
        <v>4.2616313460523507</v>
      </c>
      <c r="U36" s="103">
        <f t="shared" si="3"/>
        <v>2.9002895940780404</v>
      </c>
      <c r="V36" s="103" t="e">
        <f t="shared" si="4"/>
        <v>#VALUE!</v>
      </c>
      <c r="W36" s="103">
        <f t="shared" si="5"/>
        <v>4.2676037750864122</v>
      </c>
      <c r="X36" s="103" t="str">
        <f t="shared" si="6"/>
        <v/>
      </c>
      <c r="Y36" s="103">
        <f t="shared" si="7"/>
        <v>5.2920040449328152</v>
      </c>
      <c r="Z36" s="104">
        <f t="shared" ref="Z36" si="514">IF(T36="","",(T36-T$10)*1000)</f>
        <v>-6.647498544621655</v>
      </c>
      <c r="AA36" s="104">
        <f t="shared" ref="AA36" si="515">IF(U36="","",(U36-U$10)*1000)</f>
        <v>-1.5244458468863797</v>
      </c>
      <c r="AB36" s="104" t="e">
        <f t="shared" ref="AB36" si="516">IF(V36="","",(V36-V$10)*1000)</f>
        <v>#VALUE!</v>
      </c>
      <c r="AC36" s="104">
        <f t="shared" ref="AC36" si="517">IF(W36="","",(W36-W$10)*1000)</f>
        <v>-12.505325485924423</v>
      </c>
      <c r="AD36" s="104" t="str">
        <f t="shared" ref="AD36" si="518">IF(X36="","",(X36-X$10)*1000)</f>
        <v/>
      </c>
      <c r="AE36" s="104">
        <f t="shared" ref="AE36" si="519">IF(Y36="","",(Y36-Y$10)*1000)</f>
        <v>-13.535432216134069</v>
      </c>
      <c r="AF36" s="105"/>
      <c r="AG36" s="106">
        <f t="shared" ref="AG36" si="520">IF(E36="","",(E36-E$10)*1000)</f>
        <v>0.70000009145587683</v>
      </c>
      <c r="AH36" s="106">
        <f t="shared" ref="AH36" si="521">IF(F36="","",(F36-F$10)*1000)</f>
        <v>7.1000000461935997</v>
      </c>
      <c r="AI36" s="106">
        <f t="shared" ref="AI36" si="522">IF(G36="","",(G36-G$10)*1000)</f>
        <v>0.79999999999813554</v>
      </c>
      <c r="AJ36" s="106">
        <f t="shared" ref="AJ36" si="523">IF(H36="","",(H36-H$10)*1000)</f>
        <v>-1.3500000350177288</v>
      </c>
      <c r="AK36" s="106">
        <f t="shared" ref="AK36" si="524">IF(I36="","",(I36-I$10)*1000)</f>
        <v>3.599999938160181</v>
      </c>
      <c r="AL36" s="106">
        <f t="shared" ref="AL36" si="525">IF(J36="","",(J36-J$10)*1000)</f>
        <v>-2.899999999996794</v>
      </c>
      <c r="AM36" s="106">
        <f t="shared" ref="AM36" si="526">IF(K36="","",(K36-K$10)*1000)</f>
        <v>-1.5499999281018972</v>
      </c>
      <c r="AN36" s="106">
        <f t="shared" ref="AN36" si="527">IF(L36="","",(L36-L$10)*1000)</f>
        <v>3.1999999191612005</v>
      </c>
      <c r="AO36" s="106">
        <f t="shared" ref="AO36" si="528">IF(M36="","",(M36-M$10)*1000)</f>
        <v>-5.4499999999961801</v>
      </c>
      <c r="AP36" s="106" t="str">
        <f t="shared" ref="AP36" si="529">IF(N36="","",(N36-N$10)*1000)</f>
        <v/>
      </c>
      <c r="AQ36" s="106" t="str">
        <f t="shared" ref="AQ36" si="530">IF(O36="","",(O36-O$10)*1000)</f>
        <v/>
      </c>
      <c r="AR36" s="106" t="e">
        <f t="shared" ref="AR36" si="531">IF(P36="","",(P36-P$18)*1000)+AR$18</f>
        <v>#VALUE!</v>
      </c>
      <c r="AS36" s="106">
        <f t="shared" ref="AS36" si="532">IF(Q36="","",(Q36-Q$10)*1000)</f>
        <v>4.2499999981373549</v>
      </c>
      <c r="AT36" s="106">
        <f t="shared" ref="AT36" si="533">IF(R36="","",(R36-R$10)*1000)</f>
        <v>-6.1999999452382326</v>
      </c>
      <c r="AU36" s="106">
        <f t="shared" ref="AU36" si="534">IF(S36="","",(S36-S$10)*1000)</f>
        <v>1.6999999999995907</v>
      </c>
      <c r="AV36" s="105"/>
      <c r="AW36" s="107" cm="1">
        <f t="array" ref="AW36">IFERROR(_xlfn.SINGLE(INDEX(DATABASE!$AV$14:$BC$989,SUMPRODUCT((ROW(DATABASE!$AV$14:$AV$989)) * (DATABASE!$AV$14:HY$989='Résultats observations'!$A36 ) * (DATABASE!$AW$14:$AW$989= AW$4))-ROW(DATABASE!$AV$14)+1,AW$5)),"")</f>
        <v>5.0644117012997203</v>
      </c>
      <c r="AX36" s="107" cm="1">
        <f t="array" ref="AX36">IFERROR(_xlfn.SINGLE(INDEX(DATABASE!$AV$14:$BC$989,SUMPRODUCT((ROW(DATABASE!$AV$14:$AV$989)) * (DATABASE!$AV$14:HZ$989='Résultats observations'!$A36 ) * (DATABASE!$AW$14:$AW$989= AX$4))-ROW(DATABASE!$AV$14)+1,AX$5)),"")</f>
        <v>-2.6193557911487488</v>
      </c>
      <c r="AY36" s="107" cm="1">
        <f t="array" ref="AY36">IFERROR(_xlfn.SINGLE(INDEX(DATABASE!$AV$14:$BC$989,SUMPRODUCT((ROW(DATABASE!$AV$14:$AV$989)) * (DATABASE!$AV$14:IA$989='Résultats observations'!$A36 ) * (DATABASE!$AW$14:$AW$989= AY$4))-ROW(DATABASE!$AV$14)+1,AY$5)),"")</f>
        <v>-0.78414411701299969</v>
      </c>
      <c r="AZ36" s="107" cm="1">
        <f t="array" ref="AZ36">IFERROR(_xlfn.SINGLE(INDEX(DATABASE!$AV$14:$BC$989,SUMPRODUCT((ROW(DATABASE!$AV$14:$AV$989)) * (DATABASE!$AV$14:IB$989='Résultats observations'!$A36 ) * (DATABASE!$AW$14:$AW$989= AZ$4))-ROW(DATABASE!$AV$14)+1,AZ$5)),"")</f>
        <v>5.0644160648957932</v>
      </c>
      <c r="BA36" s="107" cm="1">
        <f t="array" ref="BA36">IFERROR(_xlfn.SINGLE(INDEX(DATABASE!$AV$14:$BC$989,SUMPRODUCT((ROW(DATABASE!$AV$14:$AV$989)) * (DATABASE!$AV$14:IC$989='Résultats observations'!$A36 ) * (DATABASE!$AW$14:$AW$989= BA$4))-ROW(DATABASE!$AV$14)+1,BA$5)),"")</f>
        <v>-2.5275533947344528</v>
      </c>
      <c r="BB36" s="107" cm="1">
        <f t="array" ref="BB36">IFERROR(_xlfn.SINGLE(INDEX(DATABASE!$AV$14:$BC$989,SUMPRODUCT((ROW(DATABASE!$AV$14:$AV$989)) * (DATABASE!$AV$14:ID$989='Résultats observations'!$A36 ) * (DATABASE!$AW$14:$AW$989= BB$4))-ROW(DATABASE!$AV$14)+1,BB$5)),"")</f>
        <v>1.145855839351043</v>
      </c>
      <c r="BC36" s="107" cm="1">
        <f t="array" ref="BC36">IFERROR(_xlfn.SINGLE(INDEX(DATABASE!$AV$14:$BC$989,SUMPRODUCT((ROW(DATABASE!$AV$14:$AV$989)) * (DATABASE!$AV$14:IE$989='Résultats observations'!$A36 ) * (DATABASE!$AW$14:$AW$989= BC$4))-ROW(DATABASE!$AV$14)+1,BC$5)),"")</f>
        <v>4.9200992389600566</v>
      </c>
      <c r="BD36" s="107" cm="1">
        <f t="array" ref="BD36">IFERROR(_xlfn.SINGLE(INDEX(DATABASE!$AV$14:$BC$989,SUMPRODUCT((ROW(DATABASE!$AV$14:$AV$989)) * (DATABASE!$AV$14:IF$989='Résultats observations'!$A36 ) * (DATABASE!$AW$14:$AW$989= BD$4))-ROW(DATABASE!$AV$14)+1,BD$5)),"")</f>
        <v>-1.3623488537943112E-2</v>
      </c>
      <c r="BE36" s="107" cm="1">
        <f t="array" ref="BE36">IFERROR(_xlfn.SINGLE(INDEX(DATABASE!$AV$14:$BC$989,SUMPRODUCT((ROW(DATABASE!$AV$14:$AV$989)) * (DATABASE!$AV$14:IG$989='Résultats observations'!$A36 ) * (DATABASE!$AW$14:$AW$989= BE$4))-ROW(DATABASE!$AV$14)+1,BE$5)),"")</f>
        <v>2.586399007610396</v>
      </c>
      <c r="BF36" s="107" t="str" cm="1">
        <f t="array" ref="BF36">IFERROR(_xlfn.SINGLE(INDEX(DATABASE!$AV$14:$BC$989,SUMPRODUCT((ROW(DATABASE!$AV$14:$AV$989)) * (DATABASE!$AV$14:IH$989='Résultats observations'!$A36 ) * (DATABASE!$AW$14:$AW$989= BF$4))-ROW(DATABASE!$AV$14)+1,BF$5)),"")</f>
        <v/>
      </c>
      <c r="BG36" s="107" t="str" cm="1">
        <f t="array" ref="BG36">IFERROR(_xlfn.SINGLE(INDEX(DATABASE!$AV$14:$BC$989,SUMPRODUCT((ROW(DATABASE!$AV$14:$AV$989)) * (DATABASE!$AV$14:II$989='Résultats observations'!$A36 ) * (DATABASE!$AW$14:$AW$989= BG$4))-ROW(DATABASE!$AV$14)+1,BG$5)),"")</f>
        <v/>
      </c>
      <c r="BH36" s="107" t="str" cm="1">
        <f t="array" ref="BH36">IFERROR(_xlfn.SINGLE(INDEX(DATABASE!$AV$14:$BC$989,SUMPRODUCT((ROW(DATABASE!$AV$14:$AV$989)) * (DATABASE!$AV$14:IJ$989='Résultats observations'!$A36 ) * (DATABASE!$AW$14:$AW$989= BH$4))-ROW(DATABASE!$AV$14)+1,BH$5)),"")</f>
        <v/>
      </c>
      <c r="BI36" s="107" cm="1">
        <f t="array" ref="BI36">IFERROR(_xlfn.SINGLE(INDEX(DATABASE!$AV$14:$BC$989,SUMPRODUCT((ROW(DATABASE!$AV$14:$AV$989)) * (DATABASE!$AV$14:IK$989='Résultats observations'!$A36 ) * (DATABASE!$AW$14:$AW$989= BI$4))-ROW(DATABASE!$AV$14)+1,BI$5)),"")</f>
        <v>5.0840770942250408</v>
      </c>
      <c r="BJ36" s="107" cm="1">
        <f t="array" ref="BJ36">IFERROR(_xlfn.SINGLE(INDEX(DATABASE!$AV$14:$BC$989,SUMPRODUCT((ROW(DATABASE!$AV$14:$AV$989)) * (DATABASE!$AV$14:IL$989='Résultats observations'!$A36 ) * (DATABASE!$AW$14:$AW$989= BJ$4))-ROW(DATABASE!$AV$14)+1,BJ$5)),"")</f>
        <v>2.672306881764781</v>
      </c>
      <c r="BK36" s="107" cm="1">
        <f t="array" ref="BK36">IFERROR(_xlfn.SINGLE(INDEX(DATABASE!$AV$14:$BC$989,SUMPRODUCT((ROW(DATABASE!$AV$14:$AV$989)) * (DATABASE!$AV$14:IM$989='Résultats observations'!$A36 ) * (DATABASE!$AW$14:$AW$989= BK$4))-ROW(DATABASE!$AV$14)+1,BK$5)),"")</f>
        <v>-0.72754077094224101</v>
      </c>
      <c r="BL36" s="105"/>
      <c r="BM36" s="106">
        <f t="shared" ref="BM36" si="535">IF(AW36="","",(AW36-AW$10)*1000)</f>
        <v>-3.6349075291690625</v>
      </c>
      <c r="BN36" s="106">
        <f t="shared" ref="BN36" si="536">IF(AX36="","",(AX36-AX$10)*1000)</f>
        <v>6.1390103468186297</v>
      </c>
      <c r="BO36" s="106">
        <f t="shared" ref="BO36" si="537">IF(AY36="","",(AY36-AY$10)*1000)</f>
        <v>0.83634907529983593</v>
      </c>
      <c r="BP36" s="106">
        <f t="shared" ref="BP36" si="538">IF(AZ36="","",(AZ36-AZ$10)*1000)</f>
        <v>-0.29784917789132948</v>
      </c>
      <c r="BQ36" s="106">
        <f t="shared" ref="BQ36" si="539">IF(BA36="","",(BA36-BA$10)*1000)</f>
        <v>3.8332473852520366</v>
      </c>
      <c r="BR36" s="106">
        <f t="shared" ref="BR36" si="540">IF(BB36="","",(BB36-BB$10)*1000)</f>
        <v>-2.8970215082182449</v>
      </c>
      <c r="BS36" s="106">
        <f t="shared" ref="BS36" si="541">IF(BC36="","",(BC36-BC$10)*1000)</f>
        <v>5.2455171814180801E-2</v>
      </c>
      <c r="BT36" s="106">
        <f t="shared" ref="BT36" si="542">IF(BD36="","",(BD36-BD$10)*1000)</f>
        <v>3.555242286357398</v>
      </c>
      <c r="BU36" s="106">
        <f t="shared" ref="BU36" si="543">IF(BE36="","",(BE36-BE$10)*1000)</f>
        <v>-5.450524551719127</v>
      </c>
      <c r="BV36" s="106" t="str">
        <f t="shared" ref="BV36" si="544">IF(BF36="","",(BF36-BF$10)*1000)</f>
        <v/>
      </c>
      <c r="BW36" s="106" t="str">
        <f t="shared" ref="BW36" si="545">IF(BG36="","",(BG36-BG$10)*1000)</f>
        <v/>
      </c>
      <c r="BX36" s="106" t="e">
        <f t="shared" ref="BX36" si="546">IF(BH36="","",(BH36-BH$18)*1000)+BX$18</f>
        <v>#VALUE!</v>
      </c>
      <c r="BY36" s="106">
        <f t="shared" ref="BY36" si="547">IF(BI36="","",(BI36-BI$10)*1000)</f>
        <v>-1.2316928835032215</v>
      </c>
      <c r="BZ36" s="106">
        <f t="shared" ref="BZ36" si="548">IF(BJ36="","",(BJ36-BJ$10)*1000)</f>
        <v>-7.4152162440381808</v>
      </c>
      <c r="CA36" s="106">
        <f t="shared" ref="CA36" si="549">IF(BK36="","",(BK36-BK$10)*1000)</f>
        <v>1.7123169288453255</v>
      </c>
    </row>
    <row r="37" spans="1:79" s="108" customFormat="1" ht="29.25" customHeight="1">
      <c r="A37" s="189">
        <v>45744</v>
      </c>
      <c r="B37" s="100">
        <f t="shared" ref="B37" si="550">A37-$A$10</f>
        <v>420</v>
      </c>
      <c r="C37" s="101">
        <v>15.8</v>
      </c>
      <c r="D37" s="101">
        <f t="shared" ref="D37" si="551">C37-$W$6</f>
        <v>10.71</v>
      </c>
      <c r="E37" s="102" cm="1">
        <f t="array" ref="E37">IFERROR(_xlfn.SINGLE(INDEX(DATABASE!$AV$14:$BC$989,SUMPRODUCT((ROW(DATABASE!$AV$14:$AV$989)) * (DATABASE!AG$14:$AV$989='Résultats observations'!$A37 ) * (DATABASE!$AW$14:$AW$989= E$4))-ROW(DATABASE!$AV$14)+1,E$5)),"")</f>
        <v>823058.96840000001</v>
      </c>
      <c r="F37" s="102" cm="1">
        <f t="array" ref="F37">IFERROR(_xlfn.SINGLE(INDEX(DATABASE!$AV$14:$BC$989,SUMPRODUCT((ROW(DATABASE!$AV$14:$AV$989)) * (DATABASE!AH$14:$AV$989='Résultats observations'!$A37 ) * (DATABASE!$AW$14:$AW$989= F$4))-ROW(DATABASE!$AV$14)+1,F$5)),"")</f>
        <v>1091426.6606999999</v>
      </c>
      <c r="G37" s="102" cm="1">
        <f t="array" ref="G37">IFERROR(_xlfn.SINGLE(INDEX(DATABASE!$AV$14:$BC$989,SUMPRODUCT((ROW(DATABASE!$AV$14:$AV$989)) * (DATABASE!AI$14:$AV$989='Résultats observations'!$A37 ) * (DATABASE!$AW$14:$AW$989= G$4))-ROW(DATABASE!$AV$14)+1,G$5)),"")</f>
        <v>-123.0611</v>
      </c>
      <c r="H37" s="102" cm="1">
        <f t="array" ref="H37">IFERROR(_xlfn.SINGLE(INDEX(DATABASE!$AV$14:$BC$989,SUMPRODUCT((ROW(DATABASE!$AV$14:$AV$989)) * (DATABASE!AJ$14:$AV$989='Résultats observations'!$A37 ) * (DATABASE!$AW$14:$AW$989= H$4))-ROW(DATABASE!$AV$14)+1,H$5)),"")</f>
        <v>823058.92949999997</v>
      </c>
      <c r="I37" s="102" cm="1">
        <f t="array" ref="I37">IFERROR(_xlfn.SINGLE(INDEX(DATABASE!$AV$14:$BC$989,SUMPRODUCT((ROW(DATABASE!$AV$14:$AV$989)) * (DATABASE!AK$14:$AV$989='Résultats observations'!$A37 ) * (DATABASE!$AW$14:$AW$989= I$4))-ROW(DATABASE!$AV$14)+1,I$5)),"")</f>
        <v>1091426.7437</v>
      </c>
      <c r="J37" s="102" cm="1">
        <f t="array" ref="J37">IFERROR(_xlfn.SINGLE(INDEX(DATABASE!$AV$14:$BC$989,SUMPRODUCT((ROW(DATABASE!$AV$14:$AV$989)) * (DATABASE!AL$14:$AV$989='Résultats observations'!$A37 ) * (DATABASE!$AW$14:$AW$989= J$4))-ROW(DATABASE!$AV$14)+1,J$5)),"")</f>
        <v>-121.1309</v>
      </c>
      <c r="K37" s="102" cm="1">
        <f t="array" ref="K37">IFERROR(_xlfn.SINGLE(INDEX(DATABASE!$AV$14:$BC$989,SUMPRODUCT((ROW(DATABASE!$AV$14:$AV$989)) * (DATABASE!AM$14:$AV$989='Résultats observations'!$A37 ) * (DATABASE!$AW$14:$AW$989= K$4))-ROW(DATABASE!$AV$14)+1,K$5)),"")</f>
        <v>823058.00069999998</v>
      </c>
      <c r="L37" s="102" cm="1">
        <f t="array" ref="L37">IFERROR(_xlfn.SINGLE(INDEX(DATABASE!$AV$14:$BC$989,SUMPRODUCT((ROW(DATABASE!$AV$14:$AV$989)) * (DATABASE!AN$14:$AV$989='Résultats observations'!$A37 ) * (DATABASE!$AW$14:$AW$989= L$4))-ROW(DATABASE!$AV$14)+1,L$5)),"")</f>
        <v>1091429.0815999999</v>
      </c>
      <c r="M37" s="102" cm="1">
        <f t="array" ref="M37">IFERROR(_xlfn.SINGLE(INDEX(DATABASE!$AV$14:$BC$989,SUMPRODUCT((ROW(DATABASE!$AV$14:$AV$989)) * (DATABASE!AO$14:$AV$989='Résultats observations'!$A37 ) * (DATABASE!$AW$14:$AW$989= M$4))-ROW(DATABASE!$AV$14)+1,M$5)),"")</f>
        <v>-119.6938</v>
      </c>
      <c r="N37" s="102" t="str" cm="1">
        <f t="array" ref="N37">IFERROR(_xlfn.SINGLE(INDEX(DATABASE!$AV$14:$BC$989,SUMPRODUCT((ROW(DATABASE!$AV$14:$AV$989)) * (DATABASE!AP$14:$AV$989='Résultats observations'!$A37 ) * (DATABASE!$AW$14:$AW$989= N$4))-ROW(DATABASE!$AV$14)+1,N$5)),"")</f>
        <v/>
      </c>
      <c r="O37" s="102" t="str" cm="1">
        <f t="array" ref="O37">IFERROR(_xlfn.SINGLE(INDEX(DATABASE!$AV$14:$BC$989,SUMPRODUCT((ROW(DATABASE!$AV$14:$AV$989)) * (DATABASE!AQ$14:$AV$989='Résultats observations'!$A37 ) * (DATABASE!$AW$14:$AW$989= O$4))-ROW(DATABASE!$AV$14)+1,O$5)),"")</f>
        <v/>
      </c>
      <c r="P37" s="102" t="str" cm="1">
        <f t="array" ref="P37">IFERROR(_xlfn.SINGLE(INDEX(DATABASE!$AV$14:$BC$989,SUMPRODUCT((ROW(DATABASE!$AV$14:$AV$989)) * (DATABASE!AR$14:$AV$989='Résultats observations'!$A37 ) * (DATABASE!$AW$14:$AW$989= P$4))-ROW(DATABASE!$AV$14)+1,P$5)),"")</f>
        <v/>
      </c>
      <c r="Q37" s="102" cm="1">
        <f t="array" ref="Q37">IFERROR(_xlfn.SINGLE(INDEX(DATABASE!$AV$14:$BC$989,SUMPRODUCT((ROW(DATABASE!$AV$14:$AV$989)) * (DATABASE!AS$14:$AV$989='Résultats observations'!$A37 ) * (DATABASE!$AW$14:$AW$989= Q$4))-ROW(DATABASE!$AV$14)+1,Q$5)),"")</f>
        <v>823056.71459999995</v>
      </c>
      <c r="R37" s="102" cm="1">
        <f t="array" ref="R37">IFERROR(_xlfn.SINGLE(INDEX(DATABASE!$AV$14:$BC$989,SUMPRODUCT((ROW(DATABASE!$AV$14:$AV$989)) * (DATABASE!AT$14:$AV$989='Résultats observations'!$A37 ) * (DATABASE!$AW$14:$AW$989= R$4))-ROW(DATABASE!$AV$14)+1,R$5)),"")</f>
        <v>1091431.4480000001</v>
      </c>
      <c r="S37" s="102" cm="1">
        <f t="array" ref="S37">IFERROR(_xlfn.SINGLE(INDEX(DATABASE!$AV$14:$BC$989,SUMPRODUCT((ROW(DATABASE!$AV$14:$AV$989)) * (DATABASE!AU$14:$AV$989='Résultats observations'!$A37 ) * (DATABASE!$AW$14:$AW$989= S$4))-ROW(DATABASE!$AV$14)+1,S$5)),"")</f>
        <v>-123.0043</v>
      </c>
      <c r="T37" s="103">
        <f t="shared" si="2"/>
        <v>4.2586276416470747</v>
      </c>
      <c r="U37" s="103">
        <f t="shared" si="3"/>
        <v>2.8971886820921147</v>
      </c>
      <c r="V37" s="103" t="e">
        <f t="shared" si="4"/>
        <v>#VALUE!</v>
      </c>
      <c r="W37" s="103">
        <f t="shared" si="5"/>
        <v>4.2677057561282448</v>
      </c>
      <c r="X37" s="103" t="str">
        <f t="shared" si="6"/>
        <v/>
      </c>
      <c r="Y37" s="103">
        <f t="shared" si="7"/>
        <v>5.291604857905039</v>
      </c>
      <c r="Z37" s="104">
        <f t="shared" ref="Z37" si="552">IF(T37="","",(T37-T$10)*1000)</f>
        <v>-9.6512029498976304</v>
      </c>
      <c r="AA37" s="104">
        <f t="shared" ref="AA37" si="553">IF(U37="","",(U37-U$10)*1000)</f>
        <v>-4.6253578328121492</v>
      </c>
      <c r="AB37" s="104" t="e">
        <f t="shared" ref="AB37" si="554">IF(V37="","",(V37-V$10)*1000)</f>
        <v>#VALUE!</v>
      </c>
      <c r="AC37" s="104">
        <f t="shared" ref="AC37" si="555">IF(W37="","",(W37-W$10)*1000)</f>
        <v>-12.403344444091857</v>
      </c>
      <c r="AD37" s="104" t="str">
        <f t="shared" ref="AD37" si="556">IF(X37="","",(X37-X$10)*1000)</f>
        <v/>
      </c>
      <c r="AE37" s="104">
        <f t="shared" ref="AE37" si="557">IF(Y37="","",(Y37-Y$10)*1000)</f>
        <v>-13.934619243910262</v>
      </c>
      <c r="AF37" s="105"/>
      <c r="AG37" s="106">
        <f t="shared" ref="AG37" si="558">IF(E37="","",(E37-E$10)*1000)</f>
        <v>0.10000006295740604</v>
      </c>
      <c r="AH37" s="106">
        <f t="shared" ref="AH37" si="559">IF(F37="","",(F37-F$10)*1000)</f>
        <v>6.9999999832361937</v>
      </c>
      <c r="AI37" s="106">
        <f t="shared" ref="AI37" si="560">IF(G37="","",(G37-G$10)*1000)</f>
        <v>0.20000000000663931</v>
      </c>
      <c r="AJ37" s="106">
        <f t="shared" ref="AJ37" si="561">IF(H37="","",(H37-H$10)*1000)</f>
        <v>-2.0500000100582838</v>
      </c>
      <c r="AK37" s="106">
        <f t="shared" ref="AK37" si="562">IF(I37="","",(I37-I$10)*1000)</f>
        <v>3.2999999821186066</v>
      </c>
      <c r="AL37" s="106">
        <f t="shared" ref="AL37" si="563">IF(J37="","",(J37-J$10)*1000)</f>
        <v>-3.2999999999958618</v>
      </c>
      <c r="AM37" s="106">
        <f t="shared" ref="AM37" si="564">IF(K37="","",(K37-K$10)*1000)</f>
        <v>0.54999999701976776</v>
      </c>
      <c r="AN37" s="106">
        <f t="shared" ref="AN37" si="565">IF(L37="","",(L37-L$10)*1000)</f>
        <v>1.39999995008111</v>
      </c>
      <c r="AO37" s="106">
        <f t="shared" ref="AO37" si="566">IF(M37="","",(M37-M$10)*1000)</f>
        <v>-7.8499999999905867</v>
      </c>
      <c r="AP37" s="106" t="str">
        <f t="shared" ref="AP37" si="567">IF(N37="","",(N37-N$10)*1000)</f>
        <v/>
      </c>
      <c r="AQ37" s="106" t="str">
        <f t="shared" ref="AQ37" si="568">IF(O37="","",(O37-O$10)*1000)</f>
        <v/>
      </c>
      <c r="AR37" s="106" t="e">
        <f t="shared" ref="AR37" si="569">IF(P37="","",(P37-P$18)*1000)+AR$18</f>
        <v>#VALUE!</v>
      </c>
      <c r="AS37" s="106">
        <f t="shared" ref="AS37" si="570">IF(Q37="","",(Q37-Q$10)*1000)</f>
        <v>3.9499999256804585</v>
      </c>
      <c r="AT37" s="106">
        <f t="shared" ref="AT37" si="571">IF(R37="","",(R37-R$10)*1000)</f>
        <v>-6.5999999642372131</v>
      </c>
      <c r="AU37" s="106">
        <f t="shared" ref="AU37" si="572">IF(S37="","",(S37-S$10)*1000)</f>
        <v>1.0999999999938836</v>
      </c>
      <c r="AV37" s="105"/>
      <c r="AW37" s="107" cm="1">
        <f t="array" ref="AW37">IFERROR(_xlfn.SINGLE(INDEX(DATABASE!$AV$14:$BC$989,SUMPRODUCT((ROW(DATABASE!$AV$14:$AV$989)) * (DATABASE!$AV$14:HY$989='Résultats observations'!$A37 ) * (DATABASE!$AW$14:$AW$989= AW$4))-ROW(DATABASE!$AV$14)+1,AW$5)),"")</f>
        <v>5.0649977504431565</v>
      </c>
      <c r="AX37" s="107" cm="1">
        <f t="array" ref="AX37">IFERROR(_xlfn.SINGLE(INDEX(DATABASE!$AV$14:$BC$989,SUMPRODUCT((ROW(DATABASE!$AV$14:$AV$989)) * (DATABASE!$AV$14:HZ$989='Résultats observations'!$A37 ) * (DATABASE!$AW$14:$AW$989= AX$4))-ROW(DATABASE!$AV$14)+1,AX$5)),"")</f>
        <v>-2.6191928603405232</v>
      </c>
      <c r="AY37" s="107" cm="1">
        <f t="array" ref="AY37">IFERROR(_xlfn.SINGLE(INDEX(DATABASE!$AV$14:$BC$989,SUMPRODUCT((ROW(DATABASE!$AV$14:$AV$989)) * (DATABASE!$AV$14:IA$989='Résultats observations'!$A37 ) * (DATABASE!$AW$14:$AW$989= AY$4))-ROW(DATABASE!$AV$14)+1,AY$5)),"")</f>
        <v>-0.78474997750443265</v>
      </c>
      <c r="AZ37" s="107" cm="1">
        <f t="array" ref="AZ37">IFERROR(_xlfn.SINGLE(INDEX(DATABASE!$AV$14:$BC$989,SUMPRODUCT((ROW(DATABASE!$AV$14:$AV$989)) * (DATABASE!$AV$14:IB$989='Résultats observations'!$A37 ) * (DATABASE!$AW$14:$AW$989= AZ$4))-ROW(DATABASE!$AV$14)+1,AZ$5)),"")</f>
        <v>5.0651772661648815</v>
      </c>
      <c r="BA37" s="107" cm="1">
        <f t="array" ref="BA37">IFERROR(_xlfn.SINGLE(INDEX(DATABASE!$AV$14:$BC$989,SUMPRODUCT((ROW(DATABASE!$AV$14:$AV$989)) * (DATABASE!$AV$14:IC$989='Résultats observations'!$A37 ) * (DATABASE!$AW$14:$AW$989= BA$4))-ROW(DATABASE!$AV$14)+1,BA$5)),"")</f>
        <v>-2.5275294663701726</v>
      </c>
      <c r="BB37" s="107" cm="1">
        <f t="array" ref="BB37">IFERROR(_xlfn.SINGLE(INDEX(DATABASE!$AV$14:$BC$989,SUMPRODUCT((ROW(DATABASE!$AV$14:$AV$989)) * (DATABASE!$AV$14:ID$989='Résultats observations'!$A37 ) * (DATABASE!$AW$14:$AW$989= BB$4))-ROW(DATABASE!$AV$14)+1,BB$5)),"")</f>
        <v>1.1454482273383491</v>
      </c>
      <c r="BC37" s="107" cm="1">
        <f t="array" ref="BC37">IFERROR(_xlfn.SINGLE(INDEX(DATABASE!$AV$14:$BC$989,SUMPRODUCT((ROW(DATABASE!$AV$14:$AV$989)) * (DATABASE!$AV$14:IE$989='Résultats observations'!$A37 ) * (DATABASE!$AW$14:$AW$989= BC$4))-ROW(DATABASE!$AV$14)+1,BC$5)),"")</f>
        <v>4.918956665453762</v>
      </c>
      <c r="BD37" s="107" cm="1">
        <f t="array" ref="BD37">IFERROR(_xlfn.SINGLE(INDEX(DATABASE!$AV$14:$BC$989,SUMPRODUCT((ROW(DATABASE!$AV$14:$AV$989)) * (DATABASE!$AV$14:IF$989='Résultats observations'!$A37 ) * (DATABASE!$AW$14:$AW$989= BD$4))-ROW(DATABASE!$AV$14)+1,BD$5)),"")</f>
        <v>-1.6142322664460414E-2</v>
      </c>
      <c r="BE37" s="107" cm="1">
        <f t="array" ref="BE37">IFERROR(_xlfn.SINGLE(INDEX(DATABASE!$AV$14:$BC$989,SUMPRODUCT((ROW(DATABASE!$AV$14:$AV$989)) * (DATABASE!$AV$14:IG$989='Résultats observations'!$A37 ) * (DATABASE!$AW$14:$AW$989= BE$4))-ROW(DATABASE!$AV$14)+1,BE$5)),"")</f>
        <v>2.584010433345469</v>
      </c>
      <c r="BF37" s="107" t="str" cm="1">
        <f t="array" ref="BF37">IFERROR(_xlfn.SINGLE(INDEX(DATABASE!$AV$14:$BC$989,SUMPRODUCT((ROW(DATABASE!$AV$14:$AV$989)) * (DATABASE!$AV$14:IH$989='Résultats observations'!$A37 ) * (DATABASE!$AW$14:$AW$989= BF$4))-ROW(DATABASE!$AV$14)+1,BF$5)),"")</f>
        <v/>
      </c>
      <c r="BG37" s="107" t="str" cm="1">
        <f t="array" ref="BG37">IFERROR(_xlfn.SINGLE(INDEX(DATABASE!$AV$14:$BC$989,SUMPRODUCT((ROW(DATABASE!$AV$14:$AV$989)) * (DATABASE!$AV$14:II$989='Résultats observations'!$A37 ) * (DATABASE!$AW$14:$AW$989= BG$4))-ROW(DATABASE!$AV$14)+1,BG$5)),"")</f>
        <v/>
      </c>
      <c r="BH37" s="107" t="str" cm="1">
        <f t="array" ref="BH37">IFERROR(_xlfn.SINGLE(INDEX(DATABASE!$AV$14:$BC$989,SUMPRODUCT((ROW(DATABASE!$AV$14:$AV$989)) * (DATABASE!$AV$14:IJ$989='Résultats observations'!$A37 ) * (DATABASE!$AW$14:$AW$989= BH$4))-ROW(DATABASE!$AV$14)+1,BH$5)),"")</f>
        <v/>
      </c>
      <c r="BI37" s="107" cm="1">
        <f t="array" ref="BI37">IFERROR(_xlfn.SINGLE(INDEX(DATABASE!$AV$14:$BC$989,SUMPRODUCT((ROW(DATABASE!$AV$14:$AV$989)) * (DATABASE!$AV$14:IK$989='Résultats observations'!$A37 ) * (DATABASE!$AW$14:$AW$989= BI$4))-ROW(DATABASE!$AV$14)+1,BI$5)),"")</f>
        <v>5.0845180301884705</v>
      </c>
      <c r="BJ37" s="107" cm="1">
        <f t="array" ref="BJ37">IFERROR(_xlfn.SINGLE(INDEX(DATABASE!$AV$14:$BC$989,SUMPRODUCT((ROW(DATABASE!$AV$14:$AV$989)) * (DATABASE!$AV$14:IL$989='Résultats observations'!$A37 ) * (DATABASE!$AW$14:$AW$989= BJ$4))-ROW(DATABASE!$AV$14)+1,BJ$5)),"")</f>
        <v>2.6720711371257546</v>
      </c>
      <c r="BK37" s="107" cm="1">
        <f t="array" ref="BK37">IFERROR(_xlfn.SINGLE(INDEX(DATABASE!$AV$14:$BC$989,SUMPRODUCT((ROW(DATABASE!$AV$14:$AV$989)) * (DATABASE!$AV$14:IM$989='Résultats observations'!$A37 ) * (DATABASE!$AW$14:$AW$989= BK$4))-ROW(DATABASE!$AV$14)+1,BK$5)),"")</f>
        <v>-0.7281451803018939</v>
      </c>
      <c r="BL37" s="105"/>
      <c r="BM37" s="106">
        <f t="shared" ref="BM37" si="573">IF(AW37="","",(AW37-AW$10)*1000)</f>
        <v>-3.0488583857328777</v>
      </c>
      <c r="BN37" s="106">
        <f t="shared" ref="BN37" si="574">IF(AX37="","",(AX37-AX$10)*1000)</f>
        <v>6.3019411550442328</v>
      </c>
      <c r="BO37" s="106">
        <f t="shared" ref="BO37" si="575">IF(AY37="","",(AY37-AY$10)*1000)</f>
        <v>0.23048858386687243</v>
      </c>
      <c r="BP37" s="106">
        <f t="shared" ref="BP37" si="576">IF(AZ37="","",(AZ37-AZ$10)*1000)</f>
        <v>0.46335209119696685</v>
      </c>
      <c r="BQ37" s="106">
        <f t="shared" ref="BQ37" si="577">IF(BA37="","",(BA37-BA$10)*1000)</f>
        <v>3.8571757495322601</v>
      </c>
      <c r="BR37" s="106">
        <f t="shared" ref="BR37" si="578">IF(BB37="","",(BB37-BB$10)*1000)</f>
        <v>-3.304633520912148</v>
      </c>
      <c r="BS37" s="106">
        <f t="shared" ref="BS37" si="579">IF(BC37="","",(BC37-BC$10)*1000)</f>
        <v>-1.0901183344804721</v>
      </c>
      <c r="BT37" s="106">
        <f t="shared" ref="BT37" si="580">IF(BD37="","",(BD37-BD$10)*1000)</f>
        <v>1.0364081598400952</v>
      </c>
      <c r="BU37" s="106">
        <f t="shared" ref="BU37" si="581">IF(BE37="","",(BE37-BE$10)*1000)</f>
        <v>-7.8390988166461284</v>
      </c>
      <c r="BV37" s="106" t="str">
        <f t="shared" ref="BV37" si="582">IF(BF37="","",(BF37-BF$10)*1000)</f>
        <v/>
      </c>
      <c r="BW37" s="106" t="str">
        <f t="shared" ref="BW37" si="583">IF(BG37="","",(BG37-BG$10)*1000)</f>
        <v/>
      </c>
      <c r="BX37" s="106" t="e">
        <f t="shared" ref="BX37" si="584">IF(BH37="","",(BH37-BH$18)*1000)+BX$18</f>
        <v>#VALUE!</v>
      </c>
      <c r="BY37" s="106">
        <f t="shared" ref="BY37" si="585">IF(BI37="","",(BI37-BI$10)*1000)</f>
        <v>-0.79075692007357645</v>
      </c>
      <c r="BZ37" s="106">
        <f t="shared" ref="BZ37" si="586">IF(BJ37="","",(BJ37-BJ$10)*1000)</f>
        <v>-7.6509608830646059</v>
      </c>
      <c r="CA37" s="106">
        <f t="shared" ref="CA37" si="587">IF(BK37="","",(BK37-BK$10)*1000)</f>
        <v>1.1079075691924345</v>
      </c>
    </row>
    <row r="38" spans="1:79" s="108" customFormat="1" ht="29.25" customHeight="1">
      <c r="A38" s="189">
        <v>45748</v>
      </c>
      <c r="B38" s="100">
        <f t="shared" ref="B38" si="588">A38-$A$10</f>
        <v>424</v>
      </c>
      <c r="C38" s="101">
        <v>15.8</v>
      </c>
      <c r="D38" s="101">
        <f t="shared" ref="D38" si="589">C38-$W$6</f>
        <v>10.71</v>
      </c>
      <c r="E38" s="102" cm="1">
        <f t="array" ref="E38">IFERROR(_xlfn.SINGLE(INDEX(DATABASE!$AV$14:$BC$989,SUMPRODUCT((ROW(DATABASE!$AV$14:$AV$989)) * (DATABASE!AG$14:$AV$989='Résultats observations'!$A38 ) * (DATABASE!$AW$14:$AW$989= E$4))-ROW(DATABASE!$AV$14)+1,E$5)),"")</f>
        <v>823058.96887500002</v>
      </c>
      <c r="F38" s="102" cm="1">
        <f t="array" ref="F38">IFERROR(_xlfn.SINGLE(INDEX(DATABASE!$AV$14:$BC$989,SUMPRODUCT((ROW(DATABASE!$AV$14:$AV$989)) * (DATABASE!AH$14:$AV$989='Résultats observations'!$A38 ) * (DATABASE!$AW$14:$AW$989= F$4))-ROW(DATABASE!$AV$14)+1,F$5)),"")</f>
        <v>1091426.661475</v>
      </c>
      <c r="G38" s="102" cm="1">
        <f t="array" ref="G38">IFERROR(_xlfn.SINGLE(INDEX(DATABASE!$AV$14:$BC$989,SUMPRODUCT((ROW(DATABASE!$AV$14:$AV$989)) * (DATABASE!AI$14:$AV$989='Résultats observations'!$A38 ) * (DATABASE!$AW$14:$AW$989= G$4))-ROW(DATABASE!$AV$14)+1,G$5)),"")</f>
        <v>-123.06075</v>
      </c>
      <c r="H38" s="102" cm="1">
        <f t="array" ref="H38">IFERROR(_xlfn.SINGLE(INDEX(DATABASE!$AV$14:$BC$989,SUMPRODUCT((ROW(DATABASE!$AV$14:$AV$989)) * (DATABASE!AJ$14:$AV$989='Résultats observations'!$A38 ) * (DATABASE!$AW$14:$AW$989= H$4))-ROW(DATABASE!$AV$14)+1,H$5)),"")</f>
        <v>823058.92984</v>
      </c>
      <c r="I38" s="102" cm="1">
        <f t="array" ref="I38">IFERROR(_xlfn.SINGLE(INDEX(DATABASE!$AV$14:$BC$989,SUMPRODUCT((ROW(DATABASE!$AV$14:$AV$989)) * (DATABASE!AK$14:$AV$989='Résultats observations'!$A38 ) * (DATABASE!$AW$14:$AW$989= I$4))-ROW(DATABASE!$AV$14)+1,I$5)),"")</f>
        <v>1091426.7442000001</v>
      </c>
      <c r="J38" s="102" cm="1">
        <f t="array" ref="J38">IFERROR(_xlfn.SINGLE(INDEX(DATABASE!$AV$14:$BC$989,SUMPRODUCT((ROW(DATABASE!$AV$14:$AV$989)) * (DATABASE!AL$14:$AV$989='Résultats observations'!$A38 ) * (DATABASE!$AW$14:$AW$989= J$4))-ROW(DATABASE!$AV$14)+1,J$5)),"")</f>
        <v>-121.13074</v>
      </c>
      <c r="K38" s="102" cm="1">
        <f t="array" ref="K38">IFERROR(_xlfn.SINGLE(INDEX(DATABASE!$AV$14:$BC$989,SUMPRODUCT((ROW(DATABASE!$AV$14:$AV$989)) * (DATABASE!AM$14:$AV$989='Résultats observations'!$A38 ) * (DATABASE!$AW$14:$AW$989= K$4))-ROW(DATABASE!$AV$14)+1,K$5)),"")</f>
        <v>823058.00402500003</v>
      </c>
      <c r="L38" s="102" cm="1">
        <f t="array" ref="L38">IFERROR(_xlfn.SINGLE(INDEX(DATABASE!$AV$14:$BC$989,SUMPRODUCT((ROW(DATABASE!$AV$14:$AV$989)) * (DATABASE!AN$14:$AV$989='Résultats observations'!$A38 ) * (DATABASE!$AW$14:$AW$989= L$4))-ROW(DATABASE!$AV$14)+1,L$5)),"")</f>
        <v>1091429.0798500001</v>
      </c>
      <c r="M38" s="102" cm="1">
        <f t="array" ref="M38">IFERROR(_xlfn.SINGLE(INDEX(DATABASE!$AV$14:$BC$989,SUMPRODUCT((ROW(DATABASE!$AV$14:$AV$989)) * (DATABASE!AO$14:$AV$989='Résultats observations'!$A38 ) * (DATABASE!$AW$14:$AW$989= M$4))-ROW(DATABASE!$AV$14)+1,M$5)),"")</f>
        <v>-119.69482499999999</v>
      </c>
      <c r="N38" s="102" t="str" cm="1">
        <f t="array" ref="N38">IFERROR(_xlfn.SINGLE(INDEX(DATABASE!$AV$14:$BC$989,SUMPRODUCT((ROW(DATABASE!$AV$14:$AV$989)) * (DATABASE!AP$14:$AV$989='Résultats observations'!$A38 ) * (DATABASE!$AW$14:$AW$989= N$4))-ROW(DATABASE!$AV$14)+1,N$5)),"")</f>
        <v/>
      </c>
      <c r="O38" s="102" t="str" cm="1">
        <f t="array" ref="O38">IFERROR(_xlfn.SINGLE(INDEX(DATABASE!$AV$14:$BC$989,SUMPRODUCT((ROW(DATABASE!$AV$14:$AV$989)) * (DATABASE!AQ$14:$AV$989='Résultats observations'!$A38 ) * (DATABASE!$AW$14:$AW$989= O$4))-ROW(DATABASE!$AV$14)+1,O$5)),"")</f>
        <v/>
      </c>
      <c r="P38" s="102" t="str" cm="1">
        <f t="array" ref="P38">IFERROR(_xlfn.SINGLE(INDEX(DATABASE!$AV$14:$BC$989,SUMPRODUCT((ROW(DATABASE!$AV$14:$AV$989)) * (DATABASE!AR$14:$AV$989='Résultats observations'!$A38 ) * (DATABASE!$AW$14:$AW$989= P$4))-ROW(DATABASE!$AV$14)+1,P$5)),"")</f>
        <v/>
      </c>
      <c r="Q38" s="102" cm="1">
        <f t="array" ref="Q38">IFERROR(_xlfn.SINGLE(INDEX(DATABASE!$AV$14:$BC$989,SUMPRODUCT((ROW(DATABASE!$AV$14:$AV$989)) * (DATABASE!AS$14:$AV$989='Résultats observations'!$A38 ) * (DATABASE!$AW$14:$AW$989= Q$4))-ROW(DATABASE!$AV$14)+1,Q$5)),"")</f>
        <v>823056.71569999994</v>
      </c>
      <c r="R38" s="102" cm="1">
        <f t="array" ref="R38">IFERROR(_xlfn.SINGLE(INDEX(DATABASE!$AV$14:$BC$989,SUMPRODUCT((ROW(DATABASE!$AV$14:$AV$989)) * (DATABASE!AT$14:$AV$989='Résultats observations'!$A38 ) * (DATABASE!$AW$14:$AW$989= R$4))-ROW(DATABASE!$AV$14)+1,R$5)),"")</f>
        <v>1091431.44735</v>
      </c>
      <c r="S38" s="102" cm="1">
        <f t="array" ref="S38">IFERROR(_xlfn.SINGLE(INDEX(DATABASE!$AV$14:$BC$989,SUMPRODUCT((ROW(DATABASE!$AV$14:$AV$989)) * (DATABASE!AU$14:$AV$989='Résultats observations'!$A38 ) * (DATABASE!$AW$14:$AW$989= S$4))-ROW(DATABASE!$AV$14)+1,S$5)),"")</f>
        <v>-123.003725</v>
      </c>
      <c r="T38" s="103">
        <f t="shared" si="2"/>
        <v>4.2554581738436994</v>
      </c>
      <c r="U38" s="103">
        <f t="shared" si="3"/>
        <v>2.8938289901086294</v>
      </c>
      <c r="V38" s="103" t="e">
        <f t="shared" si="4"/>
        <v>#VALUE!</v>
      </c>
      <c r="W38" s="103">
        <f t="shared" si="5"/>
        <v>4.2677460990017693</v>
      </c>
      <c r="X38" s="103" t="str">
        <f t="shared" si="6"/>
        <v/>
      </c>
      <c r="Y38" s="103">
        <f t="shared" si="7"/>
        <v>5.2900518851706186</v>
      </c>
      <c r="Z38" s="104">
        <f t="shared" ref="Z38" si="590">IF(T38="","",(T38-T$10)*1000)</f>
        <v>-12.820670753272978</v>
      </c>
      <c r="AA38" s="104">
        <f t="shared" ref="AA38" si="591">IF(U38="","",(U38-U$10)*1000)</f>
        <v>-7.9850498162974404</v>
      </c>
      <c r="AB38" s="104" t="e">
        <f t="shared" ref="AB38" si="592">IF(V38="","",(V38-V$10)*1000)</f>
        <v>#VALUE!</v>
      </c>
      <c r="AC38" s="104">
        <f t="shared" ref="AC38" si="593">IF(W38="","",(W38-W$10)*1000)</f>
        <v>-12.363001570567356</v>
      </c>
      <c r="AD38" s="104" t="str">
        <f t="shared" ref="AD38" si="594">IF(X38="","",(X38-X$10)*1000)</f>
        <v/>
      </c>
      <c r="AE38" s="104">
        <f t="shared" ref="AE38" si="595">IF(Y38="","",(Y38-Y$10)*1000)</f>
        <v>-15.487591978330606</v>
      </c>
      <c r="AF38" s="105"/>
      <c r="AG38" s="106">
        <f t="shared" ref="AG38" si="596">IF(E38="","",(E38-E$10)*1000)</f>
        <v>0.57500007096678019</v>
      </c>
      <c r="AH38" s="106">
        <f t="shared" ref="AH38" si="597">IF(F38="","",(F38-F$10)*1000)</f>
        <v>7.7750000637024641</v>
      </c>
      <c r="AI38" s="106">
        <f t="shared" ref="AI38" si="598">IF(G38="","",(G38-G$10)*1000)</f>
        <v>0.55000000000404725</v>
      </c>
      <c r="AJ38" s="106">
        <f t="shared" ref="AJ38" si="599">IF(H38="","",(H38-H$10)*1000)</f>
        <v>-1.7099999822676182</v>
      </c>
      <c r="AK38" s="106">
        <f t="shared" ref="AK38" si="600">IF(I38="","",(I38-I$10)*1000)</f>
        <v>3.8000000640749931</v>
      </c>
      <c r="AL38" s="106">
        <f t="shared" ref="AL38" si="601">IF(J38="","",(J38-J$10)*1000)</f>
        <v>-3.140000000001919</v>
      </c>
      <c r="AM38" s="106">
        <f t="shared" ref="AM38" si="602">IF(K38="","",(K38-K$10)*1000)</f>
        <v>3.8750000530853868</v>
      </c>
      <c r="AN38" s="106">
        <f t="shared" ref="AN38" si="603">IF(L38="","",(L38-L$10)*1000)</f>
        <v>-0.34999987110495567</v>
      </c>
      <c r="AO38" s="106">
        <f t="shared" ref="AO38" si="604">IF(M38="","",(M38-M$10)*1000)</f>
        <v>-8.8749999999890861</v>
      </c>
      <c r="AP38" s="106" t="str">
        <f t="shared" ref="AP38" si="605">IF(N38="","",(N38-N$10)*1000)</f>
        <v/>
      </c>
      <c r="AQ38" s="106" t="str">
        <f t="shared" ref="AQ38" si="606">IF(O38="","",(O38-O$10)*1000)</f>
        <v/>
      </c>
      <c r="AR38" s="106" t="e">
        <f t="shared" ref="AR38" si="607">IF(P38="","",(P38-P$18)*1000)+AR$18</f>
        <v>#VALUE!</v>
      </c>
      <c r="AS38" s="106">
        <f t="shared" ref="AS38" si="608">IF(Q38="","",(Q38-Q$10)*1000)</f>
        <v>5.0499999197199941</v>
      </c>
      <c r="AT38" s="106">
        <f t="shared" ref="AT38" si="609">IF(R38="","",(R38-R$10)*1000)</f>
        <v>-7.2500000242143869</v>
      </c>
      <c r="AU38" s="106">
        <f t="shared" ref="AU38" si="610">IF(S38="","",(S38-S$10)*1000)</f>
        <v>1.6749999999916554</v>
      </c>
      <c r="AV38" s="105"/>
      <c r="AW38" s="107" cm="1">
        <f t="array" ref="AW38">IFERROR(_xlfn.SINGLE(INDEX(DATABASE!$AV$14:$BC$989,SUMPRODUCT((ROW(DATABASE!$AV$14:$AV$989)) * (DATABASE!$AV$14:HY$989='Résultats observations'!$A38 ) * (DATABASE!$AW$14:$AW$989= AW$4))-ROW(DATABASE!$AV$14)+1,AW$5)),"")</f>
        <v>5.0642397330323901</v>
      </c>
      <c r="AX38" s="107" cm="1">
        <f t="array" ref="AX38">IFERROR(_xlfn.SINGLE(INDEX(DATABASE!$AV$14:$BC$989,SUMPRODUCT((ROW(DATABASE!$AV$14:$AV$989)) * (DATABASE!$AV$14:HZ$989='Résultats observations'!$A38 ) * (DATABASE!$AW$14:$AW$989= AX$4))-ROW(DATABASE!$AV$14)+1,AX$5)),"")</f>
        <v>-2.6186912033488388</v>
      </c>
      <c r="AY38" s="107" cm="1">
        <f t="array" ref="AY38">IFERROR(_xlfn.SINGLE(INDEX(DATABASE!$AV$14:$BC$989,SUMPRODUCT((ROW(DATABASE!$AV$14:$AV$989)) * (DATABASE!$AV$14:IA$989='Résultats observations'!$A38 ) * (DATABASE!$AW$14:$AW$989= AY$4))-ROW(DATABASE!$AV$14)+1,AY$5)),"")</f>
        <v>-0.78439239733032196</v>
      </c>
      <c r="AZ38" s="107" cm="1">
        <f t="array" ref="AZ38">IFERROR(_xlfn.SINGLE(INDEX(DATABASE!$AV$14:$BC$989,SUMPRODUCT((ROW(DATABASE!$AV$14:$AV$989)) * (DATABASE!$AV$14:IB$989='Résultats observations'!$A38 ) * (DATABASE!$AW$14:$AW$989= AZ$4))-ROW(DATABASE!$AV$14)+1,AZ$5)),"")</f>
        <v>5.0646578172508026</v>
      </c>
      <c r="BA38" s="107" cm="1">
        <f t="array" ref="BA38">IFERROR(_xlfn.SINGLE(INDEX(DATABASE!$AV$14:$BC$989,SUMPRODUCT((ROW(DATABASE!$AV$14:$AV$989)) * (DATABASE!$AV$14:IC$989='Résultats observations'!$A38 ) * (DATABASE!$AW$14:$AW$989= BA$4))-ROW(DATABASE!$AV$14)+1,BA$5)),"")</f>
        <v>-2.5272199943576794</v>
      </c>
      <c r="BB38" s="107" cm="1">
        <f t="array" ref="BB38">IFERROR(_xlfn.SINGLE(INDEX(DATABASE!$AV$14:$BC$989,SUMPRODUCT((ROW(DATABASE!$AV$14:$AV$989)) * (DATABASE!$AV$14:ID$989='Résultats observations'!$A38 ) * (DATABASE!$AW$14:$AW$989= BB$4))-ROW(DATABASE!$AV$14)+1,BB$5)),"")</f>
        <v>1.1456134218274912</v>
      </c>
      <c r="BC38" s="107" cm="1">
        <f t="array" ref="BC38">IFERROR(_xlfn.SINGLE(INDEX(DATABASE!$AV$14:$BC$989,SUMPRODUCT((ROW(DATABASE!$AV$14:$AV$989)) * (DATABASE!$AV$14:IE$989='Résultats observations'!$A38 ) * (DATABASE!$AW$14:$AW$989= BC$4))-ROW(DATABASE!$AV$14)+1,BC$5)),"")</f>
        <v>4.9166827262976005</v>
      </c>
      <c r="BD38" s="107" cm="1">
        <f t="array" ref="BD38">IFERROR(_xlfn.SINGLE(INDEX(DATABASE!$AV$14:$BC$989,SUMPRODUCT((ROW(DATABASE!$AV$14:$AV$989)) * (DATABASE!$AV$14:IF$989='Résultats observations'!$A38 ) * (DATABASE!$AW$14:$AW$989= BD$4))-ROW(DATABASE!$AV$14)+1,BD$5)),"")</f>
        <v>-1.9133530691509162E-2</v>
      </c>
      <c r="BE38" s="107" cm="1">
        <f t="array" ref="BE38">IFERROR(_xlfn.SINGLE(INDEX(DATABASE!$AV$14:$BC$989,SUMPRODUCT((ROW(DATABASE!$AV$14:$AV$989)) * (DATABASE!$AV$14:IG$989='Résultats observations'!$A38 ) * (DATABASE!$AW$14:$AW$989= BE$4))-ROW(DATABASE!$AV$14)+1,BE$5)),"")</f>
        <v>2.5830081727370242</v>
      </c>
      <c r="BF38" s="107" t="str" cm="1">
        <f t="array" ref="BF38">IFERROR(_xlfn.SINGLE(INDEX(DATABASE!$AV$14:$BC$989,SUMPRODUCT((ROW(DATABASE!$AV$14:$AV$989)) * (DATABASE!$AV$14:IH$989='Résultats observations'!$A38 ) * (DATABASE!$AW$14:$AW$989= BF$4))-ROW(DATABASE!$AV$14)+1,BF$5)),"")</f>
        <v/>
      </c>
      <c r="BG38" s="107" t="str" cm="1">
        <f t="array" ref="BG38">IFERROR(_xlfn.SINGLE(INDEX(DATABASE!$AV$14:$BC$989,SUMPRODUCT((ROW(DATABASE!$AV$14:$AV$989)) * (DATABASE!$AV$14:II$989='Résultats observations'!$A38 ) * (DATABASE!$AW$14:$AW$989= BG$4))-ROW(DATABASE!$AV$14)+1,BG$5)),"")</f>
        <v/>
      </c>
      <c r="BH38" s="107" t="str" cm="1">
        <f t="array" ref="BH38">IFERROR(_xlfn.SINGLE(INDEX(DATABASE!$AV$14:$BC$989,SUMPRODUCT((ROW(DATABASE!$AV$14:$AV$989)) * (DATABASE!$AV$14:IJ$989='Résultats observations'!$A38 ) * (DATABASE!$AW$14:$AW$989= BH$4))-ROW(DATABASE!$AV$14)+1,BH$5)),"")</f>
        <v/>
      </c>
      <c r="BI38" s="107" cm="1">
        <f t="array" ref="BI38">IFERROR(_xlfn.SINGLE(INDEX(DATABASE!$AV$14:$BC$989,SUMPRODUCT((ROW(DATABASE!$AV$14:$AV$989)) * (DATABASE!$AV$14:IK$989='Résultats observations'!$A38 ) * (DATABASE!$AW$14:$AW$989= BI$4))-ROW(DATABASE!$AV$14)+1,BI$5)),"")</f>
        <v>5.0837957767529298</v>
      </c>
      <c r="BJ38" s="107" cm="1">
        <f t="array" ref="BJ38">IFERROR(_xlfn.SINGLE(INDEX(DATABASE!$AV$14:$BC$989,SUMPRODUCT((ROW(DATABASE!$AV$14:$AV$989)) * (DATABASE!$AV$14:IL$989='Résultats observations'!$A38 ) * (DATABASE!$AW$14:$AW$989= BJ$4))-ROW(DATABASE!$AV$14)+1,BJ$5)),"")</f>
        <v>2.6710171684166841</v>
      </c>
      <c r="BK38" s="107" cm="1">
        <f t="array" ref="BK38">IFERROR(_xlfn.SINGLE(INDEX(DATABASE!$AV$14:$BC$989,SUMPRODUCT((ROW(DATABASE!$AV$14:$AV$989)) * (DATABASE!$AV$14:IM$989='Résultats observations'!$A38 ) * (DATABASE!$AW$14:$AW$989= BK$4))-ROW(DATABASE!$AV$14)+1,BK$5)),"")</f>
        <v>-0.72756295776753177</v>
      </c>
      <c r="BL38" s="105"/>
      <c r="BM38" s="106">
        <f t="shared" ref="BM38" si="611">IF(AW38="","",(AW38-AW$10)*1000)</f>
        <v>-3.8068757964992983</v>
      </c>
      <c r="BN38" s="106">
        <f t="shared" ref="BN38" si="612">IF(AX38="","",(AX38-AX$10)*1000)</f>
        <v>6.8035981467287066</v>
      </c>
      <c r="BO38" s="106">
        <f t="shared" ref="BO38" si="613">IF(AY38="","",(AY38-AY$10)*1000)</f>
        <v>0.58806875797756675</v>
      </c>
      <c r="BP38" s="106">
        <f t="shared" ref="BP38" si="614">IF(AZ38="","",(AZ38-AZ$10)*1000)</f>
        <v>-5.6096822881990249E-2</v>
      </c>
      <c r="BQ38" s="106">
        <f t="shared" ref="BQ38" si="615">IF(BA38="","",(BA38-BA$10)*1000)</f>
        <v>4.1666477620254661</v>
      </c>
      <c r="BR38" s="106">
        <f t="shared" ref="BR38" si="616">IF(BB38="","",(BB38-BB$10)*1000)</f>
        <v>-3.1394390317700527</v>
      </c>
      <c r="BS38" s="106">
        <f t="shared" ref="BS38" si="617">IF(BC38="","",(BC38-BC$10)*1000)</f>
        <v>-3.3640574906419474</v>
      </c>
      <c r="BT38" s="106">
        <f t="shared" ref="BT38" si="618">IF(BD38="","",(BD38-BD$10)*1000)</f>
        <v>-1.9547998672086522</v>
      </c>
      <c r="BU38" s="106">
        <f t="shared" ref="BU38" si="619">IF(BE38="","",(BE38-BE$10)*1000)</f>
        <v>-8.8413594250909</v>
      </c>
      <c r="BV38" s="106" t="str">
        <f t="shared" ref="BV38" si="620">IF(BF38="","",(BF38-BF$10)*1000)</f>
        <v/>
      </c>
      <c r="BW38" s="106" t="str">
        <f t="shared" ref="BW38" si="621">IF(BG38="","",(BG38-BG$10)*1000)</f>
        <v/>
      </c>
      <c r="BX38" s="106" t="e">
        <f t="shared" ref="BX38" si="622">IF(BH38="","",(BH38-BH$18)*1000)+BX$18</f>
        <v>#VALUE!</v>
      </c>
      <c r="BY38" s="106">
        <f t="shared" ref="BY38" si="623">IF(BI38="","",(BI38-BI$10)*1000)</f>
        <v>-1.5130103556142416</v>
      </c>
      <c r="BZ38" s="106">
        <f t="shared" ref="BZ38" si="624">IF(BJ38="","",(BJ38-BJ$10)*1000)</f>
        <v>-8.7049295921350911</v>
      </c>
      <c r="CA38" s="106">
        <f t="shared" ref="CA38" si="625">IF(BK38="","",(BK38-BK$10)*1000)</f>
        <v>1.6901301035545657</v>
      </c>
    </row>
    <row r="39" spans="1:79" s="108" customFormat="1" ht="29.25" customHeight="1">
      <c r="A39" s="189">
        <v>45751</v>
      </c>
      <c r="B39" s="100">
        <f t="shared" ref="B39" si="626">A39-$A$10</f>
        <v>427</v>
      </c>
      <c r="C39" s="101">
        <v>17.45</v>
      </c>
      <c r="D39" s="101">
        <f t="shared" ref="D39" si="627">C39-$W$6</f>
        <v>12.36</v>
      </c>
      <c r="E39" s="102" cm="1">
        <f t="array" ref="E39">IFERROR(_xlfn.SINGLE(INDEX(DATABASE!$AV$14:$BC$989,SUMPRODUCT((ROW(DATABASE!$AV$14:$AV$989)) * (DATABASE!AG$14:$AV$989='Résultats observations'!$A39 ) * (DATABASE!$AW$14:$AW$989= E$4))-ROW(DATABASE!$AV$14)+1,E$5)),"")</f>
        <v>823058.96889999998</v>
      </c>
      <c r="F39" s="102" cm="1">
        <f t="array" ref="F39">IFERROR(_xlfn.SINGLE(INDEX(DATABASE!$AV$14:$BC$989,SUMPRODUCT((ROW(DATABASE!$AV$14:$AV$989)) * (DATABASE!AH$14:$AV$989='Résultats observations'!$A39 ) * (DATABASE!$AW$14:$AW$989= F$4))-ROW(DATABASE!$AV$14)+1,F$5)),"")</f>
        <v>1091426.6625999999</v>
      </c>
      <c r="G39" s="102" cm="1">
        <f t="array" ref="G39">IFERROR(_xlfn.SINGLE(INDEX(DATABASE!$AV$14:$BC$989,SUMPRODUCT((ROW(DATABASE!$AV$14:$AV$989)) * (DATABASE!AI$14:$AV$989='Résultats observations'!$A39 ) * (DATABASE!$AW$14:$AW$989= G$4))-ROW(DATABASE!$AV$14)+1,G$5)),"")</f>
        <v>-123.0608</v>
      </c>
      <c r="H39" s="102" cm="1">
        <f t="array" ref="H39">IFERROR(_xlfn.SINGLE(INDEX(DATABASE!$AV$14:$BC$989,SUMPRODUCT((ROW(DATABASE!$AV$14:$AV$989)) * (DATABASE!AJ$14:$AV$989='Résultats observations'!$A39 ) * (DATABASE!$AW$14:$AW$989= H$4))-ROW(DATABASE!$AV$14)+1,H$5)),"")</f>
        <v>823058.92969999998</v>
      </c>
      <c r="I39" s="102" cm="1">
        <f t="array" ref="I39">IFERROR(_xlfn.SINGLE(INDEX(DATABASE!$AV$14:$BC$989,SUMPRODUCT((ROW(DATABASE!$AV$14:$AV$989)) * (DATABASE!AK$14:$AV$989='Résultats observations'!$A39 ) * (DATABASE!$AW$14:$AW$989= I$4))-ROW(DATABASE!$AV$14)+1,I$5)),"")</f>
        <v>1091426.7456</v>
      </c>
      <c r="J39" s="102" cm="1">
        <f t="array" ref="J39">IFERROR(_xlfn.SINGLE(INDEX(DATABASE!$AV$14:$BC$989,SUMPRODUCT((ROW(DATABASE!$AV$14:$AV$989)) * (DATABASE!AL$14:$AV$989='Résultats observations'!$A39 ) * (DATABASE!$AW$14:$AW$989= J$4))-ROW(DATABASE!$AV$14)+1,J$5)),"")</f>
        <v>-121.13039999999999</v>
      </c>
      <c r="K39" s="102" cm="1">
        <f t="array" ref="K39">IFERROR(_xlfn.SINGLE(INDEX(DATABASE!$AV$14:$BC$989,SUMPRODUCT((ROW(DATABASE!$AV$14:$AV$989)) * (DATABASE!AM$14:$AV$989='Résultats observations'!$A39 ) * (DATABASE!$AW$14:$AW$989= K$4))-ROW(DATABASE!$AV$14)+1,K$5)),"")</f>
        <v>823058.00650000002</v>
      </c>
      <c r="L39" s="102" cm="1">
        <f t="array" ref="L39">IFERROR(_xlfn.SINGLE(INDEX(DATABASE!$AV$14:$BC$989,SUMPRODUCT((ROW(DATABASE!$AV$14:$AV$989)) * (DATABASE!AN$14:$AV$989='Résultats observations'!$A39 ) * (DATABASE!$AW$14:$AW$989= L$4))-ROW(DATABASE!$AV$14)+1,L$5)),"")</f>
        <v>1091429.0789999999</v>
      </c>
      <c r="M39" s="102" cm="1">
        <f t="array" ref="M39">IFERROR(_xlfn.SINGLE(INDEX(DATABASE!$AV$14:$BC$989,SUMPRODUCT((ROW(DATABASE!$AV$14:$AV$989)) * (DATABASE!AO$14:$AV$989='Résultats observations'!$A39 ) * (DATABASE!$AW$14:$AW$989= M$4))-ROW(DATABASE!$AV$14)+1,M$5)),"")</f>
        <v>-119.6957</v>
      </c>
      <c r="N39" s="102" t="str" cm="1">
        <f t="array" ref="N39">IFERROR(_xlfn.SINGLE(INDEX(DATABASE!$AV$14:$BC$989,SUMPRODUCT((ROW(DATABASE!$AV$14:$AV$989)) * (DATABASE!AP$14:$AV$989='Résultats observations'!$A39 ) * (DATABASE!$AW$14:$AW$989= N$4))-ROW(DATABASE!$AV$14)+1,N$5)),"")</f>
        <v/>
      </c>
      <c r="O39" s="102" t="str" cm="1">
        <f t="array" ref="O39">IFERROR(_xlfn.SINGLE(INDEX(DATABASE!$AV$14:$BC$989,SUMPRODUCT((ROW(DATABASE!$AV$14:$AV$989)) * (DATABASE!AQ$14:$AV$989='Résultats observations'!$A39 ) * (DATABASE!$AW$14:$AW$989= O$4))-ROW(DATABASE!$AV$14)+1,O$5)),"")</f>
        <v/>
      </c>
      <c r="P39" s="102" t="str" cm="1">
        <f t="array" ref="P39">IFERROR(_xlfn.SINGLE(INDEX(DATABASE!$AV$14:$BC$989,SUMPRODUCT((ROW(DATABASE!$AV$14:$AV$989)) * (DATABASE!AR$14:$AV$989='Résultats observations'!$A39 ) * (DATABASE!$AW$14:$AW$989= P$4))-ROW(DATABASE!$AV$14)+1,P$5)),"")</f>
        <v/>
      </c>
      <c r="Q39" s="102" cm="1">
        <f t="array" ref="Q39">IFERROR(_xlfn.SINGLE(INDEX(DATABASE!$AV$14:$BC$989,SUMPRODUCT((ROW(DATABASE!$AV$14:$AV$989)) * (DATABASE!AS$14:$AV$989='Résultats observations'!$A39 ) * (DATABASE!$AW$14:$AW$989= Q$4))-ROW(DATABASE!$AV$14)+1,Q$5)),"")</f>
        <v>823056.71660000004</v>
      </c>
      <c r="R39" s="102" cm="1">
        <f t="array" ref="R39">IFERROR(_xlfn.SINGLE(INDEX(DATABASE!$AV$14:$BC$989,SUMPRODUCT((ROW(DATABASE!$AV$14:$AV$989)) * (DATABASE!AT$14:$AV$989='Résultats observations'!$A39 ) * (DATABASE!$AW$14:$AW$989= R$4))-ROW(DATABASE!$AV$14)+1,R$5)),"")</f>
        <v>1091431.4487000001</v>
      </c>
      <c r="S39" s="102" cm="1">
        <f t="array" ref="S39">IFERROR(_xlfn.SINGLE(INDEX(DATABASE!$AV$14:$BC$989,SUMPRODUCT((ROW(DATABASE!$AV$14:$AV$989)) * (DATABASE!AU$14:$AV$989='Résultats observations'!$A39 ) * (DATABASE!$AW$14:$AW$989= S$4))-ROW(DATABASE!$AV$14)+1,S$5)),"")</f>
        <v>-123.0038</v>
      </c>
      <c r="T39" s="103">
        <f t="shared" si="2"/>
        <v>4.2531283462720015</v>
      </c>
      <c r="U39" s="103">
        <f t="shared" si="3"/>
        <v>2.8905739723106185</v>
      </c>
      <c r="V39" s="103" t="e">
        <f t="shared" si="4"/>
        <v>#VALUE!</v>
      </c>
      <c r="W39" s="103">
        <f t="shared" si="5"/>
        <v>4.2688225203997021</v>
      </c>
      <c r="X39" s="103" t="str">
        <f t="shared" si="6"/>
        <v/>
      </c>
      <c r="Y39" s="103">
        <f t="shared" si="7"/>
        <v>5.2898825602346609</v>
      </c>
      <c r="Z39" s="104">
        <f t="shared" ref="Z39" si="628">IF(T39="","",(T39-T$10)*1000)</f>
        <v>-15.15049832497084</v>
      </c>
      <c r="AA39" s="104">
        <f t="shared" ref="AA39" si="629">IF(U39="","",(U39-U$10)*1000)</f>
        <v>-11.240067614308291</v>
      </c>
      <c r="AB39" s="104" t="e">
        <f t="shared" ref="AB39" si="630">IF(V39="","",(V39-V$10)*1000)</f>
        <v>#VALUE!</v>
      </c>
      <c r="AC39" s="104">
        <f t="shared" ref="AC39" si="631">IF(W39="","",(W39-W$10)*1000)</f>
        <v>-11.286580172634508</v>
      </c>
      <c r="AD39" s="104" t="str">
        <f t="shared" ref="AD39" si="632">IF(X39="","",(X39-X$10)*1000)</f>
        <v/>
      </c>
      <c r="AE39" s="104">
        <f t="shared" ref="AE39" si="633">IF(Y39="","",(Y39-Y$10)*1000)</f>
        <v>-15.656916914288388</v>
      </c>
      <c r="AF39" s="105"/>
      <c r="AG39" s="106">
        <f t="shared" ref="AG39" si="634">IF(E39="","",(E39-E$10)*1000)</f>
        <v>0.60000002849847078</v>
      </c>
      <c r="AH39" s="106">
        <f t="shared" ref="AH39" si="635">IF(F39="","",(F39-F$10)*1000)</f>
        <v>8.9000000152736902</v>
      </c>
      <c r="AI39" s="106">
        <f t="shared" ref="AI39" si="636">IF(G39="","",(G39-G$10)*1000)</f>
        <v>0.50000000000238742</v>
      </c>
      <c r="AJ39" s="106">
        <f t="shared" ref="AJ39" si="637">IF(H39="","",(H39-H$10)*1000)</f>
        <v>-1.8500000005587935</v>
      </c>
      <c r="AK39" s="106">
        <f t="shared" ref="AK39" si="638">IF(I39="","",(I39-I$10)*1000)</f>
        <v>5.2000000141561031</v>
      </c>
      <c r="AL39" s="106">
        <f t="shared" ref="AL39" si="639">IF(J39="","",(J39-J$10)*1000)</f>
        <v>-2.7999999999934744</v>
      </c>
      <c r="AM39" s="106">
        <f t="shared" ref="AM39" si="640">IF(K39="","",(K39-K$10)*1000)</f>
        <v>6.3500000396743417</v>
      </c>
      <c r="AN39" s="106">
        <f t="shared" ref="AN39" si="641">IF(L39="","",(L39-L$10)*1000)</f>
        <v>-1.2000000569969416</v>
      </c>
      <c r="AO39" s="106">
        <f t="shared" ref="AO39" si="642">IF(M39="","",(M39-M$10)*1000)</f>
        <v>-9.7499999999968168</v>
      </c>
      <c r="AP39" s="106" t="str">
        <f t="shared" ref="AP39" si="643">IF(N39="","",(N39-N$10)*1000)</f>
        <v/>
      </c>
      <c r="AQ39" s="106" t="str">
        <f t="shared" ref="AQ39" si="644">IF(O39="","",(O39-O$10)*1000)</f>
        <v/>
      </c>
      <c r="AR39" s="106" t="e">
        <f t="shared" ref="AR39" si="645">IF(P39="","",(P39-P$18)*1000)+AR$18</f>
        <v>#VALUE!</v>
      </c>
      <c r="AS39" s="106">
        <f t="shared" ref="AS39" si="646">IF(Q39="","",(Q39-Q$10)*1000)</f>
        <v>5.9500000206753612</v>
      </c>
      <c r="AT39" s="106">
        <f t="shared" ref="AT39" si="647">IF(R39="","",(R39-R$10)*1000)</f>
        <v>-5.8999999891966581</v>
      </c>
      <c r="AU39" s="106">
        <f t="shared" ref="AU39" si="648">IF(S39="","",(S39-S$10)*1000)</f>
        <v>1.5999999999962711</v>
      </c>
      <c r="AV39" s="105"/>
      <c r="AW39" s="107" cm="1">
        <f t="array" ref="AW39">IFERROR(_xlfn.SINGLE(INDEX(DATABASE!$AV$14:$BC$989,SUMPRODUCT((ROW(DATABASE!$AV$14:$AV$989)) * (DATABASE!$AV$14:HY$989='Résultats observations'!$A39 ) * (DATABASE!$AW$14:$AW$989= AW$4))-ROW(DATABASE!$AV$14)+1,AW$5)),"")</f>
        <v>5.0637416459078173</v>
      </c>
      <c r="AX39" s="107" cm="1">
        <f t="array" ref="AX39">IFERROR(_xlfn.SINGLE(INDEX(DATABASE!$AV$14:$BC$989,SUMPRODUCT((ROW(DATABASE!$AV$14:$AV$989)) * (DATABASE!$AV$14:HZ$989='Résultats observations'!$A39 ) * (DATABASE!$AW$14:$AW$989= AX$4))-ROW(DATABASE!$AV$14)+1,AX$5)),"")</f>
        <v>-2.6176821646452963</v>
      </c>
      <c r="AY39" s="107" cm="1">
        <f t="array" ref="AY39">IFERROR(_xlfn.SINGLE(INDEX(DATABASE!$AV$14:$BC$989,SUMPRODUCT((ROW(DATABASE!$AV$14:$AV$989)) * (DATABASE!$AV$14:IA$989='Résultats observations'!$A39 ) * (DATABASE!$AW$14:$AW$989= AY$4))-ROW(DATABASE!$AV$14)+1,AY$5)),"")</f>
        <v>-0.7844374164590846</v>
      </c>
      <c r="AZ39" s="107" cm="1">
        <f t="array" ref="AZ39">IFERROR(_xlfn.SINGLE(INDEX(DATABASE!$AV$14:$BC$989,SUMPRODUCT((ROW(DATABASE!$AV$14:$AV$989)) * (DATABASE!$AV$14:IB$989='Résultats observations'!$A39 ) * (DATABASE!$AW$14:$AW$989= AZ$4))-ROW(DATABASE!$AV$14)+1,AZ$5)),"")</f>
        <v>5.0641930559431731</v>
      </c>
      <c r="BA39" s="107" cm="1">
        <f t="array" ref="BA39">IFERROR(_xlfn.SINGLE(INDEX(DATABASE!$AV$14:$BC$989,SUMPRODUCT((ROW(DATABASE!$AV$14:$AV$989)) * (DATABASE!$AV$14:IC$989='Résultats observations'!$A39 ) * (DATABASE!$AW$14:$AW$989= BA$4))-ROW(DATABASE!$AV$14)+1,BA$5)),"")</f>
        <v>-2.5258919895413188</v>
      </c>
      <c r="BB39" s="107" cm="1">
        <f t="array" ref="BB39">IFERROR(_xlfn.SINGLE(INDEX(DATABASE!$AV$14:$BC$989,SUMPRODUCT((ROW(DATABASE!$AV$14:$AV$989)) * (DATABASE!$AV$14:ID$989='Résultats observations'!$A39 ) * (DATABASE!$AW$14:$AW$989= BB$4))-ROW(DATABASE!$AV$14)+1,BB$5)),"")</f>
        <v>1.1459580694405673</v>
      </c>
      <c r="BC39" s="107" cm="1">
        <f t="array" ref="BC39">IFERROR(_xlfn.SINGLE(INDEX(DATABASE!$AV$14:$BC$989,SUMPRODUCT((ROW(DATABASE!$AV$14:$AV$989)) * (DATABASE!$AV$14:IE$989='Résultats observations'!$A39 ) * (DATABASE!$AW$14:$AW$989= BC$4))-ROW(DATABASE!$AV$14)+1,BC$5)),"")</f>
        <v>4.9147988112367651</v>
      </c>
      <c r="BD39" s="107" cm="1">
        <f t="array" ref="BD39">IFERROR(_xlfn.SINGLE(INDEX(DATABASE!$AV$14:$BC$989,SUMPRODUCT((ROW(DATABASE!$AV$14:$AV$989)) * (DATABASE!$AV$14:IF$989='Résultats observations'!$A39 ) * (DATABASE!$AW$14:$AW$989= BD$4))-ROW(DATABASE!$AV$14)+1,BD$5)),"")</f>
        <v>-2.0949842694766019E-2</v>
      </c>
      <c r="BE39" s="107" cm="1">
        <f t="array" ref="BE39">IFERROR(_xlfn.SINGLE(INDEX(DATABASE!$AV$14:$BC$989,SUMPRODUCT((ROW(DATABASE!$AV$14:$AV$989)) * (DATABASE!$AV$14:IG$989='Résultats observations'!$A39 ) * (DATABASE!$AW$14:$AW$989= BE$4))-ROW(DATABASE!$AV$14)+1,BE$5)),"")</f>
        <v>2.5821520118876293</v>
      </c>
      <c r="BF39" s="107" t="str" cm="1">
        <f t="array" ref="BF39">IFERROR(_xlfn.SINGLE(INDEX(DATABASE!$AV$14:$BC$989,SUMPRODUCT((ROW(DATABASE!$AV$14:$AV$989)) * (DATABASE!$AV$14:IH$989='Résultats observations'!$A39 ) * (DATABASE!$AW$14:$AW$989= BF$4))-ROW(DATABASE!$AV$14)+1,BF$5)),"")</f>
        <v/>
      </c>
      <c r="BG39" s="107" t="str" cm="1">
        <f t="array" ref="BG39">IFERROR(_xlfn.SINGLE(INDEX(DATABASE!$AV$14:$BC$989,SUMPRODUCT((ROW(DATABASE!$AV$14:$AV$989)) * (DATABASE!$AV$14:II$989='Résultats observations'!$A39 ) * (DATABASE!$AW$14:$AW$989= BG$4))-ROW(DATABASE!$AV$14)+1,BG$5)),"")</f>
        <v/>
      </c>
      <c r="BH39" s="107" t="str" cm="1">
        <f t="array" ref="BH39">IFERROR(_xlfn.SINGLE(INDEX(DATABASE!$AV$14:$BC$989,SUMPRODUCT((ROW(DATABASE!$AV$14:$AV$989)) * (DATABASE!$AV$14:IJ$989='Résultats observations'!$A39 ) * (DATABASE!$AW$14:$AW$989= BH$4))-ROW(DATABASE!$AV$14)+1,BH$5)),"")</f>
        <v/>
      </c>
      <c r="BI39" s="107" cm="1">
        <f t="array" ref="BI39">IFERROR(_xlfn.SINGLE(INDEX(DATABASE!$AV$14:$BC$989,SUMPRODUCT((ROW(DATABASE!$AV$14:$AV$989)) * (DATABASE!$AV$14:IK$989='Résultats observations'!$A39 ) * (DATABASE!$AW$14:$AW$989= BI$4))-ROW(DATABASE!$AV$14)+1,BI$5)),"")</f>
        <v>5.082409578401343</v>
      </c>
      <c r="BJ39" s="107" cm="1">
        <f t="array" ref="BJ39">IFERROR(_xlfn.SINGLE(INDEX(DATABASE!$AV$14:$BC$989,SUMPRODUCT((ROW(DATABASE!$AV$14:$AV$989)) * (DATABASE!$AV$14:IL$989='Résultats observations'!$A39 ) * (DATABASE!$AW$14:$AW$989= BJ$4))-ROW(DATABASE!$AV$14)+1,BJ$5)),"")</f>
        <v>2.6718603495397688</v>
      </c>
      <c r="BK39" s="107" cm="1">
        <f t="array" ref="BK39">IFERROR(_xlfn.SINGLE(INDEX(DATABASE!$AV$14:$BC$989,SUMPRODUCT((ROW(DATABASE!$AV$14:$AV$989)) * (DATABASE!$AV$14:IM$989='Résultats observations'!$A39 ) * (DATABASE!$AW$14:$AW$989= BK$4))-ROW(DATABASE!$AV$14)+1,BK$5)),"")</f>
        <v>-0.72762409578400877</v>
      </c>
      <c r="BL39" s="105"/>
      <c r="BM39" s="106">
        <f t="shared" ref="BM39" si="649">IF(AW39="","",(AW39-AW$10)*1000)</f>
        <v>-4.3049629210720752</v>
      </c>
      <c r="BN39" s="106">
        <f t="shared" ref="BN39" si="650">IF(AX39="","",(AX39-AX$10)*1000)</f>
        <v>7.8126368502711152</v>
      </c>
      <c r="BO39" s="106">
        <f t="shared" ref="BO39" si="651">IF(AY39="","",(AY39-AY$10)*1000)</f>
        <v>0.54304962921492006</v>
      </c>
      <c r="BP39" s="106">
        <f t="shared" ref="BP39" si="652">IF(AZ39="","",(AZ39-AZ$10)*1000)</f>
        <v>-0.5208581305113924</v>
      </c>
      <c r="BQ39" s="106">
        <f t="shared" ref="BQ39" si="653">IF(BA39="","",(BA39-BA$10)*1000)</f>
        <v>5.4946525783861055</v>
      </c>
      <c r="BR39" s="106">
        <f t="shared" ref="BR39" si="654">IF(BB39="","",(BB39-BB$10)*1000)</f>
        <v>-2.794791418693876</v>
      </c>
      <c r="BS39" s="106">
        <f t="shared" ref="BS39" si="655">IF(BC39="","",(BC39-BC$10)*1000)</f>
        <v>-5.2479725514773534</v>
      </c>
      <c r="BT39" s="106">
        <f t="shared" ref="BT39" si="656">IF(BD39="","",(BD39-BD$10)*1000)</f>
        <v>-3.7711118704655093</v>
      </c>
      <c r="BU39" s="106">
        <f t="shared" ref="BU39" si="657">IF(BE39="","",(BE39-BE$10)*1000)</f>
        <v>-9.6975202744857825</v>
      </c>
      <c r="BV39" s="106" t="str">
        <f t="shared" ref="BV39" si="658">IF(BF39="","",(BF39-BF$10)*1000)</f>
        <v/>
      </c>
      <c r="BW39" s="106" t="str">
        <f t="shared" ref="BW39" si="659">IF(BG39="","",(BG39-BG$10)*1000)</f>
        <v/>
      </c>
      <c r="BX39" s="106" t="e">
        <f t="shared" ref="BX39" si="660">IF(BH39="","",(BH39-BH$18)*1000)+BX$18</f>
        <v>#VALUE!</v>
      </c>
      <c r="BY39" s="106">
        <f t="shared" ref="BY39" si="661">IF(BI39="","",(BI39-BI$10)*1000)</f>
        <v>-2.8992087072010619</v>
      </c>
      <c r="BZ39" s="106">
        <f t="shared" ref="BZ39" si="662">IF(BJ39="","",(BJ39-BJ$10)*1000)</f>
        <v>-7.8617484690504114</v>
      </c>
      <c r="CA39" s="106">
        <f t="shared" ref="CA39" si="663">IF(BK39="","",(BK39-BK$10)*1000)</f>
        <v>1.6289920870775632</v>
      </c>
    </row>
    <row r="40" spans="1:79" s="108" customFormat="1" ht="29.25" customHeight="1">
      <c r="A40" s="189">
        <v>45754</v>
      </c>
      <c r="B40" s="100">
        <f t="shared" ref="B40" si="664">A40-$A$10</f>
        <v>430</v>
      </c>
      <c r="C40" s="101">
        <v>18.3</v>
      </c>
      <c r="D40" s="101">
        <f t="shared" ref="D40" si="665">C40-$W$6</f>
        <v>13.21</v>
      </c>
      <c r="E40" s="102" cm="1">
        <f t="array" ref="E40">IFERROR(_xlfn.SINGLE(INDEX(DATABASE!$AV$14:$BC$989,SUMPRODUCT((ROW(DATABASE!$AV$14:$AV$989)) * (DATABASE!AG$14:$AV$989='Résultats observations'!$A40 ) * (DATABASE!$AW$14:$AW$989= E$4))-ROW(DATABASE!$AV$14)+1,E$5)),"")</f>
        <v>823058.96869999997</v>
      </c>
      <c r="F40" s="102" cm="1">
        <f t="array" ref="F40">IFERROR(_xlfn.SINGLE(INDEX(DATABASE!$AV$14:$BC$989,SUMPRODUCT((ROW(DATABASE!$AV$14:$AV$989)) * (DATABASE!AH$14:$AV$989='Résultats observations'!$A40 ) * (DATABASE!$AW$14:$AW$989= F$4))-ROW(DATABASE!$AV$14)+1,F$5)),"")</f>
        <v>1091426.6636999999</v>
      </c>
      <c r="G40" s="102" cm="1">
        <f t="array" ref="G40">IFERROR(_xlfn.SINGLE(INDEX(DATABASE!$AV$14:$BC$989,SUMPRODUCT((ROW(DATABASE!$AV$14:$AV$989)) * (DATABASE!AI$14:$AV$989='Résultats observations'!$A40 ) * (DATABASE!$AW$14:$AW$989= G$4))-ROW(DATABASE!$AV$14)+1,G$5)),"")</f>
        <v>-123.0608</v>
      </c>
      <c r="H40" s="102" cm="1">
        <f t="array" ref="H40">IFERROR(_xlfn.SINGLE(INDEX(DATABASE!$AV$14:$BC$989,SUMPRODUCT((ROW(DATABASE!$AV$14:$AV$989)) * (DATABASE!AJ$14:$AV$989='Résultats observations'!$A40 ) * (DATABASE!$AW$14:$AW$989= H$4))-ROW(DATABASE!$AV$14)+1,H$5)),"")</f>
        <v>823058.92929999996</v>
      </c>
      <c r="I40" s="102" cm="1">
        <f t="array" ref="I40">IFERROR(_xlfn.SINGLE(INDEX(DATABASE!$AV$14:$BC$989,SUMPRODUCT((ROW(DATABASE!$AV$14:$AV$989)) * (DATABASE!AK$14:$AV$989='Résultats observations'!$A40 ) * (DATABASE!$AW$14:$AW$989= I$4))-ROW(DATABASE!$AV$14)+1,I$5)),"")</f>
        <v>1091426.7463</v>
      </c>
      <c r="J40" s="102" cm="1">
        <f t="array" ref="J40">IFERROR(_xlfn.SINGLE(INDEX(DATABASE!$AV$14:$BC$989,SUMPRODUCT((ROW(DATABASE!$AV$14:$AV$989)) * (DATABASE!AL$14:$AV$989='Résultats observations'!$A40 ) * (DATABASE!$AW$14:$AW$989= J$4))-ROW(DATABASE!$AV$14)+1,J$5)),"")</f>
        <v>-121.1309</v>
      </c>
      <c r="K40" s="102" cm="1">
        <f t="array" ref="K40">IFERROR(_xlfn.SINGLE(INDEX(DATABASE!$AV$14:$BC$989,SUMPRODUCT((ROW(DATABASE!$AV$14:$AV$989)) * (DATABASE!AM$14:$AV$989='Résultats observations'!$A40 ) * (DATABASE!$AW$14:$AW$989= K$4))-ROW(DATABASE!$AV$14)+1,K$5)),"")</f>
        <v>823058.0074</v>
      </c>
      <c r="L40" s="102" cm="1">
        <f t="array" ref="L40">IFERROR(_xlfn.SINGLE(INDEX(DATABASE!$AV$14:$BC$989,SUMPRODUCT((ROW(DATABASE!$AV$14:$AV$989)) * (DATABASE!AN$14:$AV$989='Résultats observations'!$A40 ) * (DATABASE!$AW$14:$AW$989= L$4))-ROW(DATABASE!$AV$14)+1,L$5)),"")</f>
        <v>1091429.0785999999</v>
      </c>
      <c r="M40" s="102" cm="1">
        <f t="array" ref="M40">IFERROR(_xlfn.SINGLE(INDEX(DATABASE!$AV$14:$BC$989,SUMPRODUCT((ROW(DATABASE!$AV$14:$AV$989)) * (DATABASE!AO$14:$AV$989='Résultats observations'!$A40 ) * (DATABASE!$AW$14:$AW$989= M$4))-ROW(DATABASE!$AV$14)+1,M$5)),"")</f>
        <v>-119.69629999999999</v>
      </c>
      <c r="N40" s="102" t="str" cm="1">
        <f t="array" ref="N40">IFERROR(_xlfn.SINGLE(INDEX(DATABASE!$AV$14:$BC$989,SUMPRODUCT((ROW(DATABASE!$AV$14:$AV$989)) * (DATABASE!AP$14:$AV$989='Résultats observations'!$A40 ) * (DATABASE!$AW$14:$AW$989= N$4))-ROW(DATABASE!$AV$14)+1,N$5)),"")</f>
        <v/>
      </c>
      <c r="O40" s="102" t="str" cm="1">
        <f t="array" ref="O40">IFERROR(_xlfn.SINGLE(INDEX(DATABASE!$AV$14:$BC$989,SUMPRODUCT((ROW(DATABASE!$AV$14:$AV$989)) * (DATABASE!AQ$14:$AV$989='Résultats observations'!$A40 ) * (DATABASE!$AW$14:$AW$989= O$4))-ROW(DATABASE!$AV$14)+1,O$5)),"")</f>
        <v/>
      </c>
      <c r="P40" s="102" t="str" cm="1">
        <f t="array" ref="P40">IFERROR(_xlfn.SINGLE(INDEX(DATABASE!$AV$14:$BC$989,SUMPRODUCT((ROW(DATABASE!$AV$14:$AV$989)) * (DATABASE!AR$14:$AV$989='Résultats observations'!$A40 ) * (DATABASE!$AW$14:$AW$989= P$4))-ROW(DATABASE!$AV$14)+1,P$5)),"")</f>
        <v/>
      </c>
      <c r="Q40" s="102" cm="1">
        <f t="array" ref="Q40">IFERROR(_xlfn.SINGLE(INDEX(DATABASE!$AV$14:$BC$989,SUMPRODUCT((ROW(DATABASE!$AV$14:$AV$989)) * (DATABASE!AS$14:$AV$989='Résultats observations'!$A40 ) * (DATABASE!$AW$14:$AW$989= Q$4))-ROW(DATABASE!$AV$14)+1,Q$5)),"")</f>
        <v>823056.71649999998</v>
      </c>
      <c r="R40" s="102" cm="1">
        <f t="array" ref="R40">IFERROR(_xlfn.SINGLE(INDEX(DATABASE!$AV$14:$BC$989,SUMPRODUCT((ROW(DATABASE!$AV$14:$AV$989)) * (DATABASE!AT$14:$AV$989='Résultats observations'!$A40 ) * (DATABASE!$AW$14:$AW$989= R$4))-ROW(DATABASE!$AV$14)+1,R$5)),"")</f>
        <v>1091431.4487999999</v>
      </c>
      <c r="S40" s="102" cm="1">
        <f t="array" ref="S40">IFERROR(_xlfn.SINGLE(INDEX(DATABASE!$AV$14:$BC$989,SUMPRODUCT((ROW(DATABASE!$AV$14:$AV$989)) * (DATABASE!AU$14:$AV$989='Résultats observations'!$A40 ) * (DATABASE!$AW$14:$AW$989= S$4))-ROW(DATABASE!$AV$14)+1,S$5)),"")</f>
        <v>-123.00360000000001</v>
      </c>
      <c r="T40" s="103">
        <f t="shared" si="2"/>
        <v>4.2515526516569313</v>
      </c>
      <c r="U40" s="103">
        <f t="shared" si="3"/>
        <v>2.8892213586745563</v>
      </c>
      <c r="V40" s="103" t="e">
        <f t="shared" si="4"/>
        <v>#VALUE!</v>
      </c>
      <c r="W40" s="103">
        <f t="shared" si="5"/>
        <v>4.2687825126233943</v>
      </c>
      <c r="X40" s="103" t="str">
        <f t="shared" si="6"/>
        <v/>
      </c>
      <c r="Y40" s="103">
        <f t="shared" si="7"/>
        <v>5.2889373875804822</v>
      </c>
      <c r="Z40" s="104">
        <f t="shared" ref="Z40" si="666">IF(T40="","",(T40-T$10)*1000)</f>
        <v>-16.726192940041074</v>
      </c>
      <c r="AA40" s="104">
        <f t="shared" ref="AA40" si="667">IF(U40="","",(U40-U$10)*1000)</f>
        <v>-12.592681250370497</v>
      </c>
      <c r="AB40" s="104" t="e">
        <f t="shared" ref="AB40" si="668">IF(V40="","",(V40-V$10)*1000)</f>
        <v>#VALUE!</v>
      </c>
      <c r="AC40" s="104">
        <f t="shared" ref="AC40" si="669">IF(W40="","",(W40-W$10)*1000)</f>
        <v>-11.326587948942368</v>
      </c>
      <c r="AD40" s="104" t="str">
        <f t="shared" ref="AD40" si="670">IF(X40="","",(X40-X$10)*1000)</f>
        <v/>
      </c>
      <c r="AE40" s="104">
        <f t="shared" ref="AE40" si="671">IF(Y40="","",(Y40-Y$10)*1000)</f>
        <v>-16.602089568467093</v>
      </c>
      <c r="AF40" s="105"/>
      <c r="AG40" s="106">
        <f t="shared" ref="AG40" si="672">IF(E40="","",(E40-E$10)*1000)</f>
        <v>0.40000001899898052</v>
      </c>
      <c r="AH40" s="106">
        <f t="shared" ref="AH40" si="673">IF(F40="","",(F40-F$10)*1000)</f>
        <v>10.000000009313226</v>
      </c>
      <c r="AI40" s="106">
        <f t="shared" ref="AI40" si="674">IF(G40="","",(G40-G$10)*1000)</f>
        <v>0.50000000000238742</v>
      </c>
      <c r="AJ40" s="106">
        <f t="shared" ref="AJ40" si="675">IF(H40="","",(H40-H$10)*1000)</f>
        <v>-2.2500000195577741</v>
      </c>
      <c r="AK40" s="106">
        <f t="shared" ref="AK40" si="676">IF(I40="","",(I40-I$10)*1000)</f>
        <v>5.8999999891966581</v>
      </c>
      <c r="AL40" s="106">
        <f t="shared" ref="AL40" si="677">IF(J40="","",(J40-J$10)*1000)</f>
        <v>-3.2999999999958618</v>
      </c>
      <c r="AM40" s="106">
        <f t="shared" ref="AM40" si="678">IF(K40="","",(K40-K$10)*1000)</f>
        <v>7.2500000242143869</v>
      </c>
      <c r="AN40" s="106">
        <f t="shared" ref="AN40" si="679">IF(L40="","",(L40-L$10)*1000)</f>
        <v>-1.6000000759959221</v>
      </c>
      <c r="AO40" s="106">
        <f t="shared" ref="AO40" si="680">IF(M40="","",(M40-M$10)*1000)</f>
        <v>-10.349999999988313</v>
      </c>
      <c r="AP40" s="106" t="str">
        <f t="shared" ref="AP40" si="681">IF(N40="","",(N40-N$10)*1000)</f>
        <v/>
      </c>
      <c r="AQ40" s="106" t="str">
        <f t="shared" ref="AQ40" si="682">IF(O40="","",(O40-O$10)*1000)</f>
        <v/>
      </c>
      <c r="AR40" s="106" t="e">
        <f t="shared" ref="AR40" si="683">IF(P40="","",(P40-P$18)*1000)+AR$18</f>
        <v>#VALUE!</v>
      </c>
      <c r="AS40" s="106">
        <f t="shared" ref="AS40" si="684">IF(Q40="","",(Q40-Q$10)*1000)</f>
        <v>5.8499999577179551</v>
      </c>
      <c r="AT40" s="106">
        <f t="shared" ref="AT40" si="685">IF(R40="","",(R40-R$10)*1000)</f>
        <v>-5.8000001590698957</v>
      </c>
      <c r="AU40" s="106">
        <f t="shared" ref="AU40" si="686">IF(S40="","",(S40-S$10)*1000)</f>
        <v>1.7999999999886995</v>
      </c>
      <c r="AV40" s="105"/>
      <c r="AW40" s="107" cm="1">
        <f t="array" ref="AW40">IFERROR(_xlfn.SINGLE(INDEX(DATABASE!$AV$14:$BC$989,SUMPRODUCT((ROW(DATABASE!$AV$14:$AV$989)) * (DATABASE!$AV$14:HY$989='Résultats observations'!$A40 ) * (DATABASE!$AW$14:$AW$989= AW$4))-ROW(DATABASE!$AV$14)+1,AW$5)),"")</f>
        <v>5.063458044596536</v>
      </c>
      <c r="AX40" s="107" cm="1">
        <f t="array" ref="AX40">IFERROR(_xlfn.SINGLE(INDEX(DATABASE!$AV$14:$BC$989,SUMPRODUCT((ROW(DATABASE!$AV$14:$AV$989)) * (DATABASE!$AV$14:HZ$989='Résultats observations'!$A40 ) * (DATABASE!$AW$14:$AW$989= AX$4))-ROW(DATABASE!$AV$14)+1,AX$5)),"")</f>
        <v>-2.6166006979158354</v>
      </c>
      <c r="AY40" s="107" cm="1">
        <f t="array" ref="AY40">IFERROR(_xlfn.SINGLE(INDEX(DATABASE!$AV$14:$BC$989,SUMPRODUCT((ROW(DATABASE!$AV$14:$AV$989)) * (DATABASE!$AV$14:IA$989='Résultats observations'!$A40 ) * (DATABASE!$AW$14:$AW$989= AY$4))-ROW(DATABASE!$AV$14)+1,AY$5)),"")</f>
        <v>-0.78443458044596071</v>
      </c>
      <c r="AZ40" s="107" cm="1">
        <f t="array" ref="AZ40">IFERROR(_xlfn.SINGLE(INDEX(DATABASE!$AV$14:$BC$989,SUMPRODUCT((ROW(DATABASE!$AV$14:$AV$989)) * (DATABASE!$AV$14:IB$989='Résultats observations'!$A40 ) * (DATABASE!$AW$14:$AW$989= AZ$4))-ROW(DATABASE!$AV$14)+1,AZ$5)),"")</f>
        <v>5.0642597590871032</v>
      </c>
      <c r="BA40" s="107" cm="1">
        <f t="array" ref="BA40">IFERROR(_xlfn.SINGLE(INDEX(DATABASE!$AV$14:$BC$989,SUMPRODUCT((ROW(DATABASE!$AV$14:$AV$989)) * (DATABASE!$AV$14:IC$989='Résultats observations'!$A40 ) * (DATABASE!$AW$14:$AW$989= BA$4))-ROW(DATABASE!$AV$14)+1,BA$5)),"")</f>
        <v>-2.5250885278615556</v>
      </c>
      <c r="BB40" s="107" cm="1">
        <f t="array" ref="BB40">IFERROR(_xlfn.SINGLE(INDEX(DATABASE!$AV$14:$BC$989,SUMPRODUCT((ROW(DATABASE!$AV$14:$AV$989)) * (DATABASE!$AV$14:ID$989='Résultats observations'!$A40 ) * (DATABASE!$AW$14:$AW$989= BB$4))-ROW(DATABASE!$AV$14)+1,BB$5)),"")</f>
        <v>1.1454574024091357</v>
      </c>
      <c r="BC40" s="107" cm="1">
        <f t="array" ref="BC40">IFERROR(_xlfn.SINGLE(INDEX(DATABASE!$AV$14:$BC$989,SUMPRODUCT((ROW(DATABASE!$AV$14:$AV$989)) * (DATABASE!$AV$14:IE$989='Résultats observations'!$A40 ) * (DATABASE!$AW$14:$AW$989= BC$4))-ROW(DATABASE!$AV$14)+1,BC$5)),"")</f>
        <v>4.914152169734666</v>
      </c>
      <c r="BD40" s="107" cm="1">
        <f t="array" ref="BD40">IFERROR(_xlfn.SINGLE(INDEX(DATABASE!$AV$14:$BC$989,SUMPRODUCT((ROW(DATABASE!$AV$14:$AV$989)) * (DATABASE!$AV$14:IF$989='Résultats observations'!$A40 ) * (DATABASE!$AW$14:$AW$989= BD$4))-ROW(DATABASE!$AV$14)+1,BD$5)),"")</f>
        <v>-2.1692711966666712E-2</v>
      </c>
      <c r="BE40" s="107" cm="1">
        <f t="array" ref="BE40">IFERROR(_xlfn.SINGLE(INDEX(DATABASE!$AV$14:$BC$989,SUMPRODUCT((ROW(DATABASE!$AV$14:$AV$989)) * (DATABASE!$AV$14:IG$989='Résultats observations'!$A40 ) * (DATABASE!$AW$14:$AW$989= BE$4))-ROW(DATABASE!$AV$14)+1,BE$5)),"")</f>
        <v>2.5815584783026537</v>
      </c>
      <c r="BF40" s="107" t="str" cm="1">
        <f t="array" ref="BF40">IFERROR(_xlfn.SINGLE(INDEX(DATABASE!$AV$14:$BC$989,SUMPRODUCT((ROW(DATABASE!$AV$14:$AV$989)) * (DATABASE!$AV$14:IH$989='Résultats observations'!$A40 ) * (DATABASE!$AW$14:$AW$989= BF$4))-ROW(DATABASE!$AV$14)+1,BF$5)),"")</f>
        <v/>
      </c>
      <c r="BG40" s="107" t="str" cm="1">
        <f t="array" ref="BG40">IFERROR(_xlfn.SINGLE(INDEX(DATABASE!$AV$14:$BC$989,SUMPRODUCT((ROW(DATABASE!$AV$14:$AV$989)) * (DATABASE!$AV$14:II$989='Résultats observations'!$A40 ) * (DATABASE!$AW$14:$AW$989= BG$4))-ROW(DATABASE!$AV$14)+1,BG$5)),"")</f>
        <v/>
      </c>
      <c r="BH40" s="107" t="str" cm="1">
        <f t="array" ref="BH40">IFERROR(_xlfn.SINGLE(INDEX(DATABASE!$AV$14:$BC$989,SUMPRODUCT((ROW(DATABASE!$AV$14:$AV$989)) * (DATABASE!$AV$14:IJ$989='Résultats observations'!$A40 ) * (DATABASE!$AW$14:$AW$989= BH$4))-ROW(DATABASE!$AV$14)+1,BH$5)),"")</f>
        <v/>
      </c>
      <c r="BI40" s="107" cm="1">
        <f t="array" ref="BI40">IFERROR(_xlfn.SINGLE(INDEX(DATABASE!$AV$14:$BC$989,SUMPRODUCT((ROW(DATABASE!$AV$14:$AV$989)) * (DATABASE!$AV$14:IK$989='Résultats observations'!$A40 ) * (DATABASE!$AW$14:$AW$989= BI$4))-ROW(DATABASE!$AV$14)+1,BI$5)),"")</f>
        <v>5.0824579495972815</v>
      </c>
      <c r="BJ40" s="107" cm="1">
        <f t="array" ref="BJ40">IFERROR(_xlfn.SINGLE(INDEX(DATABASE!$AV$14:$BC$989,SUMPRODUCT((ROW(DATABASE!$AV$14:$AV$989)) * (DATABASE!$AV$14:IL$989='Résultats observations'!$A40 ) * (DATABASE!$AW$14:$AW$989= BJ$4))-ROW(DATABASE!$AV$14)+1,BJ$5)),"")</f>
        <v>2.6719932412476388</v>
      </c>
      <c r="BK40" s="107" cm="1">
        <f t="array" ref="BK40">IFERROR(_xlfn.SINGLE(INDEX(DATABASE!$AV$14:$BC$989,SUMPRODUCT((ROW(DATABASE!$AV$14:$AV$989)) * (DATABASE!$AV$14:IM$989='Résultats observations'!$A40 ) * (DATABASE!$AW$14:$AW$989= BK$4))-ROW(DATABASE!$AV$14)+1,BK$5)),"")</f>
        <v>-0.72742457949597394</v>
      </c>
      <c r="BL40" s="105"/>
      <c r="BM40" s="106">
        <f t="shared" ref="BM40" si="687">IF(AW40="","",(AW40-AW$10)*1000)</f>
        <v>-4.5885642323533204</v>
      </c>
      <c r="BN40" s="106">
        <f t="shared" ref="BN40" si="688">IF(AX40="","",(AX40-AX$10)*1000)</f>
        <v>8.8941035797320822</v>
      </c>
      <c r="BO40" s="106">
        <f t="shared" ref="BO40" si="689">IF(AY40="","",(AY40-AY$10)*1000)</f>
        <v>0.54588564233881698</v>
      </c>
      <c r="BP40" s="106">
        <f t="shared" ref="BP40" si="690">IF(AZ40="","",(AZ40-AZ$10)*1000)</f>
        <v>-0.45415498658130105</v>
      </c>
      <c r="BQ40" s="106">
        <f t="shared" ref="BQ40" si="691">IF(BA40="","",(BA40-BA$10)*1000)</f>
        <v>6.298114258149301</v>
      </c>
      <c r="BR40" s="106">
        <f t="shared" ref="BR40" si="692">IF(BB40="","",(BB40-BB$10)*1000)</f>
        <v>-3.2954584501254658</v>
      </c>
      <c r="BS40" s="106">
        <f t="shared" ref="BS40" si="693">IF(BC40="","",(BC40-BC$10)*1000)</f>
        <v>-5.8946140535764968</v>
      </c>
      <c r="BT40" s="106">
        <f t="shared" ref="BT40" si="694">IF(BD40="","",(BD40-BD$10)*1000)</f>
        <v>-4.5139811423662026</v>
      </c>
      <c r="BU40" s="106">
        <f t="shared" ref="BU40" si="695">IF(BE40="","",(BE40-BE$10)*1000)</f>
        <v>-10.291053859461385</v>
      </c>
      <c r="BV40" s="106" t="str">
        <f t="shared" ref="BV40" si="696">IF(BF40="","",(BF40-BF$10)*1000)</f>
        <v/>
      </c>
      <c r="BW40" s="106" t="str">
        <f t="shared" ref="BW40" si="697">IF(BG40="","",(BG40-BG$10)*1000)</f>
        <v/>
      </c>
      <c r="BX40" s="106" t="e">
        <f t="shared" ref="BX40" si="698">IF(BH40="","",(BH40-BH$18)*1000)+BX$18</f>
        <v>#VALUE!</v>
      </c>
      <c r="BY40" s="106">
        <f t="shared" ref="BY40" si="699">IF(BI40="","",(BI40-BI$10)*1000)</f>
        <v>-2.8508375112625828</v>
      </c>
      <c r="BZ40" s="106">
        <f t="shared" ref="BZ40" si="700">IF(BJ40="","",(BJ40-BJ$10)*1000)</f>
        <v>-7.7288567611804027</v>
      </c>
      <c r="CA40" s="106">
        <f t="shared" ref="CA40" si="701">IF(BK40="","",(BK40-BK$10)*1000)</f>
        <v>1.8285083751123921</v>
      </c>
    </row>
    <row r="41" spans="1:79" s="108" customFormat="1" ht="29.25" customHeight="1">
      <c r="A41" s="189">
        <v>45756</v>
      </c>
      <c r="B41" s="100">
        <f t="shared" ref="B41" si="702">A41-$A$10</f>
        <v>432</v>
      </c>
      <c r="C41" s="192">
        <v>19.43</v>
      </c>
      <c r="D41" s="101">
        <f t="shared" ref="D41" si="703">C41-$W$6</f>
        <v>14.34</v>
      </c>
      <c r="E41" s="102" cm="1">
        <f t="array" ref="E41">IFERROR(_xlfn.SINGLE(INDEX(DATABASE!$AV$14:$BC$989,SUMPRODUCT((ROW(DATABASE!$AV$14:$AV$989)) * (DATABASE!AG$14:$AV$989='Résultats observations'!$A41 ) * (DATABASE!$AW$14:$AW$989= E$4))-ROW(DATABASE!$AV$14)+1,E$5)),"")</f>
        <v>823058.96860000002</v>
      </c>
      <c r="F41" s="102" cm="1">
        <f t="array" ref="F41">IFERROR(_xlfn.SINGLE(INDEX(DATABASE!$AV$14:$BC$989,SUMPRODUCT((ROW(DATABASE!$AV$14:$AV$989)) * (DATABASE!AH$14:$AV$989='Résultats observations'!$A41 ) * (DATABASE!$AW$14:$AW$989= F$4))-ROW(DATABASE!$AV$14)+1,F$5)),"")</f>
        <v>1091426.6631</v>
      </c>
      <c r="G41" s="102" cm="1">
        <f t="array" ref="G41">IFERROR(_xlfn.SINGLE(INDEX(DATABASE!$AV$14:$BC$989,SUMPRODUCT((ROW(DATABASE!$AV$14:$AV$989)) * (DATABASE!AI$14:$AV$989='Résultats observations'!$A41 ) * (DATABASE!$AW$14:$AW$989= G$4))-ROW(DATABASE!$AV$14)+1,G$5)),"")</f>
        <v>-123.0607</v>
      </c>
      <c r="H41" s="102" t="str" cm="1">
        <f t="array" ref="H41">IFERROR(_xlfn.SINGLE(INDEX(DATABASE!$AV$14:$BC$989,SUMPRODUCT((ROW(DATABASE!$AV$14:$AV$989)) * (DATABASE!AJ$14:$AV$989='Résultats observations'!$A41 ) * (DATABASE!$AW$14:$AW$989= H$4))-ROW(DATABASE!$AV$14)+1,H$5)),"")</f>
        <v/>
      </c>
      <c r="I41" s="102" t="str" cm="1">
        <f t="array" ref="I41">IFERROR(_xlfn.SINGLE(INDEX(DATABASE!$AV$14:$BC$989,SUMPRODUCT((ROW(DATABASE!$AV$14:$AV$989)) * (DATABASE!AK$14:$AV$989='Résultats observations'!$A41 ) * (DATABASE!$AW$14:$AW$989= I$4))-ROW(DATABASE!$AV$14)+1,I$5)),"")</f>
        <v/>
      </c>
      <c r="J41" s="102" t="str" cm="1">
        <f t="array" ref="J41">IFERROR(_xlfn.SINGLE(INDEX(DATABASE!$AV$14:$BC$989,SUMPRODUCT((ROW(DATABASE!$AV$14:$AV$989)) * (DATABASE!AL$14:$AV$989='Résultats observations'!$A41 ) * (DATABASE!$AW$14:$AW$989= J$4))-ROW(DATABASE!$AV$14)+1,J$5)),"")</f>
        <v/>
      </c>
      <c r="K41" s="102" cm="1">
        <f t="array" ref="K41">IFERROR(_xlfn.SINGLE(INDEX(DATABASE!$AV$14:$BC$989,SUMPRODUCT((ROW(DATABASE!$AV$14:$AV$989)) * (DATABASE!AM$14:$AV$989='Résultats observations'!$A41 ) * (DATABASE!$AW$14:$AW$989= K$4))-ROW(DATABASE!$AV$14)+1,K$5)),"")</f>
        <v>823058.00809999998</v>
      </c>
      <c r="L41" s="102" cm="1">
        <f t="array" ref="L41">IFERROR(_xlfn.SINGLE(INDEX(DATABASE!$AV$14:$BC$989,SUMPRODUCT((ROW(DATABASE!$AV$14:$AV$989)) * (DATABASE!AN$14:$AV$989='Résultats observations'!$A41 ) * (DATABASE!$AW$14:$AW$989= L$4))-ROW(DATABASE!$AV$14)+1,L$5)),"")</f>
        <v>1091429.0771999999</v>
      </c>
      <c r="M41" s="102" cm="1">
        <f t="array" ref="M41">IFERROR(_xlfn.SINGLE(INDEX(DATABASE!$AV$14:$BC$989,SUMPRODUCT((ROW(DATABASE!$AV$14:$AV$989)) * (DATABASE!AO$14:$AV$989='Résultats observations'!$A41 ) * (DATABASE!$AW$14:$AW$989= M$4))-ROW(DATABASE!$AV$14)+1,M$5)),"")</f>
        <v>-119.697</v>
      </c>
      <c r="N41" s="102" t="str" cm="1">
        <f t="array" ref="N41">IFERROR(_xlfn.SINGLE(INDEX(DATABASE!$AV$14:$BC$989,SUMPRODUCT((ROW(DATABASE!$AV$14:$AV$989)) * (DATABASE!AP$14:$AV$989='Résultats observations'!$A41 ) * (DATABASE!$AW$14:$AW$989= N$4))-ROW(DATABASE!$AV$14)+1,N$5)),"")</f>
        <v/>
      </c>
      <c r="O41" s="102" t="str" cm="1">
        <f t="array" ref="O41">IFERROR(_xlfn.SINGLE(INDEX(DATABASE!$AV$14:$BC$989,SUMPRODUCT((ROW(DATABASE!$AV$14:$AV$989)) * (DATABASE!AQ$14:$AV$989='Résultats observations'!$A41 ) * (DATABASE!$AW$14:$AW$989= O$4))-ROW(DATABASE!$AV$14)+1,O$5)),"")</f>
        <v/>
      </c>
      <c r="P41" s="102" t="str" cm="1">
        <f t="array" ref="P41">IFERROR(_xlfn.SINGLE(INDEX(DATABASE!$AV$14:$BC$989,SUMPRODUCT((ROW(DATABASE!$AV$14:$AV$989)) * (DATABASE!AR$14:$AV$989='Résultats observations'!$A41 ) * (DATABASE!$AW$14:$AW$989= P$4))-ROW(DATABASE!$AV$14)+1,P$5)),"")</f>
        <v/>
      </c>
      <c r="Q41" s="102" cm="1">
        <f t="array" ref="Q41">IFERROR(_xlfn.SINGLE(INDEX(DATABASE!$AV$14:$BC$989,SUMPRODUCT((ROW(DATABASE!$AV$14:$AV$989)) * (DATABASE!AS$14:$AV$989='Résultats observations'!$A41 ) * (DATABASE!$AW$14:$AW$989= Q$4))-ROW(DATABASE!$AV$14)+1,Q$5)),"")</f>
        <v>823056.71649999998</v>
      </c>
      <c r="R41" s="102" cm="1">
        <f t="array" ref="R41">IFERROR(_xlfn.SINGLE(INDEX(DATABASE!$AV$14:$BC$989,SUMPRODUCT((ROW(DATABASE!$AV$14:$AV$989)) * (DATABASE!AT$14:$AV$989='Résultats observations'!$A41 ) * (DATABASE!$AW$14:$AW$989= R$4))-ROW(DATABASE!$AV$14)+1,R$5)),"")</f>
        <v>1091431.4479</v>
      </c>
      <c r="S41" s="102" cm="1">
        <f t="array" ref="S41">IFERROR(_xlfn.SINGLE(INDEX(DATABASE!$AV$14:$BC$989,SUMPRODUCT((ROW(DATABASE!$AV$14:$AV$989)) * (DATABASE!AU$14:$AV$989='Résultats observations'!$A41 ) * (DATABASE!$AW$14:$AW$989= S$4))-ROW(DATABASE!$AV$14)+1,S$5)),"")</f>
        <v>-123.00360000000001</v>
      </c>
      <c r="T41" s="103">
        <f t="shared" si="2"/>
        <v>4.250284313993391</v>
      </c>
      <c r="U41" s="103" t="e">
        <f t="shared" si="3"/>
        <v>#VALUE!</v>
      </c>
      <c r="V41" s="103" t="e">
        <f t="shared" si="4"/>
        <v>#VALUE!</v>
      </c>
      <c r="W41" s="103">
        <f t="shared" si="5"/>
        <v>4.268729624888814</v>
      </c>
      <c r="X41" s="103" t="str">
        <f t="shared" si="6"/>
        <v/>
      </c>
      <c r="Y41" s="103">
        <f t="shared" si="7"/>
        <v>5.28862230268036</v>
      </c>
      <c r="Z41" s="104">
        <f t="shared" ref="Z41" si="704">IF(T41="","",(T41-T$10)*1000)</f>
        <v>-17.99453060358136</v>
      </c>
      <c r="AA41" s="104" t="e">
        <f t="shared" ref="AA41" si="705">IF(U41="","",(U41-U$10)*1000)</f>
        <v>#VALUE!</v>
      </c>
      <c r="AB41" s="104" t="e">
        <f t="shared" ref="AB41" si="706">IF(V41="","",(V41-V$10)*1000)</f>
        <v>#VALUE!</v>
      </c>
      <c r="AC41" s="104">
        <f t="shared" ref="AC41" si="707">IF(W41="","",(W41-W$10)*1000)</f>
        <v>-11.3794756835226</v>
      </c>
      <c r="AD41" s="104" t="str">
        <f t="shared" ref="AD41" si="708">IF(X41="","",(X41-X$10)*1000)</f>
        <v/>
      </c>
      <c r="AE41" s="104">
        <f t="shared" ref="AE41" si="709">IF(Y41="","",(Y41-Y$10)*1000)</f>
        <v>-16.917174468589202</v>
      </c>
      <c r="AF41" s="105"/>
      <c r="AG41" s="106">
        <f t="shared" ref="AG41" si="710">IF(E41="","",(E41-E$10)*1000)</f>
        <v>0.30000007245689631</v>
      </c>
      <c r="AH41" s="106">
        <f t="shared" ref="AH41" si="711">IF(F41="","",(F41-F$10)*1000)</f>
        <v>9.4000000972300768</v>
      </c>
      <c r="AI41" s="106">
        <f t="shared" ref="AI41" si="712">IF(G41="","",(G41-G$10)*1000)</f>
        <v>0.60000000000570708</v>
      </c>
      <c r="AJ41" s="106" t="str">
        <f t="shared" ref="AJ41" si="713">IF(H41="","",(H41-H$10)*1000)</f>
        <v/>
      </c>
      <c r="AK41" s="106" t="str">
        <f t="shared" ref="AK41" si="714">IF(I41="","",(I41-I$10)*1000)</f>
        <v/>
      </c>
      <c r="AL41" s="106" t="str">
        <f t="shared" ref="AL41" si="715">IF(J41="","",(J41-J$10)*1000)</f>
        <v/>
      </c>
      <c r="AM41" s="106">
        <f t="shared" ref="AM41" si="716">IF(K41="","",(K41-K$10)*1000)</f>
        <v>7.9499999992549419</v>
      </c>
      <c r="AN41" s="106">
        <f t="shared" ref="AN41" si="717">IF(L41="","",(L41-L$10)*1000)</f>
        <v>-3.0000000260770321</v>
      </c>
      <c r="AO41" s="106">
        <f t="shared" ref="AO41" si="718">IF(M41="","",(M41-M$10)*1000)</f>
        <v>-11.04999999999734</v>
      </c>
      <c r="AP41" s="106" t="str">
        <f t="shared" ref="AP41" si="719">IF(N41="","",(N41-N$10)*1000)</f>
        <v/>
      </c>
      <c r="AQ41" s="106" t="str">
        <f t="shared" ref="AQ41" si="720">IF(O41="","",(O41-O$10)*1000)</f>
        <v/>
      </c>
      <c r="AR41" s="106" t="e">
        <f t="shared" ref="AR41" si="721">IF(P41="","",(P41-P$18)*1000)+AR$18</f>
        <v>#VALUE!</v>
      </c>
      <c r="AS41" s="106">
        <f t="shared" ref="AS41" si="722">IF(Q41="","",(Q41-Q$10)*1000)</f>
        <v>5.8499999577179551</v>
      </c>
      <c r="AT41" s="106">
        <f t="shared" ref="AT41" si="723">IF(R41="","",(R41-R$10)*1000)</f>
        <v>-6.7000000271946192</v>
      </c>
      <c r="AU41" s="106">
        <f t="shared" ref="AU41" si="724">IF(S41="","",(S41-S$10)*1000)</f>
        <v>1.7999999999886995</v>
      </c>
      <c r="AV41" s="105"/>
      <c r="AW41" s="107" cm="1">
        <f t="array" ref="AW41">IFERROR(_xlfn.SINGLE(INDEX(DATABASE!$AV$14:$BC$989,SUMPRODUCT((ROW(DATABASE!$AV$14:$AV$989)) * (DATABASE!$AV$14:HY$989='Résultats observations'!$A41 ) * (DATABASE!$AW$14:$AW$989= AW$4))-ROW(DATABASE!$AV$14)+1,AW$5)),"")</f>
        <v>5.0638022382664847</v>
      </c>
      <c r="AX41" s="107" cm="1">
        <f t="array" ref="AX41">IFERROR(_xlfn.SINGLE(INDEX(DATABASE!$AV$14:$BC$989,SUMPRODUCT((ROW(DATABASE!$AV$14:$AV$989)) * (DATABASE!$AV$14:HZ$989='Résultats observations'!$A41 ) * (DATABASE!$AW$14:$AW$989= AX$4))-ROW(DATABASE!$AV$14)+1,AX$5)),"")</f>
        <v>-2.6171022261816135</v>
      </c>
      <c r="AY41" s="107" cm="1">
        <f t="array" ref="AY41">IFERROR(_xlfn.SINGLE(INDEX(DATABASE!$AV$14:$BC$989,SUMPRODUCT((ROW(DATABASE!$AV$14:$AV$989)) * (DATABASE!$AV$14:IA$989='Résultats observations'!$A41 ) * (DATABASE!$AW$14:$AW$989= AY$4))-ROW(DATABASE!$AV$14)+1,AY$5)),"")</f>
        <v>-0.78433802238266992</v>
      </c>
      <c r="AZ41" s="107" t="str" cm="1">
        <f t="array" ref="AZ41">IFERROR(_xlfn.SINGLE(INDEX(DATABASE!$AV$14:$BC$989,SUMPRODUCT((ROW(DATABASE!$AV$14:$AV$989)) * (DATABASE!$AV$14:IB$989='Résultats observations'!$A41 ) * (DATABASE!$AW$14:$AW$989= AZ$4))-ROW(DATABASE!$AV$14)+1,AZ$5)),"")</f>
        <v/>
      </c>
      <c r="BA41" s="107" t="str" cm="1">
        <f t="array" ref="BA41">IFERROR(_xlfn.SINGLE(INDEX(DATABASE!$AV$14:$BC$989,SUMPRODUCT((ROW(DATABASE!$AV$14:$AV$989)) * (DATABASE!$AV$14:IC$989='Résultats observations'!$A41 ) * (DATABASE!$AW$14:$AW$989= BA$4))-ROW(DATABASE!$AV$14)+1,BA$5)),"")</f>
        <v/>
      </c>
      <c r="BB41" s="107" t="str" cm="1">
        <f t="array" ref="BB41">IFERROR(_xlfn.SINGLE(INDEX(DATABASE!$AV$14:$BC$989,SUMPRODUCT((ROW(DATABASE!$AV$14:$AV$989)) * (DATABASE!$AV$14:ID$989='Résultats observations'!$A41 ) * (DATABASE!$AW$14:$AW$989= BB$4))-ROW(DATABASE!$AV$14)+1,BB$5)),"")</f>
        <v/>
      </c>
      <c r="BC41" s="107" cm="1">
        <f t="array" ref="BC41">IFERROR(_xlfn.SINGLE(INDEX(DATABASE!$AV$14:$BC$989,SUMPRODUCT((ROW(DATABASE!$AV$14:$AV$989)) * (DATABASE!$AV$14:IE$989='Résultats observations'!$A41 ) * (DATABASE!$AW$14:$AW$989= BC$4))-ROW(DATABASE!$AV$14)+1,BC$5)),"")</f>
        <v>4.9141093949550205</v>
      </c>
      <c r="BD41" s="107" cm="1">
        <f t="array" ref="BD41">IFERROR(_xlfn.SINGLE(INDEX(DATABASE!$AV$14:$BC$989,SUMPRODUCT((ROW(DATABASE!$AV$14:$AV$989)) * (DATABASE!$AV$14:IF$989='Résultats observations'!$A41 ) * (DATABASE!$AW$14:$AW$989= BD$4))-ROW(DATABASE!$AV$14)+1,BD$5)),"")</f>
        <v>-2.3257374915517496E-2</v>
      </c>
      <c r="BE41" s="107" cm="1">
        <f t="array" ref="BE41">IFERROR(_xlfn.SINGLE(INDEX(DATABASE!$AV$14:$BC$989,SUMPRODUCT((ROW(DATABASE!$AV$14:$AV$989)) * (DATABASE!$AV$14:IG$989='Résultats observations'!$A41 ) * (DATABASE!$AW$14:$AW$989= BE$4))-ROW(DATABASE!$AV$14)+1,BE$5)),"")</f>
        <v>2.5808589060504517</v>
      </c>
      <c r="BF41" s="107" t="str" cm="1">
        <f t="array" ref="BF41">IFERROR(_xlfn.SINGLE(INDEX(DATABASE!$AV$14:$BC$989,SUMPRODUCT((ROW(DATABASE!$AV$14:$AV$989)) * (DATABASE!$AV$14:IH$989='Résultats observations'!$A41 ) * (DATABASE!$AW$14:$AW$989= BF$4))-ROW(DATABASE!$AV$14)+1,BF$5)),"")</f>
        <v/>
      </c>
      <c r="BG41" s="107" t="str" cm="1">
        <f t="array" ref="BG41">IFERROR(_xlfn.SINGLE(INDEX(DATABASE!$AV$14:$BC$989,SUMPRODUCT((ROW(DATABASE!$AV$14:$AV$989)) * (DATABASE!$AV$14:II$989='Résultats observations'!$A41 ) * (DATABASE!$AW$14:$AW$989= BG$4))-ROW(DATABASE!$AV$14)+1,BG$5)),"")</f>
        <v/>
      </c>
      <c r="BH41" s="107" t="str" cm="1">
        <f t="array" ref="BH41">IFERROR(_xlfn.SINGLE(INDEX(DATABASE!$AV$14:$BC$989,SUMPRODUCT((ROW(DATABASE!$AV$14:$AV$989)) * (DATABASE!$AV$14:IJ$989='Résultats observations'!$A41 ) * (DATABASE!$AW$14:$AW$989= BH$4))-ROW(DATABASE!$AV$14)+1,BH$5)),"")</f>
        <v/>
      </c>
      <c r="BI41" s="107" cm="1">
        <f t="array" ref="BI41">IFERROR(_xlfn.SINGLE(INDEX(DATABASE!$AV$14:$BC$989,SUMPRODUCT((ROW(DATABASE!$AV$14:$AV$989)) * (DATABASE!$AV$14:IK$989='Résultats observations'!$A41 ) * (DATABASE!$AW$14:$AW$989= BI$4))-ROW(DATABASE!$AV$14)+1,BI$5)),"")</f>
        <v>5.0828382929981446</v>
      </c>
      <c r="BJ41" s="107" cm="1">
        <f t="array" ref="BJ41">IFERROR(_xlfn.SINGLE(INDEX(DATABASE!$AV$14:$BC$989,SUMPRODUCT((ROW(DATABASE!$AV$14:$AV$989)) * (DATABASE!$AV$14:IL$989='Résultats observations'!$A41 ) * (DATABASE!$AW$14:$AW$989= BJ$4))-ROW(DATABASE!$AV$14)+1,BJ$5)),"")</f>
        <v>2.6711775583067525</v>
      </c>
      <c r="BK41" s="107" cm="1">
        <f t="array" ref="BK41">IFERROR(_xlfn.SINGLE(INDEX(DATABASE!$AV$14:$BC$989,SUMPRODUCT((ROW(DATABASE!$AV$14:$AV$989)) * (DATABASE!$AV$14:IM$989='Résultats observations'!$A41 ) * (DATABASE!$AW$14:$AW$989= BK$4))-ROW(DATABASE!$AV$14)+1,BK$5)),"")</f>
        <v>-0.72742838292998613</v>
      </c>
      <c r="BL41" s="105"/>
      <c r="BM41" s="106">
        <f t="shared" ref="BM41" si="725">IF(AW41="","",(AW41-AW$10)*1000)</f>
        <v>-4.2443705624046757</v>
      </c>
      <c r="BN41" s="106">
        <f t="shared" ref="BN41" si="726">IF(AX41="","",(AX41-AX$10)*1000)</f>
        <v>8.3925753139539871</v>
      </c>
      <c r="BO41" s="106">
        <f t="shared" ref="BO41" si="727">IF(AY41="","",(AY41-AY$10)*1000)</f>
        <v>0.64244370562960285</v>
      </c>
      <c r="BP41" s="106" t="str">
        <f t="shared" ref="BP41" si="728">IF(AZ41="","",(AZ41-AZ$10)*1000)</f>
        <v/>
      </c>
      <c r="BQ41" s="106" t="str">
        <f t="shared" ref="BQ41" si="729">IF(BA41="","",(BA41-BA$10)*1000)</f>
        <v/>
      </c>
      <c r="BR41" s="106" t="str">
        <f t="shared" ref="BR41" si="730">IF(BB41="","",(BB41-BB$10)*1000)</f>
        <v/>
      </c>
      <c r="BS41" s="106">
        <f t="shared" ref="BS41" si="731">IF(BC41="","",(BC41-BC$10)*1000)</f>
        <v>-5.9373888332219238</v>
      </c>
      <c r="BT41" s="106">
        <f t="shared" ref="BT41" si="732">IF(BD41="","",(BD41-BD$10)*1000)</f>
        <v>-6.0786440912169866</v>
      </c>
      <c r="BU41" s="106">
        <f t="shared" ref="BU41" si="733">IF(BE41="","",(BE41-BE$10)*1000)</f>
        <v>-10.99062611166346</v>
      </c>
      <c r="BV41" s="106" t="str">
        <f t="shared" ref="BV41" si="734">IF(BF41="","",(BF41-BF$10)*1000)</f>
        <v/>
      </c>
      <c r="BW41" s="106" t="str">
        <f t="shared" ref="BW41" si="735">IF(BG41="","",(BG41-BG$10)*1000)</f>
        <v/>
      </c>
      <c r="BX41" s="106" t="e">
        <f t="shared" ref="BX41" si="736">IF(BH41="","",(BH41-BH$18)*1000)+BX$18</f>
        <v>#VALUE!</v>
      </c>
      <c r="BY41" s="106">
        <f t="shared" ref="BY41" si="737">IF(BI41="","",(BI41-BI$10)*1000)</f>
        <v>-2.4704941103994571</v>
      </c>
      <c r="BZ41" s="106">
        <f t="shared" ref="BZ41" si="738">IF(BJ41="","",(BJ41-BJ$10)*1000)</f>
        <v>-8.5445397020667002</v>
      </c>
      <c r="CA41" s="106">
        <f t="shared" ref="CA41" si="739">IF(BK41="","",(BK41-BK$10)*1000)</f>
        <v>1.8247049411002081</v>
      </c>
    </row>
    <row r="42" spans="1:79" s="108" customFormat="1" ht="29.25" customHeight="1">
      <c r="A42" s="189">
        <v>45762</v>
      </c>
      <c r="B42" s="100">
        <f t="shared" ref="B42" si="740">A42-$A$10</f>
        <v>438</v>
      </c>
      <c r="C42" s="192">
        <v>19.43</v>
      </c>
      <c r="D42" s="101">
        <f t="shared" ref="D42" si="741">C42-$W$6</f>
        <v>14.34</v>
      </c>
      <c r="E42" s="102" cm="1">
        <f t="array" ref="E42">IFERROR(_xlfn.SINGLE(INDEX(DATABASE!$AV$14:$BC$989,SUMPRODUCT((ROW(DATABASE!$AV$14:$AV$989)) * (DATABASE!AG$14:$AV$989='Résultats observations'!$A42 ) * (DATABASE!$AW$14:$AW$989= E$4))-ROW(DATABASE!$AV$14)+1,E$5)),"")</f>
        <v>823058.96860000002</v>
      </c>
      <c r="F42" s="102" cm="1">
        <f t="array" ref="F42">IFERROR(_xlfn.SINGLE(INDEX(DATABASE!$AV$14:$BC$989,SUMPRODUCT((ROW(DATABASE!$AV$14:$AV$989)) * (DATABASE!AH$14:$AV$989='Résultats observations'!$A42 ) * (DATABASE!$AW$14:$AW$989= F$4))-ROW(DATABASE!$AV$14)+1,F$5)),"")</f>
        <v>1091426.6625999999</v>
      </c>
      <c r="G42" s="102" cm="1">
        <f t="array" ref="G42">IFERROR(_xlfn.SINGLE(INDEX(DATABASE!$AV$14:$BC$989,SUMPRODUCT((ROW(DATABASE!$AV$14:$AV$989)) * (DATABASE!AI$14:$AV$989='Résultats observations'!$A42 ) * (DATABASE!$AW$14:$AW$989= G$4))-ROW(DATABASE!$AV$14)+1,G$5)),"")</f>
        <v>-123.0609</v>
      </c>
      <c r="H42" s="102" cm="1">
        <f t="array" ref="H42">IFERROR(_xlfn.SINGLE(INDEX(DATABASE!$AV$14:$BC$989,SUMPRODUCT((ROW(DATABASE!$AV$14:$AV$989)) * (DATABASE!AJ$14:$AV$989='Résultats observations'!$A42 ) * (DATABASE!$AW$14:$AW$989= H$4))-ROW(DATABASE!$AV$14)+1,H$5)),"")</f>
        <v>823058.92960000003</v>
      </c>
      <c r="I42" s="102" cm="1">
        <f t="array" ref="I42">IFERROR(_xlfn.SINGLE(INDEX(DATABASE!$AV$14:$BC$989,SUMPRODUCT((ROW(DATABASE!$AV$14:$AV$989)) * (DATABASE!AK$14:$AV$989='Résultats observations'!$A42 ) * (DATABASE!$AW$14:$AW$989= I$4))-ROW(DATABASE!$AV$14)+1,I$5)),"")</f>
        <v>1091426.7455</v>
      </c>
      <c r="J42" s="102" cm="1">
        <f t="array" ref="J42">IFERROR(_xlfn.SINGLE(INDEX(DATABASE!$AV$14:$BC$989,SUMPRODUCT((ROW(DATABASE!$AV$14:$AV$989)) * (DATABASE!AL$14:$AV$989='Résultats observations'!$A42 ) * (DATABASE!$AW$14:$AW$989= J$4))-ROW(DATABASE!$AV$14)+1,J$5)),"")</f>
        <v>-121.1307</v>
      </c>
      <c r="K42" s="102" cm="1">
        <f t="array" ref="K42">IFERROR(_xlfn.SINGLE(INDEX(DATABASE!$AV$14:$BC$989,SUMPRODUCT((ROW(DATABASE!$AV$14:$AV$989)) * (DATABASE!AM$14:$AV$989='Résultats observations'!$A42 ) * (DATABASE!$AW$14:$AW$989= K$4))-ROW(DATABASE!$AV$14)+1,K$5)),"")</f>
        <v>823058.0098</v>
      </c>
      <c r="L42" s="102" cm="1">
        <f t="array" ref="L42">IFERROR(_xlfn.SINGLE(INDEX(DATABASE!$AV$14:$BC$989,SUMPRODUCT((ROW(DATABASE!$AV$14:$AV$989)) * (DATABASE!AN$14:$AV$989='Résultats observations'!$A42 ) * (DATABASE!$AW$14:$AW$989= L$4))-ROW(DATABASE!$AV$14)+1,L$5)),"")</f>
        <v>1091429.0759999999</v>
      </c>
      <c r="M42" s="102" cm="1">
        <f t="array" ref="M42">IFERROR(_xlfn.SINGLE(INDEX(DATABASE!$AV$14:$BC$989,SUMPRODUCT((ROW(DATABASE!$AV$14:$AV$989)) * (DATABASE!AO$14:$AV$989='Résultats observations'!$A42 ) * (DATABASE!$AW$14:$AW$989= M$4))-ROW(DATABASE!$AV$14)+1,M$5)),"")</f>
        <v>-119.6973</v>
      </c>
      <c r="N42" s="102" t="str" cm="1">
        <f t="array" ref="N42">IFERROR(_xlfn.SINGLE(INDEX(DATABASE!$AV$14:$BC$989,SUMPRODUCT((ROW(DATABASE!$AV$14:$AV$989)) * (DATABASE!AP$14:$AV$989='Résultats observations'!$A42 ) * (DATABASE!$AW$14:$AW$989= N$4))-ROW(DATABASE!$AV$14)+1,N$5)),"")</f>
        <v/>
      </c>
      <c r="O42" s="102" t="str" cm="1">
        <f t="array" ref="O42">IFERROR(_xlfn.SINGLE(INDEX(DATABASE!$AV$14:$BC$989,SUMPRODUCT((ROW(DATABASE!$AV$14:$AV$989)) * (DATABASE!AQ$14:$AV$989='Résultats observations'!$A42 ) * (DATABASE!$AW$14:$AW$989= O$4))-ROW(DATABASE!$AV$14)+1,O$5)),"")</f>
        <v/>
      </c>
      <c r="P42" s="102" t="str" cm="1">
        <f t="array" ref="P42">IFERROR(_xlfn.SINGLE(INDEX(DATABASE!$AV$14:$BC$989,SUMPRODUCT((ROW(DATABASE!$AV$14:$AV$989)) * (DATABASE!AR$14:$AV$989='Résultats observations'!$A42 ) * (DATABASE!$AW$14:$AW$989= P$4))-ROW(DATABASE!$AV$14)+1,P$5)),"")</f>
        <v/>
      </c>
      <c r="Q42" s="102" cm="1">
        <f t="array" ref="Q42">IFERROR(_xlfn.SINGLE(INDEX(DATABASE!$AV$14:$BC$989,SUMPRODUCT((ROW(DATABASE!$AV$14:$AV$989)) * (DATABASE!AS$14:$AV$989='Résultats observations'!$A42 ) * (DATABASE!$AW$14:$AW$989= Q$4))-ROW(DATABASE!$AV$14)+1,Q$5)),"")</f>
        <v>823056.71649999998</v>
      </c>
      <c r="R42" s="102" cm="1">
        <f t="array" ref="R42">IFERROR(_xlfn.SINGLE(INDEX(DATABASE!$AV$14:$BC$989,SUMPRODUCT((ROW(DATABASE!$AV$14:$AV$989)) * (DATABASE!AT$14:$AV$989='Résultats observations'!$A42 ) * (DATABASE!$AW$14:$AW$989= R$4))-ROW(DATABASE!$AV$14)+1,R$5)),"")</f>
        <v>1091431.4478</v>
      </c>
      <c r="S42" s="102" cm="1">
        <f t="array" ref="S42">IFERROR(_xlfn.SINGLE(INDEX(DATABASE!$AV$14:$BC$989,SUMPRODUCT((ROW(DATABASE!$AV$14:$AV$989)) * (DATABASE!AU$14:$AV$989='Résultats observations'!$A42 ) * (DATABASE!$AW$14:$AW$989= S$4))-ROW(DATABASE!$AV$14)+1,S$5)),"")</f>
        <v>-123.00369999999999</v>
      </c>
      <c r="T42" s="103">
        <f t="shared" si="2"/>
        <v>4.2494237209126995</v>
      </c>
      <c r="U42" s="103">
        <f t="shared" si="3"/>
        <v>2.8865027021819478</v>
      </c>
      <c r="V42" s="103" t="e">
        <f t="shared" si="4"/>
        <v>#VALUE!</v>
      </c>
      <c r="W42" s="103">
        <f t="shared" si="5"/>
        <v>4.269700351363495</v>
      </c>
      <c r="X42" s="103" t="str">
        <f t="shared" si="6"/>
        <v/>
      </c>
      <c r="Y42" s="103">
        <f t="shared" si="7"/>
        <v>5.2889852798613424</v>
      </c>
      <c r="Z42" s="104">
        <f t="shared" ref="Z42" si="742">IF(T42="","",(T42-T$10)*1000)</f>
        <v>-18.85512368427289</v>
      </c>
      <c r="AA42" s="104">
        <f t="shared" ref="AA42" si="743">IF(U42="","",(U42-U$10)*1000)</f>
        <v>-15.311337742978992</v>
      </c>
      <c r="AB42" s="104" t="e">
        <f t="shared" ref="AB42" si="744">IF(V42="","",(V42-V$10)*1000)</f>
        <v>#VALUE!</v>
      </c>
      <c r="AC42" s="104">
        <f t="shared" ref="AC42" si="745">IF(W42="","",(W42-W$10)*1000)</f>
        <v>-10.408749208841606</v>
      </c>
      <c r="AD42" s="104" t="str">
        <f t="shared" ref="AD42" si="746">IF(X42="","",(X42-X$10)*1000)</f>
        <v/>
      </c>
      <c r="AE42" s="104">
        <f t="shared" ref="AE42" si="747">IF(Y42="","",(Y42-Y$10)*1000)</f>
        <v>-16.554197287606875</v>
      </c>
      <c r="AF42" s="105"/>
      <c r="AG42" s="106">
        <f t="shared" ref="AG42" si="748">IF(E42="","",(E42-E$10)*1000)</f>
        <v>0.30000007245689631</v>
      </c>
      <c r="AH42" s="106">
        <f t="shared" ref="AH42" si="749">IF(F42="","",(F42-F$10)*1000)</f>
        <v>8.9000000152736902</v>
      </c>
      <c r="AI42" s="106">
        <f t="shared" ref="AI42" si="750">IF(G42="","",(G42-G$10)*1000)</f>
        <v>0.39999999999906777</v>
      </c>
      <c r="AJ42" s="106">
        <f t="shared" ref="AJ42" si="751">IF(H42="","",(H42-H$10)*1000)</f>
        <v>-1.9499999471008778</v>
      </c>
      <c r="AK42" s="106">
        <f t="shared" ref="AK42" si="752">IF(I42="","",(I42-I$10)*1000)</f>
        <v>5.0999999511986971</v>
      </c>
      <c r="AL42" s="106">
        <f t="shared" ref="AL42" si="753">IF(J42="","",(J42-J$10)*1000)</f>
        <v>-3.1000000000034333</v>
      </c>
      <c r="AM42" s="106">
        <f t="shared" ref="AM42" si="754">IF(K42="","",(K42-K$10)*1000)</f>
        <v>9.6500000217929482</v>
      </c>
      <c r="AN42" s="106">
        <f t="shared" ref="AN42" si="755">IF(L42="","",(L42-L$10)*1000)</f>
        <v>-4.2000000830739737</v>
      </c>
      <c r="AO42" s="106">
        <f t="shared" ref="AO42" si="756">IF(M42="","",(M42-M$10)*1000)</f>
        <v>-11.349999999993088</v>
      </c>
      <c r="AP42" s="106" t="str">
        <f t="shared" ref="AP42" si="757">IF(N42="","",(N42-N$10)*1000)</f>
        <v/>
      </c>
      <c r="AQ42" s="106" t="str">
        <f t="shared" ref="AQ42" si="758">IF(O42="","",(O42-O$10)*1000)</f>
        <v/>
      </c>
      <c r="AR42" s="106" t="e">
        <f t="shared" ref="AR42" si="759">IF(P42="","",(P42-P$18)*1000)+AR$18</f>
        <v>#VALUE!</v>
      </c>
      <c r="AS42" s="106">
        <f t="shared" ref="AS42" si="760">IF(Q42="","",(Q42-Q$10)*1000)</f>
        <v>5.8499999577179551</v>
      </c>
      <c r="AT42" s="106">
        <f t="shared" ref="AT42" si="761">IF(R42="","",(R42-R$10)*1000)</f>
        <v>-6.8000000901520252</v>
      </c>
      <c r="AU42" s="106">
        <f t="shared" ref="AU42" si="762">IF(S42="","",(S42-S$10)*1000)</f>
        <v>1.6999999999995907</v>
      </c>
      <c r="AV42" s="105"/>
      <c r="AW42" s="107" cm="1">
        <f t="array" ref="AW42">IFERROR(_xlfn.SINGLE(INDEX(DATABASE!$AV$14:$BC$989,SUMPRODUCT((ROW(DATABASE!$AV$14:$AV$989)) * (DATABASE!$AV$14:HY$989='Résultats observations'!$A42 ) * (DATABASE!$AW$14:$AW$989= AW$4))-ROW(DATABASE!$AV$14)+1,AW$5)),"")</f>
        <v>5.0640135402214463</v>
      </c>
      <c r="AX42" s="107" cm="1">
        <f t="array" ref="AX42">IFERROR(_xlfn.SINGLE(INDEX(DATABASE!$AV$14:$BC$989,SUMPRODUCT((ROW(DATABASE!$AV$14:$AV$989)) * (DATABASE!$AV$14:HZ$989='Résultats observations'!$A42 ) * (DATABASE!$AW$14:$AW$989= AX$4))-ROW(DATABASE!$AV$14)+1,AX$5)),"")</f>
        <v>-2.6175553835116747</v>
      </c>
      <c r="AY42" s="107" cm="1">
        <f t="array" ref="AY42">IFERROR(_xlfn.SINGLE(INDEX(DATABASE!$AV$14:$BC$989,SUMPRODUCT((ROW(DATABASE!$AV$14:$AV$989)) * (DATABASE!$AV$14:IA$989='Résultats observations'!$A42 ) * (DATABASE!$AW$14:$AW$989= AY$4))-ROW(DATABASE!$AV$14)+1,AY$5)),"")</f>
        <v>-0.78454013540222434</v>
      </c>
      <c r="AZ42" s="107" cm="1">
        <f t="array" ref="AZ42">IFERROR(_xlfn.SINGLE(INDEX(DATABASE!$AV$14:$BC$989,SUMPRODUCT((ROW(DATABASE!$AV$14:$AV$989)) * (DATABASE!$AV$14:IB$989='Résultats observations'!$A42 ) * (DATABASE!$AW$14:$AW$989= AZ$4))-ROW(DATABASE!$AV$14)+1,AZ$5)),"")</f>
        <v>5.0643259477565499</v>
      </c>
      <c r="BA42" s="107" cm="1">
        <f t="array" ref="BA42">IFERROR(_xlfn.SINGLE(INDEX(DATABASE!$AV$14:$BC$989,SUMPRODUCT((ROW(DATABASE!$AV$14:$AV$989)) * (DATABASE!$AV$14:IC$989='Résultats observations'!$A42 ) * (DATABASE!$AW$14:$AW$989= BA$4))-ROW(DATABASE!$AV$14)+1,BA$5)),"")</f>
        <v>-2.525940360688061</v>
      </c>
      <c r="BB42" s="107" cm="1">
        <f t="array" ref="BB42">IFERROR(_xlfn.SINGLE(INDEX(DATABASE!$AV$14:$BC$989,SUMPRODUCT((ROW(DATABASE!$AV$14:$AV$989)) * (DATABASE!$AV$14:ID$989='Résultats observations'!$A42 ) * (DATABASE!$AW$14:$AW$989= BB$4))-ROW(DATABASE!$AV$14)+1,BB$5)),"")</f>
        <v>1.1456567405224263</v>
      </c>
      <c r="BC42" s="107" cm="1">
        <f t="array" ref="BC42">IFERROR(_xlfn.SINGLE(INDEX(DATABASE!$AV$14:$BC$989,SUMPRODUCT((ROW(DATABASE!$AV$14:$AV$989)) * (DATABASE!$AV$14:IE$989='Résultats observations'!$A42 ) * (DATABASE!$AW$14:$AW$989= BC$4))-ROW(DATABASE!$AV$14)+1,BC$5)),"")</f>
        <v>4.9130757848978197</v>
      </c>
      <c r="BD42" s="107" cm="1">
        <f t="array" ref="BD42">IFERROR(_xlfn.SINGLE(INDEX(DATABASE!$AV$14:$BC$989,SUMPRODUCT((ROW(DATABASE!$AV$14:$AV$989)) * (DATABASE!$AV$14:IF$989='Résultats observations'!$A42 ) * (DATABASE!$AW$14:$AW$989= BD$4))-ROW(DATABASE!$AV$14)+1,BD$5)),"")</f>
        <v>-2.5063378919687976E-2</v>
      </c>
      <c r="BE42" s="107" cm="1">
        <f t="array" ref="BE42">IFERROR(_xlfn.SINGLE(INDEX(DATABASE!$AV$14:$BC$989,SUMPRODUCT((ROW(DATABASE!$AV$14:$AV$989)) * (DATABASE!$AV$14:IG$989='Résultats observations'!$A42 ) * (DATABASE!$AW$14:$AW$989= BE$4))-ROW(DATABASE!$AV$14)+1,BE$5)),"")</f>
        <v>2.5805692421510145</v>
      </c>
      <c r="BF42" s="107" t="str" cm="1">
        <f t="array" ref="BF42">IFERROR(_xlfn.SINGLE(INDEX(DATABASE!$AV$14:$BC$989,SUMPRODUCT((ROW(DATABASE!$AV$14:$AV$989)) * (DATABASE!$AV$14:IH$989='Résultats observations'!$A42 ) * (DATABASE!$AW$14:$AW$989= BF$4))-ROW(DATABASE!$AV$14)+1,BF$5)),"")</f>
        <v/>
      </c>
      <c r="BG42" s="107" t="str" cm="1">
        <f t="array" ref="BG42">IFERROR(_xlfn.SINGLE(INDEX(DATABASE!$AV$14:$BC$989,SUMPRODUCT((ROW(DATABASE!$AV$14:$AV$989)) * (DATABASE!$AV$14:II$989='Résultats observations'!$A42 ) * (DATABASE!$AW$14:$AW$989= BG$4))-ROW(DATABASE!$AV$14)+1,BG$5)),"")</f>
        <v/>
      </c>
      <c r="BH42" s="107" t="str" cm="1">
        <f t="array" ref="BH42">IFERROR(_xlfn.SINGLE(INDEX(DATABASE!$AV$14:$BC$989,SUMPRODUCT((ROW(DATABASE!$AV$14:$AV$989)) * (DATABASE!$AV$14:IJ$989='Résultats observations'!$A42 ) * (DATABASE!$AW$14:$AW$989= BH$4))-ROW(DATABASE!$AV$14)+1,BH$5)),"")</f>
        <v/>
      </c>
      <c r="BI42" s="107" cm="1">
        <f t="array" ref="BI42">IFERROR(_xlfn.SINGLE(INDEX(DATABASE!$AV$14:$BC$989,SUMPRODUCT((ROW(DATABASE!$AV$14:$AV$989)) * (DATABASE!$AV$14:IK$989='Résultats observations'!$A42 ) * (DATABASE!$AW$14:$AW$989= BI$4))-ROW(DATABASE!$AV$14)+1,BI$5)),"")</f>
        <v>5.0828805534088151</v>
      </c>
      <c r="BJ42" s="107" cm="1">
        <f t="array" ref="BJ42">IFERROR(_xlfn.SINGLE(INDEX(DATABASE!$AV$14:$BC$989,SUMPRODUCT((ROW(DATABASE!$AV$14:$AV$989)) * (DATABASE!$AV$14:IL$989='Résultats observations'!$A42 ) * (DATABASE!$AW$14:$AW$989= BJ$4))-ROW(DATABASE!$AV$14)+1,BJ$5)),"")</f>
        <v>2.6710869267985382</v>
      </c>
      <c r="BK42" s="107" cm="1">
        <f t="array" ref="BK42">IFERROR(_xlfn.SINGLE(INDEX(DATABASE!$AV$14:$BC$989,SUMPRODUCT((ROW(DATABASE!$AV$14:$AV$989)) * (DATABASE!$AV$14:IM$989='Résultats observations'!$A42 ) * (DATABASE!$AW$14:$AW$989= BK$4))-ROW(DATABASE!$AV$14)+1,BK$5)),"")</f>
        <v>-0.72752880553407806</v>
      </c>
      <c r="BL42" s="105"/>
      <c r="BM42" s="106">
        <f t="shared" ref="BM42" si="763">IF(AW42="","",(AW42-AW$10)*1000)</f>
        <v>-4.0330686074430133</v>
      </c>
      <c r="BN42" s="106">
        <f t="shared" ref="BN42" si="764">IF(AX42="","",(AX42-AX$10)*1000)</f>
        <v>7.9394179838927492</v>
      </c>
      <c r="BO42" s="106">
        <f t="shared" ref="BO42" si="765">IF(AY42="","",(AY42-AY$10)*1000)</f>
        <v>0.44033068607518544</v>
      </c>
      <c r="BP42" s="106">
        <f t="shared" ref="BP42" si="766">IF(AZ42="","",(AZ42-AZ$10)*1000)</f>
        <v>-0.38796631713466923</v>
      </c>
      <c r="BQ42" s="106">
        <f t="shared" ref="BQ42" si="767">IF(BA42="","",(BA42-BA$10)*1000)</f>
        <v>5.4462814316438291</v>
      </c>
      <c r="BR42" s="106">
        <f t="shared" ref="BR42" si="768">IF(BB42="","",(BB42-BB$10)*1000)</f>
        <v>-3.0961203368349288</v>
      </c>
      <c r="BS42" s="106">
        <f t="shared" ref="BS42" si="769">IF(BC42="","",(BC42-BC$10)*1000)</f>
        <v>-6.9709988904227416</v>
      </c>
      <c r="BT42" s="106">
        <f t="shared" ref="BT42" si="770">IF(BD42="","",(BD42-BD$10)*1000)</f>
        <v>-7.8846480953874662</v>
      </c>
      <c r="BU42" s="106">
        <f t="shared" ref="BU42" si="771">IF(BE42="","",(BE42-BE$10)*1000)</f>
        <v>-11.280290011100647</v>
      </c>
      <c r="BV42" s="106" t="str">
        <f t="shared" ref="BV42" si="772">IF(BF42="","",(BF42-BF$10)*1000)</f>
        <v/>
      </c>
      <c r="BW42" s="106" t="str">
        <f t="shared" ref="BW42" si="773">IF(BG42="","",(BG42-BG$10)*1000)</f>
        <v/>
      </c>
      <c r="BX42" s="106" t="e">
        <f t="shared" ref="BX42" si="774">IF(BH42="","",(BH42-BH$18)*1000)+BX$18</f>
        <v>#VALUE!</v>
      </c>
      <c r="BY42" s="106">
        <f t="shared" ref="BY42" si="775">IF(BI42="","",(BI42-BI$10)*1000)</f>
        <v>-2.4282336997289988</v>
      </c>
      <c r="BZ42" s="106">
        <f t="shared" ref="BZ42" si="776">IF(BJ42="","",(BJ42-BJ$10)*1000)</f>
        <v>-8.6351712102810119</v>
      </c>
      <c r="CA42" s="106">
        <f t="shared" ref="CA42" si="777">IF(BK42="","",(BK42-BK$10)*1000)</f>
        <v>1.724282337008276</v>
      </c>
    </row>
    <row r="43" spans="1:79" s="108" customFormat="1" ht="29.25" customHeight="1">
      <c r="A43" s="189">
        <v>45769</v>
      </c>
      <c r="B43" s="100">
        <f t="shared" ref="B43" si="778">A43-$A$10</f>
        <v>445</v>
      </c>
      <c r="C43" s="192">
        <v>19.43</v>
      </c>
      <c r="D43" s="101">
        <f t="shared" ref="D43" si="779">C43-$W$6</f>
        <v>14.34</v>
      </c>
      <c r="E43" s="102" cm="1">
        <f t="array" ref="E43">IFERROR(_xlfn.SINGLE(INDEX(DATABASE!$AV$14:$BC$989,SUMPRODUCT((ROW(DATABASE!$AV$14:$AV$989)) * (DATABASE!AG$14:$AV$989='Résultats observations'!$A43 ) * (DATABASE!$AW$14:$AW$989= E$4))-ROW(DATABASE!$AV$14)+1,E$5)),"")</f>
        <v>823058.96869999997</v>
      </c>
      <c r="F43" s="102" cm="1">
        <f t="array" ref="F43">IFERROR(_xlfn.SINGLE(INDEX(DATABASE!$AV$14:$BC$989,SUMPRODUCT((ROW(DATABASE!$AV$14:$AV$989)) * (DATABASE!AH$14:$AV$989='Résultats observations'!$A43 ) * (DATABASE!$AW$14:$AW$989= F$4))-ROW(DATABASE!$AV$14)+1,F$5)),"")</f>
        <v>1091426.6636000001</v>
      </c>
      <c r="G43" s="102" cm="1">
        <f t="array" ref="G43">IFERROR(_xlfn.SINGLE(INDEX(DATABASE!$AV$14:$BC$989,SUMPRODUCT((ROW(DATABASE!$AV$14:$AV$989)) * (DATABASE!AI$14:$AV$989='Résultats observations'!$A43 ) * (DATABASE!$AW$14:$AW$989= G$4))-ROW(DATABASE!$AV$14)+1,G$5)),"")</f>
        <v>-123.0608</v>
      </c>
      <c r="H43" s="102" cm="1">
        <f t="array" ref="H43">IFERROR(_xlfn.SINGLE(INDEX(DATABASE!$AV$14:$BC$989,SUMPRODUCT((ROW(DATABASE!$AV$14:$AV$989)) * (DATABASE!AJ$14:$AV$989='Résultats observations'!$A43 ) * (DATABASE!$AW$14:$AW$989= H$4))-ROW(DATABASE!$AV$14)+1,H$5)),"")</f>
        <v>823058.92949999997</v>
      </c>
      <c r="I43" s="102" cm="1">
        <f t="array" ref="I43">IFERROR(_xlfn.SINGLE(INDEX(DATABASE!$AV$14:$BC$989,SUMPRODUCT((ROW(DATABASE!$AV$14:$AV$989)) * (DATABASE!AK$14:$AV$989='Résultats observations'!$A43 ) * (DATABASE!$AW$14:$AW$989= I$4))-ROW(DATABASE!$AV$14)+1,I$5)),"")</f>
        <v>1091426.7463</v>
      </c>
      <c r="J43" s="102" cm="1">
        <f t="array" ref="J43">IFERROR(_xlfn.SINGLE(INDEX(DATABASE!$AV$14:$BC$989,SUMPRODUCT((ROW(DATABASE!$AV$14:$AV$989)) * (DATABASE!AL$14:$AV$989='Résultats observations'!$A43 ) * (DATABASE!$AW$14:$AW$989= J$4))-ROW(DATABASE!$AV$14)+1,J$5)),"")</f>
        <v>-121.131</v>
      </c>
      <c r="K43" s="102" cm="1">
        <f t="array" ref="K43">IFERROR(_xlfn.SINGLE(INDEX(DATABASE!$AV$14:$BC$989,SUMPRODUCT((ROW(DATABASE!$AV$14:$AV$989)) * (DATABASE!AM$14:$AV$989='Résultats observations'!$A43 ) * (DATABASE!$AW$14:$AW$989= K$4))-ROW(DATABASE!$AV$14)+1,K$5)),"")</f>
        <v>823058.01080000005</v>
      </c>
      <c r="L43" s="102" cm="1">
        <f t="array" ref="L43">IFERROR(_xlfn.SINGLE(INDEX(DATABASE!$AV$14:$BC$989,SUMPRODUCT((ROW(DATABASE!$AV$14:$AV$989)) * (DATABASE!AN$14:$AV$989='Résultats observations'!$A43 ) * (DATABASE!$AW$14:$AW$989= L$4))-ROW(DATABASE!$AV$14)+1,L$5)),"")</f>
        <v>1091429.0728</v>
      </c>
      <c r="M43" s="102" cm="1">
        <f t="array" ref="M43">IFERROR(_xlfn.SINGLE(INDEX(DATABASE!$AV$14:$BC$989,SUMPRODUCT((ROW(DATABASE!$AV$14:$AV$989)) * (DATABASE!AO$14:$AV$989='Résultats observations'!$A43 ) * (DATABASE!$AW$14:$AW$989= M$4))-ROW(DATABASE!$AV$14)+1,M$5)),"")</f>
        <v>-119.69889999999999</v>
      </c>
      <c r="N43" s="102" t="str" cm="1">
        <f t="array" ref="N43">IFERROR(_xlfn.SINGLE(INDEX(DATABASE!$AV$14:$BC$989,SUMPRODUCT((ROW(DATABASE!$AV$14:$AV$989)) * (DATABASE!AP$14:$AV$989='Résultats observations'!$A43 ) * (DATABASE!$AW$14:$AW$989= N$4))-ROW(DATABASE!$AV$14)+1,N$5)),"")</f>
        <v/>
      </c>
      <c r="O43" s="102" t="str" cm="1">
        <f t="array" ref="O43">IFERROR(_xlfn.SINGLE(INDEX(DATABASE!$AV$14:$BC$989,SUMPRODUCT((ROW(DATABASE!$AV$14:$AV$989)) * (DATABASE!AQ$14:$AV$989='Résultats observations'!$A43 ) * (DATABASE!$AW$14:$AW$989= O$4))-ROW(DATABASE!$AV$14)+1,O$5)),"")</f>
        <v/>
      </c>
      <c r="P43" s="102" t="str" cm="1">
        <f t="array" ref="P43">IFERROR(_xlfn.SINGLE(INDEX(DATABASE!$AV$14:$BC$989,SUMPRODUCT((ROW(DATABASE!$AV$14:$AV$989)) * (DATABASE!AR$14:$AV$989='Résultats observations'!$A43 ) * (DATABASE!$AW$14:$AW$989= P$4))-ROW(DATABASE!$AV$14)+1,P$5)),"")</f>
        <v/>
      </c>
      <c r="Q43" s="102" cm="1">
        <f t="array" ref="Q43">IFERROR(_xlfn.SINGLE(INDEX(DATABASE!$AV$14:$BC$989,SUMPRODUCT((ROW(DATABASE!$AV$14:$AV$989)) * (DATABASE!AS$14:$AV$989='Résultats observations'!$A43 ) * (DATABASE!$AW$14:$AW$989= Q$4))-ROW(DATABASE!$AV$14)+1,Q$5)),"")</f>
        <v>823056.71649999998</v>
      </c>
      <c r="R43" s="102" cm="1">
        <f t="array" ref="R43">IFERROR(_xlfn.SINGLE(INDEX(DATABASE!$AV$14:$BC$989,SUMPRODUCT((ROW(DATABASE!$AV$14:$AV$989)) * (DATABASE!AT$14:$AV$989='Résultats observations'!$A43 ) * (DATABASE!$AW$14:$AW$989= R$4))-ROW(DATABASE!$AV$14)+1,R$5)),"")</f>
        <v>1091431.4473000001</v>
      </c>
      <c r="S43" s="102" cm="1">
        <f t="array" ref="S43">IFERROR(_xlfn.SINGLE(INDEX(DATABASE!$AV$14:$BC$989,SUMPRODUCT((ROW(DATABASE!$AV$14:$AV$989)) * (DATABASE!AU$14:$AV$989='Résultats observations'!$A43 ) * (DATABASE!$AW$14:$AW$989= S$4))-ROW(DATABASE!$AV$14)+1,S$5)),"")</f>
        <v>-123.004</v>
      </c>
      <c r="T43" s="103">
        <f t="shared" si="2"/>
        <v>4.2454903909044628</v>
      </c>
      <c r="U43" s="103">
        <f t="shared" si="3"/>
        <v>2.8822772853597227</v>
      </c>
      <c r="V43" s="103" t="e">
        <f t="shared" si="4"/>
        <v>#VALUE!</v>
      </c>
      <c r="W43" s="103">
        <f t="shared" si="5"/>
        <v>4.2704974828337816</v>
      </c>
      <c r="X43" s="103" t="str">
        <f t="shared" si="6"/>
        <v/>
      </c>
      <c r="Y43" s="103">
        <f t="shared" si="7"/>
        <v>5.287666476833075</v>
      </c>
      <c r="Z43" s="104">
        <f t="shared" ref="Z43" si="780">IF(T43="","",(T43-T$10)*1000)</f>
        <v>-22.788453692509592</v>
      </c>
      <c r="AA43" s="104">
        <f t="shared" ref="AA43" si="781">IF(U43="","",(U43-U$10)*1000)</f>
        <v>-19.536754565204095</v>
      </c>
      <c r="AB43" s="104" t="e">
        <f t="shared" ref="AB43" si="782">IF(V43="","",(V43-V$10)*1000)</f>
        <v>#VALUE!</v>
      </c>
      <c r="AC43" s="104">
        <f t="shared" ref="AC43" si="783">IF(W43="","",(W43-W$10)*1000)</f>
        <v>-9.6116177385550117</v>
      </c>
      <c r="AD43" s="104" t="str">
        <f t="shared" ref="AD43" si="784">IF(X43="","",(X43-X$10)*1000)</f>
        <v/>
      </c>
      <c r="AE43" s="104">
        <f t="shared" ref="AE43" si="785">IF(Y43="","",(Y43-Y$10)*1000)</f>
        <v>-17.873000315874243</v>
      </c>
      <c r="AF43" s="105"/>
      <c r="AG43" s="106">
        <f t="shared" ref="AG43" si="786">IF(E43="","",(E43-E$10)*1000)</f>
        <v>0.40000001899898052</v>
      </c>
      <c r="AH43" s="106">
        <f t="shared" ref="AH43" si="787">IF(F43="","",(F43-F$10)*1000)</f>
        <v>9.9000001791864634</v>
      </c>
      <c r="AI43" s="106">
        <f t="shared" ref="AI43" si="788">IF(G43="","",(G43-G$10)*1000)</f>
        <v>0.50000000000238742</v>
      </c>
      <c r="AJ43" s="106">
        <f t="shared" ref="AJ43" si="789">IF(H43="","",(H43-H$10)*1000)</f>
        <v>-2.0500000100582838</v>
      </c>
      <c r="AK43" s="106">
        <f t="shared" ref="AK43" si="790">IF(I43="","",(I43-I$10)*1000)</f>
        <v>5.8999999891966581</v>
      </c>
      <c r="AL43" s="106">
        <f t="shared" ref="AL43" si="791">IF(J43="","",(J43-J$10)*1000)</f>
        <v>-3.3999999999991815</v>
      </c>
      <c r="AM43" s="106">
        <f t="shared" ref="AM43" si="792">IF(K43="","",(K43-K$10)*1000)</f>
        <v>10.6500000692904</v>
      </c>
      <c r="AN43" s="106">
        <f t="shared" ref="AN43" si="793">IF(L43="","",(L43-L$10)*1000)</f>
        <v>-7.4000000022351742</v>
      </c>
      <c r="AO43" s="106">
        <f t="shared" ref="AO43" si="794">IF(M43="","",(M43-M$10)*1000)</f>
        <v>-12.949999999989359</v>
      </c>
      <c r="AP43" s="106" t="str">
        <f t="shared" ref="AP43" si="795">IF(N43="","",(N43-N$10)*1000)</f>
        <v/>
      </c>
      <c r="AQ43" s="106" t="str">
        <f t="shared" ref="AQ43" si="796">IF(O43="","",(O43-O$10)*1000)</f>
        <v/>
      </c>
      <c r="AR43" s="106" t="e">
        <f t="shared" ref="AR43" si="797">IF(P43="","",(P43-P$18)*1000)+AR$18</f>
        <v>#VALUE!</v>
      </c>
      <c r="AS43" s="106">
        <f t="shared" ref="AS43" si="798">IF(Q43="","",(Q43-Q$10)*1000)</f>
        <v>5.8499999577179551</v>
      </c>
      <c r="AT43" s="106">
        <f t="shared" ref="AT43" si="799">IF(R43="","",(R43-R$10)*1000)</f>
        <v>-7.2999999392777681</v>
      </c>
      <c r="AU43" s="106">
        <f t="shared" ref="AU43" si="800">IF(S43="","",(S43-S$10)*1000)</f>
        <v>1.3999999999896318</v>
      </c>
      <c r="AV43" s="105"/>
      <c r="AW43" s="107" cm="1">
        <f t="array" ref="AW43">IFERROR(_xlfn.SINGLE(INDEX(DATABASE!$AV$14:$BC$989,SUMPRODUCT((ROW(DATABASE!$AV$14:$AV$989)) * (DATABASE!$AV$14:HY$989='Résultats observations'!$A43 ) * (DATABASE!$AW$14:$AW$989= AW$4))-ROW(DATABASE!$AV$14)+1,AW$5)),"")</f>
        <v>5.0635003049088114</v>
      </c>
      <c r="AX43" s="107" cm="1">
        <f t="array" ref="AX43">IFERROR(_xlfn.SINGLE(INDEX(DATABASE!$AV$14:$BC$989,SUMPRODUCT((ROW(DATABASE!$AV$14:$AV$989)) * (DATABASE!$AV$14:HZ$989='Résultats observations'!$A43 ) * (DATABASE!$AW$14:$AW$989= AX$4))-ROW(DATABASE!$AV$14)+1,AX$5)),"")</f>
        <v>-2.6166913292130345</v>
      </c>
      <c r="AY43" s="107" cm="1">
        <f t="array" ref="AY43">IFERROR(_xlfn.SINGLE(INDEX(DATABASE!$AV$14:$BC$989,SUMPRODUCT((ROW(DATABASE!$AV$14:$AV$989)) * (DATABASE!$AV$14:IA$989='Résultats observations'!$A43 ) * (DATABASE!$AW$14:$AW$989= AY$4))-ROW(DATABASE!$AV$14)+1,AY$5)),"")</f>
        <v>-0.78443500304909719</v>
      </c>
      <c r="AZ43" s="107" cm="1">
        <f t="array" ref="AZ43">IFERROR(_xlfn.SINGLE(INDEX(DATABASE!$AV$14:$BC$989,SUMPRODUCT((ROW(DATABASE!$AV$14:$AV$989)) * (DATABASE!$AV$14:IB$989='Résultats observations'!$A43 ) * (DATABASE!$AW$14:$AW$989= AZ$4))-ROW(DATABASE!$AV$14)+1,AZ$5)),"")</f>
        <v>5.0640784961761831</v>
      </c>
      <c r="BA43" s="107" cm="1">
        <f t="array" ref="BA43">IFERROR(_xlfn.SINGLE(INDEX(DATABASE!$AV$14:$BC$989,SUMPRODUCT((ROW(DATABASE!$AV$14:$AV$989)) * (DATABASE!$AV$14:IC$989='Résultats observations'!$A43 ) * (DATABASE!$AW$14:$AW$989= BA$4))-ROW(DATABASE!$AV$14)+1,BA$5)),"")</f>
        <v>-2.5251730486337003</v>
      </c>
      <c r="BB43" s="107" cm="1">
        <f t="array" ref="BB43">IFERROR(_xlfn.SINGLE(INDEX(DATABASE!$AV$14:$BC$989,SUMPRODUCT((ROW(DATABASE!$AV$14:$AV$989)) * (DATABASE!$AV$14:ID$989='Résultats observations'!$A43 ) * (DATABASE!$AW$14:$AW$989= BB$4))-ROW(DATABASE!$AV$14)+1,BB$5)),"")</f>
        <v>1.1453592150382406</v>
      </c>
      <c r="BC43" s="107" cm="1">
        <f t="array" ref="BC43">IFERROR(_xlfn.SINGLE(INDEX(DATABASE!$AV$14:$BC$989,SUMPRODUCT((ROW(DATABASE!$AV$14:$AV$989)) * (DATABASE!$AV$14:IE$989='Résultats observations'!$A43 ) * (DATABASE!$AW$14:$AW$989= BC$4))-ROW(DATABASE!$AV$14)+1,BC$5)),"")</f>
        <v>4.9135218025991545</v>
      </c>
      <c r="BD43" s="107" cm="1">
        <f t="array" ref="BD43">IFERROR(_xlfn.SINGLE(INDEX(DATABASE!$AV$14:$BC$989,SUMPRODUCT((ROW(DATABASE!$AV$14:$AV$989)) * (DATABASE!$AV$14:IF$989='Résultats observations'!$A43 ) * (DATABASE!$AW$14:$AW$989= BD$4))-ROW(DATABASE!$AV$14)+1,BD$5)),"")</f>
        <v>-2.8386189144140279E-2</v>
      </c>
      <c r="BE43" s="107" cm="1">
        <f t="array" ref="BE43">IFERROR(_xlfn.SINGLE(INDEX(DATABASE!$AV$14:$BC$989,SUMPRODUCT((ROW(DATABASE!$AV$14:$AV$989)) * (DATABASE!$AV$14:IG$989='Résultats observations'!$A43 ) * (DATABASE!$AW$14:$AW$989= BE$4))-ROW(DATABASE!$AV$14)+1,BE$5)),"")</f>
        <v>2.5789647819740082</v>
      </c>
      <c r="BF43" s="107" t="str" cm="1">
        <f t="array" ref="BF43">IFERROR(_xlfn.SINGLE(INDEX(DATABASE!$AV$14:$BC$989,SUMPRODUCT((ROW(DATABASE!$AV$14:$AV$989)) * (DATABASE!$AV$14:IH$989='Résultats observations'!$A43 ) * (DATABASE!$AW$14:$AW$989= BF$4))-ROW(DATABASE!$AV$14)+1,BF$5)),"")</f>
        <v/>
      </c>
      <c r="BG43" s="107" t="str" cm="1">
        <f t="array" ref="BG43">IFERROR(_xlfn.SINGLE(INDEX(DATABASE!$AV$14:$BC$989,SUMPRODUCT((ROW(DATABASE!$AV$14:$AV$989)) * (DATABASE!$AV$14:II$989='Résultats observations'!$A43 ) * (DATABASE!$AW$14:$AW$989= BG$4))-ROW(DATABASE!$AV$14)+1,BG$5)),"")</f>
        <v/>
      </c>
      <c r="BH43" s="107" t="str" cm="1">
        <f t="array" ref="BH43">IFERROR(_xlfn.SINGLE(INDEX(DATABASE!$AV$14:$BC$989,SUMPRODUCT((ROW(DATABASE!$AV$14:$AV$989)) * (DATABASE!$AV$14:IJ$989='Résultats observations'!$A43 ) * (DATABASE!$AW$14:$AW$989= BH$4))-ROW(DATABASE!$AV$14)+1,BH$5)),"")</f>
        <v/>
      </c>
      <c r="BI43" s="107" cm="1">
        <f t="array" ref="BI43">IFERROR(_xlfn.SINGLE(INDEX(DATABASE!$AV$14:$BC$989,SUMPRODUCT((ROW(DATABASE!$AV$14:$AV$989)) * (DATABASE!$AV$14:IK$989='Résultats observations'!$A43 ) * (DATABASE!$AW$14:$AW$989= BI$4))-ROW(DATABASE!$AV$14)+1,BI$5)),"")</f>
        <v>5.0830918552653843</v>
      </c>
      <c r="BJ43" s="107" cm="1">
        <f t="array" ref="BJ43">IFERROR(_xlfn.SINGLE(INDEX(DATABASE!$AV$14:$BC$989,SUMPRODUCT((ROW(DATABASE!$AV$14:$AV$989)) * (DATABASE!$AV$14:IL$989='Résultats observations'!$A43 ) * (DATABASE!$AW$14:$AW$989= BJ$4))-ROW(DATABASE!$AV$14)+1,BJ$5)),"")</f>
        <v>2.6706337696794975</v>
      </c>
      <c r="BK43" s="107" cm="1">
        <f t="array" ref="BK43">IFERROR(_xlfn.SINGLE(INDEX(DATABASE!$AV$14:$BC$989,SUMPRODUCT((ROW(DATABASE!$AV$14:$AV$989)) * (DATABASE!$AV$14:IM$989='Résultats observations'!$A43 ) * (DATABASE!$AW$14:$AW$989= BK$4))-ROW(DATABASE!$AV$14)+1,BK$5)),"")</f>
        <v>-0.72783091855265525</v>
      </c>
      <c r="BL43" s="105"/>
      <c r="BM43" s="106">
        <f t="shared" ref="BM43" si="801">IF(AW43="","",(AW43-AW$10)*1000)</f>
        <v>-4.546303920077932</v>
      </c>
      <c r="BN43" s="106">
        <f t="shared" ref="BN43" si="802">IF(AX43="","",(AX43-AX$10)*1000)</f>
        <v>8.8034722825329759</v>
      </c>
      <c r="BO43" s="106">
        <f t="shared" ref="BO43" si="803">IF(AY43="","",(AY43-AY$10)*1000)</f>
        <v>0.54546303920233186</v>
      </c>
      <c r="BP43" s="106">
        <f t="shared" ref="BP43" si="804">IF(AZ43="","",(AZ43-AZ$10)*1000)</f>
        <v>-0.63541789750143352</v>
      </c>
      <c r="BQ43" s="106">
        <f t="shared" ref="BQ43" si="805">IF(BA43="","",(BA43-BA$10)*1000)</f>
        <v>6.2135934860045872</v>
      </c>
      <c r="BR43" s="106">
        <f t="shared" ref="BR43" si="806">IF(BB43="","",(BB43-BB$10)*1000)</f>
        <v>-3.3936458210206411</v>
      </c>
      <c r="BS43" s="106">
        <f t="shared" ref="BS43" si="807">IF(BC43="","",(BC43-BC$10)*1000)</f>
        <v>-6.5249811890879528</v>
      </c>
      <c r="BT43" s="106">
        <f t="shared" ref="BT43" si="808">IF(BD43="","",(BD43-BD$10)*1000)</f>
        <v>-11.20745831983977</v>
      </c>
      <c r="BU43" s="106">
        <f t="shared" ref="BU43" si="809">IF(BE43="","",(BE43-BE$10)*1000)</f>
        <v>-12.884750188106864</v>
      </c>
      <c r="BV43" s="106" t="str">
        <f t="shared" ref="BV43" si="810">IF(BF43="","",(BF43-BF$10)*1000)</f>
        <v/>
      </c>
      <c r="BW43" s="106" t="str">
        <f t="shared" ref="BW43" si="811">IF(BG43="","",(BG43-BG$10)*1000)</f>
        <v/>
      </c>
      <c r="BX43" s="106" t="e">
        <f t="shared" ref="BX43" si="812">IF(BH43="","",(BH43-BH$18)*1000)+BX$18</f>
        <v>#VALUE!</v>
      </c>
      <c r="BY43" s="106">
        <f t="shared" ref="BY43" si="813">IF(BI43="","",(BI43-BI$10)*1000)</f>
        <v>-2.2169318431597418</v>
      </c>
      <c r="BZ43" s="106">
        <f t="shared" ref="BZ43" si="814">IF(BJ43="","",(BJ43-BJ$10)*1000)</f>
        <v>-9.0883283293217154</v>
      </c>
      <c r="CA43" s="106">
        <f t="shared" ref="CA43" si="815">IF(BK43="","",(BK43-BK$10)*1000)</f>
        <v>1.422169318431088</v>
      </c>
    </row>
    <row r="44" spans="1:79" s="108" customFormat="1" ht="29.25" customHeight="1">
      <c r="A44" s="189">
        <v>45772</v>
      </c>
      <c r="B44" s="100">
        <f t="shared" ref="B44" si="816">A44-$A$10</f>
        <v>448</v>
      </c>
      <c r="C44" s="101">
        <v>21</v>
      </c>
      <c r="D44" s="101">
        <f t="shared" ref="D44" si="817">C44-$W$6</f>
        <v>15.91</v>
      </c>
      <c r="E44" s="102" cm="1">
        <f t="array" ref="E44">IFERROR(_xlfn.SINGLE(INDEX(DATABASE!$AV$14:$BC$989,SUMPRODUCT((ROW(DATABASE!$AV$14:$AV$989)) * (DATABASE!AG$14:$AV$989='Résultats observations'!$A44 ) * (DATABASE!$AW$14:$AW$989= E$4))-ROW(DATABASE!$AV$14)+1,E$5)),"")</f>
        <v>823058.96840000001</v>
      </c>
      <c r="F44" s="102" cm="1">
        <f t="array" ref="F44">IFERROR(_xlfn.SINGLE(INDEX(DATABASE!$AV$14:$BC$989,SUMPRODUCT((ROW(DATABASE!$AV$14:$AV$989)) * (DATABASE!AH$14:$AV$989='Résultats observations'!$A44 ) * (DATABASE!$AW$14:$AW$989= F$4))-ROW(DATABASE!$AV$14)+1,F$5)),"")</f>
        <v>1091426.6634</v>
      </c>
      <c r="G44" s="102" cm="1">
        <f t="array" ref="G44">IFERROR(_xlfn.SINGLE(INDEX(DATABASE!$AV$14:$BC$989,SUMPRODUCT((ROW(DATABASE!$AV$14:$AV$989)) * (DATABASE!AI$14:$AV$989='Résultats observations'!$A44 ) * (DATABASE!$AW$14:$AW$989= G$4))-ROW(DATABASE!$AV$14)+1,G$5)),"")</f>
        <v>-123.0608</v>
      </c>
      <c r="H44" s="102" cm="1">
        <f t="array" ref="H44">IFERROR(_xlfn.SINGLE(INDEX(DATABASE!$AV$14:$BC$989,SUMPRODUCT((ROW(DATABASE!$AV$14:$AV$989)) * (DATABASE!AJ$14:$AV$989='Résultats observations'!$A44 ) * (DATABASE!$AW$14:$AW$989= H$4))-ROW(DATABASE!$AV$14)+1,H$5)),"")</f>
        <v>823058.92929999996</v>
      </c>
      <c r="I44" s="102" cm="1">
        <f t="array" ref="I44">IFERROR(_xlfn.SINGLE(INDEX(DATABASE!$AV$14:$BC$989,SUMPRODUCT((ROW(DATABASE!$AV$14:$AV$989)) * (DATABASE!AK$14:$AV$989='Résultats observations'!$A44 ) * (DATABASE!$AW$14:$AW$989= I$4))-ROW(DATABASE!$AV$14)+1,I$5)),"")</f>
        <v>1091426.7464000001</v>
      </c>
      <c r="J44" s="102" cm="1">
        <f t="array" ref="J44">IFERROR(_xlfn.SINGLE(INDEX(DATABASE!$AV$14:$BC$989,SUMPRODUCT((ROW(DATABASE!$AV$14:$AV$989)) * (DATABASE!AL$14:$AV$989='Résultats observations'!$A44 ) * (DATABASE!$AW$14:$AW$989= J$4))-ROW(DATABASE!$AV$14)+1,J$5)),"")</f>
        <v>-121.1309</v>
      </c>
      <c r="K44" s="102" cm="1">
        <f t="array" ref="K44">IFERROR(_xlfn.SINGLE(INDEX(DATABASE!$AV$14:$BC$989,SUMPRODUCT((ROW(DATABASE!$AV$14:$AV$989)) * (DATABASE!AM$14:$AV$989='Résultats observations'!$A44 ) * (DATABASE!$AW$14:$AW$989= K$4))-ROW(DATABASE!$AV$14)+1,K$5)),"")</f>
        <v>823058.01150000002</v>
      </c>
      <c r="L44" s="102" cm="1">
        <f t="array" ref="L44">IFERROR(_xlfn.SINGLE(INDEX(DATABASE!$AV$14:$BC$989,SUMPRODUCT((ROW(DATABASE!$AV$14:$AV$989)) * (DATABASE!AN$14:$AV$989='Résultats observations'!$A44 ) * (DATABASE!$AW$14:$AW$989= L$4))-ROW(DATABASE!$AV$14)+1,L$5)),"")</f>
        <v>1091429.0726000001</v>
      </c>
      <c r="M44" s="102" cm="1">
        <f t="array" ref="M44">IFERROR(_xlfn.SINGLE(INDEX(DATABASE!$AV$14:$BC$989,SUMPRODUCT((ROW(DATABASE!$AV$14:$AV$989)) * (DATABASE!AO$14:$AV$989='Résultats observations'!$A44 ) * (DATABASE!$AW$14:$AW$989= M$4))-ROW(DATABASE!$AV$14)+1,M$5)),"")</f>
        <v>-119.69889999999999</v>
      </c>
      <c r="N44" s="102" t="str" cm="1">
        <f t="array" ref="N44">IFERROR(_xlfn.SINGLE(INDEX(DATABASE!$AV$14:$BC$989,SUMPRODUCT((ROW(DATABASE!$AV$14:$AV$989)) * (DATABASE!AP$14:$AV$989='Résultats observations'!$A44 ) * (DATABASE!$AW$14:$AW$989= N$4))-ROW(DATABASE!$AV$14)+1,N$5)),"")</f>
        <v/>
      </c>
      <c r="O44" s="102" t="str" cm="1">
        <f t="array" ref="O44">IFERROR(_xlfn.SINGLE(INDEX(DATABASE!$AV$14:$BC$989,SUMPRODUCT((ROW(DATABASE!$AV$14:$AV$989)) * (DATABASE!AQ$14:$AV$989='Résultats observations'!$A44 ) * (DATABASE!$AW$14:$AW$989= O$4))-ROW(DATABASE!$AV$14)+1,O$5)),"")</f>
        <v/>
      </c>
      <c r="P44" s="102" t="str" cm="1">
        <f t="array" ref="P44">IFERROR(_xlfn.SINGLE(INDEX(DATABASE!$AV$14:$BC$989,SUMPRODUCT((ROW(DATABASE!$AV$14:$AV$989)) * (DATABASE!AR$14:$AV$989='Résultats observations'!$A44 ) * (DATABASE!$AW$14:$AW$989= P$4))-ROW(DATABASE!$AV$14)+1,P$5)),"")</f>
        <v/>
      </c>
      <c r="Q44" s="102" cm="1">
        <f t="array" ref="Q44">IFERROR(_xlfn.SINGLE(INDEX(DATABASE!$AV$14:$BC$989,SUMPRODUCT((ROW(DATABASE!$AV$14:$AV$989)) * (DATABASE!AS$14:$AV$989='Résultats observations'!$A44 ) * (DATABASE!$AW$14:$AW$989= Q$4))-ROW(DATABASE!$AV$14)+1,Q$5)),"")</f>
        <v>823056.71640000003</v>
      </c>
      <c r="R44" s="102" cm="1">
        <f t="array" ref="R44">IFERROR(_xlfn.SINGLE(INDEX(DATABASE!$AV$14:$BC$989,SUMPRODUCT((ROW(DATABASE!$AV$14:$AV$989)) * (DATABASE!AT$14:$AV$989='Résultats observations'!$A44 ) * (DATABASE!$AW$14:$AW$989= R$4))-ROW(DATABASE!$AV$14)+1,R$5)),"")</f>
        <v>1091431.4475</v>
      </c>
      <c r="S44" s="102" cm="1">
        <f t="array" ref="S44">IFERROR(_xlfn.SINGLE(INDEX(DATABASE!$AV$14:$BC$989,SUMPRODUCT((ROW(DATABASE!$AV$14:$AV$989)) * (DATABASE!AU$14:$AV$989='Résultats observations'!$A44 ) * (DATABASE!$AW$14:$AW$989= S$4))-ROW(DATABASE!$AV$14)+1,S$5)),"")</f>
        <v>-123.00360000000001</v>
      </c>
      <c r="T44" s="103">
        <f t="shared" si="2"/>
        <v>4.2452648751893038</v>
      </c>
      <c r="U44" s="103">
        <f t="shared" si="3"/>
        <v>2.8816986795870339</v>
      </c>
      <c r="V44" s="103" t="e">
        <f t="shared" si="4"/>
        <v>#VALUE!</v>
      </c>
      <c r="W44" s="103">
        <f t="shared" si="5"/>
        <v>4.2706528903284946</v>
      </c>
      <c r="X44" s="103" t="str">
        <f t="shared" si="6"/>
        <v/>
      </c>
      <c r="Y44" s="103">
        <f t="shared" si="7"/>
        <v>5.2879474893727281</v>
      </c>
      <c r="Z44" s="104">
        <f t="shared" ref="Z44" si="818">IF(T44="","",(T44-T$10)*1000)</f>
        <v>-23.013969407668533</v>
      </c>
      <c r="AA44" s="104">
        <f t="shared" ref="AA44" si="819">IF(U44="","",(U44-U$10)*1000)</f>
        <v>-20.115360337892962</v>
      </c>
      <c r="AB44" s="104" t="e">
        <f t="shared" ref="AB44" si="820">IF(V44="","",(V44-V$10)*1000)</f>
        <v>#VALUE!</v>
      </c>
      <c r="AC44" s="104">
        <f t="shared" ref="AC44" si="821">IF(W44="","",(W44-W$10)*1000)</f>
        <v>-9.4562102438420226</v>
      </c>
      <c r="AD44" s="104" t="str">
        <f t="shared" ref="AD44" si="822">IF(X44="","",(X44-X$10)*1000)</f>
        <v/>
      </c>
      <c r="AE44" s="104">
        <f t="shared" ref="AE44" si="823">IF(Y44="","",(Y44-Y$10)*1000)</f>
        <v>-17.591987776221174</v>
      </c>
      <c r="AF44" s="105"/>
      <c r="AG44" s="106">
        <f t="shared" ref="AG44" si="824">IF(E44="","",(E44-E$10)*1000)</f>
        <v>0.10000006295740604</v>
      </c>
      <c r="AH44" s="106">
        <f t="shared" ref="AH44" si="825">IF(F44="","",(F44-F$10)*1000)</f>
        <v>9.7000000532716513</v>
      </c>
      <c r="AI44" s="106">
        <f t="shared" ref="AI44" si="826">IF(G44="","",(G44-G$10)*1000)</f>
        <v>0.50000000000238742</v>
      </c>
      <c r="AJ44" s="106">
        <f t="shared" ref="AJ44" si="827">IF(H44="","",(H44-H$10)*1000)</f>
        <v>-2.2500000195577741</v>
      </c>
      <c r="AK44" s="106">
        <f t="shared" ref="AK44" si="828">IF(I44="","",(I44-I$10)*1000)</f>
        <v>6.0000000521540642</v>
      </c>
      <c r="AL44" s="106">
        <f t="shared" ref="AL44" si="829">IF(J44="","",(J44-J$10)*1000)</f>
        <v>-3.2999999999958618</v>
      </c>
      <c r="AM44" s="106">
        <f t="shared" ref="AM44" si="830">IF(K44="","",(K44-K$10)*1000)</f>
        <v>11.350000044330955</v>
      </c>
      <c r="AN44" s="106">
        <f t="shared" ref="AN44" si="831">IF(L44="","",(L44-L$10)*1000)</f>
        <v>-7.5999998953193426</v>
      </c>
      <c r="AO44" s="106">
        <f t="shared" ref="AO44" si="832">IF(M44="","",(M44-M$10)*1000)</f>
        <v>-12.949999999989359</v>
      </c>
      <c r="AP44" s="106" t="str">
        <f t="shared" ref="AP44" si="833">IF(N44="","",(N44-N$10)*1000)</f>
        <v/>
      </c>
      <c r="AQ44" s="106" t="str">
        <f t="shared" ref="AQ44" si="834">IF(O44="","",(O44-O$10)*1000)</f>
        <v/>
      </c>
      <c r="AR44" s="106" t="e">
        <f t="shared" ref="AR44" si="835">IF(P44="","",(P44-P$18)*1000)+AR$18</f>
        <v>#VALUE!</v>
      </c>
      <c r="AS44" s="106">
        <f t="shared" ref="AS44" si="836">IF(Q44="","",(Q44-Q$10)*1000)</f>
        <v>5.7500000111758709</v>
      </c>
      <c r="AT44" s="106">
        <f t="shared" ref="AT44" si="837">IF(R44="","",(R44-R$10)*1000)</f>
        <v>-7.1000000461935997</v>
      </c>
      <c r="AU44" s="106">
        <f t="shared" ref="AU44" si="838">IF(S44="","",(S44-S$10)*1000)</f>
        <v>1.7999999999886995</v>
      </c>
      <c r="AV44" s="105"/>
      <c r="AW44" s="107" cm="1">
        <f t="array" ref="AW44">IFERROR(_xlfn.SINGLE(INDEX(DATABASE!$AV$14:$BC$989,SUMPRODUCT((ROW(DATABASE!$AV$14:$AV$989)) * (DATABASE!$AV$14:HY$989='Résultats observations'!$A44 ) * (DATABASE!$AW$14:$AW$989= AW$4))-ROW(DATABASE!$AV$14)+1,AW$5)),"")</f>
        <v>5.0638567200437841</v>
      </c>
      <c r="AX44" s="107" cm="1">
        <f t="array" ref="AX44">IFERROR(_xlfn.SINGLE(INDEX(DATABASE!$AV$14:$BC$989,SUMPRODUCT((ROW(DATABASE!$AV$14:$AV$989)) * (DATABASE!$AV$14:HZ$989='Résultats observations'!$A44 ) * (DATABASE!$AW$14:$AW$989= AX$4))-ROW(DATABASE!$AV$14)+1,AX$5)),"")</f>
        <v>-2.6167458110958419</v>
      </c>
      <c r="AY44" s="107" cm="1">
        <f t="array" ref="AY44">IFERROR(_xlfn.SINGLE(INDEX(DATABASE!$AV$14:$BC$989,SUMPRODUCT((ROW(DATABASE!$AV$14:$AV$989)) * (DATABASE!$AV$14:IA$989='Résultats observations'!$A44 ) * (DATABASE!$AW$14:$AW$989= AY$4))-ROW(DATABASE!$AV$14)+1,AY$5)),"")</f>
        <v>-0.78443856720043925</v>
      </c>
      <c r="AZ44" s="107" cm="1">
        <f t="array" ref="AZ44">IFERROR(_xlfn.SINGLE(INDEX(DATABASE!$AV$14:$BC$989,SUMPRODUCT((ROW(DATABASE!$AV$14:$AV$989)) * (DATABASE!$AV$14:IB$989='Résultats observations'!$A44 ) * (DATABASE!$AW$14:$AW$989= AZ$4))-ROW(DATABASE!$AV$14)+1,AZ$5)),"")</f>
        <v>5.0642174986764301</v>
      </c>
      <c r="BA44" s="107" cm="1">
        <f t="array" ref="BA44">IFERROR(_xlfn.SINGLE(INDEX(DATABASE!$AV$14:$BC$989,SUMPRODUCT((ROW(DATABASE!$AV$14:$AV$989)) * (DATABASE!$AV$14:IC$989='Résultats observations'!$A44 ) * (DATABASE!$AW$14:$AW$989= BA$4))-ROW(DATABASE!$AV$14)+1,BA$5)),"")</f>
        <v>-2.5249978963533444</v>
      </c>
      <c r="BB44" s="107" cm="1">
        <f t="array" ref="BB44">IFERROR(_xlfn.SINGLE(INDEX(DATABASE!$AV$14:$BC$989,SUMPRODUCT((ROW(DATABASE!$AV$14:$AV$989)) * (DATABASE!$AV$14:ID$989='Résultats observations'!$A44 ) * (DATABASE!$AW$14:$AW$989= BB$4))-ROW(DATABASE!$AV$14)+1,BB$5)),"")</f>
        <v>1.1454578250132386</v>
      </c>
      <c r="BC44" s="107" cm="1">
        <f t="array" ref="BC44">IFERROR(_xlfn.SINGLE(INDEX(DATABASE!$AV$14:$BC$989,SUMPRODUCT((ROW(DATABASE!$AV$14:$AV$989)) * (DATABASE!$AV$14:IE$989='Résultats observations'!$A44 ) * (DATABASE!$AW$14:$AW$989= BC$4))-ROW(DATABASE!$AV$14)+1,BC$5)),"")</f>
        <v>4.9129719031866328</v>
      </c>
      <c r="BD44" s="107" cm="1">
        <f t="array" ref="BD44">IFERROR(_xlfn.SINGLE(INDEX(DATABASE!$AV$14:$BC$989,SUMPRODUCT((ROW(DATABASE!$AV$14:$AV$989)) * (DATABASE!$AV$14:IF$989='Résultats observations'!$A44 ) * (DATABASE!$AW$14:$AW$989= BD$4))-ROW(DATABASE!$AV$14)+1,BD$5)),"")</f>
        <v>-2.8863274627466583E-2</v>
      </c>
      <c r="BE44" s="107" cm="1">
        <f t="array" ref="BE44">IFERROR(_xlfn.SINGLE(INDEX(DATABASE!$AV$14:$BC$989,SUMPRODUCT((ROW(DATABASE!$AV$14:$AV$989)) * (DATABASE!$AV$14:IG$989='Résultats observations'!$A44 ) * (DATABASE!$AW$14:$AW$989= BE$4))-ROW(DATABASE!$AV$14)+1,BE$5)),"")</f>
        <v>2.5789702809681359</v>
      </c>
      <c r="BF44" s="107" t="str" cm="1">
        <f t="array" ref="BF44">IFERROR(_xlfn.SINGLE(INDEX(DATABASE!$AV$14:$BC$989,SUMPRODUCT((ROW(DATABASE!$AV$14:$AV$989)) * (DATABASE!$AV$14:IH$989='Résultats observations'!$A44 ) * (DATABASE!$AW$14:$AW$989= BF$4))-ROW(DATABASE!$AV$14)+1,BF$5)),"")</f>
        <v/>
      </c>
      <c r="BG44" s="107" t="str" cm="1">
        <f t="array" ref="BG44">IFERROR(_xlfn.SINGLE(INDEX(DATABASE!$AV$14:$BC$989,SUMPRODUCT((ROW(DATABASE!$AV$14:$AV$989)) * (DATABASE!$AV$14:II$989='Résultats observations'!$A44 ) * (DATABASE!$AW$14:$AW$989= BG$4))-ROW(DATABASE!$AV$14)+1,BG$5)),"")</f>
        <v/>
      </c>
      <c r="BH44" s="107" t="str" cm="1">
        <f t="array" ref="BH44">IFERROR(_xlfn.SINGLE(INDEX(DATABASE!$AV$14:$BC$989,SUMPRODUCT((ROW(DATABASE!$AV$14:$AV$989)) * (DATABASE!$AV$14:IJ$989='Résultats observations'!$A44 ) * (DATABASE!$AW$14:$AW$989= BH$4))-ROW(DATABASE!$AV$14)+1,BH$5)),"")</f>
        <v/>
      </c>
      <c r="BI44" s="107" cm="1">
        <f t="array" ref="BI44">IFERROR(_xlfn.SINGLE(INDEX(DATABASE!$AV$14:$BC$989,SUMPRODUCT((ROW(DATABASE!$AV$14:$AV$989)) * (DATABASE!$AV$14:IK$989='Résultats observations'!$A44 ) * (DATABASE!$AW$14:$AW$989= BI$4))-ROW(DATABASE!$AV$14)+1,BI$5)),"")</f>
        <v>5.0830979659451394</v>
      </c>
      <c r="BJ44" s="107" cm="1">
        <f t="array" ref="BJ44">IFERROR(_xlfn.SINGLE(INDEX(DATABASE!$AV$14:$BC$989,SUMPRODUCT((ROW(DATABASE!$AV$14:$AV$989)) * (DATABASE!$AV$14:IL$989='Résultats observations'!$A44 ) * (DATABASE!$AW$14:$AW$989= BJ$4))-ROW(DATABASE!$AV$14)+1,BJ$5)),"")</f>
        <v>2.6708572928463887</v>
      </c>
      <c r="BK44" s="107" cm="1">
        <f t="array" ref="BK44">IFERROR(_xlfn.SINGLE(INDEX(DATABASE!$AV$14:$BC$989,SUMPRODUCT((ROW(DATABASE!$AV$14:$AV$989)) * (DATABASE!$AV$14:IM$989='Résultats observations'!$A44 ) * (DATABASE!$AW$14:$AW$989= BK$4))-ROW(DATABASE!$AV$14)+1,BK$5)),"")</f>
        <v>-0.72743097965945935</v>
      </c>
      <c r="BL44" s="105"/>
      <c r="BM44" s="106">
        <f t="shared" ref="BM44" si="839">IF(AW44="","",(AW44-AW$10)*1000)</f>
        <v>-4.1898887851052891</v>
      </c>
      <c r="BN44" s="106">
        <f t="shared" ref="BN44" si="840">IF(AX44="","",(AX44-AX$10)*1000)</f>
        <v>8.7489903997255425</v>
      </c>
      <c r="BO44" s="106">
        <f t="shared" ref="BO44" si="841">IF(AY44="","",(AY44-AY$10)*1000)</f>
        <v>0.54189888786027041</v>
      </c>
      <c r="BP44" s="106">
        <f t="shared" ref="BP44" si="842">IF(AZ44="","",(AZ44-AZ$10)*1000)</f>
        <v>-0.49641539725442385</v>
      </c>
      <c r="BQ44" s="106">
        <f t="shared" ref="BQ44" si="843">IF(BA44="","",(BA44-BA$10)*1000)</f>
        <v>6.3887457663605041</v>
      </c>
      <c r="BR44" s="106">
        <f t="shared" ref="BR44" si="844">IF(BB44="","",(BB44-BB$10)*1000)</f>
        <v>-3.2950358460226425</v>
      </c>
      <c r="BS44" s="106">
        <f t="shared" ref="BS44" si="845">IF(BC44="","",(BC44-BC$10)*1000)</f>
        <v>-7.0748806016096566</v>
      </c>
      <c r="BT44" s="106">
        <f t="shared" ref="BT44" si="846">IF(BD44="","",(BD44-BD$10)*1000)</f>
        <v>-11.684543803166074</v>
      </c>
      <c r="BU44" s="106">
        <f t="shared" ref="BU44" si="847">IF(BE44="","",(BE44-BE$10)*1000)</f>
        <v>-12.879251193979258</v>
      </c>
      <c r="BV44" s="106" t="str">
        <f t="shared" ref="BV44" si="848">IF(BF44="","",(BF44-BF$10)*1000)</f>
        <v/>
      </c>
      <c r="BW44" s="106" t="str">
        <f t="shared" ref="BW44" si="849">IF(BG44="","",(BG44-BG$10)*1000)</f>
        <v/>
      </c>
      <c r="BX44" s="106" t="e">
        <f t="shared" ref="BX44" si="850">IF(BH44="","",(BH44-BH$18)*1000)+BX$18</f>
        <v>#VALUE!</v>
      </c>
      <c r="BY44" s="106">
        <f t="shared" ref="BY44" si="851">IF(BI44="","",(BI44-BI$10)*1000)</f>
        <v>-2.2108211634046526</v>
      </c>
      <c r="BZ44" s="106">
        <f t="shared" ref="BZ44" si="852">IF(BJ44="","",(BJ44-BJ$10)*1000)</f>
        <v>-8.8648051624304891</v>
      </c>
      <c r="CA44" s="106">
        <f t="shared" ref="CA44" si="853">IF(BK44="","",(BK44-BK$10)*1000)</f>
        <v>1.8221082116269827</v>
      </c>
    </row>
    <row r="45" spans="1:79" s="108" customFormat="1" ht="29.25" customHeight="1">
      <c r="A45" s="189">
        <v>45775</v>
      </c>
      <c r="B45" s="100">
        <f t="shared" ref="B45" si="854">A45-$A$10</f>
        <v>451</v>
      </c>
      <c r="C45" s="101">
        <v>21</v>
      </c>
      <c r="D45" s="101">
        <f t="shared" ref="D45" si="855">C45-$W$6</f>
        <v>15.91</v>
      </c>
      <c r="E45" s="102" cm="1">
        <f t="array" ref="E45">IFERROR(_xlfn.SINGLE(INDEX(DATABASE!$AV$14:$BC$989,SUMPRODUCT((ROW(DATABASE!$AV$14:$AV$989)) * (DATABASE!AG$14:$AV$989='Résultats observations'!$A45 ) * (DATABASE!$AW$14:$AW$989= E$4))-ROW(DATABASE!$AV$14)+1,E$5)),"")</f>
        <v>823058.96869999997</v>
      </c>
      <c r="F45" s="102" cm="1">
        <f t="array" ref="F45">IFERROR(_xlfn.SINGLE(INDEX(DATABASE!$AV$14:$BC$989,SUMPRODUCT((ROW(DATABASE!$AV$14:$AV$989)) * (DATABASE!AH$14:$AV$989='Résultats observations'!$A45 ) * (DATABASE!$AW$14:$AW$989= F$4))-ROW(DATABASE!$AV$14)+1,F$5)),"")</f>
        <v>1091426.6643000001</v>
      </c>
      <c r="G45" s="102" cm="1">
        <f t="array" ref="G45">IFERROR(_xlfn.SINGLE(INDEX(DATABASE!$AV$14:$BC$989,SUMPRODUCT((ROW(DATABASE!$AV$14:$AV$989)) * (DATABASE!AI$14:$AV$989='Résultats observations'!$A45 ) * (DATABASE!$AW$14:$AW$989= G$4))-ROW(DATABASE!$AV$14)+1,G$5)),"")</f>
        <v>-123.0605</v>
      </c>
      <c r="H45" s="102" cm="1">
        <f t="array" ref="H45">IFERROR(_xlfn.SINGLE(INDEX(DATABASE!$AV$14:$BC$989,SUMPRODUCT((ROW(DATABASE!$AV$14:$AV$989)) * (DATABASE!AJ$14:$AV$989='Résultats observations'!$A45 ) * (DATABASE!$AW$14:$AW$989= H$4))-ROW(DATABASE!$AV$14)+1,H$5)),"")</f>
        <v>823058.92960000003</v>
      </c>
      <c r="I45" s="102" cm="1">
        <f t="array" ref="I45">IFERROR(_xlfn.SINGLE(INDEX(DATABASE!$AV$14:$BC$989,SUMPRODUCT((ROW(DATABASE!$AV$14:$AV$989)) * (DATABASE!AK$14:$AV$989='Résultats observations'!$A45 ) * (DATABASE!$AW$14:$AW$989= I$4))-ROW(DATABASE!$AV$14)+1,I$5)),"")</f>
        <v>1091426.7472000001</v>
      </c>
      <c r="J45" s="102" cm="1">
        <f t="array" ref="J45">IFERROR(_xlfn.SINGLE(INDEX(DATABASE!$AV$14:$BC$989,SUMPRODUCT((ROW(DATABASE!$AV$14:$AV$989)) * (DATABASE!AL$14:$AV$989='Résultats observations'!$A45 ) * (DATABASE!$AW$14:$AW$989= J$4))-ROW(DATABASE!$AV$14)+1,J$5)),"")</f>
        <v>-121.1307</v>
      </c>
      <c r="K45" s="102" cm="1">
        <f t="array" ref="K45">IFERROR(_xlfn.SINGLE(INDEX(DATABASE!$AV$14:$BC$989,SUMPRODUCT((ROW(DATABASE!$AV$14:$AV$989)) * (DATABASE!AM$14:$AV$989='Résultats observations'!$A45 ) * (DATABASE!$AW$14:$AW$989= K$4))-ROW(DATABASE!$AV$14)+1,K$5)),"")</f>
        <v>823058.01199999999</v>
      </c>
      <c r="L45" s="102" cm="1">
        <f t="array" ref="L45">IFERROR(_xlfn.SINGLE(INDEX(DATABASE!$AV$14:$BC$989,SUMPRODUCT((ROW(DATABASE!$AV$14:$AV$989)) * (DATABASE!AN$14:$AV$989='Résultats observations'!$A45 ) * (DATABASE!$AW$14:$AW$989= L$4))-ROW(DATABASE!$AV$14)+1,L$5)),"")</f>
        <v>1091429.0728</v>
      </c>
      <c r="M45" s="102" cm="1">
        <f t="array" ref="M45">IFERROR(_xlfn.SINGLE(INDEX(DATABASE!$AV$14:$BC$989,SUMPRODUCT((ROW(DATABASE!$AV$14:$AV$989)) * (DATABASE!AO$14:$AV$989='Résultats observations'!$A45 ) * (DATABASE!$AW$14:$AW$989= M$4))-ROW(DATABASE!$AV$14)+1,M$5)),"")</f>
        <v>-119.6992</v>
      </c>
      <c r="N45" s="102" t="str" cm="1">
        <f t="array" ref="N45">IFERROR(_xlfn.SINGLE(INDEX(DATABASE!$AV$14:$BC$989,SUMPRODUCT((ROW(DATABASE!$AV$14:$AV$989)) * (DATABASE!AP$14:$AV$989='Résultats observations'!$A45 ) * (DATABASE!$AW$14:$AW$989= N$4))-ROW(DATABASE!$AV$14)+1,N$5)),"")</f>
        <v/>
      </c>
      <c r="O45" s="102" t="str" cm="1">
        <f t="array" ref="O45">IFERROR(_xlfn.SINGLE(INDEX(DATABASE!$AV$14:$BC$989,SUMPRODUCT((ROW(DATABASE!$AV$14:$AV$989)) * (DATABASE!AQ$14:$AV$989='Résultats observations'!$A45 ) * (DATABASE!$AW$14:$AW$989= O$4))-ROW(DATABASE!$AV$14)+1,O$5)),"")</f>
        <v/>
      </c>
      <c r="P45" s="102" t="str" cm="1">
        <f t="array" ref="P45">IFERROR(_xlfn.SINGLE(INDEX(DATABASE!$AV$14:$BC$989,SUMPRODUCT((ROW(DATABASE!$AV$14:$AV$989)) * (DATABASE!AR$14:$AV$989='Résultats observations'!$A45 ) * (DATABASE!$AW$14:$AW$989= P$4))-ROW(DATABASE!$AV$14)+1,P$5)),"")</f>
        <v/>
      </c>
      <c r="Q45" s="102" cm="1">
        <f t="array" ref="Q45">IFERROR(_xlfn.SINGLE(INDEX(DATABASE!$AV$14:$BC$989,SUMPRODUCT((ROW(DATABASE!$AV$14:$AV$989)) * (DATABASE!AS$14:$AV$989='Résultats observations'!$A45 ) * (DATABASE!$AW$14:$AW$989= Q$4))-ROW(DATABASE!$AV$14)+1,Q$5)),"")</f>
        <v>823056.71730000002</v>
      </c>
      <c r="R45" s="102" cm="1">
        <f t="array" ref="R45">IFERROR(_xlfn.SINGLE(INDEX(DATABASE!$AV$14:$BC$989,SUMPRODUCT((ROW(DATABASE!$AV$14:$AV$989)) * (DATABASE!AT$14:$AV$989='Résultats observations'!$A45 ) * (DATABASE!$AW$14:$AW$989= R$4))-ROW(DATABASE!$AV$14)+1,R$5)),"")</f>
        <v>1091431.4484999999</v>
      </c>
      <c r="S45" s="102" cm="1">
        <f t="array" ref="S45">IFERROR(_xlfn.SINGLE(INDEX(DATABASE!$AV$14:$BC$989,SUMPRODUCT((ROW(DATABASE!$AV$14:$AV$989)) * (DATABASE!AU$14:$AV$989='Résultats observations'!$A45 ) * (DATABASE!$AW$14:$AW$989= S$4))-ROW(DATABASE!$AV$14)+1,S$5)),"")</f>
        <v>-123.0035</v>
      </c>
      <c r="T45" s="103">
        <f t="shared" si="2"/>
        <v>4.2443473973623282</v>
      </c>
      <c r="U45" s="103">
        <f t="shared" si="3"/>
        <v>2.8809021797790786</v>
      </c>
      <c r="V45" s="103" t="e">
        <f t="shared" si="4"/>
        <v>#VALUE!</v>
      </c>
      <c r="W45" s="103">
        <f t="shared" si="5"/>
        <v>4.270667052089439</v>
      </c>
      <c r="X45" s="103" t="str">
        <f t="shared" si="6"/>
        <v/>
      </c>
      <c r="Y45" s="103">
        <f t="shared" si="7"/>
        <v>5.2877803092232973</v>
      </c>
      <c r="Z45" s="104">
        <f t="shared" ref="Z45" si="856">IF(T45="","",(T45-T$10)*1000)</f>
        <v>-23.931447234644132</v>
      </c>
      <c r="AA45" s="104">
        <f t="shared" ref="AA45" si="857">IF(U45="","",(U45-U$10)*1000)</f>
        <v>-20.911860145848227</v>
      </c>
      <c r="AB45" s="104" t="e">
        <f t="shared" ref="AB45" si="858">IF(V45="","",(V45-V$10)*1000)</f>
        <v>#VALUE!</v>
      </c>
      <c r="AC45" s="104">
        <f t="shared" ref="AC45" si="859">IF(W45="","",(W45-W$10)*1000)</f>
        <v>-9.442048482897647</v>
      </c>
      <c r="AD45" s="104" t="str">
        <f t="shared" ref="AD45" si="860">IF(X45="","",(X45-X$10)*1000)</f>
        <v/>
      </c>
      <c r="AE45" s="104">
        <f t="shared" ref="AE45" si="861">IF(Y45="","",(Y45-Y$10)*1000)</f>
        <v>-17.759167925651909</v>
      </c>
      <c r="AF45" s="105"/>
      <c r="AG45" s="106">
        <f t="shared" ref="AG45" si="862">IF(E45="","",(E45-E$10)*1000)</f>
        <v>0.40000001899898052</v>
      </c>
      <c r="AH45" s="106">
        <f t="shared" ref="AH45" si="863">IF(F45="","",(F45-F$10)*1000)</f>
        <v>10.600000154227018</v>
      </c>
      <c r="AI45" s="106">
        <f t="shared" ref="AI45" si="864">IF(G45="","",(G45-G$10)*1000)</f>
        <v>0.79999999999813554</v>
      </c>
      <c r="AJ45" s="106">
        <f t="shared" ref="AJ45" si="865">IF(H45="","",(H45-H$10)*1000)</f>
        <v>-1.9499999471008778</v>
      </c>
      <c r="AK45" s="106">
        <f t="shared" ref="AK45" si="866">IF(I45="","",(I45-I$10)*1000)</f>
        <v>6.8000000901520252</v>
      </c>
      <c r="AL45" s="106">
        <f t="shared" ref="AL45" si="867">IF(J45="","",(J45-J$10)*1000)</f>
        <v>-3.1000000000034333</v>
      </c>
      <c r="AM45" s="106">
        <f t="shared" ref="AM45" si="868">IF(K45="","",(K45-K$10)*1000)</f>
        <v>11.850000009872019</v>
      </c>
      <c r="AN45" s="106">
        <f t="shared" ref="AN45" si="869">IF(L45="","",(L45-L$10)*1000)</f>
        <v>-7.4000000022351742</v>
      </c>
      <c r="AO45" s="106">
        <f t="shared" ref="AO45" si="870">IF(M45="","",(M45-M$10)*1000)</f>
        <v>-13.249999999999318</v>
      </c>
      <c r="AP45" s="106" t="str">
        <f t="shared" ref="AP45" si="871">IF(N45="","",(N45-N$10)*1000)</f>
        <v/>
      </c>
      <c r="AQ45" s="106" t="str">
        <f t="shared" ref="AQ45" si="872">IF(O45="","",(O45-O$10)*1000)</f>
        <v/>
      </c>
      <c r="AR45" s="106" t="e">
        <f t="shared" ref="AR45" si="873">IF(P45="","",(P45-P$18)*1000)+AR$18</f>
        <v>#VALUE!</v>
      </c>
      <c r="AS45" s="106">
        <f t="shared" ref="AS45" si="874">IF(Q45="","",(Q45-Q$10)*1000)</f>
        <v>6.6499999957159162</v>
      </c>
      <c r="AT45" s="106">
        <f t="shared" ref="AT45" si="875">IF(R45="","",(R45-R$10)*1000)</f>
        <v>-6.1000001151114702</v>
      </c>
      <c r="AU45" s="106">
        <f t="shared" ref="AU45" si="876">IF(S45="","",(S45-S$10)*1000)</f>
        <v>1.8999999999920192</v>
      </c>
      <c r="AV45" s="105"/>
      <c r="AW45" s="107" cm="1">
        <f t="array" ref="AW45">IFERROR(_xlfn.SINGLE(INDEX(DATABASE!$AV$14:$BC$989,SUMPRODUCT((ROW(DATABASE!$AV$14:$AV$989)) * (DATABASE!$AV$14:HY$989='Résultats observations'!$A45 ) * (DATABASE!$AW$14:$AW$989= AW$4))-ROW(DATABASE!$AV$14)+1,AW$5)),"")</f>
        <v>5.0632044822309012</v>
      </c>
      <c r="AX45" s="107" cm="1">
        <f t="array" ref="AX45">IFERROR(_xlfn.SINGLE(INDEX(DATABASE!$AV$14:$BC$989,SUMPRODUCT((ROW(DATABASE!$AV$14:$AV$989)) * (DATABASE!$AV$14:HZ$989='Résultats observations'!$A45 ) * (DATABASE!$AW$14:$AW$989= AX$4))-ROW(DATABASE!$AV$14)+1,AX$5)),"")</f>
        <v>-2.6160569090775598</v>
      </c>
      <c r="AY45" s="107" cm="1">
        <f t="array" ref="AY45">IFERROR(_xlfn.SINGLE(INDEX(DATABASE!$AV$14:$BC$989,SUMPRODUCT((ROW(DATABASE!$AV$14:$AV$989)) * (DATABASE!$AV$14:IA$989='Résultats observations'!$A45 ) * (DATABASE!$AW$14:$AW$989= AY$4))-ROW(DATABASE!$AV$14)+1,AY$5)),"")</f>
        <v>-0.78413204482231436</v>
      </c>
      <c r="AZ45" s="107" cm="1">
        <f t="array" ref="AZ45">IFERROR(_xlfn.SINGLE(INDEX(DATABASE!$AV$14:$BC$989,SUMPRODUCT((ROW(DATABASE!$AV$14:$AV$989)) * (DATABASE!$AV$14:IB$989='Résultats observations'!$A45 ) * (DATABASE!$AW$14:$AW$989= AZ$4))-ROW(DATABASE!$AV$14)+1,AZ$5)),"")</f>
        <v>5.0636075211687119</v>
      </c>
      <c r="BA45" s="107" cm="1">
        <f t="array" ref="BA45">IFERROR(_xlfn.SINGLE(INDEX(DATABASE!$AV$14:$BC$989,SUMPRODUCT((ROW(DATABASE!$AV$14:$AV$989)) * (DATABASE!$AV$14:IC$989='Résultats observations'!$A45 ) * (DATABASE!$AW$14:$AW$989= BA$4))-ROW(DATABASE!$AV$14)+1,BA$5)),"")</f>
        <v>-2.5243996258924719</v>
      </c>
      <c r="BB45" s="107" cm="1">
        <f t="array" ref="BB45">IFERROR(_xlfn.SINGLE(INDEX(DATABASE!$AV$14:$BC$989,SUMPRODUCT((ROW(DATABASE!$AV$14:$AV$989)) * (DATABASE!$AV$14:ID$989='Résultats observations'!$A45 ) * (DATABASE!$AW$14:$AW$989= BB$4))-ROW(DATABASE!$AV$14)+1,BB$5)),"")</f>
        <v>1.1456639247883089</v>
      </c>
      <c r="BC45" s="107" cm="1">
        <f t="array" ref="BC45">IFERROR(_xlfn.SINGLE(INDEX(DATABASE!$AV$14:$BC$989,SUMPRODUCT((ROW(DATABASE!$AV$14:$AV$989)) * (DATABASE!$AV$14:IE$989='Résultats observations'!$A45 ) * (DATABASE!$AW$14:$AW$989= BC$4))-ROW(DATABASE!$AV$14)+1,BC$5)),"")</f>
        <v>4.912434225239136</v>
      </c>
      <c r="BD45" s="107" cm="1">
        <f t="array" ref="BD45">IFERROR(_xlfn.SINGLE(INDEX(DATABASE!$AV$14:$BC$989,SUMPRODUCT((ROW(DATABASE!$AV$14:$AV$989)) * (DATABASE!$AV$14:IF$989='Résultats observations'!$A45 ) * (DATABASE!$AW$14:$AW$989= BD$4))-ROW(DATABASE!$AV$14)+1,BD$5)),"")</f>
        <v>-2.8893313727819812E-2</v>
      </c>
      <c r="BE45" s="107" cm="1">
        <f t="array" ref="BE45">IFERROR(_xlfn.SINGLE(INDEX(DATABASE!$AV$14:$BC$989,SUMPRODUCT((ROW(DATABASE!$AV$14:$AV$989)) * (DATABASE!$AV$14:IG$989='Résultats observations'!$A45 ) * (DATABASE!$AW$14:$AW$989= BE$4))-ROW(DATABASE!$AV$14)+1,BE$5)),"")</f>
        <v>2.5786756577475956</v>
      </c>
      <c r="BF45" s="107" t="str" cm="1">
        <f t="array" ref="BF45">IFERROR(_xlfn.SINGLE(INDEX(DATABASE!$AV$14:$BC$989,SUMPRODUCT((ROW(DATABASE!$AV$14:$AV$989)) * (DATABASE!$AV$14:IH$989='Résultats observations'!$A45 ) * (DATABASE!$AW$14:$AW$989= BF$4))-ROW(DATABASE!$AV$14)+1,BF$5)),"")</f>
        <v/>
      </c>
      <c r="BG45" s="107" t="str" cm="1">
        <f t="array" ref="BG45">IFERROR(_xlfn.SINGLE(INDEX(DATABASE!$AV$14:$BC$989,SUMPRODUCT((ROW(DATABASE!$AV$14:$AV$989)) * (DATABASE!$AV$14:II$989='Résultats observations'!$A45 ) * (DATABASE!$AW$14:$AW$989= BG$4))-ROW(DATABASE!$AV$14)+1,BG$5)),"")</f>
        <v/>
      </c>
      <c r="BH45" s="107" t="str" cm="1">
        <f t="array" ref="BH45">IFERROR(_xlfn.SINGLE(INDEX(DATABASE!$AV$14:$BC$989,SUMPRODUCT((ROW(DATABASE!$AV$14:$AV$989)) * (DATABASE!$AV$14:IJ$989='Résultats observations'!$A45 ) * (DATABASE!$AW$14:$AW$989= BH$4))-ROW(DATABASE!$AV$14)+1,BH$5)),"")</f>
        <v/>
      </c>
      <c r="BI45" s="107" cm="1">
        <f t="array" ref="BI45">IFERROR(_xlfn.SINGLE(INDEX(DATABASE!$AV$14:$BC$989,SUMPRODUCT((ROW(DATABASE!$AV$14:$AV$989)) * (DATABASE!$AV$14:IK$989='Résultats observations'!$A45 ) * (DATABASE!$AW$14:$AW$989= BI$4))-ROW(DATABASE!$AV$14)+1,BI$5)),"")</f>
        <v>5.0818596790872181</v>
      </c>
      <c r="BJ45" s="107" cm="1">
        <f t="array" ref="BJ45">IFERROR(_xlfn.SINGLE(INDEX(DATABASE!$AV$14:$BC$989,SUMPRODUCT((ROW(DATABASE!$AV$14:$AV$989)) * (DATABASE!$AV$14:IL$989='Résultats observations'!$A45 ) * (DATABASE!$AW$14:$AW$989= BJ$4))-ROW(DATABASE!$AV$14)+1,BJ$5)),"")</f>
        <v>2.6713832638454242</v>
      </c>
      <c r="BK45" s="107" cm="1">
        <f t="array" ref="BK45">IFERROR(_xlfn.SINGLE(INDEX(DATABASE!$AV$14:$BC$989,SUMPRODUCT((ROW(DATABASE!$AV$14:$AV$989)) * (DATABASE!$AV$14:IM$989='Résultats observations'!$A45 ) * (DATABASE!$AW$14:$AW$989= BK$4))-ROW(DATABASE!$AV$14)+1,BK$5)),"")</f>
        <v>-0.72731859679088018</v>
      </c>
      <c r="BL45" s="105"/>
      <c r="BM45" s="106">
        <f t="shared" ref="BM45" si="877">IF(AW45="","",(AW45-AW$10)*1000)</f>
        <v>-4.8421265979881056</v>
      </c>
      <c r="BN45" s="106">
        <f t="shared" ref="BN45" si="878">IF(AX45="","",(AX45-AX$10)*1000)</f>
        <v>9.4378924180076318</v>
      </c>
      <c r="BO45" s="106">
        <f t="shared" ref="BO45" si="879">IF(AY45="","",(AY45-AY$10)*1000)</f>
        <v>0.84842126598516643</v>
      </c>
      <c r="BP45" s="106">
        <f t="shared" ref="BP45" si="880">IF(AZ45="","",(AZ45-AZ$10)*1000)</f>
        <v>-1.1063929049726084</v>
      </c>
      <c r="BQ45" s="106">
        <f t="shared" ref="BQ45" si="881">IF(BA45="","",(BA45-BA$10)*1000)</f>
        <v>6.9870162272329672</v>
      </c>
      <c r="BR45" s="106">
        <f t="shared" ref="BR45" si="882">IF(BB45="","",(BB45-BB$10)*1000)</f>
        <v>-3.0889360709522862</v>
      </c>
      <c r="BS45" s="106">
        <f t="shared" ref="BS45" si="883">IF(BC45="","",(BC45-BC$10)*1000)</f>
        <v>-7.612558549106474</v>
      </c>
      <c r="BT45" s="106">
        <f t="shared" ref="BT45" si="884">IF(BD45="","",(BD45-BD$10)*1000)</f>
        <v>-11.714582903519302</v>
      </c>
      <c r="BU45" s="106">
        <f t="shared" ref="BU45" si="885">IF(BE45="","",(BE45-BE$10)*1000)</f>
        <v>-13.17387441451956</v>
      </c>
      <c r="BV45" s="106" t="str">
        <f t="shared" ref="BV45" si="886">IF(BF45="","",(BF45-BF$10)*1000)</f>
        <v/>
      </c>
      <c r="BW45" s="106" t="str">
        <f t="shared" ref="BW45" si="887">IF(BG45="","",(BG45-BG$10)*1000)</f>
        <v/>
      </c>
      <c r="BX45" s="106" t="e">
        <f t="shared" ref="BX45" si="888">IF(BH45="","",(BH45-BH$18)*1000)+BX$18</f>
        <v>#VALUE!</v>
      </c>
      <c r="BY45" s="106">
        <f t="shared" ref="BY45" si="889">IF(BI45="","",(BI45-BI$10)*1000)</f>
        <v>-3.4491080213259195</v>
      </c>
      <c r="BZ45" s="106">
        <f t="shared" ref="BZ45" si="890">IF(BJ45="","",(BJ45-BJ$10)*1000)</f>
        <v>-8.3388341633949814</v>
      </c>
      <c r="CA45" s="106">
        <f t="shared" ref="CA45" si="891">IF(BK45="","",(BK45-BK$10)*1000)</f>
        <v>1.9344910802061577</v>
      </c>
    </row>
    <row r="46" spans="1:79" s="108" customFormat="1" ht="29.25" customHeight="1">
      <c r="A46" s="189">
        <v>45792</v>
      </c>
      <c r="B46" s="100">
        <f t="shared" ref="B46" si="892">A46-$A$10</f>
        <v>468</v>
      </c>
      <c r="C46" s="101">
        <v>21</v>
      </c>
      <c r="D46" s="101">
        <f t="shared" ref="D46" si="893">C46-$W$6</f>
        <v>15.91</v>
      </c>
      <c r="E46" s="102" cm="1">
        <f t="array" ref="E46">IFERROR(_xlfn.SINGLE(INDEX(DATABASE!$AV$14:$BC$989,SUMPRODUCT((ROW(DATABASE!$AV$14:$AV$989)) * (DATABASE!AG$14:$AV$989='Résultats observations'!$A46 ) * (DATABASE!$AW$14:$AW$989= E$4))-ROW(DATABASE!$AV$14)+1,E$5)),"")</f>
        <v>823058.9682</v>
      </c>
      <c r="F46" s="102" cm="1">
        <f t="array" ref="F46">IFERROR(_xlfn.SINGLE(INDEX(DATABASE!$AV$14:$BC$989,SUMPRODUCT((ROW(DATABASE!$AV$14:$AV$989)) * (DATABASE!AH$14:$AV$989='Résultats observations'!$A46 ) * (DATABASE!$AW$14:$AW$989= F$4))-ROW(DATABASE!$AV$14)+1,F$5)),"")</f>
        <v>1091426.6640000001</v>
      </c>
      <c r="G46" s="102" cm="1">
        <f t="array" ref="G46">IFERROR(_xlfn.SINGLE(INDEX(DATABASE!$AV$14:$BC$989,SUMPRODUCT((ROW(DATABASE!$AV$14:$AV$989)) * (DATABASE!AI$14:$AV$989='Résultats observations'!$A46 ) * (DATABASE!$AW$14:$AW$989= G$4))-ROW(DATABASE!$AV$14)+1,G$5)),"")</f>
        <v>-123.06100000000001</v>
      </c>
      <c r="H46" s="102" cm="1">
        <f t="array" ref="H46">IFERROR(_xlfn.SINGLE(INDEX(DATABASE!$AV$14:$BC$989,SUMPRODUCT((ROW(DATABASE!$AV$14:$AV$989)) * (DATABASE!AJ$14:$AV$989='Résultats observations'!$A46 ) * (DATABASE!$AW$14:$AW$989= H$4))-ROW(DATABASE!$AV$14)+1,H$5)),"")</f>
        <v>823058.92909999995</v>
      </c>
      <c r="I46" s="102" cm="1">
        <f t="array" ref="I46">IFERROR(_xlfn.SINGLE(INDEX(DATABASE!$AV$14:$BC$989,SUMPRODUCT((ROW(DATABASE!$AV$14:$AV$989)) * (DATABASE!AK$14:$AV$989='Résultats observations'!$A46 ) * (DATABASE!$AW$14:$AW$989= I$4))-ROW(DATABASE!$AV$14)+1,I$5)),"")</f>
        <v>1091426.7467</v>
      </c>
      <c r="J46" s="102" cm="1">
        <f t="array" ref="J46">IFERROR(_xlfn.SINGLE(INDEX(DATABASE!$AV$14:$BC$989,SUMPRODUCT((ROW(DATABASE!$AV$14:$AV$989)) * (DATABASE!AL$14:$AV$989='Résultats observations'!$A46 ) * (DATABASE!$AW$14:$AW$989= J$4))-ROW(DATABASE!$AV$14)+1,J$5)),"")</f>
        <v>-121.1311</v>
      </c>
      <c r="K46" s="102" cm="1">
        <f t="array" ref="K46">IFERROR(_xlfn.SINGLE(INDEX(DATABASE!$AV$14:$BC$989,SUMPRODUCT((ROW(DATABASE!$AV$14:$AV$989)) * (DATABASE!AM$14:$AV$989='Résultats observations'!$A46 ) * (DATABASE!$AW$14:$AW$989= K$4))-ROW(DATABASE!$AV$14)+1,K$5)),"")</f>
        <v>823058.01269999996</v>
      </c>
      <c r="L46" s="102" cm="1">
        <f t="array" ref="L46">IFERROR(_xlfn.SINGLE(INDEX(DATABASE!$AV$14:$BC$989,SUMPRODUCT((ROW(DATABASE!$AV$14:$AV$989)) * (DATABASE!AN$14:$AV$989='Résultats observations'!$A46 ) * (DATABASE!$AW$14:$AW$989= L$4))-ROW(DATABASE!$AV$14)+1,L$5)),"")</f>
        <v>1091429.0707</v>
      </c>
      <c r="M46" s="102" cm="1">
        <f t="array" ref="M46">IFERROR(_xlfn.SINGLE(INDEX(DATABASE!$AV$14:$BC$989,SUMPRODUCT((ROW(DATABASE!$AV$14:$AV$989)) * (DATABASE!AO$14:$AV$989='Résultats observations'!$A46 ) * (DATABASE!$AW$14:$AW$989= M$4))-ROW(DATABASE!$AV$14)+1,M$5)),"")</f>
        <v>-119.70059999999999</v>
      </c>
      <c r="N46" s="102" t="str" cm="1">
        <f t="array" ref="N46">IFERROR(_xlfn.SINGLE(INDEX(DATABASE!$AV$14:$BC$989,SUMPRODUCT((ROW(DATABASE!$AV$14:$AV$989)) * (DATABASE!AP$14:$AV$989='Résultats observations'!$A46 ) * (DATABASE!$AW$14:$AW$989= N$4))-ROW(DATABASE!$AV$14)+1,N$5)),"")</f>
        <v/>
      </c>
      <c r="O46" s="102" t="str" cm="1">
        <f t="array" ref="O46">IFERROR(_xlfn.SINGLE(INDEX(DATABASE!$AV$14:$BC$989,SUMPRODUCT((ROW(DATABASE!$AV$14:$AV$989)) * (DATABASE!AQ$14:$AV$989='Résultats observations'!$A46 ) * (DATABASE!$AW$14:$AW$989= O$4))-ROW(DATABASE!$AV$14)+1,O$5)),"")</f>
        <v/>
      </c>
      <c r="P46" s="102" t="str" cm="1">
        <f t="array" ref="P46">IFERROR(_xlfn.SINGLE(INDEX(DATABASE!$AV$14:$BC$989,SUMPRODUCT((ROW(DATABASE!$AV$14:$AV$989)) * (DATABASE!AR$14:$AV$989='Résultats observations'!$A46 ) * (DATABASE!$AW$14:$AW$989= P$4))-ROW(DATABASE!$AV$14)+1,P$5)),"")</f>
        <v/>
      </c>
      <c r="Q46" s="102" cm="1">
        <f t="array" ref="Q46">IFERROR(_xlfn.SINGLE(INDEX(DATABASE!$AV$14:$BC$989,SUMPRODUCT((ROW(DATABASE!$AV$14:$AV$989)) * (DATABASE!AS$14:$AV$989='Résultats observations'!$A46 ) * (DATABASE!$AW$14:$AW$989= Q$4))-ROW(DATABASE!$AV$14)+1,Q$5)),"")</f>
        <v>823056.71640000003</v>
      </c>
      <c r="R46" s="102" cm="1">
        <f t="array" ref="R46">IFERROR(_xlfn.SINGLE(INDEX(DATABASE!$AV$14:$BC$989,SUMPRODUCT((ROW(DATABASE!$AV$14:$AV$989)) * (DATABASE!AT$14:$AV$989='Résultats observations'!$A46 ) * (DATABASE!$AW$14:$AW$989= R$4))-ROW(DATABASE!$AV$14)+1,R$5)),"")</f>
        <v>1091431.4472000001</v>
      </c>
      <c r="S46" s="102" cm="1">
        <f t="array" ref="S46">IFERROR(_xlfn.SINGLE(INDEX(DATABASE!$AV$14:$BC$989,SUMPRODUCT((ROW(DATABASE!$AV$14:$AV$989)) * (DATABASE!AU$14:$AV$989='Résultats observations'!$A46 ) * (DATABASE!$AW$14:$AW$989= S$4))-ROW(DATABASE!$AV$14)+1,S$5)),"")</f>
        <v>-123.0039</v>
      </c>
      <c r="T46" s="103">
        <f t="shared" si="2"/>
        <v>4.2423429021896881</v>
      </c>
      <c r="U46" s="103">
        <f t="shared" si="3"/>
        <v>2.8787315279616998</v>
      </c>
      <c r="V46" s="103" t="e">
        <f t="shared" si="4"/>
        <v>#VALUE!</v>
      </c>
      <c r="W46" s="103">
        <f t="shared" si="5"/>
        <v>4.2708239052761279</v>
      </c>
      <c r="X46" s="103" t="str">
        <f t="shared" si="6"/>
        <v/>
      </c>
      <c r="Y46" s="103">
        <f t="shared" si="7"/>
        <v>5.2870469914078404</v>
      </c>
      <c r="Z46" s="104">
        <f t="shared" ref="Z46" si="894">IF(T46="","",(T46-T$10)*1000)</f>
        <v>-25.935942407284251</v>
      </c>
      <c r="AA46" s="104">
        <f t="shared" ref="AA46" si="895">IF(U46="","",(U46-U$10)*1000)</f>
        <v>-23.08251196322697</v>
      </c>
      <c r="AB46" s="104" t="e">
        <f t="shared" ref="AB46" si="896">IF(V46="","",(V46-V$10)*1000)</f>
        <v>#VALUE!</v>
      </c>
      <c r="AC46" s="104">
        <f t="shared" ref="AC46" si="897">IF(W46="","",(W46-W$10)*1000)</f>
        <v>-9.2851952962087481</v>
      </c>
      <c r="AD46" s="104" t="str">
        <f t="shared" ref="AD46" si="898">IF(X46="","",(X46-X$10)*1000)</f>
        <v/>
      </c>
      <c r="AE46" s="104">
        <f t="shared" ref="AE46" si="899">IF(Y46="","",(Y46-Y$10)*1000)</f>
        <v>-18.492485741108844</v>
      </c>
      <c r="AF46" s="105"/>
      <c r="AG46" s="106">
        <f t="shared" ref="AG46" si="900">IF(E46="","",(E46-E$10)*1000)</f>
        <v>-9.9999946542084217E-2</v>
      </c>
      <c r="AH46" s="106">
        <f t="shared" ref="AH46" si="901">IF(F46="","",(F46-F$10)*1000)</f>
        <v>10.300000198185444</v>
      </c>
      <c r="AI46" s="106">
        <f t="shared" ref="AI46" si="902">IF(G46="","",(G46-G$10)*1000)</f>
        <v>0.29999999999574811</v>
      </c>
      <c r="AJ46" s="106">
        <f t="shared" ref="AJ46" si="903">IF(H46="","",(H46-H$10)*1000)</f>
        <v>-2.4500000290572643</v>
      </c>
      <c r="AK46" s="106">
        <f t="shared" ref="AK46" si="904">IF(I46="","",(I46-I$10)*1000)</f>
        <v>6.3000000081956387</v>
      </c>
      <c r="AL46" s="106">
        <f t="shared" ref="AL46" si="905">IF(J46="","",(J46-J$10)*1000)</f>
        <v>-3.5000000000025011</v>
      </c>
      <c r="AM46" s="106">
        <f t="shared" ref="AM46" si="906">IF(K46="","",(K46-K$10)*1000)</f>
        <v>12.549999984912574</v>
      </c>
      <c r="AN46" s="106">
        <f t="shared" ref="AN46" si="907">IF(L46="","",(L46-L$10)*1000)</f>
        <v>-9.4999999273568392</v>
      </c>
      <c r="AO46" s="106">
        <f t="shared" ref="AO46" si="908">IF(M46="","",(M46-M$10)*1000)</f>
        <v>-14.64999999998895</v>
      </c>
      <c r="AP46" s="106" t="str">
        <f t="shared" ref="AP46" si="909">IF(N46="","",(N46-N$10)*1000)</f>
        <v/>
      </c>
      <c r="AQ46" s="106" t="str">
        <f t="shared" ref="AQ46" si="910">IF(O46="","",(O46-O$10)*1000)</f>
        <v/>
      </c>
      <c r="AR46" s="106" t="e">
        <f t="shared" ref="AR46" si="911">IF(P46="","",(P46-P$18)*1000)+AR$18</f>
        <v>#VALUE!</v>
      </c>
      <c r="AS46" s="106">
        <f t="shared" ref="AS46" si="912">IF(Q46="","",(Q46-Q$10)*1000)</f>
        <v>5.7500000111758709</v>
      </c>
      <c r="AT46" s="106">
        <f t="shared" ref="AT46" si="913">IF(R46="","",(R46-R$10)*1000)</f>
        <v>-7.4000000022351742</v>
      </c>
      <c r="AU46" s="106">
        <f t="shared" ref="AU46" si="914">IF(S46="","",(S46-S$10)*1000)</f>
        <v>1.4999999999929514</v>
      </c>
      <c r="AV46" s="105"/>
      <c r="AW46" s="107" cm="1">
        <f t="array" ref="AW46">IFERROR(_xlfn.SINGLE(INDEX(DATABASE!$AV$14:$BC$989,SUMPRODUCT((ROW(DATABASE!$AV$14:$AV$989)) * (DATABASE!$AV$14:HY$989='Résultats observations'!$A46 ) * (DATABASE!$AW$14:$AW$989= AW$4))-ROW(DATABASE!$AV$14)+1,AW$5)),"")</f>
        <v>5.0637844205890685</v>
      </c>
      <c r="AX46" s="107" cm="1">
        <f t="array" ref="AX46">IFERROR(_xlfn.SINGLE(INDEX(DATABASE!$AV$14:$BC$989,SUMPRODUCT((ROW(DATABASE!$AV$14:$AV$989)) * (DATABASE!$AV$14:HZ$989='Résultats observations'!$A46 ) * (DATABASE!$AW$14:$AW$989= AX$4))-ROW(DATABASE!$AV$14)+1,AX$5)),"")</f>
        <v>-2.6161175014854243</v>
      </c>
      <c r="AY46" s="107" cm="1">
        <f t="array" ref="AY46">IFERROR(_xlfn.SINGLE(INDEX(DATABASE!$AV$14:$BC$989,SUMPRODUCT((ROW(DATABASE!$AV$14:$AV$989)) * (DATABASE!$AV$14:IA$989='Résultats observations'!$A46 ) * (DATABASE!$AW$14:$AW$989= AY$4))-ROW(DATABASE!$AV$14)+1,AY$5)),"")</f>
        <v>-0.78463784420590343</v>
      </c>
      <c r="AZ46" s="107" cm="1">
        <f t="array" ref="AZ46">IFERROR(_xlfn.SINGLE(INDEX(DATABASE!$AV$14:$BC$989,SUMPRODUCT((ROW(DATABASE!$AV$14:$AV$989)) * (DATABASE!$AV$14:IB$989='Résultats observations'!$A46 ) * (DATABASE!$AW$14:$AW$989= AZ$4))-ROW(DATABASE!$AV$14)+1,AZ$5)),"")</f>
        <v>5.0642719804537339</v>
      </c>
      <c r="BA46" s="107" cm="1">
        <f t="array" ref="BA46">IFERROR(_xlfn.SINGLE(INDEX(DATABASE!$AV$14:$BC$989,SUMPRODUCT((ROW(DATABASE!$AV$14:$AV$989)) * (DATABASE!$AV$14:IC$989='Résultats observations'!$A46 ) * (DATABASE!$AW$14:$AW$989= BA$4))-ROW(DATABASE!$AV$14)+1,BA$5)),"")</f>
        <v>-2.5246414812675662</v>
      </c>
      <c r="BB46" s="107" cm="1">
        <f t="array" ref="BB46">IFERROR(_xlfn.SINGLE(INDEX(DATABASE!$AV$14:$BC$989,SUMPRODUCT((ROW(DATABASE!$AV$14:$AV$989)) * (DATABASE!$AV$14:ID$989='Résultats observations'!$A46 ) * (DATABASE!$AW$14:$AW$989= BB$4))-ROW(DATABASE!$AV$14)+1,BB$5)),"")</f>
        <v>1.1452572801954517</v>
      </c>
      <c r="BC46" s="107" cm="1">
        <f t="array" ref="BC46">IFERROR(_xlfn.SINGLE(INDEX(DATABASE!$AV$14:$BC$989,SUMPRODUCT((ROW(DATABASE!$AV$14:$AV$989)) * (DATABASE!$AV$14:IE$989='Résultats observations'!$A46 ) * (DATABASE!$AW$14:$AW$989= BC$4))-ROW(DATABASE!$AV$14)+1,BC$5)),"")</f>
        <v>4.9126872731374025</v>
      </c>
      <c r="BD46" s="107" cm="1">
        <f t="array" ref="BD46">IFERROR(_xlfn.SINGLE(INDEX(DATABASE!$AV$14:$BC$989,SUMPRODUCT((ROW(DATABASE!$AV$14:$AV$989)) * (DATABASE!$AV$14:IF$989='Résultats observations'!$A46 ) * (DATABASE!$AW$14:$AW$989= BD$4))-ROW(DATABASE!$AV$14)+1,BD$5)),"")</f>
        <v>-3.109239681214291E-2</v>
      </c>
      <c r="BE46" s="107" cm="1">
        <f t="array" ref="BE46">IFERROR(_xlfn.SINGLE(INDEX(DATABASE!$AV$14:$BC$989,SUMPRODUCT((ROW(DATABASE!$AV$14:$AV$989)) * (DATABASE!$AV$14:IG$989='Résultats observations'!$A46 ) * (DATABASE!$AW$14:$AW$989= BE$4))-ROW(DATABASE!$AV$14)+1,BE$5)),"")</f>
        <v>2.5772731272686258</v>
      </c>
      <c r="BF46" s="107" t="str" cm="1">
        <f t="array" ref="BF46">IFERROR(_xlfn.SINGLE(INDEX(DATABASE!$AV$14:$BC$989,SUMPRODUCT((ROW(DATABASE!$AV$14:$AV$989)) * (DATABASE!$AV$14:IH$989='Résultats observations'!$A46 ) * (DATABASE!$AW$14:$AW$989= BF$4))-ROW(DATABASE!$AV$14)+1,BF$5)),"")</f>
        <v/>
      </c>
      <c r="BG46" s="107" t="str" cm="1">
        <f t="array" ref="BG46">IFERROR(_xlfn.SINGLE(INDEX(DATABASE!$AV$14:$BC$989,SUMPRODUCT((ROW(DATABASE!$AV$14:$AV$989)) * (DATABASE!$AV$14:II$989='Résultats observations'!$A46 ) * (DATABASE!$AW$14:$AW$989= BG$4))-ROW(DATABASE!$AV$14)+1,BG$5)),"")</f>
        <v/>
      </c>
      <c r="BH46" s="107" t="str" cm="1">
        <f t="array" ref="BH46">IFERROR(_xlfn.SINGLE(INDEX(DATABASE!$AV$14:$BC$989,SUMPRODUCT((ROW(DATABASE!$AV$14:$AV$989)) * (DATABASE!$AV$14:IJ$989='Résultats observations'!$A46 ) * (DATABASE!$AW$14:$AW$989= BH$4))-ROW(DATABASE!$AV$14)+1,BH$5)),"")</f>
        <v/>
      </c>
      <c r="BI46" s="107" cm="1">
        <f t="array" ref="BI46">IFERROR(_xlfn.SINGLE(INDEX(DATABASE!$AV$14:$BC$989,SUMPRODUCT((ROW(DATABASE!$AV$14:$AV$989)) * (DATABASE!$AV$14:IK$989='Résultats observations'!$A46 ) * (DATABASE!$AW$14:$AW$989= BI$4))-ROW(DATABASE!$AV$14)+1,BI$5)),"")</f>
        <v>5.083224747078761</v>
      </c>
      <c r="BJ46" s="107" cm="1">
        <f t="array" ref="BJ46">IFERROR(_xlfn.SINGLE(INDEX(DATABASE!$AV$14:$BC$989,SUMPRODUCT((ROW(DATABASE!$AV$14:$AV$989)) * (DATABASE!$AV$14:IL$989='Résultats observations'!$A46 ) * (DATABASE!$AW$14:$AW$989= BJ$4))-ROW(DATABASE!$AV$14)+1,BJ$5)),"")</f>
        <v>2.6705853985327592</v>
      </c>
      <c r="BK46" s="107" cm="1">
        <f t="array" ref="BK46">IFERROR(_xlfn.SINGLE(INDEX(DATABASE!$AV$14:$BC$989,SUMPRODUCT((ROW(DATABASE!$AV$14:$AV$989)) * (DATABASE!$AV$14:IM$989='Résultats observations'!$A46 ) * (DATABASE!$AW$14:$AW$989= BK$4))-ROW(DATABASE!$AV$14)+1,BK$5)),"")</f>
        <v>-0.72773224747079723</v>
      </c>
      <c r="BL46" s="105"/>
      <c r="BM46" s="106">
        <f t="shared" ref="BM46" si="915">IF(AW46="","",(AW46-AW$10)*1000)</f>
        <v>-4.2621882398208299</v>
      </c>
      <c r="BN46" s="106">
        <f t="shared" ref="BN46" si="916">IF(AX46="","",(AX46-AX$10)*1000)</f>
        <v>9.3773000101431414</v>
      </c>
      <c r="BO46" s="106">
        <f t="shared" ref="BO46" si="917">IF(AY46="","",(AY46-AY$10)*1000)</f>
        <v>0.34262188239608804</v>
      </c>
      <c r="BP46" s="106">
        <f t="shared" ref="BP46" si="918">IF(AZ46="","",(AZ46-AZ$10)*1000)</f>
        <v>-0.44193361995059632</v>
      </c>
      <c r="BQ46" s="106">
        <f t="shared" ref="BQ46" si="919">IF(BA46="","",(BA46-BA$10)*1000)</f>
        <v>6.7451608521387207</v>
      </c>
      <c r="BR46" s="106">
        <f t="shared" ref="BR46" si="920">IF(BB46="","",(BB46-BB$10)*1000)</f>
        <v>-3.4955806638095055</v>
      </c>
      <c r="BS46" s="106">
        <f t="shared" ref="BS46" si="921">IF(BC46="","",(BC46-BC$10)*1000)</f>
        <v>-7.359510650839951</v>
      </c>
      <c r="BT46" s="106">
        <f t="shared" ref="BT46" si="922">IF(BD46="","",(BD46-BD$10)*1000)</f>
        <v>-13.9136659878424</v>
      </c>
      <c r="BU46" s="106">
        <f t="shared" ref="BU46" si="923">IF(BE46="","",(BE46-BE$10)*1000)</f>
        <v>-14.576404893489325</v>
      </c>
      <c r="BV46" s="106" t="str">
        <f t="shared" ref="BV46" si="924">IF(BF46="","",(BF46-BF$10)*1000)</f>
        <v/>
      </c>
      <c r="BW46" s="106" t="str">
        <f t="shared" ref="BW46" si="925">IF(BG46="","",(BG46-BG$10)*1000)</f>
        <v/>
      </c>
      <c r="BX46" s="106" t="e">
        <f t="shared" ref="BX46" si="926">IF(BH46="","",(BH46-BH$18)*1000)+BX$18</f>
        <v>#VALUE!</v>
      </c>
      <c r="BY46" s="106">
        <f t="shared" ref="BY46" si="927">IF(BI46="","",(BI46-BI$10)*1000)</f>
        <v>-2.0840400297830186</v>
      </c>
      <c r="BZ46" s="106">
        <f t="shared" ref="BZ46" si="928">IF(BJ46="","",(BJ46-BJ$10)*1000)</f>
        <v>-9.1366994760599951</v>
      </c>
      <c r="CA46" s="106">
        <f t="shared" ref="CA46" si="929">IF(BK46="","",(BK46-BK$10)*1000)</f>
        <v>1.5208404002891029</v>
      </c>
    </row>
    <row r="47" spans="1:79" s="108" customFormat="1" ht="29.25" customHeight="1">
      <c r="A47" s="189">
        <v>45798</v>
      </c>
      <c r="B47" s="100">
        <f t="shared" ref="B47" si="930">A47-$A$10</f>
        <v>474</v>
      </c>
      <c r="C47" s="101">
        <v>23.2</v>
      </c>
      <c r="D47" s="101">
        <f t="shared" ref="D47" si="931">C47-$W$6</f>
        <v>18.11</v>
      </c>
      <c r="E47" s="102" cm="1">
        <f t="array" ref="E47">IFERROR(_xlfn.SINGLE(INDEX(DATABASE!$AV$14:$BC$989,SUMPRODUCT((ROW(DATABASE!$AV$14:$AV$989)) * (DATABASE!AG$14:$AV$989='Résultats observations'!$A47 ) * (DATABASE!$AW$14:$AW$989= E$4))-ROW(DATABASE!$AV$14)+1,E$5)),"")</f>
        <v>823058.96900000004</v>
      </c>
      <c r="F47" s="102" cm="1">
        <f t="array" ref="F47">IFERROR(_xlfn.SINGLE(INDEX(DATABASE!$AV$14:$BC$989,SUMPRODUCT((ROW(DATABASE!$AV$14:$AV$989)) * (DATABASE!AH$14:$AV$989='Résultats observations'!$A47 ) * (DATABASE!$AW$14:$AW$989= F$4))-ROW(DATABASE!$AV$14)+1,F$5)),"")</f>
        <v>1091426.665</v>
      </c>
      <c r="G47" s="102" cm="1">
        <f t="array" ref="G47">IFERROR(_xlfn.SINGLE(INDEX(DATABASE!$AV$14:$BC$989,SUMPRODUCT((ROW(DATABASE!$AV$14:$AV$989)) * (DATABASE!AI$14:$AV$989='Résultats observations'!$A47 ) * (DATABASE!$AW$14:$AW$989= G$4))-ROW(DATABASE!$AV$14)+1,G$5)),"")</f>
        <v>-123.0615</v>
      </c>
      <c r="H47" s="102" cm="1">
        <f t="array" ref="H47">IFERROR(_xlfn.SINGLE(INDEX(DATABASE!$AV$14:$BC$989,SUMPRODUCT((ROW(DATABASE!$AV$14:$AV$989)) * (DATABASE!AJ$14:$AV$989='Résultats observations'!$A47 ) * (DATABASE!$AW$14:$AW$989= H$4))-ROW(DATABASE!$AV$14)+1,H$5)),"")</f>
        <v>823058.92859999998</v>
      </c>
      <c r="I47" s="102" cm="1">
        <f t="array" ref="I47">IFERROR(_xlfn.SINGLE(INDEX(DATABASE!$AV$14:$BC$989,SUMPRODUCT((ROW(DATABASE!$AV$14:$AV$989)) * (DATABASE!AK$14:$AV$989='Résultats observations'!$A47 ) * (DATABASE!$AW$14:$AW$989= I$4))-ROW(DATABASE!$AV$14)+1,I$5)),"")</f>
        <v>1091426.746</v>
      </c>
      <c r="J47" s="102" cm="1">
        <f t="array" ref="J47">IFERROR(_xlfn.SINGLE(INDEX(DATABASE!$AV$14:$BC$989,SUMPRODUCT((ROW(DATABASE!$AV$14:$AV$989)) * (DATABASE!AL$14:$AV$989='Résultats observations'!$A47 ) * (DATABASE!$AW$14:$AW$989= J$4))-ROW(DATABASE!$AV$14)+1,J$5)),"")</f>
        <v>-121.1314</v>
      </c>
      <c r="K47" s="102" cm="1">
        <f t="array" ref="K47">IFERROR(_xlfn.SINGLE(INDEX(DATABASE!$AV$14:$BC$989,SUMPRODUCT((ROW(DATABASE!$AV$14:$AV$989)) * (DATABASE!AM$14:$AV$989='Résultats observations'!$A47 ) * (DATABASE!$AW$14:$AW$989= K$4))-ROW(DATABASE!$AV$14)+1,K$5)),"")</f>
        <v>823058.01370000001</v>
      </c>
      <c r="L47" s="102" cm="1">
        <f t="array" ref="L47">IFERROR(_xlfn.SINGLE(INDEX(DATABASE!$AV$14:$BC$989,SUMPRODUCT((ROW(DATABASE!$AV$14:$AV$989)) * (DATABASE!AN$14:$AV$989='Résultats observations'!$A47 ) * (DATABASE!$AW$14:$AW$989= L$4))-ROW(DATABASE!$AV$14)+1,L$5)),"")</f>
        <v>1091429.0704999999</v>
      </c>
      <c r="M47" s="102" cm="1">
        <f t="array" ref="M47">IFERROR(_xlfn.SINGLE(INDEX(DATABASE!$AV$14:$BC$989,SUMPRODUCT((ROW(DATABASE!$AV$14:$AV$989)) * (DATABASE!AO$14:$AV$989='Résultats observations'!$A47 ) * (DATABASE!$AW$14:$AW$989= M$4))-ROW(DATABASE!$AV$14)+1,M$5)),"")</f>
        <v>-119.7015</v>
      </c>
      <c r="N47" s="102" t="str" cm="1">
        <f t="array" ref="N47">IFERROR(_xlfn.SINGLE(INDEX(DATABASE!$AV$14:$BC$989,SUMPRODUCT((ROW(DATABASE!$AV$14:$AV$989)) * (DATABASE!AP$14:$AV$989='Résultats observations'!$A47 ) * (DATABASE!$AW$14:$AW$989= N$4))-ROW(DATABASE!$AV$14)+1,N$5)),"")</f>
        <v/>
      </c>
      <c r="O47" s="102" t="str" cm="1">
        <f t="array" ref="O47">IFERROR(_xlfn.SINGLE(INDEX(DATABASE!$AV$14:$BC$989,SUMPRODUCT((ROW(DATABASE!$AV$14:$AV$989)) * (DATABASE!AQ$14:$AV$989='Résultats observations'!$A47 ) * (DATABASE!$AW$14:$AW$989= O$4))-ROW(DATABASE!$AV$14)+1,O$5)),"")</f>
        <v/>
      </c>
      <c r="P47" s="102" t="str" cm="1">
        <f t="array" ref="P47">IFERROR(_xlfn.SINGLE(INDEX(DATABASE!$AV$14:$BC$989,SUMPRODUCT((ROW(DATABASE!$AV$14:$AV$989)) * (DATABASE!AR$14:$AV$989='Résultats observations'!$A47 ) * (DATABASE!$AW$14:$AW$989= P$4))-ROW(DATABASE!$AV$14)+1,P$5)),"")</f>
        <v/>
      </c>
      <c r="Q47" s="102" cm="1">
        <f t="array" ref="Q47">IFERROR(_xlfn.SINGLE(INDEX(DATABASE!$AV$14:$BC$989,SUMPRODUCT((ROW(DATABASE!$AV$14:$AV$989)) * (DATABASE!AS$14:$AV$989='Résultats observations'!$A47 ) * (DATABASE!$AW$14:$AW$989= Q$4))-ROW(DATABASE!$AV$14)+1,Q$5)),"")</f>
        <v>823056.71779999998</v>
      </c>
      <c r="R47" s="102" cm="1">
        <f t="array" ref="R47">IFERROR(_xlfn.SINGLE(INDEX(DATABASE!$AV$14:$BC$989,SUMPRODUCT((ROW(DATABASE!$AV$14:$AV$989)) * (DATABASE!AT$14:$AV$989='Résultats observations'!$A47 ) * (DATABASE!$AW$14:$AW$989= R$4))-ROW(DATABASE!$AV$14)+1,R$5)),"")</f>
        <v>1091431.4480000001</v>
      </c>
      <c r="S47" s="102" cm="1">
        <f t="array" ref="S47">IFERROR(_xlfn.SINGLE(INDEX(DATABASE!$AV$14:$BC$989,SUMPRODUCT((ROW(DATABASE!$AV$14:$AV$989)) * (DATABASE!AU$14:$AV$989='Résultats observations'!$A47 ) * (DATABASE!$AW$14:$AW$989= S$4))-ROW(DATABASE!$AV$14)+1,S$5)),"")</f>
        <v>-123.0042</v>
      </c>
      <c r="T47" s="103">
        <f t="shared" si="2"/>
        <v>4.2413003123413606</v>
      </c>
      <c r="U47" s="103">
        <f t="shared" si="3"/>
        <v>2.8783599964833226</v>
      </c>
      <c r="V47" s="103" t="e">
        <f t="shared" si="4"/>
        <v>#VALUE!</v>
      </c>
      <c r="W47" s="103">
        <f t="shared" si="5"/>
        <v>4.2707950490406308</v>
      </c>
      <c r="X47" s="103" t="str">
        <f t="shared" si="6"/>
        <v/>
      </c>
      <c r="Y47" s="103">
        <f t="shared" si="7"/>
        <v>5.2866126896882983</v>
      </c>
      <c r="Z47" s="104">
        <f t="shared" ref="Z47" si="932">IF(T47="","",(T47-T$10)*1000)</f>
        <v>-26.978532255611753</v>
      </c>
      <c r="AA47" s="104">
        <f t="shared" ref="AA47" si="933">IF(U47="","",(U47-U$10)*1000)</f>
        <v>-23.454043441604178</v>
      </c>
      <c r="AB47" s="104" t="e">
        <f t="shared" ref="AB47" si="934">IF(V47="","",(V47-V$10)*1000)</f>
        <v>#VALUE!</v>
      </c>
      <c r="AC47" s="104">
        <f t="shared" ref="AC47" si="935">IF(W47="","",(W47-W$10)*1000)</f>
        <v>-9.3140515317058359</v>
      </c>
      <c r="AD47" s="104" t="str">
        <f t="shared" ref="AD47" si="936">IF(X47="","",(X47-X$10)*1000)</f>
        <v/>
      </c>
      <c r="AE47" s="104">
        <f t="shared" ref="AE47" si="937">IF(Y47="","",(Y47-Y$10)*1000)</f>
        <v>-18.926787460650907</v>
      </c>
      <c r="AF47" s="105"/>
      <c r="AG47" s="106">
        <f t="shared" ref="AG47" si="938">IF(E47="","",(E47-E$10)*1000)</f>
        <v>0.70000009145587683</v>
      </c>
      <c r="AH47" s="106">
        <f t="shared" ref="AH47" si="939">IF(F47="","",(F47-F$10)*1000)</f>
        <v>11.300000129267573</v>
      </c>
      <c r="AI47" s="106">
        <f t="shared" ref="AI47" si="940">IF(G47="","",(G47-G$10)*1000)</f>
        <v>-0.19999999999242846</v>
      </c>
      <c r="AJ47" s="106">
        <f t="shared" ref="AJ47" si="941">IF(H47="","",(H47-H$10)*1000)</f>
        <v>-2.9499999945983291</v>
      </c>
      <c r="AK47" s="106">
        <f t="shared" ref="AK47" si="942">IF(I47="","",(I47-I$10)*1000)</f>
        <v>5.6000000331550837</v>
      </c>
      <c r="AL47" s="106">
        <f t="shared" ref="AL47" si="943">IF(J47="","",(J47-J$10)*1000)</f>
        <v>-3.7999999999982492</v>
      </c>
      <c r="AM47" s="106">
        <f t="shared" ref="AM47" si="944">IF(K47="","",(K47-K$10)*1000)</f>
        <v>13.550000032410026</v>
      </c>
      <c r="AN47" s="106">
        <f t="shared" ref="AN47" si="945">IF(L47="","",(L47-L$10)*1000)</f>
        <v>-9.7000000532716513</v>
      </c>
      <c r="AO47" s="106">
        <f t="shared" ref="AO47" si="946">IF(M47="","",(M47-M$10)*1000)</f>
        <v>-15.549999999990405</v>
      </c>
      <c r="AP47" s="106" t="str">
        <f t="shared" ref="AP47" si="947">IF(N47="","",(N47-N$10)*1000)</f>
        <v/>
      </c>
      <c r="AQ47" s="106" t="str">
        <f t="shared" ref="AQ47" si="948">IF(O47="","",(O47-O$10)*1000)</f>
        <v/>
      </c>
      <c r="AR47" s="106" t="e">
        <f t="shared" ref="AR47" si="949">IF(P47="","",(P47-P$18)*1000)+AR$18</f>
        <v>#VALUE!</v>
      </c>
      <c r="AS47" s="106">
        <f t="shared" ref="AS47" si="950">IF(Q47="","",(Q47-Q$10)*1000)</f>
        <v>7.1499999612569809</v>
      </c>
      <c r="AT47" s="106">
        <f t="shared" ref="AT47" si="951">IF(R47="","",(R47-R$10)*1000)</f>
        <v>-6.5999999642372131</v>
      </c>
      <c r="AU47" s="106">
        <f t="shared" ref="AU47" si="952">IF(S47="","",(S47-S$10)*1000)</f>
        <v>1.1999999999972033</v>
      </c>
      <c r="AV47" s="105"/>
      <c r="AW47" s="107" cm="1">
        <f t="array" ref="AW47">IFERROR(_xlfn.SINGLE(INDEX(DATABASE!$AV$14:$BC$989,SUMPRODUCT((ROW(DATABASE!$AV$14:$AV$989)) * (DATABASE!$AV$14:HY$989='Résultats observations'!$A47 ) * (DATABASE!$AW$14:$AW$989= AW$4))-ROW(DATABASE!$AV$14)+1,AW$5)),"")</f>
        <v>5.0626367651338517</v>
      </c>
      <c r="AX47" s="107" cm="1">
        <f t="array" ref="AX47">IFERROR(_xlfn.SINGLE(INDEX(DATABASE!$AV$14:$BC$989,SUMPRODUCT((ROW(DATABASE!$AV$14:$AV$989)) * (DATABASE!$AV$14:HZ$989='Résultats observations'!$A47 ) * (DATABASE!$AW$14:$AW$989= AX$4))-ROW(DATABASE!$AV$14)+1,AX$5)),"")</f>
        <v>-2.6155492701249092</v>
      </c>
      <c r="AY47" s="107" cm="1">
        <f t="array" ref="AY47">IFERROR(_xlfn.SINGLE(INDEX(DATABASE!$AV$14:$BC$989,SUMPRODUCT((ROW(DATABASE!$AV$14:$AV$989)) * (DATABASE!$AV$14:IA$989='Résultats observations'!$A47 ) * (DATABASE!$AW$14:$AW$989= AY$4))-ROW(DATABASE!$AV$14)+1,AY$5)),"")</f>
        <v>-0.78512636765132982</v>
      </c>
      <c r="AZ47" s="107" cm="1">
        <f t="array" ref="AZ47">IFERROR(_xlfn.SINGLE(INDEX(DATABASE!$AV$14:$BC$989,SUMPRODUCT((ROW(DATABASE!$AV$14:$AV$989)) * (DATABASE!$AV$14:IB$989='Résultats observations'!$A47 ) * (DATABASE!$AW$14:$AW$989= AZ$4))-ROW(DATABASE!$AV$14)+1,AZ$5)),"")</f>
        <v>5.0650209603561942</v>
      </c>
      <c r="BA47" s="107" cm="1">
        <f t="array" ref="BA47">IFERROR(_xlfn.SINGLE(INDEX(DATABASE!$AV$14:$BC$989,SUMPRODUCT((ROW(DATABASE!$AV$14:$AV$989)) * (DATABASE!$AV$14:IC$989='Résultats observations'!$A47 ) * (DATABASE!$AW$14:$AW$989= BA$4))-ROW(DATABASE!$AV$14)+1,BA$5)),"")</f>
        <v>-2.5250645994972718</v>
      </c>
      <c r="BB47" s="107" cm="1">
        <f t="array" ref="BB47">IFERROR(_xlfn.SINGLE(INDEX(DATABASE!$AV$14:$BC$989,SUMPRODUCT((ROW(DATABASE!$AV$14:$AV$989)) * (DATABASE!$AV$14:ID$989='Résultats observations'!$A47 ) * (DATABASE!$AW$14:$AW$989= BB$4))-ROW(DATABASE!$AV$14)+1,BB$5)),"")</f>
        <v>1.1449497903964385</v>
      </c>
      <c r="BC47" s="107" cm="1">
        <f t="array" ref="BC47">IFERROR(_xlfn.SINGLE(INDEX(DATABASE!$AV$14:$BC$989,SUMPRODUCT((ROW(DATABASE!$AV$14:$AV$989)) * (DATABASE!$AV$14:IE$989='Résultats observations'!$A47 ) * (DATABASE!$AW$14:$AW$989= BC$4))-ROW(DATABASE!$AV$14)+1,BC$5)),"")</f>
        <v>4.9118654794041401</v>
      </c>
      <c r="BD47" s="107" cm="1">
        <f t="array" ref="BD47">IFERROR(_xlfn.SINGLE(INDEX(DATABASE!$AV$14:$BC$989,SUMPRODUCT((ROW(DATABASE!$AV$14:$AV$989)) * (DATABASE!$AV$14:IF$989='Résultats observations'!$A47 ) * (DATABASE!$AW$14:$AW$989= BD$4))-ROW(DATABASE!$AV$14)+1,BD$5)),"")</f>
        <v>-3.1696263689303714E-2</v>
      </c>
      <c r="BE47" s="107" cm="1">
        <f t="array" ref="BE47">IFERROR(_xlfn.SINGLE(INDEX(DATABASE!$AV$14:$BC$989,SUMPRODUCT((ROW(DATABASE!$AV$14:$AV$989)) * (DATABASE!$AV$14:IG$989='Résultats observations'!$A47 ) * (DATABASE!$AW$14:$AW$989= BE$4))-ROW(DATABASE!$AV$14)+1,BE$5)),"")</f>
        <v>2.5763813452059594</v>
      </c>
      <c r="BF47" s="107" t="str" cm="1">
        <f t="array" ref="BF47">IFERROR(_xlfn.SINGLE(INDEX(DATABASE!$AV$14:$BC$989,SUMPRODUCT((ROW(DATABASE!$AV$14:$AV$989)) * (DATABASE!$AV$14:IH$989='Résultats observations'!$A47 ) * (DATABASE!$AW$14:$AW$989= BF$4))-ROW(DATABASE!$AV$14)+1,BF$5)),"")</f>
        <v/>
      </c>
      <c r="BG47" s="107" t="str" cm="1">
        <f t="array" ref="BG47">IFERROR(_xlfn.SINGLE(INDEX(DATABASE!$AV$14:$BC$989,SUMPRODUCT((ROW(DATABASE!$AV$14:$AV$989)) * (DATABASE!$AV$14:II$989='Résultats observations'!$A47 ) * (DATABASE!$AW$14:$AW$989= BG$4))-ROW(DATABASE!$AV$14)+1,BG$5)),"")</f>
        <v/>
      </c>
      <c r="BH47" s="107" t="str" cm="1">
        <f t="array" ref="BH47">IFERROR(_xlfn.SINGLE(INDEX(DATABASE!$AV$14:$BC$989,SUMPRODUCT((ROW(DATABASE!$AV$14:$AV$989)) * (DATABASE!$AV$14:IJ$989='Résultats observations'!$A47 ) * (DATABASE!$AW$14:$AW$989= BH$4))-ROW(DATABASE!$AV$14)+1,BH$5)),"")</f>
        <v/>
      </c>
      <c r="BI47" s="107" cm="1">
        <f t="array" ref="BI47">IFERROR(_xlfn.SINGLE(INDEX(DATABASE!$AV$14:$BC$989,SUMPRODUCT((ROW(DATABASE!$AV$14:$AV$989)) * (DATABASE!$AV$14:IK$989='Résultats observations'!$A47 ) * (DATABASE!$AW$14:$AW$989= BI$4))-ROW(DATABASE!$AV$14)+1,BI$5)),"")</f>
        <v>5.0816178237192382</v>
      </c>
      <c r="BJ47" s="107" cm="1">
        <f t="array" ref="BJ47">IFERROR(_xlfn.SINGLE(INDEX(DATABASE!$AV$14:$BC$989,SUMPRODUCT((ROW(DATABASE!$AV$14:$AV$989)) * (DATABASE!$AV$14:IL$989='Résultats observations'!$A47 ) * (DATABASE!$AW$14:$AW$989= BJ$4))-ROW(DATABASE!$AV$14)+1,BJ$5)),"")</f>
        <v>2.6707188048206172</v>
      </c>
      <c r="BK47" s="107" cm="1">
        <f t="array" ref="BK47">IFERROR(_xlfn.SINGLE(INDEX(DATABASE!$AV$14:$BC$989,SUMPRODUCT((ROW(DATABASE!$AV$14:$AV$989)) * (DATABASE!$AV$14:IM$989='Résultats observations'!$A47 ) * (DATABASE!$AW$14:$AW$989= BK$4))-ROW(DATABASE!$AV$14)+1,BK$5)),"")</f>
        <v>-0.72801617823719766</v>
      </c>
      <c r="BL47" s="105"/>
      <c r="BM47" s="106">
        <f t="shared" ref="BM47" si="953">IF(AW47="","",(AW47-AW$10)*1000)</f>
        <v>-5.4098436950376083</v>
      </c>
      <c r="BN47" s="106">
        <f t="shared" ref="BN47" si="954">IF(AX47="","",(AX47-AX$10)*1000)</f>
        <v>9.9455313706582338</v>
      </c>
      <c r="BO47" s="106">
        <f t="shared" ref="BO47" si="955">IF(AY47="","",(AY47-AY$10)*1000)</f>
        <v>-0.14590156303029289</v>
      </c>
      <c r="BP47" s="106">
        <f t="shared" ref="BP47" si="956">IF(AZ47="","",(AZ47-AZ$10)*1000)</f>
        <v>0.30704628250965982</v>
      </c>
      <c r="BQ47" s="106">
        <f t="shared" ref="BQ47" si="957">IF(BA47="","",(BA47-BA$10)*1000)</f>
        <v>6.3220426224330772</v>
      </c>
      <c r="BR47" s="106">
        <f t="shared" ref="BR47" si="958">IF(BB47="","",(BB47-BB$10)*1000)</f>
        <v>-3.8030704628226886</v>
      </c>
      <c r="BS47" s="106">
        <f t="shared" ref="BS47" si="959">IF(BC47="","",(BC47-BC$10)*1000)</f>
        <v>-8.1813043841023614</v>
      </c>
      <c r="BT47" s="106">
        <f t="shared" ref="BT47" si="960">IF(BD47="","",(BD47-BD$10)*1000)</f>
        <v>-14.517532865003204</v>
      </c>
      <c r="BU47" s="106">
        <f t="shared" ref="BU47" si="961">IF(BE47="","",(BE47-BE$10)*1000)</f>
        <v>-15.468186956155705</v>
      </c>
      <c r="BV47" s="106" t="str">
        <f t="shared" ref="BV47" si="962">IF(BF47="","",(BF47-BF$10)*1000)</f>
        <v/>
      </c>
      <c r="BW47" s="106" t="str">
        <f t="shared" ref="BW47" si="963">IF(BG47="","",(BG47-BG$10)*1000)</f>
        <v/>
      </c>
      <c r="BX47" s="106" t="e">
        <f t="shared" ref="BX47" si="964">IF(BH47="","",(BH47-BH$18)*1000)+BX$18</f>
        <v>#VALUE!</v>
      </c>
      <c r="BY47" s="106">
        <f t="shared" ref="BY47" si="965">IF(BI47="","",(BI47-BI$10)*1000)</f>
        <v>-3.6909633893058569</v>
      </c>
      <c r="BZ47" s="106">
        <f t="shared" ref="BZ47" si="966">IF(BJ47="","",(BJ47-BJ$10)*1000)</f>
        <v>-9.0032931882020328</v>
      </c>
      <c r="CA47" s="106">
        <f t="shared" ref="CA47" si="967">IF(BK47="","",(BK47-BK$10)*1000)</f>
        <v>1.236909633888672</v>
      </c>
    </row>
    <row r="48" spans="1:79" s="108" customFormat="1" ht="29.25" customHeight="1">
      <c r="A48" s="189">
        <v>45803</v>
      </c>
      <c r="B48" s="100">
        <f t="shared" ref="B48" si="968">A48-$A$10</f>
        <v>479</v>
      </c>
      <c r="C48" s="101">
        <v>23.7</v>
      </c>
      <c r="D48" s="101">
        <f t="shared" ref="D48" si="969">C48-$W$6</f>
        <v>18.61</v>
      </c>
      <c r="E48" s="102" cm="1">
        <f t="array" ref="E48">IFERROR(_xlfn.SINGLE(INDEX(DATABASE!$AV$14:$BC$989,SUMPRODUCT((ROW(DATABASE!$AV$14:$AV$989)) * (DATABASE!AG$14:$AV$989='Résultats observations'!$A48 ) * (DATABASE!$AW$14:$AW$989= E$4))-ROW(DATABASE!$AV$14)+1,E$5)),"")</f>
        <v>823058.96950000001</v>
      </c>
      <c r="F48" s="102" cm="1">
        <f t="array" ref="F48">IFERROR(_xlfn.SINGLE(INDEX(DATABASE!$AV$14:$BC$989,SUMPRODUCT((ROW(DATABASE!$AV$14:$AV$989)) * (DATABASE!AH$14:$AV$989='Résultats observations'!$A48 ) * (DATABASE!$AW$14:$AW$989= F$4))-ROW(DATABASE!$AV$14)+1,F$5)),"")</f>
        <v>1091426.6645</v>
      </c>
      <c r="G48" s="102" cm="1">
        <f t="array" ref="G48">IFERROR(_xlfn.SINGLE(INDEX(DATABASE!$AV$14:$BC$989,SUMPRODUCT((ROW(DATABASE!$AV$14:$AV$989)) * (DATABASE!AI$14:$AV$989='Résultats observations'!$A48 ) * (DATABASE!$AW$14:$AW$989= G$4))-ROW(DATABASE!$AV$14)+1,G$5)),"")</f>
        <v>-123.0608</v>
      </c>
      <c r="H48" s="102" cm="1">
        <f t="array" ref="H48">IFERROR(_xlfn.SINGLE(INDEX(DATABASE!$AV$14:$BC$989,SUMPRODUCT((ROW(DATABASE!$AV$14:$AV$989)) * (DATABASE!AJ$14:$AV$989='Résultats observations'!$A48 ) * (DATABASE!$AW$14:$AW$989= H$4))-ROW(DATABASE!$AV$14)+1,H$5)),"")</f>
        <v>823058.93039999995</v>
      </c>
      <c r="I48" s="102" cm="1">
        <f t="array" ref="I48">IFERROR(_xlfn.SINGLE(INDEX(DATABASE!$AV$14:$BC$989,SUMPRODUCT((ROW(DATABASE!$AV$14:$AV$989)) * (DATABASE!AK$14:$AV$989='Résultats observations'!$A48 ) * (DATABASE!$AW$14:$AW$989= I$4))-ROW(DATABASE!$AV$14)+1,I$5)),"")</f>
        <v>1091426.7472999999</v>
      </c>
      <c r="J48" s="102" cm="1">
        <f t="array" ref="J48">IFERROR(_xlfn.SINGLE(INDEX(DATABASE!$AV$14:$BC$989,SUMPRODUCT((ROW(DATABASE!$AV$14:$AV$989)) * (DATABASE!AL$14:$AV$989='Résultats observations'!$A48 ) * (DATABASE!$AW$14:$AW$989= J$4))-ROW(DATABASE!$AV$14)+1,J$5)),"")</f>
        <v>-121.13120000000001</v>
      </c>
      <c r="K48" s="102" cm="1">
        <f t="array" ref="K48">IFERROR(_xlfn.SINGLE(INDEX(DATABASE!$AV$14:$BC$989,SUMPRODUCT((ROW(DATABASE!$AV$14:$AV$989)) * (DATABASE!AM$14:$AV$989='Résultats observations'!$A48 ) * (DATABASE!$AW$14:$AW$989= K$4))-ROW(DATABASE!$AV$14)+1,K$5)),"")</f>
        <v>823058.01470000006</v>
      </c>
      <c r="L48" s="102" cm="1">
        <f t="array" ref="L48">IFERROR(_xlfn.SINGLE(INDEX(DATABASE!$AV$14:$BC$989,SUMPRODUCT((ROW(DATABASE!$AV$14:$AV$989)) * (DATABASE!AN$14:$AV$989='Résultats observations'!$A48 ) * (DATABASE!$AW$14:$AW$989= L$4))-ROW(DATABASE!$AV$14)+1,L$5)),"")</f>
        <v>1091429.0693999999</v>
      </c>
      <c r="M48" s="102" cm="1">
        <f t="array" ref="M48">IFERROR(_xlfn.SINGLE(INDEX(DATABASE!$AV$14:$BC$989,SUMPRODUCT((ROW(DATABASE!$AV$14:$AV$989)) * (DATABASE!AO$14:$AV$989='Résultats observations'!$A48 ) * (DATABASE!$AW$14:$AW$989= M$4))-ROW(DATABASE!$AV$14)+1,M$5)),"")</f>
        <v>-119.7016</v>
      </c>
      <c r="N48" s="102" t="str" cm="1">
        <f t="array" ref="N48">IFERROR(_xlfn.SINGLE(INDEX(DATABASE!$AV$14:$BC$989,SUMPRODUCT((ROW(DATABASE!$AV$14:$AV$989)) * (DATABASE!AP$14:$AV$989='Résultats observations'!$A48 ) * (DATABASE!$AW$14:$AW$989= N$4))-ROW(DATABASE!$AV$14)+1,N$5)),"")</f>
        <v/>
      </c>
      <c r="O48" s="102" t="str" cm="1">
        <f t="array" ref="O48">IFERROR(_xlfn.SINGLE(INDEX(DATABASE!$AV$14:$BC$989,SUMPRODUCT((ROW(DATABASE!$AV$14:$AV$989)) * (DATABASE!AQ$14:$AV$989='Résultats observations'!$A48 ) * (DATABASE!$AW$14:$AW$989= O$4))-ROW(DATABASE!$AV$14)+1,O$5)),"")</f>
        <v/>
      </c>
      <c r="P48" s="102" t="str" cm="1">
        <f t="array" ref="P48">IFERROR(_xlfn.SINGLE(INDEX(DATABASE!$AV$14:$BC$989,SUMPRODUCT((ROW(DATABASE!$AV$14:$AV$989)) * (DATABASE!AR$14:$AV$989='Résultats observations'!$A48 ) * (DATABASE!$AW$14:$AW$989= P$4))-ROW(DATABASE!$AV$14)+1,P$5)),"")</f>
        <v/>
      </c>
      <c r="Q48" s="102" cm="1">
        <f t="array" ref="Q48">IFERROR(_xlfn.SINGLE(INDEX(DATABASE!$AV$14:$BC$989,SUMPRODUCT((ROW(DATABASE!$AV$14:$AV$989)) * (DATABASE!AS$14:$AV$989='Résultats observations'!$A48 ) * (DATABASE!$AW$14:$AW$989= Q$4))-ROW(DATABASE!$AV$14)+1,Q$5)),"")</f>
        <v>823056.71810000006</v>
      </c>
      <c r="R48" s="102" cm="1">
        <f t="array" ref="R48">IFERROR(_xlfn.SINGLE(INDEX(DATABASE!$AV$14:$BC$989,SUMPRODUCT((ROW(DATABASE!$AV$14:$AV$989)) * (DATABASE!AT$14:$AV$989='Résultats observations'!$A48 ) * (DATABASE!$AW$14:$AW$989= R$4))-ROW(DATABASE!$AV$14)+1,R$5)),"")</f>
        <v>1091431.4467</v>
      </c>
      <c r="S48" s="102" cm="1">
        <f t="array" ref="S48">IFERROR(_xlfn.SINGLE(INDEX(DATABASE!$AV$14:$BC$989,SUMPRODUCT((ROW(DATABASE!$AV$14:$AV$989)) * (DATABASE!AU$14:$AV$989='Résultats observations'!$A48 ) * (DATABASE!$AW$14:$AW$989= S$4))-ROW(DATABASE!$AV$14)+1,S$5)),"")</f>
        <v>-123.0038</v>
      </c>
      <c r="T48" s="103">
        <f t="shared" si="2"/>
        <v>4.2402136372750618</v>
      </c>
      <c r="U48" s="103">
        <f t="shared" si="3"/>
        <v>2.876527604554552</v>
      </c>
      <c r="V48" s="103" t="e">
        <f t="shared" si="4"/>
        <v>#VALUE!</v>
      </c>
      <c r="W48" s="103">
        <f t="shared" si="5"/>
        <v>4.2705095352014517</v>
      </c>
      <c r="X48" s="103" t="str">
        <f t="shared" si="6"/>
        <v/>
      </c>
      <c r="Y48" s="103">
        <f t="shared" si="7"/>
        <v>5.285970847434597</v>
      </c>
      <c r="Z48" s="104">
        <f t="shared" ref="Z48" si="970">IF(T48="","",(T48-T$10)*1000)</f>
        <v>-28.065207321910535</v>
      </c>
      <c r="AA48" s="104">
        <f t="shared" ref="AA48" si="971">IF(U48="","",(U48-U$10)*1000)</f>
        <v>-25.286435370374782</v>
      </c>
      <c r="AB48" s="104" t="e">
        <f t="shared" ref="AB48" si="972">IF(V48="","",(V48-V$10)*1000)</f>
        <v>#VALUE!</v>
      </c>
      <c r="AC48" s="104">
        <f t="shared" ref="AC48" si="973">IF(W48="","",(W48-W$10)*1000)</f>
        <v>-9.5995653708849105</v>
      </c>
      <c r="AD48" s="104" t="str">
        <f t="shared" ref="AD48" si="974">IF(X48="","",(X48-X$10)*1000)</f>
        <v/>
      </c>
      <c r="AE48" s="104">
        <f t="shared" ref="AE48" si="975">IF(Y48="","",(Y48-Y$10)*1000)</f>
        <v>-19.568629714352248</v>
      </c>
      <c r="AF48" s="105"/>
      <c r="AG48" s="106">
        <f t="shared" ref="AG48" si="976">IF(E48="","",(E48-E$10)*1000)</f>
        <v>1.2000000569969416</v>
      </c>
      <c r="AH48" s="106">
        <f t="shared" ref="AH48" si="977">IF(F48="","",(F48-F$10)*1000)</f>
        <v>10.800000047311187</v>
      </c>
      <c r="AI48" s="106">
        <f t="shared" ref="AI48" si="978">IF(G48="","",(G48-G$10)*1000)</f>
        <v>0.50000000000238742</v>
      </c>
      <c r="AJ48" s="106">
        <f t="shared" ref="AJ48" si="979">IF(H48="","",(H48-H$10)*1000)</f>
        <v>-1.1500000255182385</v>
      </c>
      <c r="AK48" s="106">
        <f t="shared" ref="AK48" si="980">IF(I48="","",(I48-I$10)*1000)</f>
        <v>6.8999999202787876</v>
      </c>
      <c r="AL48" s="106">
        <f t="shared" ref="AL48" si="981">IF(J48="","",(J48-J$10)*1000)</f>
        <v>-3.6000000000058208</v>
      </c>
      <c r="AM48" s="106">
        <f t="shared" ref="AM48" si="982">IF(K48="","",(K48-K$10)*1000)</f>
        <v>14.550000079907477</v>
      </c>
      <c r="AN48" s="106">
        <f t="shared" ref="AN48" si="983">IF(L48="","",(L48-L$10)*1000)</f>
        <v>-10.800000047311187</v>
      </c>
      <c r="AO48" s="106">
        <f t="shared" ref="AO48" si="984">IF(M48="","",(M48-M$10)*1000)</f>
        <v>-15.649999999993724</v>
      </c>
      <c r="AP48" s="106" t="str">
        <f t="shared" ref="AP48" si="985">IF(N48="","",(N48-N$10)*1000)</f>
        <v/>
      </c>
      <c r="AQ48" s="106" t="str">
        <f t="shared" ref="AQ48" si="986">IF(O48="","",(O48-O$10)*1000)</f>
        <v/>
      </c>
      <c r="AR48" s="106" t="e">
        <f t="shared" ref="AR48" si="987">IF(P48="","",(P48-P$18)*1000)+AR$18</f>
        <v>#VALUE!</v>
      </c>
      <c r="AS48" s="106">
        <f t="shared" ref="AS48" si="988">IF(Q48="","",(Q48-Q$10)*1000)</f>
        <v>7.4500000337138772</v>
      </c>
      <c r="AT48" s="106">
        <f t="shared" ref="AT48" si="989">IF(R48="","",(R48-R$10)*1000)</f>
        <v>-7.9000000841915607</v>
      </c>
      <c r="AU48" s="106">
        <f t="shared" ref="AU48" si="990">IF(S48="","",(S48-S$10)*1000)</f>
        <v>1.5999999999962711</v>
      </c>
      <c r="AV48" s="105"/>
      <c r="AW48" s="107" cm="1">
        <f t="array" ref="AW48">IFERROR(_xlfn.SINGLE(INDEX(DATABASE!$AV$14:$BC$989,SUMPRODUCT((ROW(DATABASE!$AV$14:$AV$989)) * (DATABASE!$AV$14:HY$989='Résultats observations'!$A48 ) * (DATABASE!$AW$14:$AW$989= AW$4))-ROW(DATABASE!$AV$14)+1,AW$5)),"")</f>
        <v>5.0623949098642687</v>
      </c>
      <c r="AX48" s="107" cm="1">
        <f t="array" ref="AX48">IFERROR(_xlfn.SINGLE(INDEX(DATABASE!$AV$14:$BC$989,SUMPRODUCT((ROW(DATABASE!$AV$14:$AV$989)) * (DATABASE!$AV$14:HZ$989='Résultats observations'!$A48 ) * (DATABASE!$AW$14:$AW$989= AX$4))-ROW(DATABASE!$AV$14)+1,AX$5)),"")</f>
        <v>-2.6162137293607337</v>
      </c>
      <c r="AY48" s="107" cm="1">
        <f t="array" ref="AY48">IFERROR(_xlfn.SINGLE(INDEX(DATABASE!$AV$14:$BC$989,SUMPRODUCT((ROW(DATABASE!$AV$14:$AV$989)) * (DATABASE!$AV$14:IA$989='Résultats observations'!$A48 ) * (DATABASE!$AW$14:$AW$989= AY$4))-ROW(DATABASE!$AV$14)+1,AY$5)),"")</f>
        <v>-0.78442394909863822</v>
      </c>
      <c r="AZ48" s="107" cm="1">
        <f t="array" ref="AZ48">IFERROR(_xlfn.SINGLE(INDEX(DATABASE!$AV$14:$BC$989,SUMPRODUCT((ROW(DATABASE!$AV$14:$AV$989)) * (DATABASE!$AV$14:IB$989='Résultats observations'!$A48 ) * (DATABASE!$AW$14:$AW$989= AZ$4))-ROW(DATABASE!$AV$14)+1,AZ$5)),"")</f>
        <v>5.0628402093182583</v>
      </c>
      <c r="BA48" s="107" cm="1">
        <f t="array" ref="BA48">IFERROR(_xlfn.SINGLE(INDEX(DATABASE!$AV$14:$BC$989,SUMPRODUCT((ROW(DATABASE!$AV$14:$AV$989)) * (DATABASE!$AV$14:IC$989='Résultats observations'!$A48 ) * (DATABASE!$AW$14:$AW$989= BA$4))-ROW(DATABASE!$AV$14)+1,BA$5)),"")</f>
        <v>-2.5246470776346639</v>
      </c>
      <c r="BB48" s="107" cm="1">
        <f t="array" ref="BB48">IFERROR(_xlfn.SINGLE(INDEX(DATABASE!$AV$14:$BC$989,SUMPRODUCT((ROW(DATABASE!$AV$14:$AV$989)) * (DATABASE!$AV$14:ID$989='Résultats observations'!$A48 ) * (DATABASE!$AW$14:$AW$989= BB$4))-ROW(DATABASE!$AV$14)+1,BB$5)),"")</f>
        <v>1.1451715979068098</v>
      </c>
      <c r="BC48" s="107" cm="1">
        <f t="array" ref="BC48">IFERROR(_xlfn.SINGLE(INDEX(DATABASE!$AV$14:$BC$989,SUMPRODUCT((ROW(DATABASE!$AV$14:$AV$989)) * (DATABASE!$AV$14:IE$989='Résultats observations'!$A48 ) * (DATABASE!$AW$14:$AW$989= BC$4))-ROW(DATABASE!$AV$14)+1,BC$5)),"")</f>
        <v>4.9114240290717381</v>
      </c>
      <c r="BD48" s="107" cm="1">
        <f t="array" ref="BD48">IFERROR(_xlfn.SINGLE(INDEX(DATABASE!$AV$14:$BC$989,SUMPRODUCT((ROW(DATABASE!$AV$14:$AV$989)) * (DATABASE!$AV$14:IF$989='Résultats observations'!$A48 ) * (DATABASE!$AW$14:$AW$989= BD$4))-ROW(DATABASE!$AV$14)+1,BD$5)),"")</f>
        <v>-3.3115813507344362E-2</v>
      </c>
      <c r="BE48" s="107" cm="1">
        <f t="array" ref="BE48">IFERROR(_xlfn.SINGLE(INDEX(DATABASE!$AV$14:$BC$989,SUMPRODUCT((ROW(DATABASE!$AV$14:$AV$989)) * (DATABASE!$AV$14:IG$989='Résultats observations'!$A48 ) * (DATABASE!$AW$14:$AW$989= BE$4))-ROW(DATABASE!$AV$14)+1,BE$5)),"")</f>
        <v>2.576285759709279</v>
      </c>
      <c r="BF48" s="107" t="str" cm="1">
        <f t="array" ref="BF48">IFERROR(_xlfn.SINGLE(INDEX(DATABASE!$AV$14:$BC$989,SUMPRODUCT((ROW(DATABASE!$AV$14:$AV$989)) * (DATABASE!$AV$14:IH$989='Résultats observations'!$A48 ) * (DATABASE!$AW$14:$AW$989= BF$4))-ROW(DATABASE!$AV$14)+1,BF$5)),"")</f>
        <v/>
      </c>
      <c r="BG48" s="107" t="str" cm="1">
        <f t="array" ref="BG48">IFERROR(_xlfn.SINGLE(INDEX(DATABASE!$AV$14:$BC$989,SUMPRODUCT((ROW(DATABASE!$AV$14:$AV$989)) * (DATABASE!$AV$14:II$989='Résultats observations'!$A48 ) * (DATABASE!$AW$14:$AW$989= BG$4))-ROW(DATABASE!$AV$14)+1,BG$5)),"")</f>
        <v/>
      </c>
      <c r="BH48" s="107" t="str" cm="1">
        <f t="array" ref="BH48">IFERROR(_xlfn.SINGLE(INDEX(DATABASE!$AV$14:$BC$989,SUMPRODUCT((ROW(DATABASE!$AV$14:$AV$989)) * (DATABASE!$AV$14:IJ$989='Résultats observations'!$A48 ) * (DATABASE!$AW$14:$AW$989= BH$4))-ROW(DATABASE!$AV$14)+1,BH$5)),"")</f>
        <v/>
      </c>
      <c r="BI48" s="107" cm="1">
        <f t="array" ref="BI48">IFERROR(_xlfn.SINGLE(INDEX(DATABASE!$AV$14:$BC$989,SUMPRODUCT((ROW(DATABASE!$AV$14:$AV$989)) * (DATABASE!$AV$14:IK$989='Résultats observations'!$A48 ) * (DATABASE!$AW$14:$AW$989= BI$4))-ROW(DATABASE!$AV$14)+1,BI$5)),"")</f>
        <v>5.0818953143436483</v>
      </c>
      <c r="BJ48" s="107" cm="1">
        <f t="array" ref="BJ48">IFERROR(_xlfn.SINGLE(INDEX(DATABASE!$AV$14:$BC$989,SUMPRODUCT((ROW(DATABASE!$AV$14:$AV$989)) * (DATABASE!$AV$14:IL$989='Résultats observations'!$A48 ) * (DATABASE!$AW$14:$AW$989= BJ$4))-ROW(DATABASE!$AV$14)+1,BJ$5)),"")</f>
        <v>2.6694138146640607</v>
      </c>
      <c r="BK48" s="107" cm="1">
        <f t="array" ref="BK48">IFERROR(_xlfn.SINGLE(INDEX(DATABASE!$AV$14:$BC$989,SUMPRODUCT((ROW(DATABASE!$AV$14:$AV$989)) * (DATABASE!$AV$14:IM$989='Résultats observations'!$A48 ) * (DATABASE!$AW$14:$AW$989= BK$4))-ROW(DATABASE!$AV$14)+1,BK$5)),"")</f>
        <v>-0.72761895314343406</v>
      </c>
      <c r="BL48" s="105"/>
      <c r="BM48" s="106">
        <f t="shared" ref="BM48" si="991">IF(AW48="","",(AW48-AW$10)*1000)</f>
        <v>-5.6516989646206994</v>
      </c>
      <c r="BN48" s="106">
        <f t="shared" ref="BN48" si="992">IF(AX48="","",(AX48-AX$10)*1000)</f>
        <v>9.2810721348337566</v>
      </c>
      <c r="BO48" s="106">
        <f t="shared" ref="BO48" si="993">IF(AY48="","",(AY48-AY$10)*1000)</f>
        <v>0.55651698966130425</v>
      </c>
      <c r="BP48" s="106">
        <f t="shared" ref="BP48" si="994">IF(AZ48="","",(AZ48-AZ$10)*1000)</f>
        <v>-1.8737047554262531</v>
      </c>
      <c r="BQ48" s="106">
        <f t="shared" ref="BQ48" si="995">IF(BA48="","",(BA48-BA$10)*1000)</f>
        <v>6.739564485040983</v>
      </c>
      <c r="BR48" s="106">
        <f t="shared" ref="BR48" si="996">IF(BB48="","",(BB48-BB$10)*1000)</f>
        <v>-3.581262952451425</v>
      </c>
      <c r="BS48" s="106">
        <f t="shared" ref="BS48" si="997">IF(BC48="","",(BC48-BC$10)*1000)</f>
        <v>-8.6227547165043106</v>
      </c>
      <c r="BT48" s="106">
        <f t="shared" ref="BT48" si="998">IF(BD48="","",(BD48-BD$10)*1000)</f>
        <v>-15.937082683043853</v>
      </c>
      <c r="BU48" s="106">
        <f t="shared" ref="BU48" si="999">IF(BE48="","",(BE48-BE$10)*1000)</f>
        <v>-15.563772452836133</v>
      </c>
      <c r="BV48" s="106" t="str">
        <f t="shared" ref="BV48" si="1000">IF(BF48="","",(BF48-BF$10)*1000)</f>
        <v/>
      </c>
      <c r="BW48" s="106" t="str">
        <f t="shared" ref="BW48" si="1001">IF(BG48="","",(BG48-BG$10)*1000)</f>
        <v/>
      </c>
      <c r="BX48" s="106" t="e">
        <f t="shared" ref="BX48" si="1002">IF(BH48="","",(BH48-BH$18)*1000)+BX$18</f>
        <v>#VALUE!</v>
      </c>
      <c r="BY48" s="106">
        <f t="shared" ref="BY48" si="1003">IF(BI48="","",(BI48-BI$10)*1000)</f>
        <v>-3.4134727648957863</v>
      </c>
      <c r="BZ48" s="106">
        <f t="shared" ref="BZ48" si="1004">IF(BJ48="","",(BJ48-BJ$10)*1000)</f>
        <v>-10.308283344758529</v>
      </c>
      <c r="CA48" s="106">
        <f t="shared" ref="CA48" si="1005">IF(BK48="","",(BK48-BK$10)*1000)</f>
        <v>1.6341347276522811</v>
      </c>
    </row>
    <row r="49" spans="1:79" s="108" customFormat="1" ht="29.25" customHeight="1">
      <c r="A49" s="189">
        <v>45810</v>
      </c>
      <c r="B49" s="100">
        <f t="shared" ref="B49" si="1006">A49-$A$10</f>
        <v>486</v>
      </c>
      <c r="C49" s="101">
        <v>24.6</v>
      </c>
      <c r="D49" s="101">
        <f t="shared" ref="D49" si="1007">C49-$W$6</f>
        <v>19.510000000000002</v>
      </c>
      <c r="E49" s="102" cm="1">
        <f t="array" ref="E49">IFERROR(_xlfn.SINGLE(INDEX(DATABASE!$AV$14:$BC$989,SUMPRODUCT((ROW(DATABASE!$AV$14:$AV$989)) * (DATABASE!AG$14:$AV$989='Résultats observations'!$A49 ) * (DATABASE!$AW$14:$AW$989= E$4))-ROW(DATABASE!$AV$14)+1,E$5)),"")</f>
        <v>823058.96829999995</v>
      </c>
      <c r="F49" s="102" cm="1">
        <f t="array" ref="F49">IFERROR(_xlfn.SINGLE(INDEX(DATABASE!$AV$14:$BC$989,SUMPRODUCT((ROW(DATABASE!$AV$14:$AV$989)) * (DATABASE!AH$14:$AV$989='Résultats observations'!$A49 ) * (DATABASE!$AW$14:$AW$989= F$4))-ROW(DATABASE!$AV$14)+1,F$5)),"")</f>
        <v>1091426.6649</v>
      </c>
      <c r="G49" s="102" cm="1">
        <f t="array" ref="G49">IFERROR(_xlfn.SINGLE(INDEX(DATABASE!$AV$14:$BC$989,SUMPRODUCT((ROW(DATABASE!$AV$14:$AV$989)) * (DATABASE!AI$14:$AV$989='Résultats observations'!$A49 ) * (DATABASE!$AW$14:$AW$989= G$4))-ROW(DATABASE!$AV$14)+1,G$5)),"")</f>
        <v>-123.0605</v>
      </c>
      <c r="H49" s="102" cm="1">
        <f t="array" ref="H49">IFERROR(_xlfn.SINGLE(INDEX(DATABASE!$AV$14:$BC$989,SUMPRODUCT((ROW(DATABASE!$AV$14:$AV$989)) * (DATABASE!AJ$14:$AV$989='Résultats observations'!$A49 ) * (DATABASE!$AW$14:$AW$989= H$4))-ROW(DATABASE!$AV$14)+1,H$5)),"")</f>
        <v>823058.92909999995</v>
      </c>
      <c r="I49" s="102" cm="1">
        <f t="array" ref="I49">IFERROR(_xlfn.SINGLE(INDEX(DATABASE!$AV$14:$BC$989,SUMPRODUCT((ROW(DATABASE!$AV$14:$AV$989)) * (DATABASE!AK$14:$AV$989='Résultats observations'!$A49 ) * (DATABASE!$AW$14:$AW$989= I$4))-ROW(DATABASE!$AV$14)+1,I$5)),"")</f>
        <v>1091426.7475999999</v>
      </c>
      <c r="J49" s="102" cm="1">
        <f t="array" ref="J49">IFERROR(_xlfn.SINGLE(INDEX(DATABASE!$AV$14:$BC$989,SUMPRODUCT((ROW(DATABASE!$AV$14:$AV$989)) * (DATABASE!AL$14:$AV$989='Résultats observations'!$A49 ) * (DATABASE!$AW$14:$AW$989= J$4))-ROW(DATABASE!$AV$14)+1,J$5)),"")</f>
        <v>-121.13079999999999</v>
      </c>
      <c r="K49" s="102" cm="1">
        <f t="array" ref="K49">IFERROR(_xlfn.SINGLE(INDEX(DATABASE!$AV$14:$BC$989,SUMPRODUCT((ROW(DATABASE!$AV$14:$AV$989)) * (DATABASE!AM$14:$AV$989='Résultats observations'!$A49 ) * (DATABASE!$AW$14:$AW$989= K$4))-ROW(DATABASE!$AV$14)+1,K$5)),"")</f>
        <v>823058.01430000004</v>
      </c>
      <c r="L49" s="102" cm="1">
        <f t="array" ref="L49">IFERROR(_xlfn.SINGLE(INDEX(DATABASE!$AV$14:$BC$989,SUMPRODUCT((ROW(DATABASE!$AV$14:$AV$989)) * (DATABASE!AN$14:$AV$989='Résultats observations'!$A49 ) * (DATABASE!$AW$14:$AW$989= L$4))-ROW(DATABASE!$AV$14)+1,L$5)),"")</f>
        <v>1091429.0696</v>
      </c>
      <c r="M49" s="102" cm="1">
        <f t="array" ref="M49">IFERROR(_xlfn.SINGLE(INDEX(DATABASE!$AV$14:$BC$989,SUMPRODUCT((ROW(DATABASE!$AV$14:$AV$989)) * (DATABASE!AO$14:$AV$989='Résultats observations'!$A49 ) * (DATABASE!$AW$14:$AW$989= M$4))-ROW(DATABASE!$AV$14)+1,M$5)),"")</f>
        <v>-119.7017</v>
      </c>
      <c r="N49" s="102" t="str" cm="1">
        <f t="array" ref="N49">IFERROR(_xlfn.SINGLE(INDEX(DATABASE!$AV$14:$BC$989,SUMPRODUCT((ROW(DATABASE!$AV$14:$AV$989)) * (DATABASE!AP$14:$AV$989='Résultats observations'!$A49 ) * (DATABASE!$AW$14:$AW$989= N$4))-ROW(DATABASE!$AV$14)+1,N$5)),"")</f>
        <v/>
      </c>
      <c r="O49" s="102" t="str" cm="1">
        <f t="array" ref="O49">IFERROR(_xlfn.SINGLE(INDEX(DATABASE!$AV$14:$BC$989,SUMPRODUCT((ROW(DATABASE!$AV$14:$AV$989)) * (DATABASE!AQ$14:$AV$989='Résultats observations'!$A49 ) * (DATABASE!$AW$14:$AW$989= O$4))-ROW(DATABASE!$AV$14)+1,O$5)),"")</f>
        <v/>
      </c>
      <c r="P49" s="102" t="str" cm="1">
        <f t="array" ref="P49">IFERROR(_xlfn.SINGLE(INDEX(DATABASE!$AV$14:$BC$989,SUMPRODUCT((ROW(DATABASE!$AV$14:$AV$989)) * (DATABASE!AR$14:$AV$989='Résultats observations'!$A49 ) * (DATABASE!$AW$14:$AW$989= P$4))-ROW(DATABASE!$AV$14)+1,P$5)),"")</f>
        <v/>
      </c>
      <c r="Q49" s="102" cm="1">
        <f t="array" ref="Q49">IFERROR(_xlfn.SINGLE(INDEX(DATABASE!$AV$14:$BC$989,SUMPRODUCT((ROW(DATABASE!$AV$14:$AV$989)) * (DATABASE!AS$14:$AV$989='Résultats observations'!$A49 ) * (DATABASE!$AW$14:$AW$989= Q$4))-ROW(DATABASE!$AV$14)+1,Q$5)),"")</f>
        <v>823056.71750000003</v>
      </c>
      <c r="R49" s="102" cm="1">
        <f t="array" ref="R49">IFERROR(_xlfn.SINGLE(INDEX(DATABASE!$AV$14:$BC$989,SUMPRODUCT((ROW(DATABASE!$AV$14:$AV$989)) * (DATABASE!AT$14:$AV$989='Résultats observations'!$A49 ) * (DATABASE!$AW$14:$AW$989= R$4))-ROW(DATABASE!$AV$14)+1,R$5)),"")</f>
        <v>1091431.4472000001</v>
      </c>
      <c r="S49" s="102" cm="1">
        <f t="array" ref="S49">IFERROR(_xlfn.SINGLE(INDEX(DATABASE!$AV$14:$BC$989,SUMPRODUCT((ROW(DATABASE!$AV$14:$AV$989)) * (DATABASE!AU$14:$AV$989='Résultats observations'!$A49 ) * (DATABASE!$AW$14:$AW$989= S$4))-ROW(DATABASE!$AV$14)+1,S$5)),"")</f>
        <v>-123.00360000000001</v>
      </c>
      <c r="T49" s="103">
        <f t="shared" si="2"/>
        <v>4.2396032279182938</v>
      </c>
      <c r="U49" s="103">
        <f t="shared" si="3"/>
        <v>2.8759120032750771</v>
      </c>
      <c r="V49" s="103" t="e">
        <f t="shared" si="4"/>
        <v>#VALUE!</v>
      </c>
      <c r="W49" s="103">
        <f t="shared" si="5"/>
        <v>4.2705053108575086</v>
      </c>
      <c r="X49" s="103" t="str">
        <f t="shared" si="6"/>
        <v/>
      </c>
      <c r="Y49" s="103">
        <f t="shared" si="7"/>
        <v>5.285804720229681</v>
      </c>
      <c r="Z49" s="104">
        <f t="shared" ref="Z49" si="1008">IF(T49="","",(T49-T$10)*1000)</f>
        <v>-28.675616678678573</v>
      </c>
      <c r="AA49" s="104">
        <f t="shared" ref="AA49" si="1009">IF(U49="","",(U49-U$10)*1000)</f>
        <v>-25.902036649849691</v>
      </c>
      <c r="AB49" s="104" t="e">
        <f t="shared" ref="AB49" si="1010">IF(V49="","",(V49-V$10)*1000)</f>
        <v>#VALUE!</v>
      </c>
      <c r="AC49" s="104">
        <f t="shared" ref="AC49" si="1011">IF(W49="","",(W49-W$10)*1000)</f>
        <v>-9.6037897148280038</v>
      </c>
      <c r="AD49" s="104" t="str">
        <f t="shared" ref="AD49" si="1012">IF(X49="","",(X49-X$10)*1000)</f>
        <v/>
      </c>
      <c r="AE49" s="104">
        <f t="shared" ref="AE49" si="1013">IF(Y49="","",(Y49-Y$10)*1000)</f>
        <v>-19.734756919268293</v>
      </c>
      <c r="AF49" s="105"/>
      <c r="AG49" s="106">
        <f t="shared" ref="AG49" si="1014">IF(E49="","",(E49-E$10)*1000)</f>
        <v>0</v>
      </c>
      <c r="AH49" s="106">
        <f t="shared" ref="AH49" si="1015">IF(F49="","",(F49-F$10)*1000)</f>
        <v>11.200000066310167</v>
      </c>
      <c r="AI49" s="106">
        <f t="shared" ref="AI49" si="1016">IF(G49="","",(G49-G$10)*1000)</f>
        <v>0.79999999999813554</v>
      </c>
      <c r="AJ49" s="106">
        <f t="shared" ref="AJ49" si="1017">IF(H49="","",(H49-H$10)*1000)</f>
        <v>-2.4500000290572643</v>
      </c>
      <c r="AK49" s="106">
        <f t="shared" ref="AK49" si="1018">IF(I49="","",(I49-I$10)*1000)</f>
        <v>7.1999998763203621</v>
      </c>
      <c r="AL49" s="106">
        <f t="shared" ref="AL49" si="1019">IF(J49="","",(J49-J$10)*1000)</f>
        <v>-3.1999999999925421</v>
      </c>
      <c r="AM49" s="106">
        <f t="shared" ref="AM49" si="1020">IF(K49="","",(K49-K$10)*1000)</f>
        <v>14.150000060908496</v>
      </c>
      <c r="AN49" s="106">
        <f t="shared" ref="AN49" si="1021">IF(L49="","",(L49-L$10)*1000)</f>
        <v>-10.599999921396375</v>
      </c>
      <c r="AO49" s="106">
        <f t="shared" ref="AO49" si="1022">IF(M49="","",(M49-M$10)*1000)</f>
        <v>-15.749999999997044</v>
      </c>
      <c r="AP49" s="106" t="str">
        <f t="shared" ref="AP49" si="1023">IF(N49="","",(N49-N$10)*1000)</f>
        <v/>
      </c>
      <c r="AQ49" s="106" t="str">
        <f t="shared" ref="AQ49" si="1024">IF(O49="","",(O49-O$10)*1000)</f>
        <v/>
      </c>
      <c r="AR49" s="106" t="e">
        <f t="shared" ref="AR49" si="1025">IF(P49="","",(P49-P$18)*1000)+AR$18</f>
        <v>#VALUE!</v>
      </c>
      <c r="AS49" s="106">
        <f t="shared" ref="AS49" si="1026">IF(Q49="","",(Q49-Q$10)*1000)</f>
        <v>6.8500000052154064</v>
      </c>
      <c r="AT49" s="106">
        <f t="shared" ref="AT49" si="1027">IF(R49="","",(R49-R$10)*1000)</f>
        <v>-7.4000000022351742</v>
      </c>
      <c r="AU49" s="106">
        <f t="shared" ref="AU49" si="1028">IF(S49="","",(S49-S$10)*1000)</f>
        <v>1.7999999999886995</v>
      </c>
      <c r="AV49" s="105"/>
      <c r="AW49" s="107" cm="1">
        <f t="array" ref="AW49">IFERROR(_xlfn.SINGLE(INDEX(DATABASE!$AV$14:$BC$989,SUMPRODUCT((ROW(DATABASE!$AV$14:$AV$989)) * (DATABASE!$AV$14:HY$989='Résultats observations'!$A49 ) * (DATABASE!$AW$14:$AW$989= AW$4))-ROW(DATABASE!$AV$14)+1,AW$5)),"")</f>
        <v>5.0633134457855018</v>
      </c>
      <c r="AX49" s="107" cm="1">
        <f t="array" ref="AX49">IFERROR(_xlfn.SINGLE(INDEX(DATABASE!$AV$14:$BC$989,SUMPRODUCT((ROW(DATABASE!$AV$14:$AV$989)) * (DATABASE!$AV$14:HZ$989='Résultats observations'!$A49 ) * (DATABASE!$AW$14:$AW$989= AX$4))-ROW(DATABASE!$AV$14)+1,AX$5)),"")</f>
        <v>-2.6153440789060172</v>
      </c>
      <c r="AY49" s="107" cm="1">
        <f t="array" ref="AY49">IFERROR(_xlfn.SINGLE(INDEX(DATABASE!$AV$14:$BC$989,SUMPRODUCT((ROW(DATABASE!$AV$14:$AV$989)) * (DATABASE!$AV$14:IA$989='Résultats observations'!$A49 ) * (DATABASE!$AW$14:$AW$989= AY$4))-ROW(DATABASE!$AV$14)+1,AY$5)),"")</f>
        <v>-0.78413313445786059</v>
      </c>
      <c r="AZ49" s="107" cm="1">
        <f t="array" ref="AZ49">IFERROR(_xlfn.SINGLE(INDEX(DATABASE!$AV$14:$BC$989,SUMPRODUCT((ROW(DATABASE!$AV$14:$AV$989)) * (DATABASE!$AV$14:IB$989='Résultats observations'!$A49 ) * (DATABASE!$AW$14:$AW$989= AZ$4))-ROW(DATABASE!$AV$14)+1,AZ$5)),"")</f>
        <v>5.0638916370528735</v>
      </c>
      <c r="BA49" s="107" cm="1">
        <f t="array" ref="BA49">IFERROR(_xlfn.SINGLE(INDEX(DATABASE!$AV$14:$BC$989,SUMPRODUCT((ROW(DATABASE!$AV$14:$AV$989)) * (DATABASE!$AV$14:IC$989='Résultats observations'!$A49 ) * (DATABASE!$AW$14:$AW$989= BA$4))-ROW(DATABASE!$AV$14)+1,BA$5)),"")</f>
        <v>-2.5238257983266843</v>
      </c>
      <c r="BB49" s="107" cm="1">
        <f t="array" ref="BB49">IFERROR(_xlfn.SINGLE(INDEX(DATABASE!$AV$14:$BC$989,SUMPRODUCT((ROW(DATABASE!$AV$14:$AV$989)) * (DATABASE!$AV$14:ID$989='Résultats observations'!$A49 ) * (DATABASE!$AW$14:$AW$989= BB$4))-ROW(DATABASE!$AV$14)+1,BB$5)),"")</f>
        <v>1.1455610836294738</v>
      </c>
      <c r="BC49" s="107" cm="1">
        <f t="array" ref="BC49">IFERROR(_xlfn.SINGLE(INDEX(DATABASE!$AV$14:$BC$989,SUMPRODUCT((ROW(DATABASE!$AV$14:$AV$989)) * (DATABASE!$AV$14:IE$989='Résultats observations'!$A49 ) * (DATABASE!$AW$14:$AW$989= BC$4))-ROW(DATABASE!$AV$14)+1,BC$5)),"")</f>
        <v>4.9117020340722375</v>
      </c>
      <c r="BD49" s="107" cm="1">
        <f t="array" ref="BD49">IFERROR(_xlfn.SINGLE(INDEX(DATABASE!$AV$14:$BC$989,SUMPRODUCT((ROW(DATABASE!$AV$14:$AV$989)) * (DATABASE!$AV$14:IF$989='Résultats observations'!$A49 ) * (DATABASE!$AW$14:$AW$989= BD$4))-ROW(DATABASE!$AV$14)+1,BD$5)),"")</f>
        <v>-3.2765508946622418E-2</v>
      </c>
      <c r="BE49" s="107" cm="1">
        <f t="array" ref="BE49">IFERROR(_xlfn.SINGLE(INDEX(DATABASE!$AV$14:$BC$989,SUMPRODUCT((ROW(DATABASE!$AV$14:$AV$989)) * (DATABASE!$AV$14:IG$989='Résultats observations'!$A49 ) * (DATABASE!$AW$14:$AW$989= BE$4))-ROW(DATABASE!$AV$14)+1,BE$5)),"")</f>
        <v>2.5761829796592792</v>
      </c>
      <c r="BF49" s="107" t="str" cm="1">
        <f t="array" ref="BF49">IFERROR(_xlfn.SINGLE(INDEX(DATABASE!$AV$14:$BC$989,SUMPRODUCT((ROW(DATABASE!$AV$14:$AV$989)) * (DATABASE!$AV$14:IH$989='Résultats observations'!$A49 ) * (DATABASE!$AW$14:$AW$989= BF$4))-ROW(DATABASE!$AV$14)+1,BF$5)),"")</f>
        <v/>
      </c>
      <c r="BG49" s="107" t="str" cm="1">
        <f t="array" ref="BG49">IFERROR(_xlfn.SINGLE(INDEX(DATABASE!$AV$14:$BC$989,SUMPRODUCT((ROW(DATABASE!$AV$14:$AV$989)) * (DATABASE!$AV$14:II$989='Résultats observations'!$A49 ) * (DATABASE!$AW$14:$AW$989= BG$4))-ROW(DATABASE!$AV$14)+1,BG$5)),"")</f>
        <v/>
      </c>
      <c r="BH49" s="107" t="str" cm="1">
        <f t="array" ref="BH49">IFERROR(_xlfn.SINGLE(INDEX(DATABASE!$AV$14:$BC$989,SUMPRODUCT((ROW(DATABASE!$AV$14:$AV$989)) * (DATABASE!$AV$14:IJ$989='Résultats observations'!$A49 ) * (DATABASE!$AW$14:$AW$989= BH$4))-ROW(DATABASE!$AV$14)+1,BH$5)),"")</f>
        <v/>
      </c>
      <c r="BI49" s="107" cm="1">
        <f t="array" ref="BI49">IFERROR(_xlfn.SINGLE(INDEX(DATABASE!$AV$14:$BC$989,SUMPRODUCT((ROW(DATABASE!$AV$14:$AV$989)) * (DATABASE!$AV$14:IK$989='Résultats observations'!$A49 ) * (DATABASE!$AW$14:$AW$989= BI$4))-ROW(DATABASE!$AV$14)+1,BI$5)),"")</f>
        <v>5.0822278011214497</v>
      </c>
      <c r="BJ49" s="107" cm="1">
        <f t="array" ref="BJ49">IFERROR(_xlfn.SINGLE(INDEX(DATABASE!$AV$14:$BC$989,SUMPRODUCT((ROW(DATABASE!$AV$14:$AV$989)) * (DATABASE!$AV$14:IL$989='Résultats observations'!$A49 ) * (DATABASE!$AW$14:$AW$989= BJ$4))-ROW(DATABASE!$AV$14)+1,BJ$5)),"")</f>
        <v>2.6701205343105534</v>
      </c>
      <c r="BK49" s="107" cm="1">
        <f t="array" ref="BK49">IFERROR(_xlfn.SINGLE(INDEX(DATABASE!$AV$14:$BC$989,SUMPRODUCT((ROW(DATABASE!$AV$14:$AV$989)) * (DATABASE!$AV$14:IM$989='Résultats observations'!$A49 ) * (DATABASE!$AW$14:$AW$989= BK$4))-ROW(DATABASE!$AV$14)+1,BK$5)),"")</f>
        <v>-0.72742227801121828</v>
      </c>
      <c r="BL49" s="105"/>
      <c r="BM49" s="106">
        <f t="shared" ref="BM49" si="1029">IF(AW49="","",(AW49-AW$10)*1000)</f>
        <v>-4.733163043387556</v>
      </c>
      <c r="BN49" s="106">
        <f t="shared" ref="BN49" si="1030">IF(AX49="","",(AX49-AX$10)*1000)</f>
        <v>10.150722589550298</v>
      </c>
      <c r="BO49" s="106">
        <f t="shared" ref="BO49" si="1031">IF(AY49="","",(AY49-AY$10)*1000)</f>
        <v>0.84733163043893001</v>
      </c>
      <c r="BP49" s="106">
        <f t="shared" ref="BP49" si="1032">IF(AZ49="","",(AZ49-AZ$10)*1000)</f>
        <v>-0.82227702081105747</v>
      </c>
      <c r="BQ49" s="106">
        <f t="shared" ref="BQ49" si="1033">IF(BA49="","",(BA49-BA$10)*1000)</f>
        <v>7.5608437930205774</v>
      </c>
      <c r="BR49" s="106">
        <f t="shared" ref="BR49" si="1034">IF(BB49="","",(BB49-BB$10)*1000)</f>
        <v>-3.1917772297873626</v>
      </c>
      <c r="BS49" s="106">
        <f t="shared" ref="BS49" si="1035">IF(BC49="","",(BC49-BC$10)*1000)</f>
        <v>-8.3447497160049622</v>
      </c>
      <c r="BT49" s="106">
        <f t="shared" ref="BT49" si="1036">IF(BD49="","",(BD49-BD$10)*1000)</f>
        <v>-15.586778122321908</v>
      </c>
      <c r="BU49" s="106">
        <f t="shared" ref="BU49" si="1037">IF(BE49="","",(BE49-BE$10)*1000)</f>
        <v>-15.666552502835884</v>
      </c>
      <c r="BV49" s="106" t="str">
        <f t="shared" ref="BV49" si="1038">IF(BF49="","",(BF49-BF$10)*1000)</f>
        <v/>
      </c>
      <c r="BW49" s="106" t="str">
        <f t="shared" ref="BW49" si="1039">IF(BG49="","",(BG49-BG$10)*1000)</f>
        <v/>
      </c>
      <c r="BX49" s="106" t="e">
        <f t="shared" ref="BX49" si="1040">IF(BH49="","",(BH49-BH$18)*1000)+BX$18</f>
        <v>#VALUE!</v>
      </c>
      <c r="BY49" s="106">
        <f t="shared" ref="BY49" si="1041">IF(BI49="","",(BI49-BI$10)*1000)</f>
        <v>-3.0809859870943868</v>
      </c>
      <c r="BZ49" s="106">
        <f t="shared" ref="BZ49" si="1042">IF(BJ49="","",(BJ49-BJ$10)*1000)</f>
        <v>-9.6015636982658137</v>
      </c>
      <c r="CA49" s="106">
        <f t="shared" ref="CA49" si="1043">IF(BK49="","",(BK49-BK$10)*1000)</f>
        <v>1.8308098598680544</v>
      </c>
    </row>
    <row r="50" spans="1:79" s="108" customFormat="1" ht="29.25" customHeight="1">
      <c r="A50" s="189">
        <v>45818</v>
      </c>
      <c r="B50" s="100">
        <f t="shared" ref="B50" si="1044">A50-$A$10</f>
        <v>494</v>
      </c>
      <c r="C50" s="101">
        <v>26</v>
      </c>
      <c r="D50" s="101">
        <f t="shared" ref="D50" si="1045">C50-$W$6</f>
        <v>20.91</v>
      </c>
      <c r="E50" s="102" cm="1">
        <f t="array" ref="E50">IFERROR(_xlfn.SINGLE(INDEX(DATABASE!$AV$14:$BC$989,SUMPRODUCT((ROW(DATABASE!$AV$14:$AV$989)) * (DATABASE!AG$14:$AV$989='Résultats observations'!$A50 ) * (DATABASE!$AW$14:$AW$989= E$4))-ROW(DATABASE!$AV$14)+1,E$5)),"")</f>
        <v>823058.96880000003</v>
      </c>
      <c r="F50" s="102" cm="1">
        <f t="array" ref="F50">IFERROR(_xlfn.SINGLE(INDEX(DATABASE!$AV$14:$BC$989,SUMPRODUCT((ROW(DATABASE!$AV$14:$AV$989)) * (DATABASE!AH$14:$AV$989='Résultats observations'!$A50 ) * (DATABASE!$AW$14:$AW$989= F$4))-ROW(DATABASE!$AV$14)+1,F$5)),"")</f>
        <v>1091426.665</v>
      </c>
      <c r="G50" s="102" cm="1">
        <f t="array" ref="G50">IFERROR(_xlfn.SINGLE(INDEX(DATABASE!$AV$14:$BC$989,SUMPRODUCT((ROW(DATABASE!$AV$14:$AV$989)) * (DATABASE!AI$14:$AV$989='Résultats observations'!$A50 ) * (DATABASE!$AW$14:$AW$989= G$4))-ROW(DATABASE!$AV$14)+1,G$5)),"")</f>
        <v>-123.0608</v>
      </c>
      <c r="H50" s="102" cm="1">
        <f t="array" ref="H50">IFERROR(_xlfn.SINGLE(INDEX(DATABASE!$AV$14:$BC$989,SUMPRODUCT((ROW(DATABASE!$AV$14:$AV$989)) * (DATABASE!AJ$14:$AV$989='Résultats observations'!$A50 ) * (DATABASE!$AW$14:$AW$989= H$4))-ROW(DATABASE!$AV$14)+1,H$5)),"")</f>
        <v>823058.92940000002</v>
      </c>
      <c r="I50" s="102" cm="1">
        <f t="array" ref="I50">IFERROR(_xlfn.SINGLE(INDEX(DATABASE!$AV$14:$BC$989,SUMPRODUCT((ROW(DATABASE!$AV$14:$AV$989)) * (DATABASE!AK$14:$AV$989='Résultats observations'!$A50 ) * (DATABASE!$AW$14:$AW$989= I$4))-ROW(DATABASE!$AV$14)+1,I$5)),"")</f>
        <v>1091426.7472999999</v>
      </c>
      <c r="J50" s="102" cm="1">
        <f t="array" ref="J50">IFERROR(_xlfn.SINGLE(INDEX(DATABASE!$AV$14:$BC$989,SUMPRODUCT((ROW(DATABASE!$AV$14:$AV$989)) * (DATABASE!AL$14:$AV$989='Résultats observations'!$A50 ) * (DATABASE!$AW$14:$AW$989= J$4))-ROW(DATABASE!$AV$14)+1,J$5)),"")</f>
        <v>-121.131</v>
      </c>
      <c r="K50" s="102" cm="1">
        <f t="array" ref="K50">IFERROR(_xlfn.SINGLE(INDEX(DATABASE!$AV$14:$BC$989,SUMPRODUCT((ROW(DATABASE!$AV$14:$AV$989)) * (DATABASE!AM$14:$AV$989='Résultats observations'!$A50 ) * (DATABASE!$AW$14:$AW$989= K$4))-ROW(DATABASE!$AV$14)+1,K$5)),"")</f>
        <v>823058.0148</v>
      </c>
      <c r="L50" s="102" cm="1">
        <f t="array" ref="L50">IFERROR(_xlfn.SINGLE(INDEX(DATABASE!$AV$14:$BC$989,SUMPRODUCT((ROW(DATABASE!$AV$14:$AV$989)) * (DATABASE!AN$14:$AV$989='Résultats observations'!$A50 ) * (DATABASE!$AW$14:$AW$989= L$4))-ROW(DATABASE!$AV$14)+1,L$5)),"")</f>
        <v>1091429.0689000001</v>
      </c>
      <c r="M50" s="102" cm="1">
        <f t="array" ref="M50">IFERROR(_xlfn.SINGLE(INDEX(DATABASE!$AV$14:$BC$989,SUMPRODUCT((ROW(DATABASE!$AV$14:$AV$989)) * (DATABASE!AO$14:$AV$989='Résultats observations'!$A50 ) * (DATABASE!$AW$14:$AW$989= M$4))-ROW(DATABASE!$AV$14)+1,M$5)),"")</f>
        <v>-119.70269999999999</v>
      </c>
      <c r="N50" s="102" t="str" cm="1">
        <f t="array" ref="N50">IFERROR(_xlfn.SINGLE(INDEX(DATABASE!$AV$14:$BC$989,SUMPRODUCT((ROW(DATABASE!$AV$14:$AV$989)) * (DATABASE!AP$14:$AV$989='Résultats observations'!$A50 ) * (DATABASE!$AW$14:$AW$989= N$4))-ROW(DATABASE!$AV$14)+1,N$5)),"")</f>
        <v/>
      </c>
      <c r="O50" s="102" t="str" cm="1">
        <f t="array" ref="O50">IFERROR(_xlfn.SINGLE(INDEX(DATABASE!$AV$14:$BC$989,SUMPRODUCT((ROW(DATABASE!$AV$14:$AV$989)) * (DATABASE!AQ$14:$AV$989='Résultats observations'!$A50 ) * (DATABASE!$AW$14:$AW$989= O$4))-ROW(DATABASE!$AV$14)+1,O$5)),"")</f>
        <v/>
      </c>
      <c r="P50" s="102" t="str" cm="1">
        <f t="array" ref="P50">IFERROR(_xlfn.SINGLE(INDEX(DATABASE!$AV$14:$BC$989,SUMPRODUCT((ROW(DATABASE!$AV$14:$AV$989)) * (DATABASE!AR$14:$AV$989='Résultats observations'!$A50 ) * (DATABASE!$AW$14:$AW$989= P$4))-ROW(DATABASE!$AV$14)+1,P$5)),"")</f>
        <v/>
      </c>
      <c r="Q50" s="102" cm="1">
        <f t="array" ref="Q50">IFERROR(_xlfn.SINGLE(INDEX(DATABASE!$AV$14:$BC$989,SUMPRODUCT((ROW(DATABASE!$AV$14:$AV$989)) * (DATABASE!AS$14:$AV$989='Résultats observations'!$A50 ) * (DATABASE!$AW$14:$AW$989= Q$4))-ROW(DATABASE!$AV$14)+1,Q$5)),"")</f>
        <v>823056.71840000001</v>
      </c>
      <c r="R50" s="102" cm="1">
        <f t="array" ref="R50">IFERROR(_xlfn.SINGLE(INDEX(DATABASE!$AV$14:$BC$989,SUMPRODUCT((ROW(DATABASE!$AV$14:$AV$989)) * (DATABASE!AT$14:$AV$989='Résultats observations'!$A50 ) * (DATABASE!$AW$14:$AW$989= R$4))-ROW(DATABASE!$AV$14)+1,R$5)),"")</f>
        <v>1091431.4461000001</v>
      </c>
      <c r="S50" s="102" cm="1">
        <f t="array" ref="S50">IFERROR(_xlfn.SINGLE(INDEX(DATABASE!$AV$14:$BC$989,SUMPRODUCT((ROW(DATABASE!$AV$14:$AV$989)) * (DATABASE!AU$14:$AV$989='Résultats observations'!$A50 ) * (DATABASE!$AW$14:$AW$989= S$4))-ROW(DATABASE!$AV$14)+1,S$5)),"")</f>
        <v>-123.0035</v>
      </c>
      <c r="T50" s="103">
        <f t="shared" si="2"/>
        <v>4.2385949110777936</v>
      </c>
      <c r="U50" s="103">
        <f t="shared" si="3"/>
        <v>2.8751279294474843</v>
      </c>
      <c r="V50" s="103" t="e">
        <f t="shared" si="4"/>
        <v>#VALUE!</v>
      </c>
      <c r="W50" s="103">
        <f t="shared" si="5"/>
        <v>4.2693106516067223</v>
      </c>
      <c r="X50" s="103" t="str">
        <f t="shared" si="6"/>
        <v/>
      </c>
      <c r="Y50" s="103">
        <f t="shared" si="7"/>
        <v>5.2845530236998925</v>
      </c>
      <c r="Z50" s="104">
        <f t="shared" ref="Z50" si="1046">IF(T50="","",(T50-T$10)*1000)</f>
        <v>-29.683933519178751</v>
      </c>
      <c r="AA50" s="104">
        <f t="shared" ref="AA50" si="1047">IF(U50="","",(U50-U$10)*1000)</f>
        <v>-26.686110477442515</v>
      </c>
      <c r="AB50" s="104" t="e">
        <f t="shared" ref="AB50" si="1048">IF(V50="","",(V50-V$10)*1000)</f>
        <v>#VALUE!</v>
      </c>
      <c r="AC50" s="104">
        <f t="shared" ref="AC50" si="1049">IF(W50="","",(W50-W$10)*1000)</f>
        <v>-10.798448965614327</v>
      </c>
      <c r="AD50" s="104" t="str">
        <f t="shared" ref="AD50" si="1050">IF(X50="","",(X50-X$10)*1000)</f>
        <v/>
      </c>
      <c r="AE50" s="104">
        <f t="shared" ref="AE50" si="1051">IF(Y50="","",(Y50-Y$10)*1000)</f>
        <v>-20.986453449056697</v>
      </c>
      <c r="AF50" s="105"/>
      <c r="AG50" s="106">
        <f t="shared" ref="AG50" si="1052">IF(E50="","",(E50-E$10)*1000)</f>
        <v>0.50000008195638657</v>
      </c>
      <c r="AH50" s="106">
        <f t="shared" ref="AH50" si="1053">IF(F50="","",(F50-F$10)*1000)</f>
        <v>11.300000129267573</v>
      </c>
      <c r="AI50" s="106">
        <f t="shared" ref="AI50" si="1054">IF(G50="","",(G50-G$10)*1000)</f>
        <v>0.50000000000238742</v>
      </c>
      <c r="AJ50" s="106">
        <f t="shared" ref="AJ50" si="1055">IF(H50="","",(H50-H$10)*1000)</f>
        <v>-2.149999956600368</v>
      </c>
      <c r="AK50" s="106">
        <f t="shared" ref="AK50" si="1056">IF(I50="","",(I50-I$10)*1000)</f>
        <v>6.8999999202787876</v>
      </c>
      <c r="AL50" s="106">
        <f t="shared" ref="AL50" si="1057">IF(J50="","",(J50-J$10)*1000)</f>
        <v>-3.3999999999991815</v>
      </c>
      <c r="AM50" s="106">
        <f t="shared" ref="AM50" si="1058">IF(K50="","",(K50-K$10)*1000)</f>
        <v>14.650000026449561</v>
      </c>
      <c r="AN50" s="106">
        <f t="shared" ref="AN50" si="1059">IF(L50="","",(L50-L$10)*1000)</f>
        <v>-11.29999989643693</v>
      </c>
      <c r="AO50" s="106">
        <f t="shared" ref="AO50" si="1060">IF(M50="","",(M50-M$10)*1000)</f>
        <v>-16.749999999987608</v>
      </c>
      <c r="AP50" s="106" t="str">
        <f t="shared" ref="AP50" si="1061">IF(N50="","",(N50-N$10)*1000)</f>
        <v/>
      </c>
      <c r="AQ50" s="106" t="str">
        <f t="shared" ref="AQ50" si="1062">IF(O50="","",(O50-O$10)*1000)</f>
        <v/>
      </c>
      <c r="AR50" s="106" t="e">
        <f t="shared" ref="AR50" si="1063">IF(P50="","",(P50-P$18)*1000)+AR$18</f>
        <v>#VALUE!</v>
      </c>
      <c r="AS50" s="106">
        <f t="shared" ref="AS50" si="1064">IF(Q50="","",(Q50-Q$10)*1000)</f>
        <v>7.7499999897554517</v>
      </c>
      <c r="AT50" s="106">
        <f t="shared" ref="AT50" si="1065">IF(R50="","",(R50-R$10)*1000)</f>
        <v>-8.4999999962747097</v>
      </c>
      <c r="AU50" s="106">
        <f t="shared" ref="AU50" si="1066">IF(S50="","",(S50-S$10)*1000)</f>
        <v>1.8999999999920192</v>
      </c>
      <c r="AV50" s="105"/>
      <c r="AW50" s="107" cm="1">
        <f t="array" ref="AW50">IFERROR(_xlfn.SINGLE(INDEX(DATABASE!$AV$14:$BC$989,SUMPRODUCT((ROW(DATABASE!$AV$14:$AV$989)) * (DATABASE!$AV$14:HY$989='Résultats observations'!$A50 ) * (DATABASE!$AW$14:$AW$989= AW$4))-ROW(DATABASE!$AV$14)+1,AW$5)),"")</f>
        <v>5.0628180280447737</v>
      </c>
      <c r="AX50" s="107" cm="1">
        <f t="array" ref="AX50">IFERROR(_xlfn.SINGLE(INDEX(DATABASE!$AV$14:$BC$989,SUMPRODUCT((ROW(DATABASE!$AV$14:$AV$989)) * (DATABASE!$AV$14:HZ$989='Résultats observations'!$A50 ) * (DATABASE!$AW$14:$AW$989= AX$4))-ROW(DATABASE!$AV$14)+1,AX$5)),"")</f>
        <v>-2.615464749352765</v>
      </c>
      <c r="AY50" s="107" cm="1">
        <f t="array" ref="AY50">IFERROR(_xlfn.SINGLE(INDEX(DATABASE!$AV$14:$BC$989,SUMPRODUCT((ROW(DATABASE!$AV$14:$AV$989)) * (DATABASE!$AV$14:IA$989='Résultats observations'!$A50 ) * (DATABASE!$AW$14:$AW$989= AY$4))-ROW(DATABASE!$AV$14)+1,AY$5)),"")</f>
        <v>-0.78442818028044314</v>
      </c>
      <c r="AZ50" s="107" cm="1">
        <f t="array" ref="AZ50">IFERROR(_xlfn.SINGLE(INDEX(DATABASE!$AV$14:$BC$989,SUMPRODUCT((ROW(DATABASE!$AV$14:$AV$989)) * (DATABASE!$AV$14:IB$989='Résultats observations'!$A50 ) * (DATABASE!$AW$14:$AW$989= AZ$4))-ROW(DATABASE!$AV$14)+1,AZ$5)),"")</f>
        <v>5.0637465237673576</v>
      </c>
      <c r="BA50" s="107" cm="1">
        <f t="array" ref="BA50">IFERROR(_xlfn.SINGLE(INDEX(DATABASE!$AV$14:$BC$989,SUMPRODUCT((ROW(DATABASE!$AV$14:$AV$989)) * (DATABASE!$AV$14:IC$989='Résultats observations'!$A50 ) * (DATABASE!$AW$14:$AW$989= BA$4))-ROW(DATABASE!$AV$14)+1,BA$5)),"")</f>
        <v>-2.5242244738231299</v>
      </c>
      <c r="BB50" s="107" cm="1">
        <f t="array" ref="BB50">IFERROR(_xlfn.SINGLE(INDEX(DATABASE!$AV$14:$BC$989,SUMPRODUCT((ROW(DATABASE!$AV$14:$AV$989)) * (DATABASE!$AV$14:ID$989='Résultats observations'!$A50 ) * (DATABASE!$AW$14:$AW$989= BB$4))-ROW(DATABASE!$AV$14)+1,BB$5)),"")</f>
        <v>1.1453625347623273</v>
      </c>
      <c r="BC50" s="107" cm="1">
        <f t="array" ref="BC50">IFERROR(_xlfn.SINGLE(INDEX(DATABASE!$AV$14:$BC$989,SUMPRODUCT((ROW(DATABASE!$AV$14:$AV$989)) * (DATABASE!$AV$14:IE$989='Résultats observations'!$A50 ) * (DATABASE!$AW$14:$AW$989= BC$4))-ROW(DATABASE!$AV$14)+1,BC$5)),"")</f>
        <v>4.9115446995256002</v>
      </c>
      <c r="BD50" s="107" cm="1">
        <f t="array" ref="BD50">IFERROR(_xlfn.SINGLE(INDEX(DATABASE!$AV$14:$BC$989,SUMPRODUCT((ROW(DATABASE!$AV$14:$AV$989)) * (DATABASE!$AV$14:IF$989='Résultats observations'!$A50 ) * (DATABASE!$AW$14:$AW$989= BD$4))-ROW(DATABASE!$AV$14)+1,BD$5)),"")</f>
        <v>-3.3611230987857836E-2</v>
      </c>
      <c r="BE50" s="107" cm="1">
        <f t="array" ref="BE50">IFERROR(_xlfn.SINGLE(INDEX(DATABASE!$AV$14:$BC$989,SUMPRODUCT((ROW(DATABASE!$AV$14:$AV$989)) * (DATABASE!$AV$14:IG$989='Résultats observations'!$A50 ) * (DATABASE!$AW$14:$AW$989= BE$4))-ROW(DATABASE!$AV$14)+1,BE$5)),"")</f>
        <v>2.5751845530047461</v>
      </c>
      <c r="BF50" s="107" t="str" cm="1">
        <f t="array" ref="BF50">IFERROR(_xlfn.SINGLE(INDEX(DATABASE!$AV$14:$BC$989,SUMPRODUCT((ROW(DATABASE!$AV$14:$AV$989)) * (DATABASE!$AV$14:IH$989='Résultats observations'!$A50 ) * (DATABASE!$AW$14:$AW$989= BF$4))-ROW(DATABASE!$AV$14)+1,BF$5)),"")</f>
        <v/>
      </c>
      <c r="BG50" s="107" t="str" cm="1">
        <f t="array" ref="BG50">IFERROR(_xlfn.SINGLE(INDEX(DATABASE!$AV$14:$BC$989,SUMPRODUCT((ROW(DATABASE!$AV$14:$AV$989)) * (DATABASE!$AV$14:II$989='Résultats observations'!$A50 ) * (DATABASE!$AW$14:$AW$989= BG$4))-ROW(DATABASE!$AV$14)+1,BG$5)),"")</f>
        <v/>
      </c>
      <c r="BH50" s="107" t="str" cm="1">
        <f t="array" ref="BH50">IFERROR(_xlfn.SINGLE(INDEX(DATABASE!$AV$14:$BC$989,SUMPRODUCT((ROW(DATABASE!$AV$14:$AV$989)) * (DATABASE!$AV$14:IJ$989='Résultats observations'!$A50 ) * (DATABASE!$AW$14:$AW$989= BH$4))-ROW(DATABASE!$AV$14)+1,BH$5)),"")</f>
        <v/>
      </c>
      <c r="BI50" s="107" cm="1">
        <f t="array" ref="BI50">IFERROR(_xlfn.SINGLE(INDEX(DATABASE!$AV$14:$BC$989,SUMPRODUCT((ROW(DATABASE!$AV$14:$AV$989)) * (DATABASE!$AV$14:IK$989='Résultats observations'!$A50 ) * (DATABASE!$AW$14:$AW$989= BI$4))-ROW(DATABASE!$AV$14)+1,BI$5)),"")</f>
        <v>5.0818769822972616</v>
      </c>
      <c r="BJ50" s="107" cm="1">
        <f t="array" ref="BJ50">IFERROR(_xlfn.SINGLE(INDEX(DATABASE!$AV$14:$BC$989,SUMPRODUCT((ROW(DATABASE!$AV$14:$AV$989)) * (DATABASE!$AV$14:IL$989='Résultats observations'!$A50 ) * (DATABASE!$AW$14:$AW$989= BJ$4))-ROW(DATABASE!$AV$14)+1,BJ$5)),"")</f>
        <v>2.668743244903184</v>
      </c>
      <c r="BK50" s="107" cm="1">
        <f t="array" ref="BK50">IFERROR(_xlfn.SINGLE(INDEX(DATABASE!$AV$14:$BC$989,SUMPRODUCT((ROW(DATABASE!$AV$14:$AV$989)) * (DATABASE!$AV$14:IM$989='Résultats observations'!$A50 ) * (DATABASE!$AW$14:$AW$989= BK$4))-ROW(DATABASE!$AV$14)+1,BK$5)),"")</f>
        <v>-0.72731876982297194</v>
      </c>
      <c r="BL50" s="105"/>
      <c r="BM50" s="106">
        <f t="shared" ref="BM50" si="1067">IF(AW50="","",(AW50-AW$10)*1000)</f>
        <v>-5.2285807841156995</v>
      </c>
      <c r="BN50" s="106">
        <f t="shared" ref="BN50" si="1068">IF(AX50="","",(AX50-AX$10)*1000)</f>
        <v>10.030052142802504</v>
      </c>
      <c r="BO50" s="106">
        <f t="shared" ref="BO50" si="1069">IF(AY50="","",(AY50-AY$10)*1000)</f>
        <v>0.5522858078563786</v>
      </c>
      <c r="BP50" s="106">
        <f t="shared" ref="BP50" si="1070">IF(AZ50="","",(AZ50-AZ$10)*1000)</f>
        <v>-0.9673903063269762</v>
      </c>
      <c r="BQ50" s="106">
        <f t="shared" ref="BQ50" si="1071">IF(BA50="","",(BA50-BA$10)*1000)</f>
        <v>7.1621682965750111</v>
      </c>
      <c r="BR50" s="106">
        <f t="shared" ref="BR50" si="1072">IF(BB50="","",(BB50-BB$10)*1000)</f>
        <v>-3.3903260969339044</v>
      </c>
      <c r="BS50" s="106">
        <f t="shared" ref="BS50" si="1073">IF(BC50="","",(BC50-BC$10)*1000)</f>
        <v>-8.5020842626422066</v>
      </c>
      <c r="BT50" s="106">
        <f t="shared" ref="BT50" si="1074">IF(BD50="","",(BD50-BD$10)*1000)</f>
        <v>-16.432500163557325</v>
      </c>
      <c r="BU50" s="106">
        <f t="shared" ref="BU50" si="1075">IF(BE50="","",(BE50-BE$10)*1000)</f>
        <v>-16.664979157368975</v>
      </c>
      <c r="BV50" s="106" t="str">
        <f t="shared" ref="BV50" si="1076">IF(BF50="","",(BF50-BF$10)*1000)</f>
        <v/>
      </c>
      <c r="BW50" s="106" t="str">
        <f t="shared" ref="BW50" si="1077">IF(BG50="","",(BG50-BG$10)*1000)</f>
        <v/>
      </c>
      <c r="BX50" s="106" t="e">
        <f t="shared" ref="BX50" si="1078">IF(BH50="","",(BH50-BH$18)*1000)+BX$18</f>
        <v>#VALUE!</v>
      </c>
      <c r="BY50" s="106">
        <f t="shared" ref="BY50" si="1079">IF(BI50="","",(BI50-BI$10)*1000)</f>
        <v>-3.4318048112824684</v>
      </c>
      <c r="BZ50" s="106">
        <f t="shared" ref="BZ50" si="1080">IF(BJ50="","",(BJ50-BJ$10)*1000)</f>
        <v>-10.978853105635178</v>
      </c>
      <c r="CA50" s="106">
        <f t="shared" ref="CA50" si="1081">IF(BK50="","",(BK50-BK$10)*1000)</f>
        <v>1.9343180481143918</v>
      </c>
    </row>
    <row r="51" spans="1:79" s="108" customFormat="1" ht="29.25" customHeight="1">
      <c r="A51" s="189">
        <v>45824</v>
      </c>
      <c r="B51" s="100">
        <f t="shared" ref="B51" si="1082">A51-$A$10</f>
        <v>500</v>
      </c>
      <c r="C51" s="101">
        <v>26.8</v>
      </c>
      <c r="D51" s="101">
        <f t="shared" ref="D51" si="1083">C51-$W$6</f>
        <v>21.71</v>
      </c>
      <c r="E51" s="102" cm="1">
        <f t="array" ref="E51">IFERROR(_xlfn.SINGLE(INDEX(DATABASE!$AV$14:$BC$989,SUMPRODUCT((ROW(DATABASE!$AV$14:$AV$989)) * (DATABASE!AG$14:$AV$989='Résultats observations'!$A51 ) * (DATABASE!$AW$14:$AW$989= E$4))-ROW(DATABASE!$AV$14)+1,E$5)),"")</f>
        <v>823058.9682</v>
      </c>
      <c r="F51" s="102" cm="1">
        <f t="array" ref="F51">IFERROR(_xlfn.SINGLE(INDEX(DATABASE!$AV$14:$BC$989,SUMPRODUCT((ROW(DATABASE!$AV$14:$AV$989)) * (DATABASE!AH$14:$AV$989='Résultats observations'!$A51 ) * (DATABASE!$AW$14:$AW$989= F$4))-ROW(DATABASE!$AV$14)+1,F$5)),"")</f>
        <v>1091426.6654999999</v>
      </c>
      <c r="G51" s="102" cm="1">
        <f t="array" ref="G51">IFERROR(_xlfn.SINGLE(INDEX(DATABASE!$AV$14:$BC$989,SUMPRODUCT((ROW(DATABASE!$AV$14:$AV$989)) * (DATABASE!AI$14:$AV$989='Résultats observations'!$A51 ) * (DATABASE!$AW$14:$AW$989= G$4))-ROW(DATABASE!$AV$14)+1,G$5)),"")</f>
        <v>-123.0612</v>
      </c>
      <c r="H51" s="102" cm="1">
        <f t="array" ref="H51">IFERROR(_xlfn.SINGLE(INDEX(DATABASE!$AV$14:$BC$989,SUMPRODUCT((ROW(DATABASE!$AV$14:$AV$989)) * (DATABASE!AJ$14:$AV$989='Résultats observations'!$A51 ) * (DATABASE!$AW$14:$AW$989= H$4))-ROW(DATABASE!$AV$14)+1,H$5)),"")</f>
        <v>823058.92859999998</v>
      </c>
      <c r="I51" s="102" cm="1">
        <f t="array" ref="I51">IFERROR(_xlfn.SINGLE(INDEX(DATABASE!$AV$14:$BC$989,SUMPRODUCT((ROW(DATABASE!$AV$14:$AV$989)) * (DATABASE!AK$14:$AV$989='Résultats observations'!$A51 ) * (DATABASE!$AW$14:$AW$989= I$4))-ROW(DATABASE!$AV$14)+1,I$5)),"")</f>
        <v>1091426.7475999999</v>
      </c>
      <c r="J51" s="102" cm="1">
        <f t="array" ref="J51">IFERROR(_xlfn.SINGLE(INDEX(DATABASE!$AV$14:$BC$989,SUMPRODUCT((ROW(DATABASE!$AV$14:$AV$989)) * (DATABASE!AL$14:$AV$989='Résultats observations'!$A51 ) * (DATABASE!$AW$14:$AW$989= J$4))-ROW(DATABASE!$AV$14)+1,J$5)),"")</f>
        <v>-121.1315</v>
      </c>
      <c r="K51" s="102" cm="1">
        <f t="array" ref="K51">IFERROR(_xlfn.SINGLE(INDEX(DATABASE!$AV$14:$BC$989,SUMPRODUCT((ROW(DATABASE!$AV$14:$AV$989)) * (DATABASE!AM$14:$AV$989='Résultats observations'!$A51 ) * (DATABASE!$AW$14:$AW$989= K$4))-ROW(DATABASE!$AV$14)+1,K$5)),"")</f>
        <v>823058.01439999999</v>
      </c>
      <c r="L51" s="102" cm="1">
        <f t="array" ref="L51">IFERROR(_xlfn.SINGLE(INDEX(DATABASE!$AV$14:$BC$989,SUMPRODUCT((ROW(DATABASE!$AV$14:$AV$989)) * (DATABASE!AN$14:$AV$989='Résultats observations'!$A51 ) * (DATABASE!$AW$14:$AW$989= L$4))-ROW(DATABASE!$AV$14)+1,L$5)),"")</f>
        <v>1091429.0693999999</v>
      </c>
      <c r="M51" s="102" cm="1">
        <f t="array" ref="M51">IFERROR(_xlfn.SINGLE(INDEX(DATABASE!$AV$14:$BC$989,SUMPRODUCT((ROW(DATABASE!$AV$14:$AV$989)) * (DATABASE!AO$14:$AV$989='Résultats observations'!$A51 ) * (DATABASE!$AW$14:$AW$989= M$4))-ROW(DATABASE!$AV$14)+1,M$5)),"")</f>
        <v>-119.70310000000001</v>
      </c>
      <c r="N51" s="102" t="str" cm="1">
        <f t="array" ref="N51">IFERROR(_xlfn.SINGLE(INDEX(DATABASE!$AV$14:$BC$989,SUMPRODUCT((ROW(DATABASE!$AV$14:$AV$989)) * (DATABASE!AP$14:$AV$989='Résultats observations'!$A51 ) * (DATABASE!$AW$14:$AW$989= N$4))-ROW(DATABASE!$AV$14)+1,N$5)),"")</f>
        <v/>
      </c>
      <c r="O51" s="102" t="str" cm="1">
        <f t="array" ref="O51">IFERROR(_xlfn.SINGLE(INDEX(DATABASE!$AV$14:$BC$989,SUMPRODUCT((ROW(DATABASE!$AV$14:$AV$989)) * (DATABASE!AQ$14:$AV$989='Résultats observations'!$A51 ) * (DATABASE!$AW$14:$AW$989= O$4))-ROW(DATABASE!$AV$14)+1,O$5)),"")</f>
        <v/>
      </c>
      <c r="P51" s="102" t="str" cm="1">
        <f t="array" ref="P51">IFERROR(_xlfn.SINGLE(INDEX(DATABASE!$AV$14:$BC$989,SUMPRODUCT((ROW(DATABASE!$AV$14:$AV$989)) * (DATABASE!AR$14:$AV$989='Résultats observations'!$A51 ) * (DATABASE!$AW$14:$AW$989= P$4))-ROW(DATABASE!$AV$14)+1,P$5)),"")</f>
        <v/>
      </c>
      <c r="Q51" s="102" cm="1">
        <f t="array" ref="Q51">IFERROR(_xlfn.SINGLE(INDEX(DATABASE!$AV$14:$BC$989,SUMPRODUCT((ROW(DATABASE!$AV$14:$AV$989)) * (DATABASE!AS$14:$AV$989='Résultats observations'!$A51 ) * (DATABASE!$AW$14:$AW$989= Q$4))-ROW(DATABASE!$AV$14)+1,Q$5)),"")</f>
        <v>823056.71770000004</v>
      </c>
      <c r="R51" s="102" cm="1">
        <f t="array" ref="R51">IFERROR(_xlfn.SINGLE(INDEX(DATABASE!$AV$14:$BC$989,SUMPRODUCT((ROW(DATABASE!$AV$14:$AV$989)) * (DATABASE!AT$14:$AV$989='Résultats observations'!$A51 ) * (DATABASE!$AW$14:$AW$989= R$4))-ROW(DATABASE!$AV$14)+1,R$5)),"")</f>
        <v>1091431.4469000001</v>
      </c>
      <c r="S51" s="102" cm="1">
        <f t="array" ref="S51">IFERROR(_xlfn.SINGLE(INDEX(DATABASE!$AV$14:$BC$989,SUMPRODUCT((ROW(DATABASE!$AV$14:$AV$989)) * (DATABASE!AU$14:$AV$989='Résultats observations'!$A51 ) * (DATABASE!$AW$14:$AW$989= S$4))-ROW(DATABASE!$AV$14)+1,S$5)),"")</f>
        <v>-123.004</v>
      </c>
      <c r="T51" s="103">
        <f t="shared" si="2"/>
        <v>4.2385499006377572</v>
      </c>
      <c r="U51" s="103">
        <f t="shared" si="3"/>
        <v>2.8752118948275407</v>
      </c>
      <c r="V51" s="103" t="e">
        <f t="shared" si="4"/>
        <v>#VALUE!</v>
      </c>
      <c r="W51" s="103">
        <f t="shared" si="5"/>
        <v>4.2696461153948837</v>
      </c>
      <c r="X51" s="103" t="str">
        <f t="shared" si="6"/>
        <v/>
      </c>
      <c r="Y51" s="103">
        <f t="shared" si="7"/>
        <v>5.2848659445497042</v>
      </c>
      <c r="Z51" s="104">
        <f t="shared" ref="Z51" si="1084">IF(T51="","",(T51-T$10)*1000)</f>
        <v>-29.728943959215215</v>
      </c>
      <c r="AA51" s="104">
        <f t="shared" ref="AA51" si="1085">IF(U51="","",(U51-U$10)*1000)</f>
        <v>-26.602145097386121</v>
      </c>
      <c r="AB51" s="104" t="e">
        <f t="shared" ref="AB51" si="1086">IF(V51="","",(V51-V$10)*1000)</f>
        <v>#VALUE!</v>
      </c>
      <c r="AC51" s="104">
        <f t="shared" ref="AC51" si="1087">IF(W51="","",(W51-W$10)*1000)</f>
        <v>-10.462985177452921</v>
      </c>
      <c r="AD51" s="104" t="str">
        <f t="shared" ref="AD51" si="1088">IF(X51="","",(X51-X$10)*1000)</f>
        <v/>
      </c>
      <c r="AE51" s="104">
        <f t="shared" ref="AE51" si="1089">IF(Y51="","",(Y51-Y$10)*1000)</f>
        <v>-20.673532599245092</v>
      </c>
      <c r="AF51" s="105"/>
      <c r="AG51" s="106">
        <f t="shared" ref="AG51" si="1090">IF(E51="","",(E51-E$10)*1000)</f>
        <v>-9.9999946542084217E-2</v>
      </c>
      <c r="AH51" s="106">
        <f t="shared" ref="AH51" si="1091">IF(F51="","",(F51-F$10)*1000)</f>
        <v>11.799999978393316</v>
      </c>
      <c r="AI51" s="106">
        <f t="shared" ref="AI51" si="1092">IF(G51="","",(G51-G$10)*1000)</f>
        <v>0.10000000000331966</v>
      </c>
      <c r="AJ51" s="106">
        <f t="shared" ref="AJ51" si="1093">IF(H51="","",(H51-H$10)*1000)</f>
        <v>-2.9499999945983291</v>
      </c>
      <c r="AK51" s="106">
        <f t="shared" ref="AK51" si="1094">IF(I51="","",(I51-I$10)*1000)</f>
        <v>7.1999998763203621</v>
      </c>
      <c r="AL51" s="106">
        <f t="shared" ref="AL51" si="1095">IF(J51="","",(J51-J$10)*1000)</f>
        <v>-3.9000000000015689</v>
      </c>
      <c r="AM51" s="106">
        <f t="shared" ref="AM51" si="1096">IF(K51="","",(K51-K$10)*1000)</f>
        <v>14.250000007450581</v>
      </c>
      <c r="AN51" s="106">
        <f t="shared" ref="AN51" si="1097">IF(L51="","",(L51-L$10)*1000)</f>
        <v>-10.800000047311187</v>
      </c>
      <c r="AO51" s="106">
        <f t="shared" ref="AO51" si="1098">IF(M51="","",(M51-M$10)*1000)</f>
        <v>-17.150000000000887</v>
      </c>
      <c r="AP51" s="106" t="str">
        <f t="shared" ref="AP51" si="1099">IF(N51="","",(N51-N$10)*1000)</f>
        <v/>
      </c>
      <c r="AQ51" s="106" t="str">
        <f t="shared" ref="AQ51" si="1100">IF(O51="","",(O51-O$10)*1000)</f>
        <v/>
      </c>
      <c r="AR51" s="106" t="e">
        <f t="shared" ref="AR51" si="1101">IF(P51="","",(P51-P$18)*1000)+AR$18</f>
        <v>#VALUE!</v>
      </c>
      <c r="AS51" s="106">
        <f t="shared" ref="AS51" si="1102">IF(Q51="","",(Q51-Q$10)*1000)</f>
        <v>7.0500000147148967</v>
      </c>
      <c r="AT51" s="106">
        <f t="shared" ref="AT51" si="1103">IF(R51="","",(R51-R$10)*1000)</f>
        <v>-7.6999999582767487</v>
      </c>
      <c r="AU51" s="106">
        <f t="shared" ref="AU51" si="1104">IF(S51="","",(S51-S$10)*1000)</f>
        <v>1.3999999999896318</v>
      </c>
      <c r="AV51" s="105"/>
      <c r="AW51" s="107" cm="1">
        <f t="array" ref="AW51">IFERROR(_xlfn.SINGLE(INDEX(DATABASE!$AV$14:$BC$989,SUMPRODUCT((ROW(DATABASE!$AV$14:$AV$989)) * (DATABASE!$AV$14:HY$989='Résultats observations'!$A51 ) * (DATABASE!$AW$14:$AW$989= AW$4))-ROW(DATABASE!$AV$14)+1,AW$5)),"")</f>
        <v>5.0631505149209683</v>
      </c>
      <c r="AX51" s="107" cm="1">
        <f t="array" ref="AX51">IFERROR(_xlfn.SINGLE(INDEX(DATABASE!$AV$14:$BC$989,SUMPRODUCT((ROW(DATABASE!$AV$14:$AV$989)) * (DATABASE!$AV$14:HZ$989='Résultats observations'!$A51 ) * (DATABASE!$AW$14:$AW$989= AX$4))-ROW(DATABASE!$AV$14)+1,AX$5)),"")</f>
        <v>-2.6147580299172866</v>
      </c>
      <c r="AY51" s="107" cm="1">
        <f t="array" ref="AY51">IFERROR(_xlfn.SINGLE(INDEX(DATABASE!$AV$14:$BC$989,SUMPRODUCT((ROW(DATABASE!$AV$14:$AV$989)) * (DATABASE!$AV$14:IA$989='Résultats observations'!$A51 ) * (DATABASE!$AW$14:$AW$989= AY$4))-ROW(DATABASE!$AV$14)+1,AY$5)),"")</f>
        <v>-0.78483150514921363</v>
      </c>
      <c r="AZ51" s="107" cm="1">
        <f t="array" ref="AZ51">IFERROR(_xlfn.SINGLE(INDEX(DATABASE!$AV$14:$BC$989,SUMPRODUCT((ROW(DATABASE!$AV$14:$AV$989)) * (DATABASE!$AV$14:IB$989='Résultats observations'!$A51 ) * (DATABASE!$AW$14:$AW$989= AZ$4))-ROW(DATABASE!$AV$14)+1,AZ$5)),"")</f>
        <v>5.0643447942774209</v>
      </c>
      <c r="BA51" s="107" cm="1">
        <f t="array" ref="BA51">IFERROR(_xlfn.SINGLE(INDEX(DATABASE!$AV$14:$BC$989,SUMPRODUCT((ROW(DATABASE!$AV$14:$AV$989)) * (DATABASE!$AV$14:IC$989='Résultats observations'!$A51 ) * (DATABASE!$AW$14:$AW$989= BA$4))-ROW(DATABASE!$AV$14)+1,BA$5)),"")</f>
        <v>-2.5236144964209197</v>
      </c>
      <c r="BB51" s="107" cm="1">
        <f t="array" ref="BB51">IFERROR(_xlfn.SINGLE(INDEX(DATABASE!$AV$14:$BC$989,SUMPRODUCT((ROW(DATABASE!$AV$14:$AV$989)) * (DATABASE!$AV$14:ID$989='Résultats observations'!$A51 ) * (DATABASE!$AW$14:$AW$989= BB$4))-ROW(DATABASE!$AV$14)+1,BB$5)),"")</f>
        <v>1.1448565520572203</v>
      </c>
      <c r="BC51" s="107" cm="1">
        <f t="array" ref="BC51">IFERROR(_xlfn.SINGLE(INDEX(DATABASE!$AV$14:$BC$989,SUMPRODUCT((ROW(DATABASE!$AV$14:$AV$989)) * (DATABASE!$AV$14:IE$989='Résultats observations'!$A51 ) * (DATABASE!$AW$14:$AW$989= BC$4))-ROW(DATABASE!$AV$14)+1,BC$5)),"")</f>
        <v>4.9116959234908739</v>
      </c>
      <c r="BD51" s="107" cm="1">
        <f t="array" ref="BD51">IFERROR(_xlfn.SINGLE(INDEX(DATABASE!$AV$14:$BC$989,SUMPRODUCT((ROW(DATABASE!$AV$14:$AV$989)) * (DATABASE!$AV$14:IF$989='Résultats observations'!$A51 ) * (DATABASE!$AW$14:$AW$989= BD$4))-ROW(DATABASE!$AV$14)+1,BD$5)),"")</f>
        <v>-3.2989032324524679E-2</v>
      </c>
      <c r="BE51" s="107" cm="1">
        <f t="array" ref="BE51">IFERROR(_xlfn.SINGLE(INDEX(DATABASE!$AV$14:$BC$989,SUMPRODUCT((ROW(DATABASE!$AV$14:$AV$989)) * (DATABASE!$AV$14:IG$989='Résultats observations'!$A51 ) * (DATABASE!$AW$14:$AW$989= BE$4))-ROW(DATABASE!$AV$14)+1,BE$5)),"")</f>
        <v>2.5747830407650838</v>
      </c>
      <c r="BF51" s="107" t="str" cm="1">
        <f t="array" ref="BF51">IFERROR(_xlfn.SINGLE(INDEX(DATABASE!$AV$14:$BC$989,SUMPRODUCT((ROW(DATABASE!$AV$14:$AV$989)) * (DATABASE!$AV$14:IH$989='Résultats observations'!$A51 ) * (DATABASE!$AW$14:$AW$989= BF$4))-ROW(DATABASE!$AV$14)+1,BF$5)),"")</f>
        <v/>
      </c>
      <c r="BG51" s="107" t="str" cm="1">
        <f t="array" ref="BG51">IFERROR(_xlfn.SINGLE(INDEX(DATABASE!$AV$14:$BC$989,SUMPRODUCT((ROW(DATABASE!$AV$14:$AV$989)) * (DATABASE!$AV$14:II$989='Résultats observations'!$A51 ) * (DATABASE!$AW$14:$AW$989= BG$4))-ROW(DATABASE!$AV$14)+1,BG$5)),"")</f>
        <v/>
      </c>
      <c r="BH51" s="107" t="str" cm="1">
        <f t="array" ref="BH51">IFERROR(_xlfn.SINGLE(INDEX(DATABASE!$AV$14:$BC$989,SUMPRODUCT((ROW(DATABASE!$AV$14:$AV$989)) * (DATABASE!$AV$14:IJ$989='Résultats observations'!$A51 ) * (DATABASE!$AW$14:$AW$989= BH$4))-ROW(DATABASE!$AV$14)+1,BH$5)),"")</f>
        <v/>
      </c>
      <c r="BI51" s="107" cm="1">
        <f t="array" ref="BI51">IFERROR(_xlfn.SINGLE(INDEX(DATABASE!$AV$14:$BC$989,SUMPRODUCT((ROW(DATABASE!$AV$14:$AV$989)) * (DATABASE!$AV$14:IK$989='Résultats observations'!$A51 ) * (DATABASE!$AW$14:$AW$989= BI$4))-ROW(DATABASE!$AV$14)+1,BI$5)),"")</f>
        <v>5.0821733193441485</v>
      </c>
      <c r="BJ51" s="107" cm="1">
        <f t="array" ref="BJ51">IFERROR(_xlfn.SINGLE(INDEX(DATABASE!$AV$14:$BC$989,SUMPRODUCT((ROW(DATABASE!$AV$14:$AV$989)) * (DATABASE!$AV$14:IL$989='Résultats observations'!$A51 ) * (DATABASE!$AW$14:$AW$989= BJ$4))-ROW(DATABASE!$AV$14)+1,BJ$5)),"")</f>
        <v>2.6697641192247805</v>
      </c>
      <c r="BK51" s="107" cm="1">
        <f t="array" ref="BK51">IFERROR(_xlfn.SINGLE(INDEX(DATABASE!$AV$14:$BC$989,SUMPRODUCT((ROW(DATABASE!$AV$14:$AV$989)) * (DATABASE!$AV$14:IM$989='Résultats observations'!$A51 ) * (DATABASE!$AW$14:$AW$989= BK$4))-ROW(DATABASE!$AV$14)+1,BK$5)),"")</f>
        <v>-0.72782173319345134</v>
      </c>
      <c r="BL51" s="105"/>
      <c r="BM51" s="106">
        <f t="shared" ref="BM51" si="1105">IF(AW51="","",(AW51-AW$10)*1000)</f>
        <v>-4.8960939079210064</v>
      </c>
      <c r="BN51" s="106">
        <f t="shared" ref="BN51" si="1106">IF(AX51="","",(AX51-AX$10)*1000)</f>
        <v>10.736771578280901</v>
      </c>
      <c r="BO51" s="106">
        <f t="shared" ref="BO51" si="1107">IF(AY51="","",(AY51-AY$10)*1000)</f>
        <v>0.14896093908589592</v>
      </c>
      <c r="BP51" s="106">
        <f t="shared" ref="BP51" si="1108">IF(AZ51="","",(AZ51-AZ$10)*1000)</f>
        <v>-0.36911979626363944</v>
      </c>
      <c r="BQ51" s="106">
        <f t="shared" ref="BQ51" si="1109">IF(BA51="","",(BA51-BA$10)*1000)</f>
        <v>7.7721456987851489</v>
      </c>
      <c r="BR51" s="106">
        <f t="shared" ref="BR51" si="1110">IF(BB51="","",(BB51-BB$10)*1000)</f>
        <v>-3.8963088020409486</v>
      </c>
      <c r="BS51" s="106">
        <f t="shared" ref="BS51" si="1111">IF(BC51="","",(BC51-BC$10)*1000)</f>
        <v>-8.3508602973685342</v>
      </c>
      <c r="BT51" s="106">
        <f t="shared" ref="BT51" si="1112">IF(BD51="","",(BD51-BD$10)*1000)</f>
        <v>-15.81030150022417</v>
      </c>
      <c r="BU51" s="106">
        <f t="shared" ref="BU51" si="1113">IF(BE51="","",(BE51-BE$10)*1000)</f>
        <v>-17.066491397031314</v>
      </c>
      <c r="BV51" s="106" t="str">
        <f t="shared" ref="BV51" si="1114">IF(BF51="","",(BF51-BF$10)*1000)</f>
        <v/>
      </c>
      <c r="BW51" s="106" t="str">
        <f t="shared" ref="BW51" si="1115">IF(BG51="","",(BG51-BG$10)*1000)</f>
        <v/>
      </c>
      <c r="BX51" s="106" t="e">
        <f t="shared" ref="BX51" si="1116">IF(BH51="","",(BH51-BH$18)*1000)+BX$18</f>
        <v>#VALUE!</v>
      </c>
      <c r="BY51" s="106">
        <f t="shared" ref="BY51" si="1117">IF(BI51="","",(BI51-BI$10)*1000)</f>
        <v>-3.1354677643955498</v>
      </c>
      <c r="BZ51" s="106">
        <f t="shared" ref="BZ51" si="1118">IF(BJ51="","",(BJ51-BJ$10)*1000)</f>
        <v>-9.9579787840387013</v>
      </c>
      <c r="CA51" s="106">
        <f t="shared" ref="CA51" si="1119">IF(BK51="","",(BK51-BK$10)*1000)</f>
        <v>1.4313546776349995</v>
      </c>
    </row>
    <row r="52" spans="1:79" s="108" customFormat="1" ht="29.25" customHeight="1">
      <c r="A52" s="189">
        <v>45831</v>
      </c>
      <c r="B52" s="100">
        <f t="shared" ref="B52" si="1120">A52-$A$10</f>
        <v>507</v>
      </c>
      <c r="C52" s="101">
        <v>28.1</v>
      </c>
      <c r="D52" s="101">
        <f t="shared" ref="D52" si="1121">C52-$W$6</f>
        <v>23.01</v>
      </c>
      <c r="E52" s="102" cm="1">
        <f t="array" ref="E52">IFERROR(_xlfn.SINGLE(INDEX(DATABASE!$AV$14:$BC$989,SUMPRODUCT((ROW(DATABASE!$AV$14:$AV$989)) * (DATABASE!AG$14:$AV$989='Résultats observations'!$A52 ) * (DATABASE!$AW$14:$AW$989= E$4))-ROW(DATABASE!$AV$14)+1,E$5)),"")</f>
        <v>823058.96829999995</v>
      </c>
      <c r="F52" s="102" cm="1">
        <f t="array" ref="F52">IFERROR(_xlfn.SINGLE(INDEX(DATABASE!$AV$14:$BC$989,SUMPRODUCT((ROW(DATABASE!$AV$14:$AV$989)) * (DATABASE!AH$14:$AV$989='Résultats observations'!$A52 ) * (DATABASE!$AW$14:$AW$989= F$4))-ROW(DATABASE!$AV$14)+1,F$5)),"")</f>
        <v>1091426.6658000001</v>
      </c>
      <c r="G52" s="102" cm="1">
        <f t="array" ref="G52">IFERROR(_xlfn.SINGLE(INDEX(DATABASE!$AV$14:$BC$989,SUMPRODUCT((ROW(DATABASE!$AV$14:$AV$989)) * (DATABASE!AI$14:$AV$989='Résultats observations'!$A52 ) * (DATABASE!$AW$14:$AW$989= G$4))-ROW(DATABASE!$AV$14)+1,G$5)),"")</f>
        <v>-123.06100000000001</v>
      </c>
      <c r="H52" s="102" cm="1">
        <f t="array" ref="H52">IFERROR(_xlfn.SINGLE(INDEX(DATABASE!$AV$14:$BC$989,SUMPRODUCT((ROW(DATABASE!$AV$14:$AV$989)) * (DATABASE!AJ$14:$AV$989='Résultats observations'!$A52 ) * (DATABASE!$AW$14:$AW$989= H$4))-ROW(DATABASE!$AV$14)+1,H$5)),"")</f>
        <v>823058.92870000005</v>
      </c>
      <c r="I52" s="102" cm="1">
        <f t="array" ref="I52">IFERROR(_xlfn.SINGLE(INDEX(DATABASE!$AV$14:$BC$989,SUMPRODUCT((ROW(DATABASE!$AV$14:$AV$989)) * (DATABASE!AK$14:$AV$989='Résultats observations'!$A52 ) * (DATABASE!$AW$14:$AW$989= I$4))-ROW(DATABASE!$AV$14)+1,I$5)),"")</f>
        <v>1091426.7479000001</v>
      </c>
      <c r="J52" s="102" cm="1">
        <f t="array" ref="J52">IFERROR(_xlfn.SINGLE(INDEX(DATABASE!$AV$14:$BC$989,SUMPRODUCT((ROW(DATABASE!$AV$14:$AV$989)) * (DATABASE!AL$14:$AV$989='Résultats observations'!$A52 ) * (DATABASE!$AW$14:$AW$989= J$4))-ROW(DATABASE!$AV$14)+1,J$5)),"")</f>
        <v>-121.1313</v>
      </c>
      <c r="K52" s="102" cm="1">
        <f t="array" ref="K52">IFERROR(_xlfn.SINGLE(INDEX(DATABASE!$AV$14:$BC$989,SUMPRODUCT((ROW(DATABASE!$AV$14:$AV$989)) * (DATABASE!AM$14:$AV$989='Résultats observations'!$A52 ) * (DATABASE!$AW$14:$AW$989= K$4))-ROW(DATABASE!$AV$14)+1,K$5)),"")</f>
        <v>823058.01500000001</v>
      </c>
      <c r="L52" s="102" cm="1">
        <f t="array" ref="L52">IFERROR(_xlfn.SINGLE(INDEX(DATABASE!$AV$14:$BC$989,SUMPRODUCT((ROW(DATABASE!$AV$14:$AV$989)) * (DATABASE!AN$14:$AV$989='Résultats observations'!$A52 ) * (DATABASE!$AW$14:$AW$989= L$4))-ROW(DATABASE!$AV$14)+1,L$5)),"")</f>
        <v>1091429.0686999999</v>
      </c>
      <c r="M52" s="102" cm="1">
        <f t="array" ref="M52">IFERROR(_xlfn.SINGLE(INDEX(DATABASE!$AV$14:$BC$989,SUMPRODUCT((ROW(DATABASE!$AV$14:$AV$989)) * (DATABASE!AO$14:$AV$989='Résultats observations'!$A52 ) * (DATABASE!$AW$14:$AW$989= M$4))-ROW(DATABASE!$AV$14)+1,M$5)),"")</f>
        <v>-119.7037</v>
      </c>
      <c r="N52" s="102" t="str" cm="1">
        <f t="array" ref="N52">IFERROR(_xlfn.SINGLE(INDEX(DATABASE!$AV$14:$BC$989,SUMPRODUCT((ROW(DATABASE!$AV$14:$AV$989)) * (DATABASE!AP$14:$AV$989='Résultats observations'!$A52 ) * (DATABASE!$AW$14:$AW$989= N$4))-ROW(DATABASE!$AV$14)+1,N$5)),"")</f>
        <v/>
      </c>
      <c r="O52" s="102" t="str" cm="1">
        <f t="array" ref="O52">IFERROR(_xlfn.SINGLE(INDEX(DATABASE!$AV$14:$BC$989,SUMPRODUCT((ROW(DATABASE!$AV$14:$AV$989)) * (DATABASE!AQ$14:$AV$989='Résultats observations'!$A52 ) * (DATABASE!$AW$14:$AW$989= O$4))-ROW(DATABASE!$AV$14)+1,O$5)),"")</f>
        <v/>
      </c>
      <c r="P52" s="102" t="str" cm="1">
        <f t="array" ref="P52">IFERROR(_xlfn.SINGLE(INDEX(DATABASE!$AV$14:$BC$989,SUMPRODUCT((ROW(DATABASE!$AV$14:$AV$989)) * (DATABASE!AR$14:$AV$989='Résultats observations'!$A52 ) * (DATABASE!$AW$14:$AW$989= P$4))-ROW(DATABASE!$AV$14)+1,P$5)),"")</f>
        <v/>
      </c>
      <c r="Q52" s="102" cm="1">
        <f t="array" ref="Q52">IFERROR(_xlfn.SINGLE(INDEX(DATABASE!$AV$14:$BC$989,SUMPRODUCT((ROW(DATABASE!$AV$14:$AV$989)) * (DATABASE!AS$14:$AV$989='Résultats observations'!$A52 ) * (DATABASE!$AW$14:$AW$989= Q$4))-ROW(DATABASE!$AV$14)+1,Q$5)),"")</f>
        <v>823056.71790000005</v>
      </c>
      <c r="R52" s="102" cm="1">
        <f t="array" ref="R52">IFERROR(_xlfn.SINGLE(INDEX(DATABASE!$AV$14:$BC$989,SUMPRODUCT((ROW(DATABASE!$AV$14:$AV$989)) * (DATABASE!AT$14:$AV$989='Résultats observations'!$A52 ) * (DATABASE!$AW$14:$AW$989= R$4))-ROW(DATABASE!$AV$14)+1,R$5)),"")</f>
        <v>1091431.4463</v>
      </c>
      <c r="S52" s="102" cm="1">
        <f t="array" ref="S52">IFERROR(_xlfn.SINGLE(INDEX(DATABASE!$AV$14:$BC$989,SUMPRODUCT((ROW(DATABASE!$AV$14:$AV$989)) * (DATABASE!AU$14:$AV$989='Résultats observations'!$A52 ) * (DATABASE!$AW$14:$AW$989= S$4))-ROW(DATABASE!$AV$14)+1,S$5)),"")</f>
        <v>-123.0039</v>
      </c>
      <c r="T52" s="103">
        <f t="shared" si="2"/>
        <v>4.2372364330129573</v>
      </c>
      <c r="U52" s="103">
        <f t="shared" si="3"/>
        <v>2.873847958654018</v>
      </c>
      <c r="V52" s="103" t="e">
        <f t="shared" si="4"/>
        <v>#VALUE!</v>
      </c>
      <c r="W52" s="103">
        <f t="shared" si="5"/>
        <v>4.2692821656512887</v>
      </c>
      <c r="X52" s="103" t="str">
        <f t="shared" si="6"/>
        <v/>
      </c>
      <c r="Y52" s="103">
        <f t="shared" si="7"/>
        <v>5.2840080259577737</v>
      </c>
      <c r="Z52" s="104">
        <f t="shared" ref="Z52" si="1122">IF(T52="","",(T52-T$10)*1000)</f>
        <v>-31.042411584015106</v>
      </c>
      <c r="AA52" s="104">
        <f t="shared" ref="AA52" si="1123">IF(U52="","",(U52-U$10)*1000)</f>
        <v>-27.966081270908827</v>
      </c>
      <c r="AB52" s="104" t="e">
        <f t="shared" ref="AB52" si="1124">IF(V52="","",(V52-V$10)*1000)</f>
        <v>#VALUE!</v>
      </c>
      <c r="AC52" s="104">
        <f t="shared" ref="AC52" si="1125">IF(W52="","",(W52-W$10)*1000)</f>
        <v>-10.826934921047915</v>
      </c>
      <c r="AD52" s="104" t="str">
        <f t="shared" ref="AD52" si="1126">IF(X52="","",(X52-X$10)*1000)</f>
        <v/>
      </c>
      <c r="AE52" s="104">
        <f t="shared" ref="AE52" si="1127">IF(Y52="","",(Y52-Y$10)*1000)</f>
        <v>-21.531451191175499</v>
      </c>
      <c r="AF52" s="105"/>
      <c r="AG52" s="106">
        <f t="shared" ref="AG52" si="1128">IF(E52="","",(E52-E$10)*1000)</f>
        <v>0</v>
      </c>
      <c r="AH52" s="106">
        <f t="shared" ref="AH52" si="1129">IF(F52="","",(F52-F$10)*1000)</f>
        <v>12.100000167265534</v>
      </c>
      <c r="AI52" s="106">
        <f t="shared" ref="AI52" si="1130">IF(G52="","",(G52-G$10)*1000)</f>
        <v>0.29999999999574811</v>
      </c>
      <c r="AJ52" s="106">
        <f t="shared" ref="AJ52" si="1131">IF(H52="","",(H52-H$10)*1000)</f>
        <v>-2.849999931640923</v>
      </c>
      <c r="AK52" s="106">
        <f t="shared" ref="AK52" si="1132">IF(I52="","",(I52-I$10)*1000)</f>
        <v>7.5000000651925802</v>
      </c>
      <c r="AL52" s="106">
        <f t="shared" ref="AL52" si="1133">IF(J52="","",(J52-J$10)*1000)</f>
        <v>-3.6999999999949296</v>
      </c>
      <c r="AM52" s="106">
        <f t="shared" ref="AM52" si="1134">IF(K52="","",(K52-K$10)*1000)</f>
        <v>14.850000035949051</v>
      </c>
      <c r="AN52" s="106">
        <f t="shared" ref="AN52" si="1135">IF(L52="","",(L52-L$10)*1000)</f>
        <v>-11.500000022351742</v>
      </c>
      <c r="AO52" s="106">
        <f t="shared" ref="AO52" si="1136">IF(M52="","",(M52-M$10)*1000)</f>
        <v>-17.749999999992383</v>
      </c>
      <c r="AP52" s="106" t="str">
        <f t="shared" ref="AP52" si="1137">IF(N52="","",(N52-N$10)*1000)</f>
        <v/>
      </c>
      <c r="AQ52" s="106" t="str">
        <f t="shared" ref="AQ52" si="1138">IF(O52="","",(O52-O$10)*1000)</f>
        <v/>
      </c>
      <c r="AR52" s="106" t="e">
        <f t="shared" ref="AR52" si="1139">IF(P52="","",(P52-P$18)*1000)+AR$18</f>
        <v>#VALUE!</v>
      </c>
      <c r="AS52" s="106">
        <f t="shared" ref="AS52" si="1140">IF(Q52="","",(Q52-Q$10)*1000)</f>
        <v>7.2500000242143869</v>
      </c>
      <c r="AT52" s="106">
        <f t="shared" ref="AT52" si="1141">IF(R52="","",(R52-R$10)*1000)</f>
        <v>-8.3000001031905413</v>
      </c>
      <c r="AU52" s="106">
        <f t="shared" ref="AU52" si="1142">IF(S52="","",(S52-S$10)*1000)</f>
        <v>1.4999999999929514</v>
      </c>
      <c r="AV52" s="105"/>
      <c r="AW52" s="107" cm="1">
        <f t="array" ref="AW52">IFERROR(_xlfn.SINGLE(INDEX(DATABASE!$AV$14:$BC$989,SUMPRODUCT((ROW(DATABASE!$AV$14:$AV$989)) * (DATABASE!$AV$14:HY$989='Résultats observations'!$A52 ) * (DATABASE!$AW$14:$AW$989= AW$4))-ROW(DATABASE!$AV$14)+1,AW$5)),"")</f>
        <v>5.062933102286248</v>
      </c>
      <c r="AX52" s="107" cm="1">
        <f t="array" ref="AX52">IFERROR(_xlfn.SINGLE(INDEX(DATABASE!$AV$14:$BC$989,SUMPRODUCT((ROW(DATABASE!$AV$14:$AV$989)) * (DATABASE!$AV$14:HZ$989='Résultats observations'!$A52 ) * (DATABASE!$AW$14:$AW$989= AX$4))-ROW(DATABASE!$AV$14)+1,AX$5)),"")</f>
        <v>-2.614528395754113</v>
      </c>
      <c r="AY52" s="107" cm="1">
        <f t="array" ref="AY52">IFERROR(_xlfn.SINGLE(INDEX(DATABASE!$AV$14:$BC$989,SUMPRODUCT((ROW(DATABASE!$AV$14:$AV$989)) * (DATABASE!$AV$14:IA$989='Résultats observations'!$A52 ) * (DATABASE!$AW$14:$AW$989= AY$4))-ROW(DATABASE!$AV$14)+1,AY$5)),"")</f>
        <v>-0.78462933102287025</v>
      </c>
      <c r="AZ52" s="107" cm="1">
        <f t="array" ref="AZ52">IFERROR(_xlfn.SINGLE(INDEX(DATABASE!$AV$14:$BC$989,SUMPRODUCT((ROW(DATABASE!$AV$14:$AV$989)) * (DATABASE!$AV$14:IB$989='Résultats observations'!$A52 ) * (DATABASE!$AW$14:$AW$989= AZ$4))-ROW(DATABASE!$AV$14)+1,AZ$5)),"")</f>
        <v>5.0641273815371912</v>
      </c>
      <c r="BA52" s="107" cm="1">
        <f t="array" ref="BA52">IFERROR(_xlfn.SINGLE(INDEX(DATABASE!$AV$14:$BC$989,SUMPRODUCT((ROW(DATABASE!$AV$14:$AV$989)) * (DATABASE!$AV$14:IC$989='Résultats observations'!$A52 ) * (DATABASE!$AW$14:$AW$989= BA$4))-ROW(DATABASE!$AV$14)+1,BA$5)),"")</f>
        <v>-2.5233848623069455</v>
      </c>
      <c r="BB52" s="107" cm="1">
        <f t="array" ref="BB52">IFERROR(_xlfn.SINGLE(INDEX(DATABASE!$AV$14:$BC$989,SUMPRODUCT((ROW(DATABASE!$AV$14:$AV$989)) * (DATABASE!$AV$14:ID$989='Résultats observations'!$A52 ) * (DATABASE!$AW$14:$AW$989= BB$4))-ROW(DATABASE!$AV$14)+1,BB$5)),"")</f>
        <v>1.1450587261846294</v>
      </c>
      <c r="BC52" s="107" cm="1">
        <f t="array" ref="BC52">IFERROR(_xlfn.SINGLE(INDEX(DATABASE!$AV$14:$BC$989,SUMPRODUCT((ROW(DATABASE!$AV$14:$AV$989)) * (DATABASE!$AV$14:IE$989='Résultats observations'!$A52 ) * (DATABASE!$AW$14:$AW$989= BC$4))-ROW(DATABASE!$AV$14)+1,BC$5)),"")</f>
        <v>4.9114479574360219</v>
      </c>
      <c r="BD52" s="107" cm="1">
        <f t="array" ref="BD52">IFERROR(_xlfn.SINGLE(INDEX(DATABASE!$AV$14:$BC$989,SUMPRODUCT((ROW(DATABASE!$AV$14:$AV$989)) * (DATABASE!$AV$14:IF$989='Résultats observations'!$A52 ) * (DATABASE!$AW$14:$AW$989= BD$4))-ROW(DATABASE!$AV$14)+1,BD$5)),"")</f>
        <v>-3.3877014776434518E-2</v>
      </c>
      <c r="BE52" s="107" cm="1">
        <f t="array" ref="BE52">IFERROR(_xlfn.SINGLE(INDEX(DATABASE!$AV$14:$BC$989,SUMPRODUCT((ROW(DATABASE!$AV$14:$AV$989)) * (DATABASE!$AV$14:IG$989='Résultats observations'!$A52 ) * (DATABASE!$AW$14:$AW$989= BE$4))-ROW(DATABASE!$AV$14)+1,BE$5)),"")</f>
        <v>2.5741855204256439</v>
      </c>
      <c r="BF52" s="107" t="str" cm="1">
        <f t="array" ref="BF52">IFERROR(_xlfn.SINGLE(INDEX(DATABASE!$AV$14:$BC$989,SUMPRODUCT((ROW(DATABASE!$AV$14:$AV$989)) * (DATABASE!$AV$14:IH$989='Résultats observations'!$A52 ) * (DATABASE!$AW$14:$AW$989= BF$4))-ROW(DATABASE!$AV$14)+1,BF$5)),"")</f>
        <v/>
      </c>
      <c r="BG52" s="107" t="str" cm="1">
        <f t="array" ref="BG52">IFERROR(_xlfn.SINGLE(INDEX(DATABASE!$AV$14:$BC$989,SUMPRODUCT((ROW(DATABASE!$AV$14:$AV$989)) * (DATABASE!$AV$14:II$989='Résultats observations'!$A52 ) * (DATABASE!$AW$14:$AW$989= BG$4))-ROW(DATABASE!$AV$14)+1,BG$5)),"")</f>
        <v/>
      </c>
      <c r="BH52" s="107" t="str" cm="1">
        <f t="array" ref="BH52">IFERROR(_xlfn.SINGLE(INDEX(DATABASE!$AV$14:$BC$989,SUMPRODUCT((ROW(DATABASE!$AV$14:$AV$989)) * (DATABASE!$AV$14:IJ$989='Résultats observations'!$A52 ) * (DATABASE!$AW$14:$AW$989= BH$4))-ROW(DATABASE!$AV$14)+1,BH$5)),"")</f>
        <v/>
      </c>
      <c r="BI52" s="107" cm="1">
        <f t="array" ref="BI52">IFERROR(_xlfn.SINGLE(INDEX(DATABASE!$AV$14:$BC$989,SUMPRODUCT((ROW(DATABASE!$AV$14:$AV$989)) * (DATABASE!$AV$14:IK$989='Résultats observations'!$A52 ) * (DATABASE!$AW$14:$AW$989= BI$4))-ROW(DATABASE!$AV$14)+1,BI$5)),"")</f>
        <v>5.0822456187988623</v>
      </c>
      <c r="BJ52" s="107" cm="1">
        <f t="array" ref="BJ52">IFERROR(_xlfn.SINGLE(INDEX(DATABASE!$AV$14:$BC$989,SUMPRODUCT((ROW(DATABASE!$AV$14:$AV$989)) * (DATABASE!$AV$14:IL$989='Résultats observations'!$A52 ) * (DATABASE!$AW$14:$AW$989= BJ$4))-ROW(DATABASE!$AV$14)+1,BJ$5)),"")</f>
        <v>2.669135809614362</v>
      </c>
      <c r="BK52" s="107" cm="1">
        <f t="array" ref="BK52">IFERROR(_xlfn.SINGLE(INDEX(DATABASE!$AV$14:$BC$989,SUMPRODUCT((ROW(DATABASE!$AV$14:$AV$989)) * (DATABASE!$AV$14:IM$989='Résultats observations'!$A52 ) * (DATABASE!$AW$14:$AW$989= BK$4))-ROW(DATABASE!$AV$14)+1,BK$5)),"")</f>
        <v>-0.72772245618799047</v>
      </c>
      <c r="BL52" s="105"/>
      <c r="BM52" s="106">
        <f t="shared" ref="BM52" si="1143">IF(AW52="","",(AW52-AW$10)*1000)</f>
        <v>-5.1135065426413107</v>
      </c>
      <c r="BN52" s="106">
        <f t="shared" ref="BN52" si="1144">IF(AX52="","",(AX52-AX$10)*1000)</f>
        <v>10.966405741454466</v>
      </c>
      <c r="BO52" s="106">
        <f t="shared" ref="BO52" si="1145">IF(AY52="","",(AY52-AY$10)*1000)</f>
        <v>0.35113506542927553</v>
      </c>
      <c r="BP52" s="106">
        <f t="shared" ref="BP52" si="1146">IF(AZ52="","",(AZ52-AZ$10)*1000)</f>
        <v>-0.58653253649332271</v>
      </c>
      <c r="BQ52" s="106">
        <f t="shared" ref="BQ52" si="1147">IF(BA52="","",(BA52-BA$10)*1000)</f>
        <v>8.001779812759402</v>
      </c>
      <c r="BR52" s="106">
        <f t="shared" ref="BR52" si="1148">IF(BB52="","",(BB52-BB$10)*1000)</f>
        <v>-3.6941346746317549</v>
      </c>
      <c r="BS52" s="106">
        <f t="shared" ref="BS52" si="1149">IF(BC52="","",(BC52-BC$10)*1000)</f>
        <v>-8.5988263522205344</v>
      </c>
      <c r="BT52" s="106">
        <f t="shared" ref="BT52" si="1150">IF(BD52="","",(BD52-BD$10)*1000)</f>
        <v>-16.698283952134009</v>
      </c>
      <c r="BU52" s="106">
        <f t="shared" ref="BU52" si="1151">IF(BE52="","",(BE52-BE$10)*1000)</f>
        <v>-17.664011736471252</v>
      </c>
      <c r="BV52" s="106" t="str">
        <f t="shared" ref="BV52" si="1152">IF(BF52="","",(BF52-BF$10)*1000)</f>
        <v/>
      </c>
      <c r="BW52" s="106" t="str">
        <f t="shared" ref="BW52" si="1153">IF(BG52="","",(BG52-BG$10)*1000)</f>
        <v/>
      </c>
      <c r="BX52" s="106" t="e">
        <f t="shared" ref="BX52" si="1154">IF(BH52="","",(BH52-BH$18)*1000)+BX$18</f>
        <v>#VALUE!</v>
      </c>
      <c r="BY52" s="106">
        <f t="shared" ref="BY52" si="1155">IF(BI52="","",(BI52-BI$10)*1000)</f>
        <v>-3.0631683096817852</v>
      </c>
      <c r="BZ52" s="106">
        <f t="shared" ref="BZ52" si="1156">IF(BJ52="","",(BJ52-BJ$10)*1000)</f>
        <v>-10.586288394457188</v>
      </c>
      <c r="CA52" s="106">
        <f t="shared" ref="CA52" si="1157">IF(BK52="","",(BK52-BK$10)*1000)</f>
        <v>1.5306316830958622</v>
      </c>
    </row>
    <row r="53" spans="1:79" s="108" customFormat="1" ht="29.25" customHeight="1">
      <c r="A53" s="189">
        <v>45839</v>
      </c>
      <c r="B53" s="100">
        <f t="shared" ref="B53" si="1158">A53-$A$10</f>
        <v>515</v>
      </c>
      <c r="C53" s="101">
        <v>29.4</v>
      </c>
      <c r="D53" s="101">
        <f t="shared" ref="D53" si="1159">C53-$W$6</f>
        <v>24.31</v>
      </c>
      <c r="E53" s="102" cm="1">
        <f t="array" ref="E53">IFERROR(_xlfn.SINGLE(INDEX(DATABASE!$AV$14:$BC$989,SUMPRODUCT((ROW(DATABASE!$AV$14:$AV$989)) * (DATABASE!AG$14:$AV$989='Résultats observations'!$A53 ) * (DATABASE!$AW$14:$AW$989= E$4))-ROW(DATABASE!$AV$14)+1,E$5)),"")</f>
        <v>823058.96840000001</v>
      </c>
      <c r="F53" s="102" cm="1">
        <f t="array" ref="F53">IFERROR(_xlfn.SINGLE(INDEX(DATABASE!$AV$14:$BC$989,SUMPRODUCT((ROW(DATABASE!$AV$14:$AV$989)) * (DATABASE!AH$14:$AV$989='Résultats observations'!$A53 ) * (DATABASE!$AW$14:$AW$989= F$4))-ROW(DATABASE!$AV$14)+1,F$5)),"")</f>
        <v>1091426.6654999999</v>
      </c>
      <c r="G53" s="102" cm="1">
        <f t="array" ref="G53">IFERROR(_xlfn.SINGLE(INDEX(DATABASE!$AV$14:$BC$989,SUMPRODUCT((ROW(DATABASE!$AV$14:$AV$989)) * (DATABASE!AI$14:$AV$989='Résultats observations'!$A53 ) * (DATABASE!$AW$14:$AW$989= G$4))-ROW(DATABASE!$AV$14)+1,G$5)),"")</f>
        <v>-123.0613</v>
      </c>
      <c r="H53" s="102" cm="1">
        <f t="array" ref="H53">IFERROR(_xlfn.SINGLE(INDEX(DATABASE!$AV$14:$BC$989,SUMPRODUCT((ROW(DATABASE!$AV$14:$AV$989)) * (DATABASE!AJ$14:$AV$989='Résultats observations'!$A53 ) * (DATABASE!$AW$14:$AW$989= H$4))-ROW(DATABASE!$AV$14)+1,H$5)),"")</f>
        <v>823058.92940000002</v>
      </c>
      <c r="I53" s="102" cm="1">
        <f t="array" ref="I53">IFERROR(_xlfn.SINGLE(INDEX(DATABASE!$AV$14:$BC$989,SUMPRODUCT((ROW(DATABASE!$AV$14:$AV$989)) * (DATABASE!AK$14:$AV$989='Résultats observations'!$A53 ) * (DATABASE!$AW$14:$AW$989= I$4))-ROW(DATABASE!$AV$14)+1,I$5)),"")</f>
        <v>1091426.7483999999</v>
      </c>
      <c r="J53" s="102" cm="1">
        <f t="array" ref="J53">IFERROR(_xlfn.SINGLE(INDEX(DATABASE!$AV$14:$BC$989,SUMPRODUCT((ROW(DATABASE!$AV$14:$AV$989)) * (DATABASE!AL$14:$AV$989='Résultats observations'!$A53 ) * (DATABASE!$AW$14:$AW$989= J$4))-ROW(DATABASE!$AV$14)+1,J$5)),"")</f>
        <v>-121.13160000000001</v>
      </c>
      <c r="K53" s="102" cm="1">
        <f t="array" ref="K53">IFERROR(_xlfn.SINGLE(INDEX(DATABASE!$AV$14:$BC$989,SUMPRODUCT((ROW(DATABASE!$AV$14:$AV$989)) * (DATABASE!AM$14:$AV$989='Résultats observations'!$A53 ) * (DATABASE!$AW$14:$AW$989= K$4))-ROW(DATABASE!$AV$14)+1,K$5)),"")</f>
        <v>823058.01549999998</v>
      </c>
      <c r="L53" s="102" cm="1">
        <f t="array" ref="L53">IFERROR(_xlfn.SINGLE(INDEX(DATABASE!$AV$14:$BC$989,SUMPRODUCT((ROW(DATABASE!$AV$14:$AV$989)) * (DATABASE!AN$14:$AV$989='Résultats observations'!$A53 ) * (DATABASE!$AW$14:$AW$989= L$4))-ROW(DATABASE!$AV$14)+1,L$5)),"")</f>
        <v>1091429.0681</v>
      </c>
      <c r="M53" s="102" cm="1">
        <f t="array" ref="M53">IFERROR(_xlfn.SINGLE(INDEX(DATABASE!$AV$14:$BC$989,SUMPRODUCT((ROW(DATABASE!$AV$14:$AV$989)) * (DATABASE!AO$14:$AV$989='Résultats observations'!$A53 ) * (DATABASE!$AW$14:$AW$989= M$4))-ROW(DATABASE!$AV$14)+1,M$5)),"")</f>
        <v>-119.7041</v>
      </c>
      <c r="N53" s="102" t="str" cm="1">
        <f t="array" ref="N53">IFERROR(_xlfn.SINGLE(INDEX(DATABASE!$AV$14:$BC$989,SUMPRODUCT((ROW(DATABASE!$AV$14:$AV$989)) * (DATABASE!AP$14:$AV$989='Résultats observations'!$A53 ) * (DATABASE!$AW$14:$AW$989= N$4))-ROW(DATABASE!$AV$14)+1,N$5)),"")</f>
        <v/>
      </c>
      <c r="O53" s="102" t="str" cm="1">
        <f t="array" ref="O53">IFERROR(_xlfn.SINGLE(INDEX(DATABASE!$AV$14:$BC$989,SUMPRODUCT((ROW(DATABASE!$AV$14:$AV$989)) * (DATABASE!AQ$14:$AV$989='Résultats observations'!$A53 ) * (DATABASE!$AW$14:$AW$989= O$4))-ROW(DATABASE!$AV$14)+1,O$5)),"")</f>
        <v/>
      </c>
      <c r="P53" s="102" t="str" cm="1">
        <f t="array" ref="P53">IFERROR(_xlfn.SINGLE(INDEX(DATABASE!$AV$14:$BC$989,SUMPRODUCT((ROW(DATABASE!$AV$14:$AV$989)) * (DATABASE!AR$14:$AV$989='Résultats observations'!$A53 ) * (DATABASE!$AW$14:$AW$989= P$4))-ROW(DATABASE!$AV$14)+1,P$5)),"")</f>
        <v/>
      </c>
      <c r="Q53" s="102" cm="1">
        <f t="array" ref="Q53">IFERROR(_xlfn.SINGLE(INDEX(DATABASE!$AV$14:$BC$989,SUMPRODUCT((ROW(DATABASE!$AV$14:$AV$989)) * (DATABASE!AS$14:$AV$989='Résultats observations'!$A53 ) * (DATABASE!$AW$14:$AW$989= Q$4))-ROW(DATABASE!$AV$14)+1,Q$5)),"")</f>
        <v>823056.71840000001</v>
      </c>
      <c r="R53" s="102" cm="1">
        <f t="array" ref="R53">IFERROR(_xlfn.SINGLE(INDEX(DATABASE!$AV$14:$BC$989,SUMPRODUCT((ROW(DATABASE!$AV$14:$AV$989)) * (DATABASE!AT$14:$AV$989='Résultats observations'!$A53 ) * (DATABASE!$AW$14:$AW$989= R$4))-ROW(DATABASE!$AV$14)+1,R$5)),"")</f>
        <v>1091431.4461000001</v>
      </c>
      <c r="S53" s="102" cm="1">
        <f t="array" ref="S53">IFERROR(_xlfn.SINGLE(INDEX(DATABASE!$AV$14:$BC$989,SUMPRODUCT((ROW(DATABASE!$AV$14:$AV$989)) * (DATABASE!AU$14:$AV$989='Résultats observations'!$A53 ) * (DATABASE!$AW$14:$AW$989= S$4))-ROW(DATABASE!$AV$14)+1,S$5)),"")</f>
        <v>-123.004</v>
      </c>
      <c r="T53" s="103">
        <f t="shared" si="2"/>
        <v>4.2368970970237356</v>
      </c>
      <c r="U53" s="103">
        <f t="shared" si="3"/>
        <v>2.8729736425149128</v>
      </c>
      <c r="V53" s="103" t="e">
        <f t="shared" si="4"/>
        <v>#VALUE!</v>
      </c>
      <c r="W53" s="103">
        <f t="shared" si="5"/>
        <v>4.2692730552212925</v>
      </c>
      <c r="X53" s="103" t="str">
        <f t="shared" si="6"/>
        <v/>
      </c>
      <c r="Y53" s="103">
        <f t="shared" si="7"/>
        <v>5.2839303223692005</v>
      </c>
      <c r="Z53" s="104">
        <f t="shared" ref="Z53" si="1160">IF(T53="","",(T53-T$10)*1000)</f>
        <v>-31.381747573236751</v>
      </c>
      <c r="AA53" s="104">
        <f t="shared" ref="AA53" si="1161">IF(U53="","",(U53-U$10)*1000)</f>
        <v>-28.840397410013985</v>
      </c>
      <c r="AB53" s="104" t="e">
        <f t="shared" ref="AB53" si="1162">IF(V53="","",(V53-V$10)*1000)</f>
        <v>#VALUE!</v>
      </c>
      <c r="AC53" s="104">
        <f t="shared" ref="AC53" si="1163">IF(W53="","",(W53-W$10)*1000)</f>
        <v>-10.836045351044099</v>
      </c>
      <c r="AD53" s="104" t="str">
        <f t="shared" ref="AD53" si="1164">IF(X53="","",(X53-X$10)*1000)</f>
        <v/>
      </c>
      <c r="AE53" s="104">
        <f t="shared" ref="AE53" si="1165">IF(Y53="","",(Y53-Y$10)*1000)</f>
        <v>-21.609154779748785</v>
      </c>
      <c r="AF53" s="105"/>
      <c r="AG53" s="106">
        <f t="shared" ref="AG53" si="1166">IF(E53="","",(E53-E$10)*1000)</f>
        <v>0.10000006295740604</v>
      </c>
      <c r="AH53" s="106">
        <f t="shared" ref="AH53" si="1167">IF(F53="","",(F53-F$10)*1000)</f>
        <v>11.799999978393316</v>
      </c>
      <c r="AI53" s="106">
        <f t="shared" ref="AI53" si="1168">IF(G53="","",(G53-G$10)*1000)</f>
        <v>0</v>
      </c>
      <c r="AJ53" s="106">
        <f t="shared" ref="AJ53" si="1169">IF(H53="","",(H53-H$10)*1000)</f>
        <v>-2.149999956600368</v>
      </c>
      <c r="AK53" s="106">
        <f t="shared" ref="AK53" si="1170">IF(I53="","",(I53-I$10)*1000)</f>
        <v>7.9999999143183231</v>
      </c>
      <c r="AL53" s="106">
        <f t="shared" ref="AL53" si="1171">IF(J53="","",(J53-J$10)*1000)</f>
        <v>-4.0000000000048885</v>
      </c>
      <c r="AM53" s="106">
        <f t="shared" ref="AM53" si="1172">IF(K53="","",(K53-K$10)*1000)</f>
        <v>15.350000001490116</v>
      </c>
      <c r="AN53" s="106">
        <f t="shared" ref="AN53" si="1173">IF(L53="","",(L53-L$10)*1000)</f>
        <v>-12.099999934434891</v>
      </c>
      <c r="AO53" s="106">
        <f t="shared" ref="AO53" si="1174">IF(M53="","",(M53-M$10)*1000)</f>
        <v>-18.149999999991451</v>
      </c>
      <c r="AP53" s="106" t="str">
        <f t="shared" ref="AP53" si="1175">IF(N53="","",(N53-N$10)*1000)</f>
        <v/>
      </c>
      <c r="AQ53" s="106" t="str">
        <f t="shared" ref="AQ53" si="1176">IF(O53="","",(O53-O$10)*1000)</f>
        <v/>
      </c>
      <c r="AR53" s="106" t="e">
        <f t="shared" ref="AR53" si="1177">IF(P53="","",(P53-P$18)*1000)+AR$18</f>
        <v>#VALUE!</v>
      </c>
      <c r="AS53" s="106">
        <f t="shared" ref="AS53" si="1178">IF(Q53="","",(Q53-Q$10)*1000)</f>
        <v>7.7499999897554517</v>
      </c>
      <c r="AT53" s="106">
        <f t="shared" ref="AT53" si="1179">IF(R53="","",(R53-R$10)*1000)</f>
        <v>-8.4999999962747097</v>
      </c>
      <c r="AU53" s="106">
        <f t="shared" ref="AU53" si="1180">IF(S53="","",(S53-S$10)*1000)</f>
        <v>1.3999999999896318</v>
      </c>
      <c r="AV53" s="105"/>
      <c r="AW53" s="107" cm="1">
        <f t="array" ref="AW53">IFERROR(_xlfn.SINGLE(INDEX(DATABASE!$AV$14:$BC$989,SUMPRODUCT((ROW(DATABASE!$AV$14:$AV$989)) * (DATABASE!$AV$14:HY$989='Résultats observations'!$A53 ) * (DATABASE!$AW$14:$AW$989= AW$4))-ROW(DATABASE!$AV$14)+1,AW$5)),"")</f>
        <v>5.0629692520100473</v>
      </c>
      <c r="AX53" s="107" cm="1">
        <f t="array" ref="AX53">IFERROR(_xlfn.SINGLE(INDEX(DATABASE!$AV$14:$BC$989,SUMPRODUCT((ROW(DATABASE!$AV$14:$AV$989)) * (DATABASE!$AV$14:HZ$989='Résultats observations'!$A53 ) * (DATABASE!$AW$14:$AW$989= AX$4))-ROW(DATABASE!$AV$14)+1,AX$5)),"")</f>
        <v>-2.6148425506894322</v>
      </c>
      <c r="AY53" s="107" cm="1">
        <f t="array" ref="AY53">IFERROR(_xlfn.SINGLE(INDEX(DATABASE!$AV$14:$BC$989,SUMPRODUCT((ROW(DATABASE!$AV$14:$AV$989)) * (DATABASE!$AV$14:IA$989='Résultats observations'!$A53 ) * (DATABASE!$AW$14:$AW$989= AY$4))-ROW(DATABASE!$AV$14)+1,AY$5)),"")</f>
        <v>-0.7849296925201088</v>
      </c>
      <c r="AZ53" s="107" cm="1">
        <f t="array" ref="AZ53">IFERROR(_xlfn.SINGLE(INDEX(DATABASE!$AV$14:$BC$989,SUMPRODUCT((ROW(DATABASE!$AV$14:$AV$989)) * (DATABASE!$AV$14:IB$989='Résultats observations'!$A53 ) * (DATABASE!$AW$14:$AW$989= AZ$4))-ROW(DATABASE!$AV$14)+1,AZ$5)),"")</f>
        <v>5.0632816595451517</v>
      </c>
      <c r="BA53" s="107" cm="1">
        <f t="array" ref="BA53">IFERROR(_xlfn.SINGLE(INDEX(DATABASE!$AV$14:$BC$989,SUMPRODUCT((ROW(DATABASE!$AV$14:$AV$989)) * (DATABASE!$AV$14:IC$989='Résultats observations'!$A53 ) * (DATABASE!$AW$14:$AW$989= BA$4))-ROW(DATABASE!$AV$14)+1,BA$5)),"")</f>
        <v>-2.5232275278658194</v>
      </c>
      <c r="BB53" s="107" cm="1">
        <f t="array" ref="BB53">IFERROR(_xlfn.SINGLE(INDEX(DATABASE!$AV$14:$BC$989,SUMPRODUCT((ROW(DATABASE!$AV$14:$AV$989)) * (DATABASE!$AV$14:ID$989='Résultats observations'!$A53 ) * (DATABASE!$AW$14:$AW$989= BB$4))-ROW(DATABASE!$AV$14)+1,BB$5)),"")</f>
        <v>1.1447671834045394</v>
      </c>
      <c r="BC53" s="107" cm="1">
        <f t="array" ref="BC53">IFERROR(_xlfn.SINGLE(INDEX(DATABASE!$AV$14:$BC$989,SUMPRODUCT((ROW(DATABASE!$AV$14:$AV$989)) * (DATABASE!$AV$14:IE$989='Résultats observations'!$A53 ) * (DATABASE!$AW$14:$AW$989= BC$4))-ROW(DATABASE!$AV$14)+1,BC$5)),"")</f>
        <v>4.9112483624787151</v>
      </c>
      <c r="BD53" s="107" cm="1">
        <f t="array" ref="BD53">IFERROR(_xlfn.SINGLE(INDEX(DATABASE!$AV$14:$BC$989,SUMPRODUCT((ROW(DATABASE!$AV$14:$AV$989)) * (DATABASE!$AV$14:IF$989='Résultats observations'!$A53 ) * (DATABASE!$AW$14:$AW$989= BD$4))-ROW(DATABASE!$AV$14)+1,BD$5)),"")</f>
        <v>-3.4632105309453202E-2</v>
      </c>
      <c r="BE53" s="107" cm="1">
        <f t="array" ref="BE53">IFERROR(_xlfn.SINGLE(INDEX(DATABASE!$AV$14:$BC$989,SUMPRODUCT((ROW(DATABASE!$AV$14:$AV$989)) * (DATABASE!$AV$14:IG$989='Résultats observations'!$A53 ) * (DATABASE!$AW$14:$AW$989= BE$4))-ROW(DATABASE!$AV$14)+1,BE$5)),"")</f>
        <v>2.5737875163752193</v>
      </c>
      <c r="BF53" s="107" t="str" cm="1">
        <f t="array" ref="BF53">IFERROR(_xlfn.SINGLE(INDEX(DATABASE!$AV$14:$BC$989,SUMPRODUCT((ROW(DATABASE!$AV$14:$AV$989)) * (DATABASE!$AV$14:IH$989='Résultats observations'!$A53 ) * (DATABASE!$AW$14:$AW$989= BF$4))-ROW(DATABASE!$AV$14)+1,BF$5)),"")</f>
        <v/>
      </c>
      <c r="BG53" s="107" t="str" cm="1">
        <f t="array" ref="BG53">IFERROR(_xlfn.SINGLE(INDEX(DATABASE!$AV$14:$BC$989,SUMPRODUCT((ROW(DATABASE!$AV$14:$AV$989)) * (DATABASE!$AV$14:II$989='Résultats observations'!$A53 ) * (DATABASE!$AW$14:$AW$989= BG$4))-ROW(DATABASE!$AV$14)+1,BG$5)),"")</f>
        <v/>
      </c>
      <c r="BH53" s="107" t="str" cm="1">
        <f t="array" ref="BH53">IFERROR(_xlfn.SINGLE(INDEX(DATABASE!$AV$14:$BC$989,SUMPRODUCT((ROW(DATABASE!$AV$14:$AV$989)) * (DATABASE!$AV$14:IJ$989='Résultats observations'!$A53 ) * (DATABASE!$AW$14:$AW$989= BH$4))-ROW(DATABASE!$AV$14)+1,BH$5)),"")</f>
        <v/>
      </c>
      <c r="BI53" s="107" cm="1">
        <f t="array" ref="BI53">IFERROR(_xlfn.SINGLE(INDEX(DATABASE!$AV$14:$BC$989,SUMPRODUCT((ROW(DATABASE!$AV$14:$AV$989)) * (DATABASE!$AV$14:IK$989='Résultats observations'!$A53 ) * (DATABASE!$AW$14:$AW$989= BI$4))-ROW(DATABASE!$AV$14)+1,BI$5)),"")</f>
        <v>5.0818769822972616</v>
      </c>
      <c r="BJ53" s="107" cm="1">
        <f t="array" ref="BJ53">IFERROR(_xlfn.SINGLE(INDEX(DATABASE!$AV$14:$BC$989,SUMPRODUCT((ROW(DATABASE!$AV$14:$AV$989)) * (DATABASE!$AV$14:IL$989='Résultats observations'!$A53 ) * (DATABASE!$AW$14:$AW$989= BJ$4))-ROW(DATABASE!$AV$14)+1,BJ$5)),"")</f>
        <v>2.668743244903184</v>
      </c>
      <c r="BK53" s="107" cm="1">
        <f t="array" ref="BK53">IFERROR(_xlfn.SINGLE(INDEX(DATABASE!$AV$14:$BC$989,SUMPRODUCT((ROW(DATABASE!$AV$14:$AV$989)) * (DATABASE!$AV$14:IM$989='Résultats observations'!$A53 ) * (DATABASE!$AW$14:$AW$989= BK$4))-ROW(DATABASE!$AV$14)+1,BK$5)),"")</f>
        <v>-0.72781876982297433</v>
      </c>
      <c r="BL53" s="105"/>
      <c r="BM53" s="106">
        <f t="shared" ref="BM53" si="1181">IF(AW53="","",(AW53-AW$10)*1000)</f>
        <v>-5.0773568188420271</v>
      </c>
      <c r="BN53" s="106">
        <f t="shared" ref="BN53" si="1182">IF(AX53="","",(AX53-AX$10)*1000)</f>
        <v>10.652250806135299</v>
      </c>
      <c r="BO53" s="106">
        <f t="shared" ref="BO53" si="1183">IF(AY53="","",(AY53-AY$10)*1000)</f>
        <v>5.0773568190720653E-2</v>
      </c>
      <c r="BP53" s="106">
        <f t="shared" ref="BP53" si="1184">IF(AZ53="","",(AZ53-AZ$10)*1000)</f>
        <v>-1.4322545285327948</v>
      </c>
      <c r="BQ53" s="106">
        <f t="shared" ref="BQ53" si="1185">IF(BA53="","",(BA53-BA$10)*1000)</f>
        <v>8.1591142538854911</v>
      </c>
      <c r="BR53" s="106">
        <f t="shared" ref="BR53" si="1186">IF(BB53="","",(BB53-BB$10)*1000)</f>
        <v>-3.985677454721781</v>
      </c>
      <c r="BS53" s="106">
        <f t="shared" ref="BS53" si="1187">IF(BC53="","",(BC53-BC$10)*1000)</f>
        <v>-8.7984213095273489</v>
      </c>
      <c r="BT53" s="106">
        <f t="shared" ref="BT53" si="1188">IF(BD53="","",(BD53-BD$10)*1000)</f>
        <v>-17.453374485152693</v>
      </c>
      <c r="BU53" s="106">
        <f t="shared" ref="BU53" si="1189">IF(BE53="","",(BE53-BE$10)*1000)</f>
        <v>-18.062015786895813</v>
      </c>
      <c r="BV53" s="106" t="str">
        <f t="shared" ref="BV53" si="1190">IF(BF53="","",(BF53-BF$10)*1000)</f>
        <v/>
      </c>
      <c r="BW53" s="106" t="str">
        <f t="shared" ref="BW53" si="1191">IF(BG53="","",(BG53-BG$10)*1000)</f>
        <v/>
      </c>
      <c r="BX53" s="106" t="e">
        <f t="shared" ref="BX53" si="1192">IF(BH53="","",(BH53-BH$18)*1000)+BX$18</f>
        <v>#VALUE!</v>
      </c>
      <c r="BY53" s="106">
        <f t="shared" ref="BY53" si="1193">IF(BI53="","",(BI53-BI$10)*1000)</f>
        <v>-3.4318048112824684</v>
      </c>
      <c r="BZ53" s="106">
        <f t="shared" ref="BZ53" si="1194">IF(BJ53="","",(BJ53-BJ$10)*1000)</f>
        <v>-10.978853105635178</v>
      </c>
      <c r="CA53" s="106">
        <f t="shared" ref="CA53" si="1195">IF(BK53="","",(BK53-BK$10)*1000)</f>
        <v>1.4343180481120044</v>
      </c>
    </row>
    <row r="54" spans="1:79" s="108" customFormat="1" ht="29.25" customHeight="1">
      <c r="A54" s="189">
        <v>45846</v>
      </c>
      <c r="B54" s="100">
        <f t="shared" ref="B54" si="1196">A54-$A$10</f>
        <v>522</v>
      </c>
      <c r="C54" s="101">
        <v>29.8</v>
      </c>
      <c r="D54" s="101">
        <f t="shared" ref="D54" si="1197">C54-$W$6</f>
        <v>24.71</v>
      </c>
      <c r="E54" s="102" cm="1">
        <f t="array" ref="E54">IFERROR(_xlfn.SINGLE(INDEX(DATABASE!$AV$14:$BC$989,SUMPRODUCT((ROW(DATABASE!$AV$14:$AV$989)) * (DATABASE!AG$14:$AV$989='Résultats observations'!$A54 ) * (DATABASE!$AW$14:$AW$989= E$4))-ROW(DATABASE!$AV$14)+1,E$5)),"")</f>
        <v>823058.96889999998</v>
      </c>
      <c r="F54" s="102" cm="1">
        <f t="array" ref="F54">IFERROR(_xlfn.SINGLE(INDEX(DATABASE!$AV$14:$BC$989,SUMPRODUCT((ROW(DATABASE!$AV$14:$AV$989)) * (DATABASE!AH$14:$AV$989='Résultats observations'!$A54 ) * (DATABASE!$AW$14:$AW$989= F$4))-ROW(DATABASE!$AV$14)+1,F$5)),"")</f>
        <v>1091426.6662999999</v>
      </c>
      <c r="G54" s="102" cm="1">
        <f t="array" ref="G54">IFERROR(_xlfn.SINGLE(INDEX(DATABASE!$AV$14:$BC$989,SUMPRODUCT((ROW(DATABASE!$AV$14:$AV$989)) * (DATABASE!AI$14:$AV$989='Résultats observations'!$A54 ) * (DATABASE!$AW$14:$AW$989= G$4))-ROW(DATABASE!$AV$14)+1,G$5)),"")</f>
        <v>-123.0611</v>
      </c>
      <c r="H54" s="102" cm="1">
        <f t="array" ref="H54">IFERROR(_xlfn.SINGLE(INDEX(DATABASE!$AV$14:$BC$989,SUMPRODUCT((ROW(DATABASE!$AV$14:$AV$989)) * (DATABASE!AJ$14:$AV$989='Résultats observations'!$A54 ) * (DATABASE!$AW$14:$AW$989= H$4))-ROW(DATABASE!$AV$14)+1,H$5)),"")</f>
        <v>823058.92969999998</v>
      </c>
      <c r="I54" s="102" cm="1">
        <f t="array" ref="I54">IFERROR(_xlfn.SINGLE(INDEX(DATABASE!$AV$14:$BC$989,SUMPRODUCT((ROW(DATABASE!$AV$14:$AV$989)) * (DATABASE!AK$14:$AV$989='Résultats observations'!$A54 ) * (DATABASE!$AW$14:$AW$989= I$4))-ROW(DATABASE!$AV$14)+1,I$5)),"")</f>
        <v>1091426.7487000001</v>
      </c>
      <c r="J54" s="102" cm="1">
        <f t="array" ref="J54">IFERROR(_xlfn.SINGLE(INDEX(DATABASE!$AV$14:$BC$989,SUMPRODUCT((ROW(DATABASE!$AV$14:$AV$989)) * (DATABASE!AL$14:$AV$989='Résultats observations'!$A54 ) * (DATABASE!$AW$14:$AW$989= J$4))-ROW(DATABASE!$AV$14)+1,J$5)),"")</f>
        <v>-121.1319</v>
      </c>
      <c r="K54" s="102" cm="1">
        <f t="array" ref="K54">IFERROR(_xlfn.SINGLE(INDEX(DATABASE!$AV$14:$BC$989,SUMPRODUCT((ROW(DATABASE!$AV$14:$AV$989)) * (DATABASE!AM$14:$AV$989='Résultats observations'!$A54 ) * (DATABASE!$AW$14:$AW$989= K$4))-ROW(DATABASE!$AV$14)+1,K$5)),"")</f>
        <v>823058.01679999998</v>
      </c>
      <c r="L54" s="102" cm="1">
        <f t="array" ref="L54">IFERROR(_xlfn.SINGLE(INDEX(DATABASE!$AV$14:$BC$989,SUMPRODUCT((ROW(DATABASE!$AV$14:$AV$989)) * (DATABASE!AN$14:$AV$989='Résultats observations'!$A54 ) * (DATABASE!$AW$14:$AW$989= L$4))-ROW(DATABASE!$AV$14)+1,L$5)),"")</f>
        <v>1091429.0689999999</v>
      </c>
      <c r="M54" s="102" cm="1">
        <f t="array" ref="M54">IFERROR(_xlfn.SINGLE(INDEX(DATABASE!$AV$14:$BC$989,SUMPRODUCT((ROW(DATABASE!$AV$14:$AV$989)) * (DATABASE!AO$14:$AV$989='Résultats observations'!$A54 ) * (DATABASE!$AW$14:$AW$989= M$4))-ROW(DATABASE!$AV$14)+1,M$5)),"")</f>
        <v>-119.70519999999999</v>
      </c>
      <c r="N54" s="102" t="str" cm="1">
        <f t="array" ref="N54">IFERROR(_xlfn.SINGLE(INDEX(DATABASE!$AV$14:$BC$989,SUMPRODUCT((ROW(DATABASE!$AV$14:$AV$989)) * (DATABASE!AP$14:$AV$989='Résultats observations'!$A54 ) * (DATABASE!$AW$14:$AW$989= N$4))-ROW(DATABASE!$AV$14)+1,N$5)),"")</f>
        <v/>
      </c>
      <c r="O54" s="102" t="str" cm="1">
        <f t="array" ref="O54">IFERROR(_xlfn.SINGLE(INDEX(DATABASE!$AV$14:$BC$989,SUMPRODUCT((ROW(DATABASE!$AV$14:$AV$989)) * (DATABASE!AQ$14:$AV$989='Résultats observations'!$A54 ) * (DATABASE!$AW$14:$AW$989= O$4))-ROW(DATABASE!$AV$14)+1,O$5)),"")</f>
        <v/>
      </c>
      <c r="P54" s="102" t="str" cm="1">
        <f t="array" ref="P54">IFERROR(_xlfn.SINGLE(INDEX(DATABASE!$AV$14:$BC$989,SUMPRODUCT((ROW(DATABASE!$AV$14:$AV$989)) * (DATABASE!AR$14:$AV$989='Résultats observations'!$A54 ) * (DATABASE!$AW$14:$AW$989= P$4))-ROW(DATABASE!$AV$14)+1,P$5)),"")</f>
        <v/>
      </c>
      <c r="Q54" s="102" cm="1">
        <f t="array" ref="Q54">IFERROR(_xlfn.SINGLE(INDEX(DATABASE!$AV$14:$BC$989,SUMPRODUCT((ROW(DATABASE!$AV$14:$AV$989)) * (DATABASE!AS$14:$AV$989='Résultats observations'!$A54 ) * (DATABASE!$AW$14:$AW$989= Q$4))-ROW(DATABASE!$AV$14)+1,Q$5)),"")</f>
        <v>823056.71790000005</v>
      </c>
      <c r="R54" s="102" cm="1">
        <f t="array" ref="R54">IFERROR(_xlfn.SINGLE(INDEX(DATABASE!$AV$14:$BC$989,SUMPRODUCT((ROW(DATABASE!$AV$14:$AV$989)) * (DATABASE!AT$14:$AV$989='Résultats observations'!$A54 ) * (DATABASE!$AW$14:$AW$989= R$4))-ROW(DATABASE!$AV$14)+1,R$5)),"")</f>
        <v>1091431.4450000001</v>
      </c>
      <c r="S54" s="102" cm="1">
        <f t="array" ref="S54">IFERROR(_xlfn.SINGLE(INDEX(DATABASE!$AV$14:$BC$989,SUMPRODUCT((ROW(DATABASE!$AV$14:$AV$989)) * (DATABASE!AU$14:$AV$989='Résultats observations'!$A54 ) * (DATABASE!$AW$14:$AW$989= S$4))-ROW(DATABASE!$AV$14)+1,S$5)),"")</f>
        <v>-123.0138</v>
      </c>
      <c r="T54" s="103">
        <f t="shared" si="2"/>
        <v>4.2357439145773998</v>
      </c>
      <c r="U54" s="103">
        <f t="shared" si="3"/>
        <v>2.8727428337758107</v>
      </c>
      <c r="V54" s="103" t="e">
        <f t="shared" si="4"/>
        <v>#VALUE!</v>
      </c>
      <c r="W54" s="103">
        <f t="shared" si="5"/>
        <v>4.2754357872166695</v>
      </c>
      <c r="X54" s="103" t="str">
        <f t="shared" si="6"/>
        <v/>
      </c>
      <c r="Y54" s="103">
        <f t="shared" si="7"/>
        <v>5.2825384031765985</v>
      </c>
      <c r="Z54" s="104">
        <f t="shared" ref="Z54" si="1198">IF(T54="","",(T54-T$10)*1000)</f>
        <v>-32.534930019572528</v>
      </c>
      <c r="AA54" s="104">
        <f t="shared" ref="AA54" si="1199">IF(U54="","",(U54-U$10)*1000)</f>
        <v>-29.071206149116069</v>
      </c>
      <c r="AB54" s="104" t="e">
        <f t="shared" ref="AB54" si="1200">IF(V54="","",(V54-V$10)*1000)</f>
        <v>#VALUE!</v>
      </c>
      <c r="AC54" s="104">
        <f t="shared" ref="AC54" si="1201">IF(W54="","",(W54-W$10)*1000)</f>
        <v>-4.6733133556671191</v>
      </c>
      <c r="AD54" s="104" t="str">
        <f t="shared" ref="AD54" si="1202">IF(X54="","",(X54-X$10)*1000)</f>
        <v/>
      </c>
      <c r="AE54" s="104">
        <f t="shared" ref="AE54" si="1203">IF(Y54="","",(Y54-Y$10)*1000)</f>
        <v>-23.001073972350738</v>
      </c>
      <c r="AF54" s="105"/>
      <c r="AG54" s="106">
        <f t="shared" ref="AG54" si="1204">IF(E54="","",(E54-E$10)*1000)</f>
        <v>0.60000002849847078</v>
      </c>
      <c r="AH54" s="106">
        <f t="shared" ref="AH54" si="1205">IF(F54="","",(F54-F$10)*1000)</f>
        <v>12.600000016391277</v>
      </c>
      <c r="AI54" s="106">
        <f t="shared" ref="AI54" si="1206">IF(G54="","",(G54-G$10)*1000)</f>
        <v>0.20000000000663931</v>
      </c>
      <c r="AJ54" s="106">
        <f t="shared" ref="AJ54" si="1207">IF(H54="","",(H54-H$10)*1000)</f>
        <v>-1.8500000005587935</v>
      </c>
      <c r="AK54" s="106">
        <f t="shared" ref="AK54" si="1208">IF(I54="","",(I54-I$10)*1000)</f>
        <v>8.3000001031905413</v>
      </c>
      <c r="AL54" s="106">
        <f t="shared" ref="AL54" si="1209">IF(J54="","",(J54-J$10)*1000)</f>
        <v>-4.3000000000006366</v>
      </c>
      <c r="AM54" s="106">
        <f t="shared" ref="AM54" si="1210">IF(K54="","",(K54-K$10)*1000)</f>
        <v>16.650000005029142</v>
      </c>
      <c r="AN54" s="106">
        <f t="shared" ref="AN54" si="1211">IF(L54="","",(L54-L$10)*1000)</f>
        <v>-11.200000066310167</v>
      </c>
      <c r="AO54" s="106">
        <f t="shared" ref="AO54" si="1212">IF(M54="","",(M54-M$10)*1000)</f>
        <v>-19.249999999985334</v>
      </c>
      <c r="AP54" s="106" t="str">
        <f t="shared" ref="AP54" si="1213">IF(N54="","",(N54-N$10)*1000)</f>
        <v/>
      </c>
      <c r="AQ54" s="106" t="str">
        <f t="shared" ref="AQ54" si="1214">IF(O54="","",(O54-O$10)*1000)</f>
        <v/>
      </c>
      <c r="AR54" s="106" t="e">
        <f t="shared" ref="AR54" si="1215">IF(P54="","",(P54-P$18)*1000)+AR$18</f>
        <v>#VALUE!</v>
      </c>
      <c r="AS54" s="106">
        <f t="shared" ref="AS54" si="1216">IF(Q54="","",(Q54-Q$10)*1000)</f>
        <v>7.2500000242143869</v>
      </c>
      <c r="AT54" s="106">
        <f t="shared" ref="AT54" si="1217">IF(R54="","",(R54-R$10)*1000)</f>
        <v>-9.5999999903142452</v>
      </c>
      <c r="AU54" s="106">
        <f t="shared" ref="AU54" si="1218">IF(S54="","",(S54-S$10)*1000)</f>
        <v>-8.4000000000088448</v>
      </c>
      <c r="AV54" s="105"/>
      <c r="AW54" s="107" cm="1">
        <f t="array" ref="AW54">IFERROR(_xlfn.SINGLE(INDEX(DATABASE!$AV$14:$BC$989,SUMPRODUCT((ROW(DATABASE!$AV$14:$AV$989)) * (DATABASE!$AV$14:HY$989='Résultats observations'!$A54 ) * (DATABASE!$AW$14:$AW$989= AW$4))-ROW(DATABASE!$AV$14)+1,AW$5)),"")</f>
        <v>5.0621780116969148</v>
      </c>
      <c r="AX54" s="107" cm="1">
        <f t="array" ref="AX54">IFERROR(_xlfn.SINGLE(INDEX(DATABASE!$AV$14:$BC$989,SUMPRODUCT((ROW(DATABASE!$AV$14:$AV$989)) * (DATABASE!$AV$14:HZ$989='Résultats observations'!$A54 ) * (DATABASE!$AW$14:$AW$989= AX$4))-ROW(DATABASE!$AV$14)+1,AX$5)),"")</f>
        <v>-2.6143288009515127</v>
      </c>
      <c r="AY54" s="107" cm="1">
        <f t="array" ref="AY54">IFERROR(_xlfn.SINGLE(INDEX(DATABASE!$AV$14:$BC$989,SUMPRODUCT((ROW(DATABASE!$AV$14:$AV$989)) * (DATABASE!$AV$14:IA$989='Résultats observations'!$A54 ) * (DATABASE!$AW$14:$AW$989= AY$4))-ROW(DATABASE!$AV$14)+1,AY$5)),"")</f>
        <v>-0.78472178011696769</v>
      </c>
      <c r="AZ54" s="107" cm="1">
        <f t="array" ref="AZ54">IFERROR(_xlfn.SINGLE(INDEX(DATABASE!$AV$14:$BC$989,SUMPRODUCT((ROW(DATABASE!$AV$14:$AV$989)) * (DATABASE!$AV$14:IB$989='Résultats observations'!$A54 ) * (DATABASE!$AW$14:$AW$989= AZ$4))-ROW(DATABASE!$AV$14)+1,AZ$5)),"")</f>
        <v>5.0628829839995086</v>
      </c>
      <c r="BA54" s="107" cm="1">
        <f t="array" ref="BA54">IFERROR(_xlfn.SINGLE(INDEX(DATABASE!$AV$14:$BC$989,SUMPRODUCT((ROW(DATABASE!$AV$14:$AV$989)) * (DATABASE!$AV$14:IC$989='Résultats observations'!$A54 ) * (DATABASE!$AW$14:$AW$989= BA$4))-ROW(DATABASE!$AV$14)+1,BA$5)),"")</f>
        <v>-2.5230824144747959</v>
      </c>
      <c r="BB54" s="107" cm="1">
        <f t="array" ref="BB54">IFERROR(_xlfn.SINGLE(INDEX(DATABASE!$AV$14:$BC$989,SUMPRODUCT((ROW(DATABASE!$AV$14:$AV$989)) * (DATABASE!$AV$14:ID$989='Résultats observations'!$A54 ) * (DATABASE!$AW$14:$AW$989= BB$4))-ROW(DATABASE!$AV$14)+1,BB$5)),"")</f>
        <v>1.1444711701600028</v>
      </c>
      <c r="BC54" s="107" cm="1">
        <f t="array" ref="BC54">IFERROR(_xlfn.SINGLE(INDEX(DATABASE!$AV$14:$BC$989,SUMPRODUCT((ROW(DATABASE!$AV$14:$AV$989)) * (DATABASE!$AV$14:IE$989='Résultats observations'!$A54 ) * (DATABASE!$AW$14:$AW$989= BC$4))-ROW(DATABASE!$AV$14)+1,BC$5)),"")</f>
        <v>4.9096898102096196</v>
      </c>
      <c r="BD54" s="107" cm="1">
        <f t="array" ref="BD54">IFERROR(_xlfn.SINGLE(INDEX(DATABASE!$AV$14:$BC$989,SUMPRODUCT((ROW(DATABASE!$AV$14:$AV$989)) * (DATABASE!$AV$14:IF$989='Résultats observations'!$A54 ) * (DATABASE!$AW$14:$AW$989= BD$4))-ROW(DATABASE!$AV$14)+1,BD$5)),"")</f>
        <v>-3.4365807362923023E-2</v>
      </c>
      <c r="BE54" s="107" cm="1">
        <f t="array" ref="BE54">IFERROR(_xlfn.SINGLE(INDEX(DATABASE!$AV$14:$BC$989,SUMPRODUCT((ROW(DATABASE!$AV$14:$AV$989)) * (DATABASE!$AV$14:IG$989='Résultats observations'!$A54 ) * (DATABASE!$AW$14:$AW$989= BE$4))-ROW(DATABASE!$AV$14)+1,BE$5)),"")</f>
        <v>2.5727031018979147</v>
      </c>
      <c r="BF54" s="107" t="str" cm="1">
        <f t="array" ref="BF54">IFERROR(_xlfn.SINGLE(INDEX(DATABASE!$AV$14:$BC$989,SUMPRODUCT((ROW(DATABASE!$AV$14:$AV$989)) * (DATABASE!$AV$14:IH$989='Résultats observations'!$A54 ) * (DATABASE!$AW$14:$AW$989= BF$4))-ROW(DATABASE!$AV$14)+1,BF$5)),"")</f>
        <v/>
      </c>
      <c r="BG54" s="107" t="str" cm="1">
        <f t="array" ref="BG54">IFERROR(_xlfn.SINGLE(INDEX(DATABASE!$AV$14:$BC$989,SUMPRODUCT((ROW(DATABASE!$AV$14:$AV$989)) * (DATABASE!$AV$14:II$989='Résultats observations'!$A54 ) * (DATABASE!$AW$14:$AW$989= BG$4))-ROW(DATABASE!$AV$14)+1,BG$5)),"")</f>
        <v/>
      </c>
      <c r="BH54" s="107" t="str" cm="1">
        <f t="array" ref="BH54">IFERROR(_xlfn.SINGLE(INDEX(DATABASE!$AV$14:$BC$989,SUMPRODUCT((ROW(DATABASE!$AV$14:$AV$989)) * (DATABASE!$AV$14:IJ$989='Résultats observations'!$A54 ) * (DATABASE!$AW$14:$AW$989= BH$4))-ROW(DATABASE!$AV$14)+1,BH$5)),"")</f>
        <v/>
      </c>
      <c r="BI54" s="107" cm="1">
        <f t="array" ref="BI54">IFERROR(_xlfn.SINGLE(INDEX(DATABASE!$AV$14:$BC$989,SUMPRODUCT((ROW(DATABASE!$AV$14:$AV$989)) * (DATABASE!$AV$14:IK$989='Résultats observations'!$A54 ) * (DATABASE!$AW$14:$AW$989= BI$4))-ROW(DATABASE!$AV$14)+1,BI$5)),"")</f>
        <v>5.0827950037440148</v>
      </c>
      <c r="BJ54" s="107" cm="1">
        <f t="array" ref="BJ54">IFERROR(_xlfn.SINGLE(INDEX(DATABASE!$AV$14:$BC$989,SUMPRODUCT((ROW(DATABASE!$AV$14:$AV$989)) * (DATABASE!$AV$14:IL$989='Résultats observations'!$A54 ) * (DATABASE!$AW$14:$AW$989= BJ$4))-ROW(DATABASE!$AV$14)+1,BJ$5)),"")</f>
        <v>2.6679576008516372</v>
      </c>
      <c r="BK54" s="107" cm="1">
        <f t="array" ref="BK54">IFERROR(_xlfn.SINGLE(INDEX(DATABASE!$AV$14:$BC$989,SUMPRODUCT((ROW(DATABASE!$AV$14:$AV$989)) * (DATABASE!$AV$14:IM$989='Résultats observations'!$A54 ) * (DATABASE!$AW$14:$AW$989= BK$4))-ROW(DATABASE!$AV$14)+1,BK$5)),"")</f>
        <v>-0.73762795003744941</v>
      </c>
      <c r="BL54" s="105"/>
      <c r="BM54" s="106">
        <f t="shared" ref="BM54" si="1219">IF(AW54="","",(AW54-AW$10)*1000)</f>
        <v>-5.8685971319745178</v>
      </c>
      <c r="BN54" s="106">
        <f t="shared" ref="BN54" si="1220">IF(AX54="","",(AX54-AX$10)*1000)</f>
        <v>11.16600054405481</v>
      </c>
      <c r="BO54" s="106">
        <f t="shared" ref="BO54" si="1221">IF(AY54="","",(AY54-AY$10)*1000)</f>
        <v>0.25868597133182902</v>
      </c>
      <c r="BP54" s="106">
        <f t="shared" ref="BP54" si="1222">IF(AZ54="","",(AZ54-AZ$10)*1000)</f>
        <v>-1.830930074175896</v>
      </c>
      <c r="BQ54" s="106">
        <f t="shared" ref="BQ54" si="1223">IF(BA54="","",(BA54-BA$10)*1000)</f>
        <v>8.3042276449090124</v>
      </c>
      <c r="BR54" s="106">
        <f t="shared" ref="BR54" si="1224">IF(BB54="","",(BB54-BB$10)*1000)</f>
        <v>-4.2816906992584336</v>
      </c>
      <c r="BS54" s="106">
        <f t="shared" ref="BS54" si="1225">IF(BC54="","",(BC54-BC$10)*1000)</f>
        <v>-10.356973578622863</v>
      </c>
      <c r="BT54" s="106">
        <f t="shared" ref="BT54" si="1226">IF(BD54="","",(BD54-BD$10)*1000)</f>
        <v>-17.187076538622513</v>
      </c>
      <c r="BU54" s="106">
        <f t="shared" ref="BU54" si="1227">IF(BE54="","",(BE54-BE$10)*1000)</f>
        <v>-19.146430264200376</v>
      </c>
      <c r="BV54" s="106" t="str">
        <f t="shared" ref="BV54" si="1228">IF(BF54="","",(BF54-BF$10)*1000)</f>
        <v/>
      </c>
      <c r="BW54" s="106" t="str">
        <f t="shared" ref="BW54" si="1229">IF(BG54="","",(BG54-BG$10)*1000)</f>
        <v/>
      </c>
      <c r="BX54" s="106" t="e">
        <f t="shared" ref="BX54" si="1230">IF(BH54="","",(BH54-BH$18)*1000)+BX$18</f>
        <v>#VALUE!</v>
      </c>
      <c r="BY54" s="106">
        <f t="shared" ref="BY54" si="1231">IF(BI54="","",(BI54-BI$10)*1000)</f>
        <v>-2.5137833645292318</v>
      </c>
      <c r="BZ54" s="106">
        <f t="shared" ref="BZ54" si="1232">IF(BJ54="","",(BJ54-BJ$10)*1000)</f>
        <v>-11.764497157181975</v>
      </c>
      <c r="CA54" s="106">
        <f t="shared" ref="CA54" si="1233">IF(BK54="","",(BK54-BK$10)*1000)</f>
        <v>-8.3748621663630729</v>
      </c>
    </row>
    <row r="55" spans="1:79" s="108" customFormat="1" ht="29.25" customHeight="1">
      <c r="A55" s="189">
        <v>45853</v>
      </c>
      <c r="B55" s="100">
        <f t="shared" ref="B55" si="1234">A55-$A$10</f>
        <v>529</v>
      </c>
      <c r="C55" s="101">
        <v>31.4</v>
      </c>
      <c r="D55" s="101">
        <f t="shared" ref="D55" si="1235">C55-$W$6</f>
        <v>26.31</v>
      </c>
      <c r="E55" s="102" cm="1">
        <f t="array" ref="E55">IFERROR(_xlfn.SINGLE(INDEX(DATABASE!$AV$14:$BC$989,SUMPRODUCT((ROW(DATABASE!$AV$14:$AV$989)) * (DATABASE!AG$14:$AV$989='Résultats observations'!$A55 ) * (DATABASE!$AW$14:$AW$989= E$4))-ROW(DATABASE!$AV$14)+1,E$5)),"")</f>
        <v>823058.96900000004</v>
      </c>
      <c r="F55" s="102" cm="1">
        <f t="array" ref="F55">IFERROR(_xlfn.SINGLE(INDEX(DATABASE!$AV$14:$BC$989,SUMPRODUCT((ROW(DATABASE!$AV$14:$AV$989)) * (DATABASE!AH$14:$AV$989='Résultats observations'!$A55 ) * (DATABASE!$AW$14:$AW$989= F$4))-ROW(DATABASE!$AV$14)+1,F$5)),"")</f>
        <v>1091426.6662000001</v>
      </c>
      <c r="G55" s="102" cm="1">
        <f t="array" ref="G55">IFERROR(_xlfn.SINGLE(INDEX(DATABASE!$AV$14:$BC$989,SUMPRODUCT((ROW(DATABASE!$AV$14:$AV$989)) * (DATABASE!AI$14:$AV$989='Résultats observations'!$A55 ) * (DATABASE!$AW$14:$AW$989= G$4))-ROW(DATABASE!$AV$14)+1,G$5)),"")</f>
        <v>-123.06089999999999</v>
      </c>
      <c r="H55" s="102" cm="1">
        <f t="array" ref="H55">IFERROR(_xlfn.SINGLE(INDEX(DATABASE!$AV$14:$BC$989,SUMPRODUCT((ROW(DATABASE!$AV$14:$AV$989)) * (DATABASE!AJ$14:$AV$989='Résultats observations'!$A55 ) * (DATABASE!$AW$14:$AW$989= H$4))-ROW(DATABASE!$AV$14)+1,H$5)),"")</f>
        <v>823058.92920000001</v>
      </c>
      <c r="I55" s="102" cm="1">
        <f t="array" ref="I55">IFERROR(_xlfn.SINGLE(INDEX(DATABASE!$AV$14:$BC$989,SUMPRODUCT((ROW(DATABASE!$AV$14:$AV$989)) * (DATABASE!AK$14:$AV$989='Résultats observations'!$A55 ) * (DATABASE!$AW$14:$AW$989= I$4))-ROW(DATABASE!$AV$14)+1,I$5)),"")</f>
        <v>1091426.7483000001</v>
      </c>
      <c r="J55" s="102" cm="1">
        <f t="array" ref="J55">IFERROR(_xlfn.SINGLE(INDEX(DATABASE!$AV$14:$BC$989,SUMPRODUCT((ROW(DATABASE!$AV$14:$AV$989)) * (DATABASE!AL$14:$AV$989='Résultats observations'!$A55 ) * (DATABASE!$AW$14:$AW$989= J$4))-ROW(DATABASE!$AV$14)+1,J$5)),"")</f>
        <v>-121.1313</v>
      </c>
      <c r="K55" s="102" cm="1">
        <f t="array" ref="K55">IFERROR(_xlfn.SINGLE(INDEX(DATABASE!$AV$14:$BC$989,SUMPRODUCT((ROW(DATABASE!$AV$14:$AV$989)) * (DATABASE!AM$14:$AV$989='Résultats observations'!$A55 ) * (DATABASE!$AW$14:$AW$989= K$4))-ROW(DATABASE!$AV$14)+1,K$5)),"")</f>
        <v>823058.01639999996</v>
      </c>
      <c r="L55" s="102" cm="1">
        <f t="array" ref="L55">IFERROR(_xlfn.SINGLE(INDEX(DATABASE!$AV$14:$BC$989,SUMPRODUCT((ROW(DATABASE!$AV$14:$AV$989)) * (DATABASE!AN$14:$AV$989='Résultats observations'!$A55 ) * (DATABASE!$AW$14:$AW$989= L$4))-ROW(DATABASE!$AV$14)+1,L$5)),"")</f>
        <v>1091429.0689000001</v>
      </c>
      <c r="M55" s="102" cm="1">
        <f t="array" ref="M55">IFERROR(_xlfn.SINGLE(INDEX(DATABASE!$AV$14:$BC$989,SUMPRODUCT((ROW(DATABASE!$AV$14:$AV$989)) * (DATABASE!AO$14:$AV$989='Résultats observations'!$A55 ) * (DATABASE!$AW$14:$AW$989= M$4))-ROW(DATABASE!$AV$14)+1,M$5)),"")</f>
        <v>-119.7054</v>
      </c>
      <c r="N55" s="102" t="str" cm="1">
        <f t="array" ref="N55">IFERROR(_xlfn.SINGLE(INDEX(DATABASE!$AV$14:$BC$989,SUMPRODUCT((ROW(DATABASE!$AV$14:$AV$989)) * (DATABASE!AP$14:$AV$989='Résultats observations'!$A55 ) * (DATABASE!$AW$14:$AW$989= N$4))-ROW(DATABASE!$AV$14)+1,N$5)),"")</f>
        <v/>
      </c>
      <c r="O55" s="102" t="str" cm="1">
        <f t="array" ref="O55">IFERROR(_xlfn.SINGLE(INDEX(DATABASE!$AV$14:$BC$989,SUMPRODUCT((ROW(DATABASE!$AV$14:$AV$989)) * (DATABASE!AQ$14:$AV$989='Résultats observations'!$A55 ) * (DATABASE!$AW$14:$AW$989= O$4))-ROW(DATABASE!$AV$14)+1,O$5)),"")</f>
        <v/>
      </c>
      <c r="P55" s="102" t="str" cm="1">
        <f t="array" ref="P55">IFERROR(_xlfn.SINGLE(INDEX(DATABASE!$AV$14:$BC$989,SUMPRODUCT((ROW(DATABASE!$AV$14:$AV$989)) * (DATABASE!AR$14:$AV$989='Résultats observations'!$A55 ) * (DATABASE!$AW$14:$AW$989= P$4))-ROW(DATABASE!$AV$14)+1,P$5)),"")</f>
        <v/>
      </c>
      <c r="Q55" s="102" cm="1">
        <f t="array" ref="Q55">IFERROR(_xlfn.SINGLE(INDEX(DATABASE!$AV$14:$BC$989,SUMPRODUCT((ROW(DATABASE!$AV$14:$AV$989)) * (DATABASE!AS$14:$AV$989='Résultats observations'!$A55 ) * (DATABASE!$AW$14:$AW$989= Q$4))-ROW(DATABASE!$AV$14)+1,Q$5)),"")</f>
        <v>823056.7182</v>
      </c>
      <c r="R55" s="102" cm="1">
        <f t="array" ref="R55">IFERROR(_xlfn.SINGLE(INDEX(DATABASE!$AV$14:$BC$989,SUMPRODUCT((ROW(DATABASE!$AV$14:$AV$989)) * (DATABASE!AT$14:$AV$989='Résultats observations'!$A55 ) * (DATABASE!$AW$14:$AW$989= R$4))-ROW(DATABASE!$AV$14)+1,R$5)),"")</f>
        <v>1091431.4447999999</v>
      </c>
      <c r="S55" s="102" cm="1">
        <f t="array" ref="S55">IFERROR(_xlfn.SINGLE(INDEX(DATABASE!$AV$14:$BC$989,SUMPRODUCT((ROW(DATABASE!$AV$14:$AV$989)) * (DATABASE!AU$14:$AV$989='Résultats observations'!$A55 ) * (DATABASE!$AW$14:$AW$989= S$4))-ROW(DATABASE!$AV$14)+1,S$5)),"")</f>
        <v>-123.0136</v>
      </c>
      <c r="T55" s="103">
        <f t="shared" si="2"/>
        <v>4.2355394343619945</v>
      </c>
      <c r="U55" s="103">
        <f t="shared" si="3"/>
        <v>2.8725561804748572</v>
      </c>
      <c r="V55" s="103" t="e">
        <f t="shared" si="4"/>
        <v>#VALUE!</v>
      </c>
      <c r="W55" s="103">
        <f t="shared" si="5"/>
        <v>4.2748580431719923</v>
      </c>
      <c r="X55" s="103" t="str">
        <f t="shared" si="6"/>
        <v/>
      </c>
      <c r="Y55" s="103">
        <f t="shared" si="7"/>
        <v>5.282362718395051</v>
      </c>
      <c r="Z55" s="104">
        <f t="shared" ref="Z55" si="1236">IF(T55="","",(T55-T$10)*1000)</f>
        <v>-32.739410234977839</v>
      </c>
      <c r="AA55" s="104">
        <f t="shared" ref="AA55" si="1237">IF(U55="","",(U55-U$10)*1000)</f>
        <v>-29.257859450069645</v>
      </c>
      <c r="AB55" s="104" t="e">
        <f t="shared" ref="AB55" si="1238">IF(V55="","",(V55-V$10)*1000)</f>
        <v>#VALUE!</v>
      </c>
      <c r="AC55" s="104">
        <f t="shared" ref="AC55" si="1239">IF(W55="","",(W55-W$10)*1000)</f>
        <v>-5.2510574003443722</v>
      </c>
      <c r="AD55" s="104" t="str">
        <f t="shared" ref="AD55" si="1240">IF(X55="","",(X55-X$10)*1000)</f>
        <v/>
      </c>
      <c r="AE55" s="104">
        <f t="shared" ref="AE55" si="1241">IF(Y55="","",(Y55-Y$10)*1000)</f>
        <v>-23.176758753898241</v>
      </c>
      <c r="AF55" s="105"/>
      <c r="AG55" s="106">
        <f t="shared" ref="AG55" si="1242">IF(E55="","",(E55-E$10)*1000)</f>
        <v>0.70000009145587683</v>
      </c>
      <c r="AH55" s="106">
        <f t="shared" ref="AH55" si="1243">IF(F55="","",(F55-F$10)*1000)</f>
        <v>12.500000186264515</v>
      </c>
      <c r="AI55" s="106">
        <f t="shared" ref="AI55" si="1244">IF(G55="","",(G55-G$10)*1000)</f>
        <v>0.40000000001327862</v>
      </c>
      <c r="AJ55" s="106">
        <f t="shared" ref="AJ55" si="1245">IF(H55="","",(H55-H$10)*1000)</f>
        <v>-2.3499999660998583</v>
      </c>
      <c r="AK55" s="106">
        <f t="shared" ref="AK55" si="1246">IF(I55="","",(I55-I$10)*1000)</f>
        <v>7.9000000841915607</v>
      </c>
      <c r="AL55" s="106">
        <f t="shared" ref="AL55" si="1247">IF(J55="","",(J55-J$10)*1000)</f>
        <v>-3.6999999999949296</v>
      </c>
      <c r="AM55" s="106">
        <f t="shared" ref="AM55" si="1248">IF(K55="","",(K55-K$10)*1000)</f>
        <v>16.249999986030161</v>
      </c>
      <c r="AN55" s="106">
        <f t="shared" ref="AN55" si="1249">IF(L55="","",(L55-L$10)*1000)</f>
        <v>-11.29999989643693</v>
      </c>
      <c r="AO55" s="106">
        <f t="shared" ref="AO55" si="1250">IF(M55="","",(M55-M$10)*1000)</f>
        <v>-19.449999999991974</v>
      </c>
      <c r="AP55" s="106" t="str">
        <f t="shared" ref="AP55" si="1251">IF(N55="","",(N55-N$10)*1000)</f>
        <v/>
      </c>
      <c r="AQ55" s="106" t="str">
        <f t="shared" ref="AQ55" si="1252">IF(O55="","",(O55-O$10)*1000)</f>
        <v/>
      </c>
      <c r="AR55" s="106" t="e">
        <f t="shared" ref="AR55" si="1253">IF(P55="","",(P55-P$18)*1000)+AR$18</f>
        <v>#VALUE!</v>
      </c>
      <c r="AS55" s="106">
        <f t="shared" ref="AS55" si="1254">IF(Q55="","",(Q55-Q$10)*1000)</f>
        <v>7.5499999802559614</v>
      </c>
      <c r="AT55" s="106">
        <f t="shared" ref="AT55" si="1255">IF(R55="","",(R55-R$10)*1000)</f>
        <v>-9.8000001162290573</v>
      </c>
      <c r="AU55" s="106">
        <f t="shared" ref="AU55" si="1256">IF(S55="","",(S55-S$10)*1000)</f>
        <v>-8.2000000000022055</v>
      </c>
      <c r="AV55" s="105"/>
      <c r="AW55" s="107" cm="1">
        <f t="array" ref="AW55">IFERROR(_xlfn.SINGLE(INDEX(DATABASE!$AV$14:$BC$989,SUMPRODUCT((ROW(DATABASE!$AV$14:$AV$989)) * (DATABASE!$AV$14:HY$989='Résultats observations'!$A55 ) * (DATABASE!$AW$14:$AW$989= AW$4))-ROW(DATABASE!$AV$14)+1,AW$5)),"")</f>
        <v>5.0621296405009772</v>
      </c>
      <c r="AX55" s="107" cm="1">
        <f t="array" ref="AX55">IFERROR(_xlfn.SINGLE(INDEX(DATABASE!$AV$14:$BC$989,SUMPRODUCT((ROW(DATABASE!$AV$14:$AV$989)) * (DATABASE!$AV$14:HZ$989='Résultats observations'!$A55 ) * (DATABASE!$AW$14:$AW$989= AX$4))-ROW(DATABASE!$AV$14)+1,AX$5)),"")</f>
        <v>-2.6144616926593822</v>
      </c>
      <c r="AY55" s="107" cm="1">
        <f t="array" ref="AY55">IFERROR(_xlfn.SINGLE(INDEX(DATABASE!$AV$14:$BC$989,SUMPRODUCT((ROW(DATABASE!$AV$14:$AV$989)) * (DATABASE!$AV$14:IA$989='Résultats observations'!$A55 ) * (DATABASE!$AW$14:$AW$989= AY$4))-ROW(DATABASE!$AV$14)+1,AY$5)),"")</f>
        <v>-0.78452129640500345</v>
      </c>
      <c r="AZ55" s="107" cm="1">
        <f t="array" ref="AZ55">IFERROR(_xlfn.SINGLE(INDEX(DATABASE!$AV$14:$BC$989,SUMPRODUCT((ROW(DATABASE!$AV$14:$AV$989)) * (DATABASE!$AV$14:IB$989='Résultats observations'!$A55 ) * (DATABASE!$AW$14:$AW$989= AZ$4))-ROW(DATABASE!$AV$14)+1,AZ$5)),"")</f>
        <v>5.063505182768349</v>
      </c>
      <c r="BA55" s="107" cm="1">
        <f t="array" ref="BA55">IFERROR(_xlfn.SINGLE(INDEX(DATABASE!$AV$14:$BC$989,SUMPRODUCT((ROW(DATABASE!$AV$14:$AV$989)) * (DATABASE!$AV$14:IC$989='Résultats observations'!$A55 ) * (DATABASE!$AW$14:$AW$989= BA$4))-ROW(DATABASE!$AV$14)+1,BA$5)),"")</f>
        <v>-2.5232336383908711</v>
      </c>
      <c r="BB55" s="107" cm="1">
        <f t="array" ref="BB55">IFERROR(_xlfn.SINGLE(INDEX(DATABASE!$AV$14:$BC$989,SUMPRODUCT((ROW(DATABASE!$AV$14:$AV$989)) * (DATABASE!$AV$14:ID$989='Résultats observations'!$A55 ) * (DATABASE!$AW$14:$AW$989= BB$4))-ROW(DATABASE!$AV$14)+1,BB$5)),"")</f>
        <v>1.145064948172319</v>
      </c>
      <c r="BC55" s="107" cm="1">
        <f t="array" ref="BC55">IFERROR(_xlfn.SINGLE(INDEX(DATABASE!$AV$14:$BC$989,SUMPRODUCT((ROW(DATABASE!$AV$14:$AV$989)) * (DATABASE!$AV$14:IE$989='Résultats observations'!$A55 ) * (DATABASE!$AW$14:$AW$989= BC$4))-ROW(DATABASE!$AV$14)+1,BC$5)),"")</f>
        <v>4.9100945963437397</v>
      </c>
      <c r="BD55" s="107" cm="1">
        <f t="array" ref="BD55">IFERROR(_xlfn.SINGLE(INDEX(DATABASE!$AV$14:$BC$989,SUMPRODUCT((ROW(DATABASE!$AV$14:$AV$989)) * (DATABASE!$AV$14:IF$989='Résultats observations'!$A55 ) * (DATABASE!$AW$14:$AW$989= BD$4))-ROW(DATABASE!$AV$14)+1,BD$5)),"")</f>
        <v>-3.4287397115827206E-2</v>
      </c>
      <c r="BE55" s="107" cm="1">
        <f t="array" ref="BE55">IFERROR(_xlfn.SINGLE(INDEX(DATABASE!$AV$14:$BC$989,SUMPRODUCT((ROW(DATABASE!$AV$14:$AV$989)) * (DATABASE!$AV$14:IG$989='Résultats observations'!$A55 ) * (DATABASE!$AW$14:$AW$989= BE$4))-ROW(DATABASE!$AV$14)+1,BE$5)),"")</f>
        <v>2.5724990540365695</v>
      </c>
      <c r="BF55" s="107" t="str" cm="1">
        <f t="array" ref="BF55">IFERROR(_xlfn.SINGLE(INDEX(DATABASE!$AV$14:$BC$989,SUMPRODUCT((ROW(DATABASE!$AV$14:$AV$989)) * (DATABASE!$AV$14:IH$989='Résultats observations'!$A55 ) * (DATABASE!$AW$14:$AW$989= BF$4))-ROW(DATABASE!$AV$14)+1,BF$5)),"")</f>
        <v/>
      </c>
      <c r="BG55" s="107" t="str" cm="1">
        <f t="array" ref="BG55">IFERROR(_xlfn.SINGLE(INDEX(DATABASE!$AV$14:$BC$989,SUMPRODUCT((ROW(DATABASE!$AV$14:$AV$989)) * (DATABASE!$AV$14:II$989='Résultats observations'!$A55 ) * (DATABASE!$AW$14:$AW$989= BG$4))-ROW(DATABASE!$AV$14)+1,BG$5)),"")</f>
        <v/>
      </c>
      <c r="BH55" s="107" t="str" cm="1">
        <f t="array" ref="BH55">IFERROR(_xlfn.SINGLE(INDEX(DATABASE!$AV$14:$BC$989,SUMPRODUCT((ROW(DATABASE!$AV$14:$AV$989)) * (DATABASE!$AV$14:IJ$989='Résultats observations'!$A55 ) * (DATABASE!$AW$14:$AW$989= BH$4))-ROW(DATABASE!$AV$14)+1,BH$5)),"")</f>
        <v/>
      </c>
      <c r="BI55" s="107" cm="1">
        <f t="array" ref="BI55">IFERROR(_xlfn.SINGLE(INDEX(DATABASE!$AV$14:$BC$989,SUMPRODUCT((ROW(DATABASE!$AV$14:$AV$989)) * (DATABASE!$AV$14:IK$989='Résultats observations'!$A55 ) * (DATABASE!$AW$14:$AW$989= BI$4))-ROW(DATABASE!$AV$14)+1,BI$5)),"")</f>
        <v>5.0826076302517329</v>
      </c>
      <c r="BJ55" s="107" cm="1">
        <f t="array" ref="BJ55">IFERROR(_xlfn.SINGLE(INDEX(DATABASE!$AV$14:$BC$989,SUMPRODUCT((ROW(DATABASE!$AV$14:$AV$989)) * (DATABASE!$AV$14:IL$989='Résultats observations'!$A55 ) * (DATABASE!$AW$14:$AW$989= BJ$4))-ROW(DATABASE!$AV$14)+1,BJ$5)),"")</f>
        <v>2.6676495567015861</v>
      </c>
      <c r="BK55" s="107" cm="1">
        <f t="array" ref="BK55">IFERROR(_xlfn.SINGLE(INDEX(DATABASE!$AV$14:$BC$989,SUMPRODUCT((ROW(DATABASE!$AV$14:$AV$989)) * (DATABASE!$AV$14:IM$989='Résultats observations'!$A55 ) * (DATABASE!$AW$14:$AW$989= BK$4))-ROW(DATABASE!$AV$14)+1,BK$5)),"")</f>
        <v>-0.737426076302512</v>
      </c>
      <c r="BL55" s="105"/>
      <c r="BM55" s="106">
        <f t="shared" ref="BM55" si="1257">IF(AW55="","",(AW55-AW$10)*1000)</f>
        <v>-5.9169683279121088</v>
      </c>
      <c r="BN55" s="106">
        <f t="shared" ref="BN55" si="1258">IF(AX55="","",(AX55-AX$10)*1000)</f>
        <v>11.033108836185246</v>
      </c>
      <c r="BO55" s="106">
        <f t="shared" ref="BO55" si="1259">IF(AY55="","",(AY55-AY$10)*1000)</f>
        <v>0.45916968329606789</v>
      </c>
      <c r="BP55" s="106">
        <f t="shared" ref="BP55" si="1260">IF(AZ55="","",(AZ55-AZ$10)*1000)</f>
        <v>-1.2087313053354976</v>
      </c>
      <c r="BQ55" s="106">
        <f t="shared" ref="BQ55" si="1261">IF(BA55="","",(BA55-BA$10)*1000)</f>
        <v>8.1530037288337631</v>
      </c>
      <c r="BR55" s="106">
        <f t="shared" ref="BR55" si="1262">IF(BB55="","",(BB55-BB$10)*1000)</f>
        <v>-3.6879126869422407</v>
      </c>
      <c r="BS55" s="106">
        <f t="shared" ref="BS55" si="1263">IF(BC55="","",(BC55-BC$10)*1000)</f>
        <v>-9.9521874445027692</v>
      </c>
      <c r="BT55" s="106">
        <f t="shared" ref="BT55" si="1264">IF(BD55="","",(BD55-BD$10)*1000)</f>
        <v>-17.108666291526696</v>
      </c>
      <c r="BU55" s="106">
        <f t="shared" ref="BU55" si="1265">IF(BE55="","",(BE55-BE$10)*1000)</f>
        <v>-19.350478125545578</v>
      </c>
      <c r="BV55" s="106" t="str">
        <f t="shared" ref="BV55" si="1266">IF(BF55="","",(BF55-BF$10)*1000)</f>
        <v/>
      </c>
      <c r="BW55" s="106" t="str">
        <f t="shared" ref="BW55" si="1267">IF(BG55="","",(BG55-BG$10)*1000)</f>
        <v/>
      </c>
      <c r="BX55" s="106" t="e">
        <f t="shared" ref="BX55" si="1268">IF(BH55="","",(BH55-BH$18)*1000)+BX$18</f>
        <v>#VALUE!</v>
      </c>
      <c r="BY55" s="106">
        <f t="shared" ref="BY55" si="1269">IF(BI55="","",(BI55-BI$10)*1000)</f>
        <v>-2.7011568568111599</v>
      </c>
      <c r="BZ55" s="106">
        <f t="shared" ref="BZ55" si="1270">IF(BJ55="","",(BJ55-BJ$10)*1000)</f>
        <v>-12.07254130723312</v>
      </c>
      <c r="CA55" s="106">
        <f t="shared" ref="CA55" si="1271">IF(BK55="","",(BK55-BK$10)*1000)</f>
        <v>-8.1729884314256651</v>
      </c>
    </row>
    <row r="56" spans="1:79" s="108" customFormat="1" ht="29.25" customHeight="1">
      <c r="A56" s="189">
        <v>45861</v>
      </c>
      <c r="B56" s="100">
        <f t="shared" ref="B56" si="1272">A56-$A$10</f>
        <v>537</v>
      </c>
      <c r="C56" s="101">
        <v>33.1</v>
      </c>
      <c r="D56" s="101">
        <f t="shared" ref="D56" si="1273">C56-$W$6</f>
        <v>28.01</v>
      </c>
      <c r="E56" s="102" cm="1">
        <f t="array" ref="E56">IFERROR(_xlfn.SINGLE(INDEX(DATABASE!$AV$14:$BC$989,SUMPRODUCT((ROW(DATABASE!$AV$14:$AV$989)) * (DATABASE!AG$14:$AV$989='Résultats observations'!$A56 ) * (DATABASE!$AW$14:$AW$989= E$4))-ROW(DATABASE!$AV$14)+1,E$5)),"")</f>
        <v>823058.96869999997</v>
      </c>
      <c r="F56" s="102" cm="1">
        <f t="array" ref="F56">IFERROR(_xlfn.SINGLE(INDEX(DATABASE!$AV$14:$BC$989,SUMPRODUCT((ROW(DATABASE!$AV$14:$AV$989)) * (DATABASE!AH$14:$AV$989='Résultats observations'!$A56 ) * (DATABASE!$AW$14:$AW$989= F$4))-ROW(DATABASE!$AV$14)+1,F$5)),"")</f>
        <v>1091426.6665000001</v>
      </c>
      <c r="G56" s="102" cm="1">
        <f t="array" ref="G56">IFERROR(_xlfn.SINGLE(INDEX(DATABASE!$AV$14:$BC$989,SUMPRODUCT((ROW(DATABASE!$AV$14:$AV$989)) * (DATABASE!AI$14:$AV$989='Résultats observations'!$A56 ) * (DATABASE!$AW$14:$AW$989= G$4))-ROW(DATABASE!$AV$14)+1,G$5)),"")</f>
        <v>-123.0607</v>
      </c>
      <c r="H56" s="102" cm="1">
        <f t="array" ref="H56">IFERROR(_xlfn.SINGLE(INDEX(DATABASE!$AV$14:$BC$989,SUMPRODUCT((ROW(DATABASE!$AV$14:$AV$989)) * (DATABASE!AJ$14:$AV$989='Résultats observations'!$A56 ) * (DATABASE!$AW$14:$AW$989= H$4))-ROW(DATABASE!$AV$14)+1,H$5)),"")</f>
        <v>823058.92920000001</v>
      </c>
      <c r="I56" s="102" cm="1">
        <f t="array" ref="I56">IFERROR(_xlfn.SINGLE(INDEX(DATABASE!$AV$14:$BC$989,SUMPRODUCT((ROW(DATABASE!$AV$14:$AV$989)) * (DATABASE!AK$14:$AV$989='Résultats observations'!$A56 ) * (DATABASE!$AW$14:$AW$989= I$4))-ROW(DATABASE!$AV$14)+1,I$5)),"")</f>
        <v>1091426.7487999999</v>
      </c>
      <c r="J56" s="102" cm="1">
        <f t="array" ref="J56">IFERROR(_xlfn.SINGLE(INDEX(DATABASE!$AV$14:$BC$989,SUMPRODUCT((ROW(DATABASE!$AV$14:$AV$989)) * (DATABASE!AL$14:$AV$989='Résultats observations'!$A56 ) * (DATABASE!$AW$14:$AW$989= J$4))-ROW(DATABASE!$AV$14)+1,J$5)),"")</f>
        <v>-121.13160000000001</v>
      </c>
      <c r="K56" s="102" cm="1">
        <f t="array" ref="K56">IFERROR(_xlfn.SINGLE(INDEX(DATABASE!$AV$14:$BC$989,SUMPRODUCT((ROW(DATABASE!$AV$14:$AV$989)) * (DATABASE!AM$14:$AV$989='Résultats observations'!$A56 ) * (DATABASE!$AW$14:$AW$989= K$4))-ROW(DATABASE!$AV$14)+1,K$5)),"")</f>
        <v>823058.01639999996</v>
      </c>
      <c r="L56" s="102" cm="1">
        <f t="array" ref="L56">IFERROR(_xlfn.SINGLE(INDEX(DATABASE!$AV$14:$BC$989,SUMPRODUCT((ROW(DATABASE!$AV$14:$AV$989)) * (DATABASE!AN$14:$AV$989='Résultats observations'!$A56 ) * (DATABASE!$AW$14:$AW$989= L$4))-ROW(DATABASE!$AV$14)+1,L$5)),"")</f>
        <v>1091429.0686999999</v>
      </c>
      <c r="M56" s="102" cm="1">
        <f t="array" ref="M56">IFERROR(_xlfn.SINGLE(INDEX(DATABASE!$AV$14:$BC$989,SUMPRODUCT((ROW(DATABASE!$AV$14:$AV$989)) * (DATABASE!AO$14:$AV$989='Résultats observations'!$A56 ) * (DATABASE!$AW$14:$AW$989= M$4))-ROW(DATABASE!$AV$14)+1,M$5)),"")</f>
        <v>-119.706</v>
      </c>
      <c r="N56" s="102" t="str" cm="1">
        <f t="array" ref="N56">IFERROR(_xlfn.SINGLE(INDEX(DATABASE!$AV$14:$BC$989,SUMPRODUCT((ROW(DATABASE!$AV$14:$AV$989)) * (DATABASE!AP$14:$AV$989='Résultats observations'!$A56 ) * (DATABASE!$AW$14:$AW$989= N$4))-ROW(DATABASE!$AV$14)+1,N$5)),"")</f>
        <v/>
      </c>
      <c r="O56" s="102" t="str" cm="1">
        <f t="array" ref="O56">IFERROR(_xlfn.SINGLE(INDEX(DATABASE!$AV$14:$BC$989,SUMPRODUCT((ROW(DATABASE!$AV$14:$AV$989)) * (DATABASE!AQ$14:$AV$989='Résultats observations'!$A56 ) * (DATABASE!$AW$14:$AW$989= O$4))-ROW(DATABASE!$AV$14)+1,O$5)),"")</f>
        <v/>
      </c>
      <c r="P56" s="102" t="str" cm="1">
        <f t="array" ref="P56">IFERROR(_xlfn.SINGLE(INDEX(DATABASE!$AV$14:$BC$989,SUMPRODUCT((ROW(DATABASE!$AV$14:$AV$989)) * (DATABASE!AR$14:$AV$989='Résultats observations'!$A56 ) * (DATABASE!$AW$14:$AW$989= P$4))-ROW(DATABASE!$AV$14)+1,P$5)),"")</f>
        <v/>
      </c>
      <c r="Q56" s="102" cm="1">
        <f t="array" ref="Q56">IFERROR(_xlfn.SINGLE(INDEX(DATABASE!$AV$14:$BC$989,SUMPRODUCT((ROW(DATABASE!$AV$14:$AV$989)) * (DATABASE!AS$14:$AV$989='Résultats observations'!$A56 ) * (DATABASE!$AW$14:$AW$989= Q$4))-ROW(DATABASE!$AV$14)+1,Q$5)),"")</f>
        <v>823056.71790000005</v>
      </c>
      <c r="R56" s="102" cm="1">
        <f t="array" ref="R56">IFERROR(_xlfn.SINGLE(INDEX(DATABASE!$AV$14:$BC$989,SUMPRODUCT((ROW(DATABASE!$AV$14:$AV$989)) * (DATABASE!AT$14:$AV$989='Résultats observations'!$A56 ) * (DATABASE!$AW$14:$AW$989= R$4))-ROW(DATABASE!$AV$14)+1,R$5)),"")</f>
        <v>1091431.4443999999</v>
      </c>
      <c r="S56" s="102" cm="1">
        <f t="array" ref="S56">IFERROR(_xlfn.SINGLE(INDEX(DATABASE!$AV$14:$BC$989,SUMPRODUCT((ROW(DATABASE!$AV$14:$AV$989)) * (DATABASE!AU$14:$AV$989='Résultats observations'!$A56 ) * (DATABASE!$AW$14:$AW$989= S$4))-ROW(DATABASE!$AV$14)+1,S$5)),"")</f>
        <v>-123.0136</v>
      </c>
      <c r="T56" s="103">
        <f t="shared" si="2"/>
        <v>4.2345545479428832</v>
      </c>
      <c r="U56" s="103">
        <f t="shared" si="3"/>
        <v>2.8718417801299836</v>
      </c>
      <c r="V56" s="103" t="e">
        <f t="shared" si="4"/>
        <v>#VALUE!</v>
      </c>
      <c r="W56" s="103">
        <f t="shared" si="5"/>
        <v>4.2743736967731429</v>
      </c>
      <c r="X56" s="103" t="str">
        <f t="shared" si="6"/>
        <v/>
      </c>
      <c r="Y56" s="103">
        <f t="shared" si="7"/>
        <v>5.2817276963513198</v>
      </c>
      <c r="Z56" s="104">
        <f t="shared" ref="Z56" si="1274">IF(T56="","",(T56-T$10)*1000)</f>
        <v>-33.724296654089159</v>
      </c>
      <c r="AA56" s="104">
        <f t="shared" ref="AA56" si="1275">IF(U56="","",(U56-U$10)*1000)</f>
        <v>-29.972259794943223</v>
      </c>
      <c r="AB56" s="104" t="e">
        <f t="shared" ref="AB56" si="1276">IF(V56="","",(V56-V$10)*1000)</f>
        <v>#VALUE!</v>
      </c>
      <c r="AC56" s="104">
        <f t="shared" ref="AC56" si="1277">IF(W56="","",(W56-W$10)*1000)</f>
        <v>-5.7354037991936835</v>
      </c>
      <c r="AD56" s="104" t="str">
        <f t="shared" ref="AD56" si="1278">IF(X56="","",(X56-X$10)*1000)</f>
        <v/>
      </c>
      <c r="AE56" s="104">
        <f t="shared" ref="AE56" si="1279">IF(Y56="","",(Y56-Y$10)*1000)</f>
        <v>-23.811780797629467</v>
      </c>
      <c r="AF56" s="105"/>
      <c r="AG56" s="106">
        <f t="shared" ref="AG56" si="1280">IF(E56="","",(E56-E$10)*1000)</f>
        <v>0.40000001899898052</v>
      </c>
      <c r="AH56" s="106">
        <f t="shared" ref="AH56" si="1281">IF(F56="","",(F56-F$10)*1000)</f>
        <v>12.800000142306089</v>
      </c>
      <c r="AI56" s="106">
        <f t="shared" ref="AI56" si="1282">IF(G56="","",(G56-G$10)*1000)</f>
        <v>0.60000000000570708</v>
      </c>
      <c r="AJ56" s="106">
        <f t="shared" ref="AJ56" si="1283">IF(H56="","",(H56-H$10)*1000)</f>
        <v>-2.3499999660998583</v>
      </c>
      <c r="AK56" s="106">
        <f t="shared" ref="AK56" si="1284">IF(I56="","",(I56-I$10)*1000)</f>
        <v>8.3999999333173037</v>
      </c>
      <c r="AL56" s="106">
        <f t="shared" ref="AL56" si="1285">IF(J56="","",(J56-J$10)*1000)</f>
        <v>-4.0000000000048885</v>
      </c>
      <c r="AM56" s="106">
        <f t="shared" ref="AM56" si="1286">IF(K56="","",(K56-K$10)*1000)</f>
        <v>16.249999986030161</v>
      </c>
      <c r="AN56" s="106">
        <f t="shared" ref="AN56" si="1287">IF(L56="","",(L56-L$10)*1000)</f>
        <v>-11.500000022351742</v>
      </c>
      <c r="AO56" s="106">
        <f t="shared" ref="AO56" si="1288">IF(M56="","",(M56-M$10)*1000)</f>
        <v>-20.049999999997681</v>
      </c>
      <c r="AP56" s="106" t="str">
        <f t="shared" ref="AP56" si="1289">IF(N56="","",(N56-N$10)*1000)</f>
        <v/>
      </c>
      <c r="AQ56" s="106" t="str">
        <f t="shared" ref="AQ56" si="1290">IF(O56="","",(O56-O$10)*1000)</f>
        <v/>
      </c>
      <c r="AR56" s="106" t="e">
        <f t="shared" ref="AR56" si="1291">IF(P56="","",(P56-P$18)*1000)+AR$18</f>
        <v>#VALUE!</v>
      </c>
      <c r="AS56" s="106">
        <f t="shared" ref="AS56" si="1292">IF(Q56="","",(Q56-Q$10)*1000)</f>
        <v>7.2500000242143869</v>
      </c>
      <c r="AT56" s="106">
        <f t="shared" ref="AT56" si="1293">IF(R56="","",(R56-R$10)*1000)</f>
        <v>-10.200000135228038</v>
      </c>
      <c r="AU56" s="106">
        <f t="shared" ref="AU56" si="1294">IF(S56="","",(S56-S$10)*1000)</f>
        <v>-8.2000000000022055</v>
      </c>
      <c r="AV56" s="105"/>
      <c r="AW56" s="107" cm="1">
        <f t="array" ref="AW56">IFERROR(_xlfn.SINGLE(INDEX(DATABASE!$AV$14:$BC$989,SUMPRODUCT((ROW(DATABASE!$AV$14:$AV$989)) * (DATABASE!$AV$14:HY$989='Résultats observations'!$A56 ) * (DATABASE!$AW$14:$AW$989= AW$4))-ROW(DATABASE!$AV$14)+1,AW$5)),"")</f>
        <v>5.0622747537864923</v>
      </c>
      <c r="AX56" s="107" cm="1">
        <f t="array" ref="AX56">IFERROR(_xlfn.SINGLE(INDEX(DATABASE!$AV$14:$BC$989,SUMPRODUCT((ROW(DATABASE!$AV$14:$AV$989)) * (DATABASE!$AV$14:HZ$989='Résultats observations'!$A56 ) * (DATABASE!$AW$14:$AW$989= AX$4))-ROW(DATABASE!$AV$14)+1,AX$5)),"")</f>
        <v>-2.6140630171629389</v>
      </c>
      <c r="AY56" s="107" cm="1">
        <f t="array" ref="AY56">IFERROR(_xlfn.SINGLE(INDEX(DATABASE!$AV$14:$BC$989,SUMPRODUCT((ROW(DATABASE!$AV$14:$AV$989)) * (DATABASE!$AV$14:IA$989='Résultats observations'!$A56 ) * (DATABASE!$AW$14:$AW$989= AY$4))-ROW(DATABASE!$AV$14)+1,AY$5)),"")</f>
        <v>-0.78432274753785691</v>
      </c>
      <c r="AZ56" s="107" cm="1">
        <f t="array" ref="AZ56">IFERROR(_xlfn.SINGLE(INDEX(DATABASE!$AV$14:$BC$989,SUMPRODUCT((ROW(DATABASE!$AV$14:$AV$989)) * (DATABASE!$AV$14:IB$989='Résultats observations'!$A56 ) * (DATABASE!$AW$14:$AW$989= AZ$4))-ROW(DATABASE!$AV$14)+1,AZ$5)),"")</f>
        <v>5.0632938809117798</v>
      </c>
      <c r="BA56" s="107" cm="1">
        <f t="array" ref="BA56">IFERROR(_xlfn.SINGLE(INDEX(DATABASE!$AV$14:$BC$989,SUMPRODUCT((ROW(DATABASE!$AV$14:$AV$989)) * (DATABASE!$AV$14:IC$989='Résultats observations'!$A56 ) * (DATABASE!$AW$14:$AW$989= BA$4))-ROW(DATABASE!$AV$14)+1,BA$5)),"")</f>
        <v>-2.5227804812718326</v>
      </c>
      <c r="BB56" s="107" cm="1">
        <f t="array" ref="BB56">IFERROR(_xlfn.SINGLE(INDEX(DATABASE!$AV$14:$BC$989,SUMPRODUCT((ROW(DATABASE!$AV$14:$AV$989)) * (DATABASE!$AV$14:ID$989='Résultats observations'!$A56 ) * (DATABASE!$AW$14:$AW$989= BB$4))-ROW(DATABASE!$AV$14)+1,BB$5)),"")</f>
        <v>1.1447670611908762</v>
      </c>
      <c r="BC56" s="107" cm="1">
        <f t="array" ref="BC56">IFERROR(_xlfn.SINGLE(INDEX(DATABASE!$AV$14:$BC$989,SUMPRODUCT((ROW(DATABASE!$AV$14:$AV$989)) * (DATABASE!$AV$14:IE$989='Résultats observations'!$A56 ) * (DATABASE!$AW$14:$AW$989= BC$4))-ROW(DATABASE!$AV$14)+1,BC$5)),"")</f>
        <v>4.9101791171650833</v>
      </c>
      <c r="BD56" s="107" cm="1">
        <f t="array" ref="BD56">IFERROR(_xlfn.SINGLE(INDEX(DATABASE!$AV$14:$BC$989,SUMPRODUCT((ROW(DATABASE!$AV$14:$AV$989)) * (DATABASE!$AV$14:IF$989='Résultats observations'!$A56 ) * (DATABASE!$AW$14:$AW$989= BD$4))-ROW(DATABASE!$AV$14)+1,BD$5)),"")</f>
        <v>-3.4468660132257925E-2</v>
      </c>
      <c r="BE56" s="107" cm="1">
        <f t="array" ref="BE56">IFERROR(_xlfn.SINGLE(INDEX(DATABASE!$AV$14:$BC$989,SUMPRODUCT((ROW(DATABASE!$AV$14:$AV$989)) * (DATABASE!$AV$14:IG$989='Résultats observations'!$A56 ) * (DATABASE!$AW$14:$AW$989= BE$4))-ROW(DATABASE!$AV$14)+1,BE$5)),"")</f>
        <v>2.571898208828344</v>
      </c>
      <c r="BF56" s="107" t="str" cm="1">
        <f t="array" ref="BF56">IFERROR(_xlfn.SINGLE(INDEX(DATABASE!$AV$14:$BC$989,SUMPRODUCT((ROW(DATABASE!$AV$14:$AV$989)) * (DATABASE!$AV$14:IH$989='Résultats observations'!$A56 ) * (DATABASE!$AW$14:$AW$989= BF$4))-ROW(DATABASE!$AV$14)+1,BF$5)),"")</f>
        <v/>
      </c>
      <c r="BG56" s="107" t="str" cm="1">
        <f t="array" ref="BG56">IFERROR(_xlfn.SINGLE(INDEX(DATABASE!$AV$14:$BC$989,SUMPRODUCT((ROW(DATABASE!$AV$14:$AV$989)) * (DATABASE!$AV$14:II$989='Résultats observations'!$A56 ) * (DATABASE!$AW$14:$AW$989= BG$4))-ROW(DATABASE!$AV$14)+1,BG$5)),"")</f>
        <v/>
      </c>
      <c r="BH56" s="107" t="str" cm="1">
        <f t="array" ref="BH56">IFERROR(_xlfn.SINGLE(INDEX(DATABASE!$AV$14:$BC$989,SUMPRODUCT((ROW(DATABASE!$AV$14:$AV$989)) * (DATABASE!$AV$14:IJ$989='Résultats observations'!$A56 ) * (DATABASE!$AW$14:$AW$989= BH$4))-ROW(DATABASE!$AV$14)+1,BH$5)),"")</f>
        <v/>
      </c>
      <c r="BI56" s="107" cm="1">
        <f t="array" ref="BI56">IFERROR(_xlfn.SINGLE(INDEX(DATABASE!$AV$14:$BC$989,SUMPRODUCT((ROW(DATABASE!$AV$14:$AV$989)) * (DATABASE!$AV$14:IK$989='Résultats observations'!$A56 ) * (DATABASE!$AW$14:$AW$989= BI$4))-ROW(DATABASE!$AV$14)+1,BI$5)),"")</f>
        <v>5.0830485661096505</v>
      </c>
      <c r="BJ56" s="107" cm="1">
        <f t="array" ref="BJ56">IFERROR(_xlfn.SINGLE(INDEX(DATABASE!$AV$14:$BC$989,SUMPRODUCT((ROW(DATABASE!$AV$14:$AV$989)) * (DATABASE!$AV$14:IL$989='Résultats observations'!$A56 ) * (DATABASE!$AW$14:$AW$989= BJ$4))-ROW(DATABASE!$AV$14)+1,BJ$5)),"")</f>
        <v>2.6674138120133648</v>
      </c>
      <c r="BK56" s="107" cm="1">
        <f t="array" ref="BK56">IFERROR(_xlfn.SINGLE(INDEX(DATABASE!$AV$14:$BC$989,SUMPRODUCT((ROW(DATABASE!$AV$14:$AV$989)) * (DATABASE!$AV$14:IM$989='Résultats observations'!$A56 ) * (DATABASE!$AW$14:$AW$989= BK$4))-ROW(DATABASE!$AV$14)+1,BK$5)),"")</f>
        <v>-0.73743048566109337</v>
      </c>
      <c r="BL56" s="105"/>
      <c r="BM56" s="106">
        <f t="shared" ref="BM56" si="1295">IF(AW56="","",(AW56-AW$10)*1000)</f>
        <v>-5.7718550423970783</v>
      </c>
      <c r="BN56" s="106">
        <f t="shared" ref="BN56" si="1296">IF(AX56="","",(AX56-AX$10)*1000)</f>
        <v>11.431784332628592</v>
      </c>
      <c r="BO56" s="106">
        <f t="shared" ref="BO56" si="1297">IF(AY56="","",(AY56-AY$10)*1000)</f>
        <v>0.65771855044260974</v>
      </c>
      <c r="BP56" s="106">
        <f t="shared" ref="BP56" si="1298">IF(AZ56="","",(AZ56-AZ$10)*1000)</f>
        <v>-1.4200331619047546</v>
      </c>
      <c r="BQ56" s="106">
        <f t="shared" ref="BQ56" si="1299">IF(BA56="","",(BA56-BA$10)*1000)</f>
        <v>8.6061608478722462</v>
      </c>
      <c r="BR56" s="106">
        <f t="shared" ref="BR56" si="1300">IF(BB56="","",(BB56-BB$10)*1000)</f>
        <v>-3.9857996683849706</v>
      </c>
      <c r="BS56" s="106">
        <f t="shared" ref="BS56" si="1301">IF(BC56="","",(BC56-BC$10)*1000)</f>
        <v>-9.8676666231591881</v>
      </c>
      <c r="BT56" s="106">
        <f t="shared" ref="BT56" si="1302">IF(BD56="","",(BD56-BD$10)*1000)</f>
        <v>-17.289929307957415</v>
      </c>
      <c r="BU56" s="106">
        <f t="shared" ref="BU56" si="1303">IF(BE56="","",(BE56-BE$10)*1000)</f>
        <v>-19.951323333771143</v>
      </c>
      <c r="BV56" s="106" t="str">
        <f t="shared" ref="BV56" si="1304">IF(BF56="","",(BF56-BF$10)*1000)</f>
        <v/>
      </c>
      <c r="BW56" s="106" t="str">
        <f t="shared" ref="BW56" si="1305">IF(BG56="","",(BG56-BG$10)*1000)</f>
        <v/>
      </c>
      <c r="BX56" s="106" t="e">
        <f t="shared" ref="BX56" si="1306">IF(BH56="","",(BH56-BH$18)*1000)+BX$18</f>
        <v>#VALUE!</v>
      </c>
      <c r="BY56" s="106">
        <f t="shared" ref="BY56" si="1307">IF(BI56="","",(BI56-BI$10)*1000)</f>
        <v>-2.2602209988935584</v>
      </c>
      <c r="BZ56" s="106">
        <f t="shared" ref="BZ56" si="1308">IF(BJ56="","",(BJ56-BJ$10)*1000)</f>
        <v>-12.308285995454415</v>
      </c>
      <c r="CA56" s="106">
        <f t="shared" ref="CA56" si="1309">IF(BK56="","",(BK56-BK$10)*1000)</f>
        <v>-8.1773977900070349</v>
      </c>
    </row>
    <row r="57" spans="1:79" s="108" customFormat="1" ht="29.25" customHeight="1">
      <c r="A57" s="189">
        <v>45867</v>
      </c>
      <c r="B57" s="100">
        <f t="shared" ref="B57" si="1310">A57-$A$10</f>
        <v>543</v>
      </c>
      <c r="C57" s="101">
        <v>33.9</v>
      </c>
      <c r="D57" s="101">
        <f t="shared" ref="D57" si="1311">C57-$W$6</f>
        <v>28.81</v>
      </c>
      <c r="E57" s="102" cm="1">
        <f t="array" ref="E57">IFERROR(_xlfn.SINGLE(INDEX(DATABASE!$AV$14:$BC$989,SUMPRODUCT((ROW(DATABASE!$AV$14:$AV$989)) * (DATABASE!AG$14:$AV$989='Résultats observations'!$A57 ) * (DATABASE!$AW$14:$AW$989= E$4))-ROW(DATABASE!$AV$14)+1,E$5)),"")</f>
        <v>823058.96829999995</v>
      </c>
      <c r="F57" s="102" cm="1">
        <f t="array" ref="F57">IFERROR(_xlfn.SINGLE(INDEX(DATABASE!$AV$14:$BC$989,SUMPRODUCT((ROW(DATABASE!$AV$14:$AV$989)) * (DATABASE!AH$14:$AV$989='Résultats observations'!$A57 ) * (DATABASE!$AW$14:$AW$989= F$4))-ROW(DATABASE!$AV$14)+1,F$5)),"")</f>
        <v>1091426.6662000001</v>
      </c>
      <c r="G57" s="102" cm="1">
        <f t="array" ref="G57">IFERROR(_xlfn.SINGLE(INDEX(DATABASE!$AV$14:$BC$989,SUMPRODUCT((ROW(DATABASE!$AV$14:$AV$989)) * (DATABASE!AI$14:$AV$989='Résultats observations'!$A57 ) * (DATABASE!$AW$14:$AW$989= G$4))-ROW(DATABASE!$AV$14)+1,G$5)),"")</f>
        <v>-123.0607</v>
      </c>
      <c r="H57" s="102" cm="1">
        <f t="array" ref="H57">IFERROR(_xlfn.SINGLE(INDEX(DATABASE!$AV$14:$BC$989,SUMPRODUCT((ROW(DATABASE!$AV$14:$AV$989)) * (DATABASE!AJ$14:$AV$989='Résultats observations'!$A57 ) * (DATABASE!$AW$14:$AW$989= H$4))-ROW(DATABASE!$AV$14)+1,H$5)),"")</f>
        <v>823058.92879999999</v>
      </c>
      <c r="I57" s="102" cm="1">
        <f t="array" ref="I57">IFERROR(_xlfn.SINGLE(INDEX(DATABASE!$AV$14:$BC$989,SUMPRODUCT((ROW(DATABASE!$AV$14:$AV$989)) * (DATABASE!AK$14:$AV$989='Résultats observations'!$A57 ) * (DATABASE!$AW$14:$AW$989= I$4))-ROW(DATABASE!$AV$14)+1,I$5)),"")</f>
        <v>1091426.7487000001</v>
      </c>
      <c r="J57" s="102" cm="1">
        <f t="array" ref="J57">IFERROR(_xlfn.SINGLE(INDEX(DATABASE!$AV$14:$BC$989,SUMPRODUCT((ROW(DATABASE!$AV$14:$AV$989)) * (DATABASE!AL$14:$AV$989='Résultats observations'!$A57 ) * (DATABASE!$AW$14:$AW$989= J$4))-ROW(DATABASE!$AV$14)+1,J$5)),"")</f>
        <v>-121.1314</v>
      </c>
      <c r="K57" s="102" cm="1">
        <f t="array" ref="K57">IFERROR(_xlfn.SINGLE(INDEX(DATABASE!$AV$14:$BC$989,SUMPRODUCT((ROW(DATABASE!$AV$14:$AV$989)) * (DATABASE!AM$14:$AV$989='Résultats observations'!$A57 ) * (DATABASE!$AW$14:$AW$989= K$4))-ROW(DATABASE!$AV$14)+1,K$5)),"")</f>
        <v>823058.01610000001</v>
      </c>
      <c r="L57" s="102" cm="1">
        <f t="array" ref="L57">IFERROR(_xlfn.SINGLE(INDEX(DATABASE!$AV$14:$BC$989,SUMPRODUCT((ROW(DATABASE!$AV$14:$AV$989)) * (DATABASE!AN$14:$AV$989='Résultats observations'!$A57 ) * (DATABASE!$AW$14:$AW$989= L$4))-ROW(DATABASE!$AV$14)+1,L$5)),"")</f>
        <v>1091429.0685000001</v>
      </c>
      <c r="M57" s="102" cm="1">
        <f t="array" ref="M57">IFERROR(_xlfn.SINGLE(INDEX(DATABASE!$AV$14:$BC$989,SUMPRODUCT((ROW(DATABASE!$AV$14:$AV$989)) * (DATABASE!AO$14:$AV$989='Résultats observations'!$A57 ) * (DATABASE!$AW$14:$AW$989= M$4))-ROW(DATABASE!$AV$14)+1,M$5)),"")</f>
        <v>-119.7063</v>
      </c>
      <c r="N57" s="102" t="str" cm="1">
        <f t="array" ref="N57">IFERROR(_xlfn.SINGLE(INDEX(DATABASE!$AV$14:$BC$989,SUMPRODUCT((ROW(DATABASE!$AV$14:$AV$989)) * (DATABASE!AP$14:$AV$989='Résultats observations'!$A57 ) * (DATABASE!$AW$14:$AW$989= N$4))-ROW(DATABASE!$AV$14)+1,N$5)),"")</f>
        <v/>
      </c>
      <c r="O57" s="102" t="str" cm="1">
        <f t="array" ref="O57">IFERROR(_xlfn.SINGLE(INDEX(DATABASE!$AV$14:$BC$989,SUMPRODUCT((ROW(DATABASE!$AV$14:$AV$989)) * (DATABASE!AQ$14:$AV$989='Résultats observations'!$A57 ) * (DATABASE!$AW$14:$AW$989= O$4))-ROW(DATABASE!$AV$14)+1,O$5)),"")</f>
        <v/>
      </c>
      <c r="P57" s="102" t="str" cm="1">
        <f t="array" ref="P57">IFERROR(_xlfn.SINGLE(INDEX(DATABASE!$AV$14:$BC$989,SUMPRODUCT((ROW(DATABASE!$AV$14:$AV$989)) * (DATABASE!AR$14:$AV$989='Résultats observations'!$A57 ) * (DATABASE!$AW$14:$AW$989= P$4))-ROW(DATABASE!$AV$14)+1,P$5)),"")</f>
        <v/>
      </c>
      <c r="Q57" s="102" cm="1">
        <f t="array" ref="Q57">IFERROR(_xlfn.SINGLE(INDEX(DATABASE!$AV$14:$BC$989,SUMPRODUCT((ROW(DATABASE!$AV$14:$AV$989)) * (DATABASE!AS$14:$AV$989='Résultats observations'!$A57 ) * (DATABASE!$AW$14:$AW$989= Q$4))-ROW(DATABASE!$AV$14)+1,Q$5)),"")</f>
        <v>823056.71730000002</v>
      </c>
      <c r="R57" s="102" cm="1">
        <f t="array" ref="R57">IFERROR(_xlfn.SINGLE(INDEX(DATABASE!$AV$14:$BC$989,SUMPRODUCT((ROW(DATABASE!$AV$14:$AV$989)) * (DATABASE!AT$14:$AV$989='Résultats observations'!$A57 ) * (DATABASE!$AW$14:$AW$989= R$4))-ROW(DATABASE!$AV$14)+1,R$5)),"")</f>
        <v>1091431.4436999999</v>
      </c>
      <c r="S57" s="102" cm="1">
        <f t="array" ref="S57">IFERROR(_xlfn.SINGLE(INDEX(DATABASE!$AV$14:$BC$989,SUMPRODUCT((ROW(DATABASE!$AV$14:$AV$989)) * (DATABASE!AU$14:$AV$989='Résultats observations'!$A57 ) * (DATABASE!$AW$14:$AW$989= S$4))-ROW(DATABASE!$AV$14)+1,S$5)),"")</f>
        <v>-123.0134</v>
      </c>
      <c r="T57" s="103">
        <f t="shared" si="2"/>
        <v>4.2343511297111807</v>
      </c>
      <c r="U57" s="103">
        <f t="shared" si="3"/>
        <v>2.8714810359278209</v>
      </c>
      <c r="V57" s="103" t="e">
        <f t="shared" si="4"/>
        <v>#VALUE!</v>
      </c>
      <c r="W57" s="103">
        <f t="shared" si="5"/>
        <v>4.2738000525837716</v>
      </c>
      <c r="X57" s="103" t="str">
        <f t="shared" si="6"/>
        <v/>
      </c>
      <c r="Y57" s="103">
        <f t="shared" si="7"/>
        <v>5.2814528813827284</v>
      </c>
      <c r="Z57" s="104">
        <f t="shared" ref="Z57" si="1312">IF(T57="","",(T57-T$10)*1000)</f>
        <v>-33.927714885791715</v>
      </c>
      <c r="AA57" s="104">
        <f t="shared" ref="AA57" si="1313">IF(U57="","",(U57-U$10)*1000)</f>
        <v>-30.333003997105923</v>
      </c>
      <c r="AB57" s="104" t="e">
        <f t="shared" ref="AB57" si="1314">IF(V57="","",(V57-V$10)*1000)</f>
        <v>#VALUE!</v>
      </c>
      <c r="AC57" s="104">
        <f t="shared" ref="AC57" si="1315">IF(W57="","",(W57-W$10)*1000)</f>
        <v>-6.3090479885650197</v>
      </c>
      <c r="AD57" s="104" t="str">
        <f t="shared" ref="AD57" si="1316">IF(X57="","",(X57-X$10)*1000)</f>
        <v/>
      </c>
      <c r="AE57" s="104">
        <f t="shared" ref="AE57" si="1317">IF(Y57="","",(Y57-Y$10)*1000)</f>
        <v>-24.086595766220853</v>
      </c>
      <c r="AF57" s="105"/>
      <c r="AG57" s="106">
        <f t="shared" ref="AG57" si="1318">IF(E57="","",(E57-E$10)*1000)</f>
        <v>0</v>
      </c>
      <c r="AH57" s="106">
        <f t="shared" ref="AH57" si="1319">IF(F57="","",(F57-F$10)*1000)</f>
        <v>12.500000186264515</v>
      </c>
      <c r="AI57" s="106">
        <f t="shared" ref="AI57" si="1320">IF(G57="","",(G57-G$10)*1000)</f>
        <v>0.60000000000570708</v>
      </c>
      <c r="AJ57" s="106">
        <f t="shared" ref="AJ57" si="1321">IF(H57="","",(H57-H$10)*1000)</f>
        <v>-2.7499999850988388</v>
      </c>
      <c r="AK57" s="106">
        <f t="shared" ref="AK57" si="1322">IF(I57="","",(I57-I$10)*1000)</f>
        <v>8.3000001031905413</v>
      </c>
      <c r="AL57" s="106">
        <f t="shared" ref="AL57" si="1323">IF(J57="","",(J57-J$10)*1000)</f>
        <v>-3.7999999999982492</v>
      </c>
      <c r="AM57" s="106">
        <f t="shared" ref="AM57" si="1324">IF(K57="","",(K57-K$10)*1000)</f>
        <v>15.950000029988587</v>
      </c>
      <c r="AN57" s="106">
        <f t="shared" ref="AN57" si="1325">IF(L57="","",(L57-L$10)*1000)</f>
        <v>-11.69999991543591</v>
      </c>
      <c r="AO57" s="106">
        <f t="shared" ref="AO57" si="1326">IF(M57="","",(M57-M$10)*1000)</f>
        <v>-20.349999999993429</v>
      </c>
      <c r="AP57" s="106" t="str">
        <f t="shared" ref="AP57" si="1327">IF(N57="","",(N57-N$10)*1000)</f>
        <v/>
      </c>
      <c r="AQ57" s="106" t="str">
        <f t="shared" ref="AQ57" si="1328">IF(O57="","",(O57-O$10)*1000)</f>
        <v/>
      </c>
      <c r="AR57" s="106" t="e">
        <f t="shared" ref="AR57" si="1329">IF(P57="","",(P57-P$18)*1000)+AR$18</f>
        <v>#VALUE!</v>
      </c>
      <c r="AS57" s="106">
        <f t="shared" ref="AS57" si="1330">IF(Q57="","",(Q57-Q$10)*1000)</f>
        <v>6.6499999957159162</v>
      </c>
      <c r="AT57" s="106">
        <f t="shared" ref="AT57" si="1331">IF(R57="","",(R57-R$10)*1000)</f>
        <v>-10.900000110268593</v>
      </c>
      <c r="AU57" s="106">
        <f t="shared" ref="AU57" si="1332">IF(S57="","",(S57-S$10)*1000)</f>
        <v>-8.0000000000097771</v>
      </c>
      <c r="AV57" s="105"/>
      <c r="AW57" s="107" cm="1">
        <f t="array" ref="AW57">IFERROR(_xlfn.SINGLE(INDEX(DATABASE!$AV$14:$BC$989,SUMPRODUCT((ROW(DATABASE!$AV$14:$AV$989)) * (DATABASE!$AV$14:HY$989='Résultats observations'!$A57 ) * (DATABASE!$AW$14:$AW$989= AW$4))-ROW(DATABASE!$AV$14)+1,AW$5)),"")</f>
        <v>5.0627640607419542</v>
      </c>
      <c r="AX57" s="107" cm="1">
        <f t="array" ref="AX57">IFERROR(_xlfn.SINGLE(INDEX(DATABASE!$AV$14:$BC$989,SUMPRODUCT((ROW(DATABASE!$AV$14:$AV$989)) * (DATABASE!$AV$14:HZ$989='Résultats observations'!$A57 ) * (DATABASE!$AW$14:$AW$989= AX$4))-ROW(DATABASE!$AV$14)+1,AX$5)),"")</f>
        <v>-2.6141658699322754</v>
      </c>
      <c r="AY57" s="107" cm="1">
        <f t="array" ref="AY57">IFERROR(_xlfn.SINGLE(INDEX(DATABASE!$AV$14:$BC$989,SUMPRODUCT((ROW(DATABASE!$AV$14:$AV$989)) * (DATABASE!$AV$14:IA$989='Résultats observations'!$A57 ) * (DATABASE!$AW$14:$AW$989= AY$4))-ROW(DATABASE!$AV$14)+1,AY$5)),"")</f>
        <v>-0.78432764060741533</v>
      </c>
      <c r="AZ57" s="107" cm="1">
        <f t="array" ref="AZ57">IFERROR(_xlfn.SINGLE(INDEX(DATABASE!$AV$14:$BC$989,SUMPRODUCT((ROW(DATABASE!$AV$14:$AV$989)) * (DATABASE!$AV$14:IB$989='Résultats observations'!$A57 ) * (DATABASE!$AW$14:$AW$989= AZ$4))-ROW(DATABASE!$AV$14)+1,AZ$5)),"")</f>
        <v>5.0636986670458999</v>
      </c>
      <c r="BA57" s="107" cm="1">
        <f t="array" ref="BA57">IFERROR(_xlfn.SINGLE(INDEX(DATABASE!$AV$14:$BC$989,SUMPRODUCT((ROW(DATABASE!$AV$14:$AV$989)) * (DATABASE!$AV$14:IC$989='Résultats observations'!$A57 ) * (DATABASE!$AW$14:$AW$989= BA$4))-ROW(DATABASE!$AV$14)+1,BA$5)),"")</f>
        <v>-2.5227020710247379</v>
      </c>
      <c r="BB57" s="107" cm="1">
        <f t="array" ref="BB57">IFERROR(_xlfn.SINGLE(INDEX(DATABASE!$AV$14:$BC$989,SUMPRODUCT((ROW(DATABASE!$AV$14:$AV$989)) * (DATABASE!$AV$14:ID$989='Résultats observations'!$A57 ) * (DATABASE!$AW$14:$AW$989= BB$4))-ROW(DATABASE!$AV$14)+1,BB$5)),"")</f>
        <v>1.1449630133295443</v>
      </c>
      <c r="BC57" s="107" cm="1">
        <f t="array" ref="BC57">IFERROR(_xlfn.SINGLE(INDEX(DATABASE!$AV$14:$BC$989,SUMPRODUCT((ROW(DATABASE!$AV$14:$AV$989)) * (DATABASE!$AV$14:IE$989='Résultats observations'!$A57 ) * (DATABASE!$AW$14:$AW$989= BC$4))-ROW(DATABASE!$AV$14)+1,BC$5)),"")</f>
        <v>4.9105355322016591</v>
      </c>
      <c r="BD57" s="107" cm="1">
        <f t="array" ref="BD57">IFERROR(_xlfn.SINGLE(INDEX(DATABASE!$AV$14:$BC$989,SUMPRODUCT((ROW(DATABASE!$AV$14:$AV$989)) * (DATABASE!$AV$14:IF$989='Résultats observations'!$A57 ) * (DATABASE!$AW$14:$AW$989= BD$4))-ROW(DATABASE!$AV$14)+1,BD$5)),"")</f>
        <v>-3.4523141804051818E-2</v>
      </c>
      <c r="BE57" s="107" cm="1">
        <f t="array" ref="BE57">IFERROR(_xlfn.SINGLE(INDEX(DATABASE!$AV$14:$BC$989,SUMPRODUCT((ROW(DATABASE!$AV$14:$AV$989)) * (DATABASE!$AV$14:IG$989='Résultats observations'!$A57 ) * (DATABASE!$AW$14:$AW$989= BE$4))-ROW(DATABASE!$AV$14)+1,BE$5)),"")</f>
        <v>2.5715946446779867</v>
      </c>
      <c r="BF57" s="107" t="str" cm="1">
        <f t="array" ref="BF57">IFERROR(_xlfn.SINGLE(INDEX(DATABASE!$AV$14:$BC$989,SUMPRODUCT((ROW(DATABASE!$AV$14:$AV$989)) * (DATABASE!$AV$14:IH$989='Résultats observations'!$A57 ) * (DATABASE!$AW$14:$AW$989= BF$4))-ROW(DATABASE!$AV$14)+1,BF$5)),"")</f>
        <v/>
      </c>
      <c r="BG57" s="107" t="str" cm="1">
        <f t="array" ref="BG57">IFERROR(_xlfn.SINGLE(INDEX(DATABASE!$AV$14:$BC$989,SUMPRODUCT((ROW(DATABASE!$AV$14:$AV$989)) * (DATABASE!$AV$14:II$989='Résultats observations'!$A57 ) * (DATABASE!$AW$14:$AW$989= BG$4))-ROW(DATABASE!$AV$14)+1,BG$5)),"")</f>
        <v/>
      </c>
      <c r="BH57" s="107" t="str" cm="1">
        <f t="array" ref="BH57">IFERROR(_xlfn.SINGLE(INDEX(DATABASE!$AV$14:$BC$989,SUMPRODUCT((ROW(DATABASE!$AV$14:$AV$989)) * (DATABASE!$AV$14:IJ$989='Résultats observations'!$A57 ) * (DATABASE!$AW$14:$AW$989= BH$4))-ROW(DATABASE!$AV$14)+1,BH$5)),"")</f>
        <v/>
      </c>
      <c r="BI57" s="107" cm="1">
        <f t="array" ref="BI57">IFERROR(_xlfn.SINGLE(INDEX(DATABASE!$AV$14:$BC$989,SUMPRODUCT((ROW(DATABASE!$AV$14:$AV$989)) * (DATABASE!$AV$14:IK$989='Résultats observations'!$A57 ) * (DATABASE!$AW$14:$AW$989= BI$4))-ROW(DATABASE!$AV$14)+1,BI$5)),"")</f>
        <v>5.0838881775203273</v>
      </c>
      <c r="BJ57" s="107" cm="1">
        <f t="array" ref="BJ57">IFERROR(_xlfn.SINGLE(INDEX(DATABASE!$AV$14:$BC$989,SUMPRODUCT((ROW(DATABASE!$AV$14:$AV$989)) * (DATABASE!$AV$14:IL$989='Résultats observations'!$A57 ) * (DATABASE!$AW$14:$AW$989= BJ$4))-ROW(DATABASE!$AV$14)+1,BJ$5)),"")</f>
        <v>2.6670329541943327</v>
      </c>
      <c r="BK57" s="107" cm="1">
        <f t="array" ref="BK57">IFERROR(_xlfn.SINGLE(INDEX(DATABASE!$AV$14:$BC$989,SUMPRODUCT((ROW(DATABASE!$AV$14:$AV$989)) * (DATABASE!$AV$14:IM$989='Résultats observations'!$A57 ) * (DATABASE!$AW$14:$AW$989= BK$4))-ROW(DATABASE!$AV$14)+1,BK$5)),"")</f>
        <v>-0.73723888177521246</v>
      </c>
      <c r="BL57" s="105"/>
      <c r="BM57" s="106">
        <f t="shared" ref="BM57" si="1333">IF(AW57="","",(AW57-AW$10)*1000)</f>
        <v>-5.2825480869351793</v>
      </c>
      <c r="BN57" s="106">
        <f t="shared" ref="BN57" si="1334">IF(AX57="","",(AX57-AX$10)*1000)</f>
        <v>11.328931563292066</v>
      </c>
      <c r="BO57" s="106">
        <f t="shared" ref="BO57" si="1335">IF(AY57="","",(AY57-AY$10)*1000)</f>
        <v>0.65282548088418935</v>
      </c>
      <c r="BP57" s="106">
        <f t="shared" ref="BP57" si="1336">IF(AZ57="","",(AZ57-AZ$10)*1000)</f>
        <v>-1.0152470277846604</v>
      </c>
      <c r="BQ57" s="106">
        <f t="shared" ref="BQ57" si="1337">IF(BA57="","",(BA57-BA$10)*1000)</f>
        <v>8.6845710949670085</v>
      </c>
      <c r="BR57" s="106">
        <f t="shared" ref="BR57" si="1338">IF(BB57="","",(BB57-BB$10)*1000)</f>
        <v>-3.7898475297168943</v>
      </c>
      <c r="BS57" s="106">
        <f t="shared" ref="BS57" si="1339">IF(BC57="","",(BC57-BC$10)*1000)</f>
        <v>-9.5112515865833913</v>
      </c>
      <c r="BT57" s="106">
        <f t="shared" ref="BT57" si="1340">IF(BD57="","",(BD57-BD$10)*1000)</f>
        <v>-17.344410979751309</v>
      </c>
      <c r="BU57" s="106">
        <f t="shared" ref="BU57" si="1341">IF(BE57="","",(BE57-BE$10)*1000)</f>
        <v>-20.254887484128403</v>
      </c>
      <c r="BV57" s="106" t="str">
        <f t="shared" ref="BV57" si="1342">IF(BF57="","",(BF57-BF$10)*1000)</f>
        <v/>
      </c>
      <c r="BW57" s="106" t="str">
        <f t="shared" ref="BW57" si="1343">IF(BG57="","",(BG57-BG$10)*1000)</f>
        <v/>
      </c>
      <c r="BX57" s="106" t="e">
        <f t="shared" ref="BX57" si="1344">IF(BH57="","",(BH57-BH$18)*1000)+BX$18</f>
        <v>#VALUE!</v>
      </c>
      <c r="BY57" s="106">
        <f t="shared" ref="BY57" si="1345">IF(BI57="","",(BI57-BI$10)*1000)</f>
        <v>-1.4206095882167702</v>
      </c>
      <c r="BZ57" s="106">
        <f t="shared" ref="BZ57" si="1346">IF(BJ57="","",(BJ57-BJ$10)*1000)</f>
        <v>-12.689143814486492</v>
      </c>
      <c r="CA57" s="106">
        <f t="shared" ref="CA57" si="1347">IF(BK57="","",(BK57-BK$10)*1000)</f>
        <v>-7.9857939041261261</v>
      </c>
    </row>
    <row r="58" spans="1:79" s="108" customFormat="1" ht="29.25" customHeight="1">
      <c r="A58" s="99"/>
      <c r="B58" s="100"/>
      <c r="C58" s="101"/>
      <c r="D58" s="101"/>
      <c r="E58" s="102"/>
      <c r="F58" s="102"/>
      <c r="G58" s="102"/>
      <c r="H58" s="102"/>
      <c r="I58" s="102"/>
      <c r="J58" s="102"/>
      <c r="K58" s="102"/>
      <c r="L58" s="102"/>
      <c r="M58" s="102"/>
      <c r="N58" s="102"/>
      <c r="O58" s="102"/>
      <c r="P58" s="102"/>
      <c r="Q58" s="102"/>
      <c r="R58" s="102"/>
      <c r="S58" s="102"/>
      <c r="T58" s="103"/>
      <c r="U58" s="103"/>
      <c r="V58" s="103"/>
      <c r="W58" s="103"/>
      <c r="X58" s="103"/>
      <c r="Y58" s="103"/>
      <c r="Z58" s="104"/>
      <c r="AA58" s="104"/>
      <c r="AB58" s="104"/>
      <c r="AC58" s="115"/>
      <c r="AD58" s="115"/>
      <c r="AE58" s="115"/>
      <c r="AF58" s="105"/>
      <c r="AG58" s="106"/>
      <c r="AH58" s="106"/>
      <c r="AI58" s="106"/>
      <c r="AJ58" s="106"/>
      <c r="AK58" s="106"/>
      <c r="AL58" s="106"/>
      <c r="AM58" s="106"/>
      <c r="AN58" s="106"/>
      <c r="AO58" s="106"/>
      <c r="AP58" s="106"/>
      <c r="AQ58" s="106"/>
      <c r="AR58" s="106"/>
      <c r="AS58" s="116"/>
      <c r="AT58" s="116"/>
      <c r="AU58" s="116"/>
      <c r="AV58" s="105"/>
      <c r="AW58" s="107"/>
      <c r="AX58" s="107"/>
      <c r="AY58" s="107"/>
      <c r="AZ58" s="107"/>
      <c r="BA58" s="107"/>
      <c r="BB58" s="107"/>
      <c r="BC58" s="107"/>
      <c r="BD58" s="107"/>
      <c r="BE58" s="107"/>
      <c r="BF58" s="107"/>
      <c r="BG58" s="107"/>
      <c r="BH58" s="107"/>
      <c r="BI58" s="107"/>
      <c r="BJ58" s="107"/>
      <c r="BK58" s="107"/>
      <c r="BL58" s="105"/>
      <c r="BM58" s="106"/>
      <c r="BN58" s="106"/>
      <c r="BO58" s="106"/>
      <c r="BP58" s="106"/>
      <c r="BQ58" s="106"/>
      <c r="BR58" s="106"/>
      <c r="BS58" s="106"/>
      <c r="BT58" s="106"/>
      <c r="BU58" s="106"/>
      <c r="BV58" s="106"/>
      <c r="BW58" s="106"/>
      <c r="BX58" s="106"/>
      <c r="BY58" s="106"/>
      <c r="BZ58" s="106"/>
      <c r="CA58" s="106"/>
    </row>
    <row r="59" spans="1:79" s="108" customFormat="1" ht="29.25" customHeight="1">
      <c r="A59" s="99"/>
      <c r="B59" s="100"/>
      <c r="C59" s="101"/>
      <c r="D59" s="101"/>
      <c r="E59" s="102"/>
      <c r="F59" s="102"/>
      <c r="G59" s="102"/>
      <c r="H59" s="102"/>
      <c r="I59" s="102"/>
      <c r="J59" s="102"/>
      <c r="K59" s="102"/>
      <c r="L59" s="102"/>
      <c r="M59" s="102"/>
      <c r="N59" s="102"/>
      <c r="O59" s="102"/>
      <c r="P59" s="102"/>
      <c r="Q59" s="102"/>
      <c r="R59" s="102"/>
      <c r="S59" s="102"/>
      <c r="T59" s="103"/>
      <c r="U59" s="103"/>
      <c r="V59" s="103"/>
      <c r="W59" s="103"/>
      <c r="X59" s="103"/>
      <c r="Y59" s="103"/>
      <c r="Z59" s="104"/>
      <c r="AA59" s="104"/>
      <c r="AB59" s="104"/>
      <c r="AC59" s="115"/>
      <c r="AD59" s="115"/>
      <c r="AE59" s="115"/>
      <c r="AF59" s="105"/>
      <c r="AG59" s="106"/>
      <c r="AH59" s="106"/>
      <c r="AI59" s="106"/>
      <c r="AJ59" s="106"/>
      <c r="AK59" s="106"/>
      <c r="AL59" s="106"/>
      <c r="AM59" s="106"/>
      <c r="AN59" s="106"/>
      <c r="AO59" s="106"/>
      <c r="AP59" s="106"/>
      <c r="AQ59" s="106"/>
      <c r="AR59" s="106"/>
      <c r="AS59" s="116"/>
      <c r="AT59" s="116"/>
      <c r="AU59" s="116"/>
      <c r="AV59" s="105"/>
      <c r="AW59" s="107"/>
      <c r="AX59" s="107"/>
      <c r="AY59" s="107"/>
      <c r="AZ59" s="107"/>
      <c r="BA59" s="107"/>
      <c r="BB59" s="107"/>
      <c r="BC59" s="107"/>
      <c r="BD59" s="107"/>
      <c r="BE59" s="107"/>
      <c r="BF59" s="107"/>
      <c r="BG59" s="107"/>
      <c r="BH59" s="107"/>
      <c r="BI59" s="107"/>
      <c r="BJ59" s="107"/>
      <c r="BK59" s="107"/>
      <c r="BL59" s="105"/>
      <c r="BM59" s="106"/>
      <c r="BN59" s="106"/>
      <c r="BO59" s="106"/>
      <c r="BP59" s="106"/>
      <c r="BQ59" s="106"/>
      <c r="BR59" s="106"/>
      <c r="BS59" s="106"/>
      <c r="BT59" s="106"/>
      <c r="BU59" s="106"/>
      <c r="BV59" s="106"/>
      <c r="BW59" s="106"/>
      <c r="BX59" s="106"/>
      <c r="BY59" s="106"/>
      <c r="BZ59" s="106"/>
      <c r="CA59" s="106"/>
    </row>
  </sheetData>
  <mergeCells count="26">
    <mergeCell ref="E1:S1"/>
    <mergeCell ref="BP8:BR8"/>
    <mergeCell ref="AM8:AO8"/>
    <mergeCell ref="BC8:BE8"/>
    <mergeCell ref="Z8:AE8"/>
    <mergeCell ref="K8:M8"/>
    <mergeCell ref="H8:J8"/>
    <mergeCell ref="N8:P8"/>
    <mergeCell ref="E8:G8"/>
    <mergeCell ref="Q8:S8"/>
    <mergeCell ref="AG8:AI8"/>
    <mergeCell ref="BY8:CA8"/>
    <mergeCell ref="A8:A9"/>
    <mergeCell ref="AJ8:AL8"/>
    <mergeCell ref="AP8:AR8"/>
    <mergeCell ref="AZ8:BB8"/>
    <mergeCell ref="B8:B9"/>
    <mergeCell ref="C8:C9"/>
    <mergeCell ref="D8:D9"/>
    <mergeCell ref="AS8:AU8"/>
    <mergeCell ref="AW8:AY8"/>
    <mergeCell ref="BV8:BX8"/>
    <mergeCell ref="BF8:BH8"/>
    <mergeCell ref="BS8:BU8"/>
    <mergeCell ref="BI8:BK8"/>
    <mergeCell ref="BM8:BO8"/>
  </mergeCells>
  <phoneticPr fontId="0" type="noConversion"/>
  <pageMargins left="0.55118110236220474" right="0.19685039370078741" top="0.47244094488188981" bottom="0.27559055118110237" header="0" footer="0"/>
  <pageSetup paperSize="9" scale="24" fitToHeight="0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5A9165-AC37-4D32-9CCC-D035D402A871}">
  <sheetPr codeName="Feuil7"/>
  <dimension ref="A1:CK875"/>
  <sheetViews>
    <sheetView topLeftCell="AB197" zoomScale="70" zoomScaleNormal="70" workbookViewId="0">
      <selection activeCell="AJ232" sqref="AJ232"/>
    </sheetView>
  </sheetViews>
  <sheetFormatPr baseColWidth="10" defaultRowHeight="12.75" outlineLevelCol="2"/>
  <cols>
    <col min="1" max="27" width="11.42578125" hidden="1" customWidth="1"/>
    <col min="28" max="28" width="21" style="129" customWidth="1"/>
    <col min="29" max="29" width="21" style="71" customWidth="1"/>
    <col min="30" max="30" width="21" customWidth="1"/>
    <col min="31" max="33" width="21" style="123" customWidth="1"/>
    <col min="34" max="34" width="8.140625" customWidth="1"/>
    <col min="35" max="35" width="10.140625" bestFit="1" customWidth="1"/>
    <col min="36" max="36" width="9.7109375" style="71" customWidth="1"/>
    <col min="37" max="37" width="5.42578125" customWidth="1"/>
    <col min="38" max="38" width="17" style="119" customWidth="1" outlineLevel="2"/>
    <col min="39" max="39" width="15.42578125" style="119" customWidth="1" outlineLevel="2"/>
    <col min="40" max="40" width="15.5703125" style="120" customWidth="1" outlineLevel="2"/>
    <col min="41" max="41" width="13.42578125" style="120" customWidth="1" outlineLevel="2"/>
    <col min="42" max="42" width="13.42578125" style="13" customWidth="1" outlineLevel="2"/>
    <col min="43" max="44" width="16.5703125" style="13" customWidth="1" outlineLevel="2"/>
    <col min="45" max="45" width="11.42578125" customWidth="1" outlineLevel="1"/>
    <col min="46" max="46" width="12.5703125" customWidth="1" outlineLevel="1"/>
    <col min="47" max="47" width="13.7109375" customWidth="1" outlineLevel="1"/>
    <col min="48" max="48" width="14.85546875" customWidth="1" outlineLevel="1"/>
    <col min="49" max="52" width="18.5703125" style="13" customWidth="1" outlineLevel="1"/>
    <col min="53" max="55" width="15.140625" style="13" customWidth="1" outlineLevel="1"/>
    <col min="56" max="56" width="11.42578125" style="71" customWidth="1" outlineLevel="1"/>
    <col min="57" max="57" width="12.140625" style="123" customWidth="1" outlineLevel="1"/>
    <col min="58" max="58" width="12.5703125" style="123" customWidth="1" outlineLevel="1"/>
    <col min="59" max="59" width="11.42578125" style="123" customWidth="1" outlineLevel="1"/>
    <col min="60" max="89" width="11.42578125" customWidth="1" outlineLevel="1"/>
  </cols>
  <sheetData>
    <row r="1" spans="1:55" ht="18.75" customHeight="1" thickBot="1">
      <c r="A1" s="118"/>
      <c r="B1" s="118"/>
      <c r="C1" s="118"/>
      <c r="D1" s="118"/>
      <c r="E1" s="118"/>
      <c r="F1" s="118"/>
      <c r="G1" s="118"/>
      <c r="H1" s="118"/>
      <c r="I1" s="118"/>
      <c r="J1" s="118"/>
      <c r="K1" s="118"/>
      <c r="L1" s="118"/>
      <c r="M1" s="118"/>
      <c r="N1" s="118"/>
      <c r="O1" s="118"/>
      <c r="P1" s="118"/>
      <c r="Q1" s="118"/>
      <c r="R1" s="118"/>
      <c r="S1" s="118"/>
      <c r="T1" s="118"/>
      <c r="U1" s="118"/>
      <c r="V1" s="118"/>
      <c r="W1" s="118"/>
      <c r="X1" s="118"/>
      <c r="Y1" s="118"/>
      <c r="Z1" s="118"/>
      <c r="AA1" s="118"/>
      <c r="AB1" s="207" t="s">
        <v>65</v>
      </c>
      <c r="AC1" s="207"/>
      <c r="AD1" s="207"/>
      <c r="AE1" s="207"/>
      <c r="AF1" s="207"/>
      <c r="AG1" s="207"/>
      <c r="AH1" s="207"/>
      <c r="AI1" s="207"/>
      <c r="AJ1" s="207"/>
      <c r="AK1" s="208"/>
      <c r="AT1" s="119">
        <f ca="1">TODAY()</f>
        <v>45874</v>
      </c>
      <c r="AV1" s="209" t="s">
        <v>66</v>
      </c>
      <c r="AW1" s="209"/>
      <c r="AX1" s="121" t="s">
        <v>67</v>
      </c>
      <c r="AY1" s="122">
        <v>0</v>
      </c>
    </row>
    <row r="2" spans="1:55" ht="13.5" customHeight="1" thickBot="1">
      <c r="A2" s="118"/>
      <c r="B2" s="118"/>
      <c r="C2" s="118"/>
      <c r="D2" s="118"/>
      <c r="E2" s="118"/>
      <c r="F2" s="118"/>
      <c r="G2" s="118"/>
      <c r="H2" s="118"/>
      <c r="I2" s="118"/>
      <c r="J2" s="118"/>
      <c r="K2" s="118"/>
      <c r="L2" s="118"/>
      <c r="M2" s="118"/>
      <c r="N2" s="118"/>
      <c r="O2" s="118"/>
      <c r="P2" s="118"/>
      <c r="Q2" s="118"/>
      <c r="R2" s="118"/>
      <c r="S2" s="118"/>
      <c r="T2" s="118"/>
      <c r="U2" s="118"/>
      <c r="V2" s="118"/>
      <c r="W2" s="118"/>
      <c r="X2" s="118"/>
      <c r="Y2" s="118"/>
      <c r="Z2" s="118"/>
      <c r="AA2" s="118"/>
      <c r="AB2" s="207"/>
      <c r="AC2" s="207"/>
      <c r="AD2" s="207"/>
      <c r="AE2" s="207"/>
      <c r="AF2" s="207"/>
      <c r="AG2" s="207"/>
      <c r="AH2" s="207"/>
      <c r="AI2" s="207"/>
      <c r="AJ2" s="207"/>
      <c r="AK2" s="208"/>
      <c r="AN2" s="124" t="s">
        <v>68</v>
      </c>
      <c r="AO2" s="125"/>
    </row>
    <row r="3" spans="1:55" ht="12.75" customHeight="1">
      <c r="A3" s="118"/>
      <c r="B3" s="118"/>
      <c r="C3" s="118"/>
      <c r="D3" s="118"/>
      <c r="E3" s="118"/>
      <c r="F3" s="118"/>
      <c r="G3" s="118"/>
      <c r="H3" s="118"/>
      <c r="I3" s="118"/>
      <c r="J3" s="118"/>
      <c r="K3" s="118"/>
      <c r="L3" s="118"/>
      <c r="M3" s="118"/>
      <c r="N3" s="118"/>
      <c r="O3" s="118"/>
      <c r="P3" s="118"/>
      <c r="Q3" s="118"/>
      <c r="R3" s="118"/>
      <c r="S3" s="118"/>
      <c r="T3" s="118"/>
      <c r="U3" s="118"/>
      <c r="V3" s="118"/>
      <c r="W3" s="118"/>
      <c r="X3" s="118"/>
      <c r="Y3" s="118"/>
      <c r="Z3" s="118"/>
      <c r="AA3" s="118"/>
      <c r="AB3" s="207"/>
      <c r="AC3" s="207"/>
      <c r="AD3" s="207"/>
      <c r="AE3" s="207"/>
      <c r="AF3" s="207"/>
      <c r="AG3" s="207"/>
      <c r="AH3" s="207"/>
      <c r="AI3" s="207"/>
      <c r="AJ3" s="207"/>
      <c r="AK3" s="208"/>
      <c r="AN3" s="126" t="s">
        <v>1</v>
      </c>
      <c r="AO3" s="127">
        <f>AQ6</f>
        <v>823062.45200000005</v>
      </c>
      <c r="AT3" s="119">
        <v>45281</v>
      </c>
    </row>
    <row r="4" spans="1:55" ht="12.75" customHeight="1">
      <c r="A4" s="118"/>
      <c r="B4" s="118"/>
      <c r="C4" s="118"/>
      <c r="D4" s="118"/>
      <c r="E4" s="118"/>
      <c r="F4" s="118"/>
      <c r="G4" s="118"/>
      <c r="H4" s="118"/>
      <c r="I4" s="118"/>
      <c r="J4" s="118"/>
      <c r="K4" s="118"/>
      <c r="L4" s="118"/>
      <c r="M4" s="118"/>
      <c r="N4" s="118"/>
      <c r="O4" s="118"/>
      <c r="P4" s="118"/>
      <c r="Q4" s="118"/>
      <c r="R4" s="118"/>
      <c r="S4" s="118"/>
      <c r="T4" s="118"/>
      <c r="U4" s="118"/>
      <c r="V4" s="118"/>
      <c r="W4" s="118"/>
      <c r="X4" s="118"/>
      <c r="Y4" s="118"/>
      <c r="Z4" s="118"/>
      <c r="AA4" s="118"/>
      <c r="AB4" s="207"/>
      <c r="AC4" s="207"/>
      <c r="AD4" s="207"/>
      <c r="AE4" s="207"/>
      <c r="AF4" s="207"/>
      <c r="AG4" s="207"/>
      <c r="AH4" s="207"/>
      <c r="AI4" s="207"/>
      <c r="AJ4" s="207"/>
      <c r="AK4" s="208"/>
      <c r="AN4" s="128" t="s">
        <v>2</v>
      </c>
      <c r="AO4" s="127">
        <f>AR6</f>
        <v>1091431.175</v>
      </c>
    </row>
    <row r="5" spans="1:55" ht="15.75" customHeight="1" thickBot="1">
      <c r="A5" s="118"/>
      <c r="B5" s="118"/>
      <c r="C5" s="118"/>
      <c r="D5" s="118"/>
      <c r="E5" s="118"/>
      <c r="F5" s="118"/>
      <c r="G5" s="118"/>
      <c r="H5" s="118"/>
      <c r="I5" s="118"/>
      <c r="J5" s="118"/>
      <c r="K5" s="118"/>
      <c r="L5" s="118"/>
      <c r="M5" s="118"/>
      <c r="N5" s="118"/>
      <c r="O5" s="118"/>
      <c r="P5" s="118"/>
      <c r="Q5" s="118"/>
      <c r="R5" s="118"/>
      <c r="S5" s="118"/>
      <c r="T5" s="118"/>
      <c r="U5" s="118"/>
      <c r="V5" s="118"/>
      <c r="W5" s="118"/>
      <c r="X5" s="118"/>
      <c r="Y5" s="118"/>
      <c r="Z5" s="118"/>
      <c r="AA5" s="118"/>
      <c r="AB5" s="207"/>
      <c r="AC5" s="207"/>
      <c r="AD5" s="207"/>
      <c r="AE5" s="207"/>
      <c r="AF5" s="207"/>
      <c r="AG5" s="207"/>
      <c r="AH5" s="207"/>
      <c r="AI5" s="207"/>
      <c r="AJ5" s="207"/>
      <c r="AK5" s="208"/>
      <c r="AN5" s="128" t="s">
        <v>69</v>
      </c>
      <c r="AO5" s="127">
        <f>AQ10</f>
        <v>272.22323520179395</v>
      </c>
      <c r="AP5" s="10"/>
      <c r="AQ5" s="10" t="s">
        <v>1</v>
      </c>
      <c r="AR5" s="10" t="s">
        <v>2</v>
      </c>
      <c r="AT5" s="129"/>
    </row>
    <row r="6" spans="1:55" ht="15.75" customHeight="1" thickBot="1">
      <c r="A6" s="118"/>
      <c r="B6" s="118"/>
      <c r="C6" s="118"/>
      <c r="D6" s="118"/>
      <c r="E6" s="118"/>
      <c r="F6" s="118"/>
      <c r="G6" s="118"/>
      <c r="H6" s="118"/>
      <c r="I6" s="118"/>
      <c r="J6" s="118"/>
      <c r="K6" s="118"/>
      <c r="L6" s="118"/>
      <c r="M6" s="118"/>
      <c r="N6" s="118"/>
      <c r="O6" s="118"/>
      <c r="P6" s="118"/>
      <c r="Q6" s="118"/>
      <c r="R6" s="118"/>
      <c r="S6" s="118"/>
      <c r="T6" s="118"/>
      <c r="U6" s="118"/>
      <c r="V6" s="118"/>
      <c r="W6" s="118"/>
      <c r="X6" s="118"/>
      <c r="Y6" s="118"/>
      <c r="Z6" s="118"/>
      <c r="AA6" s="118"/>
      <c r="AB6" s="207"/>
      <c r="AC6" s="207"/>
      <c r="AD6" s="207"/>
      <c r="AE6" s="207"/>
      <c r="AF6" s="207"/>
      <c r="AG6" s="207"/>
      <c r="AH6" s="207"/>
      <c r="AI6" s="207"/>
      <c r="AJ6" s="207"/>
      <c r="AK6" s="208"/>
      <c r="AN6" s="130" t="s">
        <v>70</v>
      </c>
      <c r="AO6" s="131"/>
      <c r="AP6" s="10" t="s">
        <v>71</v>
      </c>
      <c r="AQ6" s="132">
        <v>823062.45200000005</v>
      </c>
      <c r="AR6" s="133">
        <v>1091431.175</v>
      </c>
      <c r="AT6" s="129"/>
    </row>
    <row r="7" spans="1:55" ht="15.75" customHeight="1">
      <c r="A7" s="118"/>
      <c r="B7" s="118"/>
      <c r="C7" s="118"/>
      <c r="D7" s="118"/>
      <c r="E7" s="118"/>
      <c r="F7" s="118"/>
      <c r="G7" s="118"/>
      <c r="H7" s="118"/>
      <c r="I7" s="118"/>
      <c r="J7" s="118"/>
      <c r="K7" s="118"/>
      <c r="L7" s="118"/>
      <c r="M7" s="118"/>
      <c r="N7" s="118"/>
      <c r="O7" s="118"/>
      <c r="P7" s="118"/>
      <c r="Q7" s="118"/>
      <c r="R7" s="118"/>
      <c r="S7" s="118"/>
      <c r="T7" s="118"/>
      <c r="U7" s="118"/>
      <c r="V7" s="118"/>
      <c r="W7" s="118"/>
      <c r="X7" s="118"/>
      <c r="Y7" s="118"/>
      <c r="Z7" s="118"/>
      <c r="AA7" s="118"/>
      <c r="AB7" s="207"/>
      <c r="AC7" s="207"/>
      <c r="AD7" s="207"/>
      <c r="AE7" s="207"/>
      <c r="AF7" s="207"/>
      <c r="AG7" s="207"/>
      <c r="AH7" s="207"/>
      <c r="AI7" s="207"/>
      <c r="AJ7" s="207"/>
      <c r="AK7" s="208"/>
      <c r="AN7" s="134" t="s">
        <v>72</v>
      </c>
      <c r="AO7" s="135">
        <v>0</v>
      </c>
      <c r="AP7" s="10" t="s">
        <v>73</v>
      </c>
      <c r="AQ7" s="136">
        <v>823052.23300000001</v>
      </c>
      <c r="AR7" s="136">
        <v>1091426.4099999999</v>
      </c>
    </row>
    <row r="8" spans="1:55">
      <c r="AI8" s="138"/>
      <c r="AJ8" s="138"/>
      <c r="AN8" s="139" t="s">
        <v>74</v>
      </c>
      <c r="AO8" s="135">
        <v>-122.327</v>
      </c>
    </row>
    <row r="9" spans="1:55" ht="18">
      <c r="AD9" s="210" t="s">
        <v>75</v>
      </c>
      <c r="AE9" s="210"/>
      <c r="AF9" s="210"/>
      <c r="AG9" s="210"/>
      <c r="AH9" s="140"/>
      <c r="AJ9"/>
      <c r="AN9" s="139" t="s">
        <v>76</v>
      </c>
      <c r="AO9" s="182">
        <v>0.01</v>
      </c>
      <c r="AQ9" s="141" t="s">
        <v>77</v>
      </c>
      <c r="AR9" s="141" t="s">
        <v>78</v>
      </c>
    </row>
    <row r="10" spans="1:55" ht="15.75">
      <c r="AD10" s="142"/>
      <c r="AE10" s="143"/>
      <c r="AF10" s="143"/>
      <c r="AG10" s="144"/>
      <c r="AH10" s="140"/>
      <c r="AJ10"/>
      <c r="AQ10" s="145">
        <f>IF(ATAN2(AR7-AR6,AQ7-AQ6)/PI()*200&gt;0,ATAN2(AR7-AR6,AQ7-AQ6)/PI()*200,400+ATAN2(AR7-AR6,AQ7-AQ6)/PI()*200)</f>
        <v>272.22323520179395</v>
      </c>
      <c r="AR10" s="145">
        <f>SQRT((AR7-AR6)^2+(AQ7-AQ6)^2)</f>
        <v>11.275335294441584</v>
      </c>
    </row>
    <row r="11" spans="1:55" ht="14.25" thickBot="1">
      <c r="AD11" s="146"/>
      <c r="AE11" s="143"/>
      <c r="AF11" s="143"/>
      <c r="AG11" s="143"/>
      <c r="AH11" s="140"/>
    </row>
    <row r="12" spans="1:55" ht="18.75" thickBot="1">
      <c r="A12" s="147"/>
      <c r="B12" s="147"/>
      <c r="C12" s="147"/>
      <c r="D12" s="147"/>
      <c r="E12" s="147"/>
      <c r="F12" s="147"/>
      <c r="G12" s="147"/>
      <c r="H12" s="147"/>
      <c r="I12" s="147"/>
      <c r="J12" s="147"/>
      <c r="K12" s="147"/>
      <c r="L12" s="147"/>
      <c r="M12" s="147"/>
      <c r="N12" s="147"/>
      <c r="O12" s="147"/>
      <c r="P12" s="147"/>
      <c r="Q12" s="147"/>
      <c r="R12" s="147"/>
      <c r="S12" s="147"/>
      <c r="T12" s="147"/>
      <c r="U12" s="147"/>
      <c r="V12" s="147"/>
      <c r="W12" s="147"/>
      <c r="X12" s="147"/>
      <c r="Y12" s="147"/>
      <c r="Z12" s="147"/>
      <c r="AA12" s="147"/>
      <c r="AB12" s="180" t="s">
        <v>79</v>
      </c>
      <c r="AC12" s="148" t="s">
        <v>80</v>
      </c>
      <c r="AD12" s="148" t="s">
        <v>80</v>
      </c>
      <c r="AE12" s="149" t="s">
        <v>1</v>
      </c>
      <c r="AF12" s="149" t="s">
        <v>2</v>
      </c>
      <c r="AG12" s="150" t="s">
        <v>3</v>
      </c>
      <c r="AH12" s="151"/>
      <c r="AJ12" s="152"/>
      <c r="AL12" s="153" t="s">
        <v>53</v>
      </c>
      <c r="AM12" s="154" t="s">
        <v>54</v>
      </c>
      <c r="AN12" s="154" t="s">
        <v>13</v>
      </c>
      <c r="AO12" s="155" t="s">
        <v>81</v>
      </c>
      <c r="AV12" s="148" t="s">
        <v>79</v>
      </c>
      <c r="AW12" s="156" t="str">
        <f>AC12</f>
        <v>NO</v>
      </c>
      <c r="AX12" s="156" t="s">
        <v>1</v>
      </c>
      <c r="AY12" s="156" t="s">
        <v>2</v>
      </c>
      <c r="AZ12" s="156" t="s">
        <v>3</v>
      </c>
      <c r="BA12" s="156" t="s">
        <v>53</v>
      </c>
      <c r="BB12" s="156" t="s">
        <v>54</v>
      </c>
      <c r="BC12" s="156" t="s">
        <v>13</v>
      </c>
    </row>
    <row r="13" spans="1:55" ht="15">
      <c r="AB13" s="181"/>
      <c r="AC13" s="157"/>
      <c r="AD13" s="158"/>
      <c r="AE13" s="157"/>
      <c r="AF13" s="157"/>
      <c r="AG13" s="159"/>
      <c r="AL13" s="160"/>
      <c r="AM13" s="161"/>
      <c r="AN13" s="162"/>
      <c r="AO13" s="163"/>
      <c r="AV13" s="157"/>
      <c r="AW13" s="164"/>
      <c r="AX13" s="165"/>
      <c r="AY13" s="165"/>
      <c r="AZ13" s="165"/>
      <c r="BA13" s="165"/>
      <c r="BB13" s="165"/>
      <c r="BC13" s="166"/>
    </row>
    <row r="14" spans="1:55" ht="15">
      <c r="AB14" s="181">
        <v>45324</v>
      </c>
      <c r="AC14" s="157" t="s">
        <v>33</v>
      </c>
      <c r="AD14" s="158" t="s">
        <v>33</v>
      </c>
      <c r="AE14" s="157">
        <v>823056.71065000002</v>
      </c>
      <c r="AF14" s="157">
        <v>1091431.4546000001</v>
      </c>
      <c r="AG14" s="159">
        <v>-123.00539999999999</v>
      </c>
      <c r="AL14" s="160">
        <f>IF(ISNUMBER(AE14),COS(ATAN2(AF14-AO$4,AE14-AO$3)-(AO$5/200*PI()))*SQRT((AE14-AO$3)^2+(AF14-AO$4)^2),"-")</f>
        <v>5.0853087871085441</v>
      </c>
      <c r="AM14" s="161">
        <f>IF(ISNUMBER(AE14),SIN(ATAN2(AF14-AO$4,AE14-AO$3)-(AO$5/200*PI()))*SQRT((AE14-AO$3)^2+(AF14-AO$4)^2),"-")</f>
        <v>2.6797220980088192</v>
      </c>
      <c r="AN14" s="162">
        <f t="shared" ref="AN14:AN69" si="0">IF(ISNUMBER(AL14),AG14-AO14,"-")</f>
        <v>-0.72925308787108634</v>
      </c>
      <c r="AO14" s="163">
        <f t="shared" ref="AO14:AO69" si="1">IF(ISNUMBER(AF14),((AL14-$AO$7)*AO$9)+AO$8,"-")</f>
        <v>-122.27614691212891</v>
      </c>
      <c r="AV14" s="157">
        <f>AB14</f>
        <v>45324</v>
      </c>
      <c r="AW14" s="167" t="str">
        <f>AC14</f>
        <v>BD</v>
      </c>
      <c r="AX14" s="168">
        <f t="shared" ref="AX14:AZ29" si="2">AE14</f>
        <v>823056.71065000002</v>
      </c>
      <c r="AY14" s="168">
        <f t="shared" si="2"/>
        <v>1091431.4546000001</v>
      </c>
      <c r="AZ14" s="168">
        <f t="shared" si="2"/>
        <v>-123.00539999999999</v>
      </c>
      <c r="BA14" s="168">
        <f>AL14+$AY$1</f>
        <v>5.0853087871085441</v>
      </c>
      <c r="BB14" s="168">
        <f t="shared" ref="BB14:BC29" si="3">AM14</f>
        <v>2.6797220980088192</v>
      </c>
      <c r="BC14" s="169">
        <f t="shared" si="3"/>
        <v>-0.72925308787108634</v>
      </c>
    </row>
    <row r="15" spans="1:55" ht="15">
      <c r="AB15" s="181">
        <v>45324</v>
      </c>
      <c r="AC15" s="157" t="s">
        <v>32</v>
      </c>
      <c r="AD15" s="158" t="s">
        <v>32</v>
      </c>
      <c r="AE15" s="157">
        <v>823058.96829999995</v>
      </c>
      <c r="AF15" s="157">
        <v>1091426.6536999999</v>
      </c>
      <c r="AG15" s="159">
        <v>-123.0613</v>
      </c>
      <c r="AL15" s="160">
        <f t="shared" ref="AL15:AL69" si="4">IF(ISNUMBER(AE15),COS(ATAN2(AF15-AO$4,AE15-AO$3)-(AO$5/200*PI()))*SQRT((AE15-AO$3)^2+(AF15-AO$4)^2),"-")</f>
        <v>5.0680466088288894</v>
      </c>
      <c r="AM15" s="161">
        <f t="shared" ref="AM15:AM69" si="5">IF(ISNUMBER(AE15),SIN(ATAN2(AF15-AO$4,AE15-AO$3)-(AO$5/200*PI()))*SQRT((AE15-AO$3)^2+(AF15-AO$4)^2),"-")</f>
        <v>-2.6254948014955675</v>
      </c>
      <c r="AN15" s="162">
        <f t="shared" si="0"/>
        <v>-0.78498046608829952</v>
      </c>
      <c r="AO15" s="163">
        <f t="shared" si="1"/>
        <v>-122.2763195339117</v>
      </c>
      <c r="AV15" s="157">
        <f t="shared" ref="AV15:AW30" si="6">AB15</f>
        <v>45324</v>
      </c>
      <c r="AW15" s="167" t="str">
        <f t="shared" si="6"/>
        <v>BG</v>
      </c>
      <c r="AX15" s="168">
        <f t="shared" si="2"/>
        <v>823058.96829999995</v>
      </c>
      <c r="AY15" s="168">
        <f t="shared" si="2"/>
        <v>1091426.6536999999</v>
      </c>
      <c r="AZ15" s="168">
        <f t="shared" si="2"/>
        <v>-123.0613</v>
      </c>
      <c r="BA15" s="168">
        <f>AL15+$AY$1</f>
        <v>5.0680466088288894</v>
      </c>
      <c r="BB15" s="168">
        <f t="shared" si="3"/>
        <v>-2.6254948014955675</v>
      </c>
      <c r="BC15" s="169">
        <f t="shared" si="3"/>
        <v>-0.78498046608829952</v>
      </c>
    </row>
    <row r="16" spans="1:55" ht="15">
      <c r="AB16" s="181">
        <v>45324</v>
      </c>
      <c r="AC16" s="157" t="s">
        <v>64</v>
      </c>
      <c r="AD16" s="158" t="s">
        <v>64</v>
      </c>
      <c r="AE16" s="157">
        <v>823058.00014999998</v>
      </c>
      <c r="AF16" s="157">
        <v>1091429.0802</v>
      </c>
      <c r="AG16" s="159">
        <v>-119.68595000000001</v>
      </c>
      <c r="AL16" s="160">
        <f t="shared" si="4"/>
        <v>4.9200467837882425</v>
      </c>
      <c r="AM16" s="161">
        <f t="shared" si="5"/>
        <v>-1.7178730824300509E-2</v>
      </c>
      <c r="AN16" s="162">
        <f t="shared" si="0"/>
        <v>2.5918495321621151</v>
      </c>
      <c r="AO16" s="163">
        <f t="shared" si="1"/>
        <v>-122.27779953216212</v>
      </c>
      <c r="AV16" s="157">
        <f t="shared" si="6"/>
        <v>45324</v>
      </c>
      <c r="AW16" s="167" t="str">
        <f t="shared" si="6"/>
        <v>CH</v>
      </c>
      <c r="AX16" s="168">
        <f t="shared" si="2"/>
        <v>823058.00014999998</v>
      </c>
      <c r="AY16" s="168">
        <f t="shared" si="2"/>
        <v>1091429.0802</v>
      </c>
      <c r="AZ16" s="168">
        <f t="shared" si="2"/>
        <v>-119.68595000000001</v>
      </c>
      <c r="BA16" s="168">
        <f t="shared" ref="BA16:BA69" si="7">AL16+$AY$1</f>
        <v>4.9200467837882425</v>
      </c>
      <c r="BB16" s="168">
        <f t="shared" si="3"/>
        <v>-1.7178730824300509E-2</v>
      </c>
      <c r="BC16" s="169">
        <f t="shared" si="3"/>
        <v>2.5918495321621151</v>
      </c>
    </row>
    <row r="17" spans="28:55" ht="15">
      <c r="AB17" s="181">
        <v>45324</v>
      </c>
      <c r="AC17" s="157" t="s">
        <v>11</v>
      </c>
      <c r="AD17" s="158" t="s">
        <v>11</v>
      </c>
      <c r="AE17" s="157">
        <v>823056.96750000003</v>
      </c>
      <c r="AF17" s="157">
        <v>1091430.38705</v>
      </c>
      <c r="AG17" s="159">
        <v>-120.0902</v>
      </c>
      <c r="AL17" s="160">
        <f t="shared" si="4"/>
        <v>5.3036726349190211</v>
      </c>
      <c r="AM17" s="161">
        <f t="shared" si="5"/>
        <v>1.6036402446866722</v>
      </c>
      <c r="AN17" s="162">
        <f t="shared" si="0"/>
        <v>2.1837632736508112</v>
      </c>
      <c r="AO17" s="163">
        <f t="shared" si="1"/>
        <v>-122.27396327365081</v>
      </c>
      <c r="AV17" s="157">
        <f t="shared" si="6"/>
        <v>45324</v>
      </c>
      <c r="AW17" s="167" t="str">
        <f t="shared" si="6"/>
        <v>HD</v>
      </c>
      <c r="AX17" s="168">
        <f t="shared" si="2"/>
        <v>823056.96750000003</v>
      </c>
      <c r="AY17" s="168">
        <f t="shared" si="2"/>
        <v>1091430.38705</v>
      </c>
      <c r="AZ17" s="168">
        <f t="shared" si="2"/>
        <v>-120.0902</v>
      </c>
      <c r="BA17" s="168">
        <f t="shared" si="7"/>
        <v>5.3036726349190211</v>
      </c>
      <c r="BB17" s="168">
        <f t="shared" si="3"/>
        <v>1.6036402446866722</v>
      </c>
      <c r="BC17" s="169">
        <f t="shared" si="3"/>
        <v>2.1837632736508112</v>
      </c>
    </row>
    <row r="18" spans="28:55" ht="15">
      <c r="AB18" s="181">
        <v>45324</v>
      </c>
      <c r="AC18" s="157" t="s">
        <v>10</v>
      </c>
      <c r="AD18" s="158" t="s">
        <v>10</v>
      </c>
      <c r="AE18" s="157">
        <v>823058.93154999998</v>
      </c>
      <c r="AF18" s="157">
        <v>1091426.7404</v>
      </c>
      <c r="AG18" s="159">
        <v>-121.1276</v>
      </c>
      <c r="AL18" s="160">
        <f t="shared" si="4"/>
        <v>5.0647139140736845</v>
      </c>
      <c r="AM18" s="161">
        <f t="shared" si="5"/>
        <v>-2.5313866421197049</v>
      </c>
      <c r="AN18" s="162">
        <f t="shared" si="0"/>
        <v>1.1487528608592612</v>
      </c>
      <c r="AO18" s="163">
        <f t="shared" si="1"/>
        <v>-122.27635286085926</v>
      </c>
      <c r="AV18" s="157">
        <f t="shared" si="6"/>
        <v>45324</v>
      </c>
      <c r="AW18" s="167" t="str">
        <f t="shared" si="6"/>
        <v>HG</v>
      </c>
      <c r="AX18" s="168">
        <f t="shared" si="2"/>
        <v>823058.93154999998</v>
      </c>
      <c r="AY18" s="168">
        <f t="shared" si="2"/>
        <v>1091426.7404</v>
      </c>
      <c r="AZ18" s="168">
        <f t="shared" si="2"/>
        <v>-121.1276</v>
      </c>
      <c r="BA18" s="168">
        <f t="shared" si="7"/>
        <v>5.0647139140736845</v>
      </c>
      <c r="BB18" s="168">
        <f t="shared" si="3"/>
        <v>-2.5313866421197049</v>
      </c>
      <c r="BC18" s="169">
        <f t="shared" si="3"/>
        <v>1.1487528608592612</v>
      </c>
    </row>
    <row r="19" spans="28:55" ht="15">
      <c r="AB19" s="181">
        <v>45327</v>
      </c>
      <c r="AC19" s="157" t="s">
        <v>33</v>
      </c>
      <c r="AD19" s="158" t="s">
        <v>33</v>
      </c>
      <c r="AE19" s="157">
        <v>823056.71155000001</v>
      </c>
      <c r="AF19" s="157">
        <v>1091431.4541500001</v>
      </c>
      <c r="AG19" s="159">
        <v>-123.00395</v>
      </c>
      <c r="AL19" s="160">
        <f t="shared" si="4"/>
        <v>5.0846832757625826</v>
      </c>
      <c r="AM19" s="161">
        <f t="shared" si="5"/>
        <v>2.6789339130883207</v>
      </c>
      <c r="AN19" s="162">
        <f t="shared" si="0"/>
        <v>-0.72779683275763318</v>
      </c>
      <c r="AO19" s="163">
        <f t="shared" si="1"/>
        <v>-122.27615316724237</v>
      </c>
      <c r="AV19" s="157">
        <f t="shared" si="6"/>
        <v>45327</v>
      </c>
      <c r="AW19" s="167" t="str">
        <f t="shared" si="6"/>
        <v>BD</v>
      </c>
      <c r="AX19" s="168">
        <f t="shared" si="2"/>
        <v>823056.71155000001</v>
      </c>
      <c r="AY19" s="168">
        <f t="shared" si="2"/>
        <v>1091431.4541500001</v>
      </c>
      <c r="AZ19" s="168">
        <f t="shared" si="2"/>
        <v>-123.00395</v>
      </c>
      <c r="BA19" s="168">
        <f t="shared" si="7"/>
        <v>5.0846832757625826</v>
      </c>
      <c r="BB19" s="168">
        <f t="shared" si="3"/>
        <v>2.6789339130883207</v>
      </c>
      <c r="BC19" s="169">
        <f t="shared" si="3"/>
        <v>-0.72779683275763318</v>
      </c>
    </row>
    <row r="20" spans="28:55" ht="15">
      <c r="AB20" s="181">
        <v>45327</v>
      </c>
      <c r="AC20" s="157" t="s">
        <v>32</v>
      </c>
      <c r="AD20" s="158" t="s">
        <v>32</v>
      </c>
      <c r="AE20" s="157">
        <v>823058.96915000002</v>
      </c>
      <c r="AF20" s="157">
        <v>1091426.6544000001</v>
      </c>
      <c r="AG20" s="159">
        <v>-123.0605</v>
      </c>
      <c r="AL20" s="160">
        <f t="shared" si="4"/>
        <v>5.0669804186547882</v>
      </c>
      <c r="AM20" s="161">
        <f t="shared" si="5"/>
        <v>-2.6252195944430032</v>
      </c>
      <c r="AN20" s="162">
        <f t="shared" si="0"/>
        <v>-0.78416980418656124</v>
      </c>
      <c r="AO20" s="163">
        <f t="shared" si="1"/>
        <v>-122.27633019581344</v>
      </c>
      <c r="AV20" s="157">
        <f t="shared" si="6"/>
        <v>45327</v>
      </c>
      <c r="AW20" s="167" t="str">
        <f t="shared" si="6"/>
        <v>BG</v>
      </c>
      <c r="AX20" s="168">
        <f t="shared" si="2"/>
        <v>823058.96915000002</v>
      </c>
      <c r="AY20" s="168">
        <f t="shared" si="2"/>
        <v>1091426.6544000001</v>
      </c>
      <c r="AZ20" s="168">
        <f t="shared" si="2"/>
        <v>-123.0605</v>
      </c>
      <c r="BA20" s="168">
        <f t="shared" si="7"/>
        <v>5.0669804186547882</v>
      </c>
      <c r="BB20" s="168">
        <f t="shared" si="3"/>
        <v>-2.6252195944430032</v>
      </c>
      <c r="BC20" s="169">
        <f t="shared" si="3"/>
        <v>-0.78416980418656124</v>
      </c>
    </row>
    <row r="21" spans="28:55" ht="15">
      <c r="AB21" s="181">
        <v>45327</v>
      </c>
      <c r="AC21" s="157" t="s">
        <v>64</v>
      </c>
      <c r="AD21" s="158" t="s">
        <v>64</v>
      </c>
      <c r="AE21" s="157">
        <v>823058</v>
      </c>
      <c r="AF21" s="157">
        <v>1091429.07975</v>
      </c>
      <c r="AG21" s="159">
        <v>-119.6859</v>
      </c>
      <c r="AL21" s="160">
        <f t="shared" si="4"/>
        <v>4.9203729026454877</v>
      </c>
      <c r="AM21" s="161">
        <f t="shared" si="5"/>
        <v>-1.7523181727927589E-2</v>
      </c>
      <c r="AN21" s="162">
        <f t="shared" si="0"/>
        <v>2.5918962709735354</v>
      </c>
      <c r="AO21" s="163">
        <f t="shared" si="1"/>
        <v>-122.27779627097354</v>
      </c>
      <c r="AV21" s="157">
        <f t="shared" si="6"/>
        <v>45327</v>
      </c>
      <c r="AW21" s="167" t="str">
        <f t="shared" si="6"/>
        <v>CH</v>
      </c>
      <c r="AX21" s="168">
        <f t="shared" si="2"/>
        <v>823058</v>
      </c>
      <c r="AY21" s="168">
        <f t="shared" si="2"/>
        <v>1091429.07975</v>
      </c>
      <c r="AZ21" s="168">
        <f t="shared" si="2"/>
        <v>-119.6859</v>
      </c>
      <c r="BA21" s="168">
        <f t="shared" si="7"/>
        <v>4.9203729026454877</v>
      </c>
      <c r="BB21" s="168">
        <f t="shared" si="3"/>
        <v>-1.7523181727927589E-2</v>
      </c>
      <c r="BC21" s="169">
        <f t="shared" si="3"/>
        <v>2.5918962709735354</v>
      </c>
    </row>
    <row r="22" spans="28:55" ht="15">
      <c r="AB22" s="181">
        <v>45327</v>
      </c>
      <c r="AC22" s="157" t="s">
        <v>11</v>
      </c>
      <c r="AD22" s="158" t="s">
        <v>11</v>
      </c>
      <c r="AE22" s="157">
        <v>823056.96759999997</v>
      </c>
      <c r="AF22" s="157">
        <v>1091430.3862000001</v>
      </c>
      <c r="AG22" s="159">
        <v>-120.09010000000001</v>
      </c>
      <c r="AL22" s="160">
        <f t="shared" si="4"/>
        <v>5.3039412167610376</v>
      </c>
      <c r="AM22" s="161">
        <f t="shared" si="5"/>
        <v>1.6028276170329134</v>
      </c>
      <c r="AN22" s="162">
        <f t="shared" si="0"/>
        <v>2.1838605878323847</v>
      </c>
      <c r="AO22" s="163">
        <f t="shared" si="1"/>
        <v>-122.27396058783239</v>
      </c>
      <c r="AV22" s="157">
        <f t="shared" si="6"/>
        <v>45327</v>
      </c>
      <c r="AW22" s="167" t="str">
        <f t="shared" si="6"/>
        <v>HD</v>
      </c>
      <c r="AX22" s="168">
        <f t="shared" si="2"/>
        <v>823056.96759999997</v>
      </c>
      <c r="AY22" s="168">
        <f t="shared" si="2"/>
        <v>1091430.3862000001</v>
      </c>
      <c r="AZ22" s="168">
        <f t="shared" si="2"/>
        <v>-120.09010000000001</v>
      </c>
      <c r="BA22" s="168">
        <f t="shared" si="7"/>
        <v>5.3039412167610376</v>
      </c>
      <c r="BB22" s="168">
        <f t="shared" si="3"/>
        <v>1.6028276170329134</v>
      </c>
      <c r="BC22" s="169">
        <f t="shared" si="3"/>
        <v>2.1838605878323847</v>
      </c>
    </row>
    <row r="23" spans="28:55" ht="15">
      <c r="AB23" s="181">
        <v>45327</v>
      </c>
      <c r="AC23" s="157" t="s">
        <v>10</v>
      </c>
      <c r="AD23" s="158" t="s">
        <v>10</v>
      </c>
      <c r="AE23" s="157">
        <v>823058.93149999995</v>
      </c>
      <c r="AF23" s="157">
        <v>1091426.7405000001</v>
      </c>
      <c r="AG23" s="159">
        <v>-121.1272</v>
      </c>
      <c r="AL23" s="160">
        <f t="shared" si="4"/>
        <v>5.0647169694171179</v>
      </c>
      <c r="AM23" s="161">
        <f t="shared" si="5"/>
        <v>-2.5312748804061571</v>
      </c>
      <c r="AN23" s="162">
        <f t="shared" si="0"/>
        <v>1.1491528303058232</v>
      </c>
      <c r="AO23" s="163">
        <f t="shared" si="1"/>
        <v>-122.27635283030583</v>
      </c>
      <c r="AV23" s="157">
        <f t="shared" si="6"/>
        <v>45327</v>
      </c>
      <c r="AW23" s="167" t="str">
        <f t="shared" si="6"/>
        <v>HG</v>
      </c>
      <c r="AX23" s="168">
        <f t="shared" si="2"/>
        <v>823058.93149999995</v>
      </c>
      <c r="AY23" s="168">
        <f t="shared" si="2"/>
        <v>1091426.7405000001</v>
      </c>
      <c r="AZ23" s="168">
        <f t="shared" si="2"/>
        <v>-121.1272</v>
      </c>
      <c r="BA23" s="168">
        <f t="shared" si="7"/>
        <v>5.0647169694171179</v>
      </c>
      <c r="BB23" s="168">
        <f t="shared" si="3"/>
        <v>-2.5312748804061571</v>
      </c>
      <c r="BC23" s="169">
        <f t="shared" si="3"/>
        <v>1.1491528303058232</v>
      </c>
    </row>
    <row r="24" spans="28:55" ht="15">
      <c r="AB24" s="181">
        <v>45330</v>
      </c>
      <c r="AC24" s="157" t="s">
        <v>33</v>
      </c>
      <c r="AD24" s="158" t="s">
        <v>33</v>
      </c>
      <c r="AE24" s="157">
        <v>823056.71519999998</v>
      </c>
      <c r="AF24" s="157">
        <v>1091431.4465999999</v>
      </c>
      <c r="AG24" s="159">
        <v>-123.0034</v>
      </c>
      <c r="AL24" s="160">
        <f t="shared" si="4"/>
        <v>5.0845658869099246</v>
      </c>
      <c r="AM24" s="161">
        <f t="shared" si="5"/>
        <v>2.6705487343273631</v>
      </c>
      <c r="AN24" s="162">
        <f t="shared" si="0"/>
        <v>-0.72724565886909431</v>
      </c>
      <c r="AO24" s="163">
        <f t="shared" si="1"/>
        <v>-122.2761543411309</v>
      </c>
      <c r="AV24" s="157">
        <f t="shared" si="6"/>
        <v>45330</v>
      </c>
      <c r="AW24" s="167" t="str">
        <f t="shared" si="6"/>
        <v>BD</v>
      </c>
      <c r="AX24" s="168">
        <f t="shared" si="2"/>
        <v>823056.71519999998</v>
      </c>
      <c r="AY24" s="168">
        <f t="shared" si="2"/>
        <v>1091431.4465999999</v>
      </c>
      <c r="AZ24" s="168">
        <f t="shared" si="2"/>
        <v>-123.0034</v>
      </c>
      <c r="BA24" s="168">
        <f t="shared" si="7"/>
        <v>5.0845658869099246</v>
      </c>
      <c r="BB24" s="168">
        <f t="shared" si="3"/>
        <v>2.6705487343273631</v>
      </c>
      <c r="BC24" s="169">
        <f t="shared" si="3"/>
        <v>-0.72724565886909431</v>
      </c>
    </row>
    <row r="25" spans="28:55" ht="15">
      <c r="AB25" s="181">
        <v>45330</v>
      </c>
      <c r="AC25" s="157" t="s">
        <v>32</v>
      </c>
      <c r="AD25" s="158" t="s">
        <v>32</v>
      </c>
      <c r="AE25" s="157">
        <v>823058.97409999999</v>
      </c>
      <c r="AF25" s="157">
        <v>1091426.6503000001</v>
      </c>
      <c r="AG25" s="159">
        <v>-123.06019999999999</v>
      </c>
      <c r="AL25" s="160">
        <f t="shared" si="4"/>
        <v>5.064226837602078</v>
      </c>
      <c r="AM25" s="161">
        <f t="shared" si="5"/>
        <v>-2.6310273729585441</v>
      </c>
      <c r="AN25" s="162">
        <f t="shared" si="0"/>
        <v>-0.78384226837602</v>
      </c>
      <c r="AO25" s="163">
        <f t="shared" si="1"/>
        <v>-122.27635773162397</v>
      </c>
      <c r="AV25" s="157">
        <f t="shared" si="6"/>
        <v>45330</v>
      </c>
      <c r="AW25" s="167" t="str">
        <f t="shared" si="6"/>
        <v>BG</v>
      </c>
      <c r="AX25" s="168">
        <f t="shared" si="2"/>
        <v>823058.97409999999</v>
      </c>
      <c r="AY25" s="168">
        <f t="shared" si="2"/>
        <v>1091426.6503000001</v>
      </c>
      <c r="AZ25" s="168">
        <f t="shared" si="2"/>
        <v>-123.06019999999999</v>
      </c>
      <c r="BA25" s="168">
        <f t="shared" si="7"/>
        <v>5.064226837602078</v>
      </c>
      <c r="BB25" s="168">
        <f t="shared" si="3"/>
        <v>-2.6310273729585441</v>
      </c>
      <c r="BC25" s="169">
        <f t="shared" si="3"/>
        <v>-0.78384226837602</v>
      </c>
    </row>
    <row r="26" spans="28:55" ht="15">
      <c r="AB26" s="181">
        <v>45330</v>
      </c>
      <c r="AC26" s="157" t="s">
        <v>64</v>
      </c>
      <c r="AD26" s="158" t="s">
        <v>64</v>
      </c>
      <c r="AE26" s="157">
        <v>823058.00340000005</v>
      </c>
      <c r="AF26" s="157">
        <v>1091429.0755</v>
      </c>
      <c r="AG26" s="159">
        <v>-119.68680000000001</v>
      </c>
      <c r="AL26" s="160">
        <f t="shared" si="4"/>
        <v>4.9190874995873415</v>
      </c>
      <c r="AM26" s="161">
        <f t="shared" si="5"/>
        <v>-2.2811871477648737E-2</v>
      </c>
      <c r="AN26" s="162">
        <f t="shared" si="0"/>
        <v>2.5910091250041205</v>
      </c>
      <c r="AO26" s="163">
        <f t="shared" si="1"/>
        <v>-122.27780912500413</v>
      </c>
      <c r="AV26" s="157">
        <f t="shared" si="6"/>
        <v>45330</v>
      </c>
      <c r="AW26" s="167" t="str">
        <f t="shared" si="6"/>
        <v>CH</v>
      </c>
      <c r="AX26" s="168">
        <f t="shared" si="2"/>
        <v>823058.00340000005</v>
      </c>
      <c r="AY26" s="168">
        <f t="shared" si="2"/>
        <v>1091429.0755</v>
      </c>
      <c r="AZ26" s="168">
        <f t="shared" si="2"/>
        <v>-119.68680000000001</v>
      </c>
      <c r="BA26" s="168">
        <f t="shared" si="7"/>
        <v>4.9190874995873415</v>
      </c>
      <c r="BB26" s="168">
        <f t="shared" si="3"/>
        <v>-2.2811871477648737E-2</v>
      </c>
      <c r="BC26" s="169">
        <f t="shared" si="3"/>
        <v>2.5910091250041205</v>
      </c>
    </row>
    <row r="27" spans="28:55" ht="15">
      <c r="AB27" s="181">
        <v>45330</v>
      </c>
      <c r="AC27" s="157" t="s">
        <v>11</v>
      </c>
      <c r="AD27" s="158" t="s">
        <v>11</v>
      </c>
      <c r="AE27" s="157">
        <v>823056.97320000001</v>
      </c>
      <c r="AF27" s="157">
        <v>1091430.379</v>
      </c>
      <c r="AG27" s="159">
        <v>-120.0919</v>
      </c>
      <c r="AL27" s="160">
        <f t="shared" si="4"/>
        <v>5.3019086031651215</v>
      </c>
      <c r="AM27" s="161">
        <f t="shared" si="5"/>
        <v>1.5939355709290737</v>
      </c>
      <c r="AN27" s="162">
        <f t="shared" si="0"/>
        <v>2.182080913968349</v>
      </c>
      <c r="AO27" s="163">
        <f t="shared" si="1"/>
        <v>-122.27398091396834</v>
      </c>
      <c r="AV27" s="157">
        <f t="shared" si="6"/>
        <v>45330</v>
      </c>
      <c r="AW27" s="167" t="str">
        <f t="shared" si="6"/>
        <v>HD</v>
      </c>
      <c r="AX27" s="168">
        <f t="shared" si="2"/>
        <v>823056.97320000001</v>
      </c>
      <c r="AY27" s="168">
        <f t="shared" si="2"/>
        <v>1091430.379</v>
      </c>
      <c r="AZ27" s="168">
        <f t="shared" si="2"/>
        <v>-120.0919</v>
      </c>
      <c r="BA27" s="168">
        <f t="shared" si="7"/>
        <v>5.3019086031651215</v>
      </c>
      <c r="BB27" s="168">
        <f t="shared" si="3"/>
        <v>1.5939355709290737</v>
      </c>
      <c r="BC27" s="169">
        <f t="shared" si="3"/>
        <v>2.182080913968349</v>
      </c>
    </row>
    <row r="28" spans="28:55" ht="15">
      <c r="AB28" s="181">
        <v>45330</v>
      </c>
      <c r="AC28" s="157" t="s">
        <v>10</v>
      </c>
      <c r="AD28" s="158" t="s">
        <v>10</v>
      </c>
      <c r="AE28" s="157">
        <v>823058.93590000004</v>
      </c>
      <c r="AF28" s="157">
        <v>1091426.736</v>
      </c>
      <c r="AG28" s="159">
        <v>-121.12739999999999</v>
      </c>
      <c r="AL28" s="160">
        <f t="shared" si="4"/>
        <v>5.0626309027818506</v>
      </c>
      <c r="AM28" s="161">
        <f t="shared" si="5"/>
        <v>-2.5372127526816333</v>
      </c>
      <c r="AN28" s="162">
        <f t="shared" si="0"/>
        <v>1.1489736909721842</v>
      </c>
      <c r="AO28" s="163">
        <f t="shared" si="1"/>
        <v>-122.27637369097218</v>
      </c>
      <c r="AV28" s="157">
        <f t="shared" si="6"/>
        <v>45330</v>
      </c>
      <c r="AW28" s="167" t="str">
        <f t="shared" si="6"/>
        <v>HG</v>
      </c>
      <c r="AX28" s="168">
        <f t="shared" si="2"/>
        <v>823058.93590000004</v>
      </c>
      <c r="AY28" s="168">
        <f t="shared" si="2"/>
        <v>1091426.736</v>
      </c>
      <c r="AZ28" s="168">
        <f t="shared" si="2"/>
        <v>-121.12739999999999</v>
      </c>
      <c r="BA28" s="168">
        <f t="shared" si="7"/>
        <v>5.0626309027818506</v>
      </c>
      <c r="BB28" s="168">
        <f t="shared" si="3"/>
        <v>-2.5372127526816333</v>
      </c>
      <c r="BC28" s="169">
        <f t="shared" si="3"/>
        <v>1.1489736909721842</v>
      </c>
    </row>
    <row r="29" spans="28:55" ht="15">
      <c r="AB29" s="181">
        <v>45331</v>
      </c>
      <c r="AC29" s="157" t="s">
        <v>33</v>
      </c>
      <c r="AD29" s="158" t="s">
        <v>33</v>
      </c>
      <c r="AE29" s="157">
        <v>823056.7132</v>
      </c>
      <c r="AF29" s="157">
        <v>1091431.4513999999</v>
      </c>
      <c r="AG29" s="159">
        <v>-123.00405000000001</v>
      </c>
      <c r="AL29" s="160">
        <f t="shared" si="4"/>
        <v>5.0843500174805207</v>
      </c>
      <c r="AM29" s="161">
        <f t="shared" si="5"/>
        <v>2.6757442516507144</v>
      </c>
      <c r="AN29" s="162">
        <f t="shared" si="0"/>
        <v>-0.72789350017481524</v>
      </c>
      <c r="AO29" s="163">
        <f t="shared" si="1"/>
        <v>-122.27615649982519</v>
      </c>
      <c r="AV29" s="157">
        <f t="shared" si="6"/>
        <v>45331</v>
      </c>
      <c r="AW29" s="167" t="str">
        <f t="shared" si="6"/>
        <v>BD</v>
      </c>
      <c r="AX29" s="168">
        <f t="shared" si="2"/>
        <v>823056.7132</v>
      </c>
      <c r="AY29" s="168">
        <f t="shared" si="2"/>
        <v>1091431.4513999999</v>
      </c>
      <c r="AZ29" s="168">
        <f t="shared" si="2"/>
        <v>-123.00405000000001</v>
      </c>
      <c r="BA29" s="168">
        <f t="shared" si="7"/>
        <v>5.0843500174805207</v>
      </c>
      <c r="BB29" s="168">
        <f t="shared" si="3"/>
        <v>2.6757442516507144</v>
      </c>
      <c r="BC29" s="169">
        <f t="shared" si="3"/>
        <v>-0.72789350017481524</v>
      </c>
    </row>
    <row r="30" spans="28:55" ht="15">
      <c r="AB30" s="181">
        <v>45331</v>
      </c>
      <c r="AC30" s="157" t="s">
        <v>32</v>
      </c>
      <c r="AD30" s="158" t="s">
        <v>32</v>
      </c>
      <c r="AE30" s="157">
        <v>823058.96950000001</v>
      </c>
      <c r="AF30" s="157">
        <v>1091426.6546</v>
      </c>
      <c r="AG30" s="159">
        <v>-123.0611</v>
      </c>
      <c r="AL30" s="160">
        <f t="shared" si="4"/>
        <v>5.0665786878641033</v>
      </c>
      <c r="AM30" s="161">
        <f t="shared" si="5"/>
        <v>-2.6251862429765467</v>
      </c>
      <c r="AN30" s="162">
        <f t="shared" si="0"/>
        <v>-0.78476578687863707</v>
      </c>
      <c r="AO30" s="163">
        <f t="shared" si="1"/>
        <v>-122.27633421312136</v>
      </c>
      <c r="AV30" s="157">
        <f t="shared" si="6"/>
        <v>45331</v>
      </c>
      <c r="AW30" s="167" t="str">
        <f t="shared" si="6"/>
        <v>BG</v>
      </c>
      <c r="AX30" s="168">
        <f t="shared" ref="AX30:AZ45" si="8">AE30</f>
        <v>823058.96950000001</v>
      </c>
      <c r="AY30" s="168">
        <f t="shared" si="8"/>
        <v>1091426.6546</v>
      </c>
      <c r="AZ30" s="168">
        <f t="shared" si="8"/>
        <v>-123.0611</v>
      </c>
      <c r="BA30" s="168">
        <f t="shared" si="7"/>
        <v>5.0665786878641033</v>
      </c>
      <c r="BB30" s="168">
        <f t="shared" ref="BB30:BC45" si="9">AM30</f>
        <v>-2.6251862429765467</v>
      </c>
      <c r="BC30" s="169">
        <f t="shared" si="9"/>
        <v>-0.78476578687863707</v>
      </c>
    </row>
    <row r="31" spans="28:55" ht="15">
      <c r="AB31" s="181">
        <v>45331</v>
      </c>
      <c r="AC31" s="157" t="s">
        <v>64</v>
      </c>
      <c r="AD31" s="158" t="s">
        <v>64</v>
      </c>
      <c r="AE31" s="157">
        <v>823057.99939999997</v>
      </c>
      <c r="AF31" s="157">
        <v>1091429.0817</v>
      </c>
      <c r="AG31" s="159">
        <v>-119.68770000000001</v>
      </c>
      <c r="AL31" s="160">
        <f t="shared" si="4"/>
        <v>4.9200926139113248</v>
      </c>
      <c r="AM31" s="161">
        <f t="shared" si="5"/>
        <v>-1.5502306161897038E-2</v>
      </c>
      <c r="AN31" s="162">
        <f t="shared" si="0"/>
        <v>2.590099073860884</v>
      </c>
      <c r="AO31" s="163">
        <f t="shared" si="1"/>
        <v>-122.27779907386089</v>
      </c>
      <c r="AV31" s="157">
        <f t="shared" ref="AV31:AW46" si="10">AB31</f>
        <v>45331</v>
      </c>
      <c r="AW31" s="167" t="str">
        <f t="shared" si="10"/>
        <v>CH</v>
      </c>
      <c r="AX31" s="168">
        <f t="shared" si="8"/>
        <v>823057.99939999997</v>
      </c>
      <c r="AY31" s="168">
        <f t="shared" si="8"/>
        <v>1091429.0817</v>
      </c>
      <c r="AZ31" s="168">
        <f t="shared" si="8"/>
        <v>-119.68770000000001</v>
      </c>
      <c r="BA31" s="168">
        <f t="shared" si="7"/>
        <v>4.9200926139113248</v>
      </c>
      <c r="BB31" s="168">
        <f t="shared" si="9"/>
        <v>-1.5502306161897038E-2</v>
      </c>
      <c r="BC31" s="169">
        <f t="shared" si="9"/>
        <v>2.590099073860884</v>
      </c>
    </row>
    <row r="32" spans="28:55" ht="15">
      <c r="AB32" s="181">
        <v>45331</v>
      </c>
      <c r="AC32" s="157" t="s">
        <v>11</v>
      </c>
      <c r="AD32" s="158" t="s">
        <v>11</v>
      </c>
      <c r="AE32" s="157">
        <v>823056.97050000005</v>
      </c>
      <c r="AF32" s="157">
        <v>1091430.3836999999</v>
      </c>
      <c r="AG32" s="159">
        <v>-120.09335</v>
      </c>
      <c r="AL32" s="160">
        <f t="shared" si="4"/>
        <v>5.3023694142818574</v>
      </c>
      <c r="AM32" s="161">
        <f t="shared" si="5"/>
        <v>1.5993362794221273</v>
      </c>
      <c r="AN32" s="162">
        <f t="shared" si="0"/>
        <v>2.1806263058571744</v>
      </c>
      <c r="AO32" s="163">
        <f t="shared" si="1"/>
        <v>-122.27397630585718</v>
      </c>
      <c r="AV32" s="157">
        <f t="shared" si="10"/>
        <v>45331</v>
      </c>
      <c r="AW32" s="167" t="str">
        <f t="shared" si="10"/>
        <v>HD</v>
      </c>
      <c r="AX32" s="168">
        <f t="shared" si="8"/>
        <v>823056.97050000005</v>
      </c>
      <c r="AY32" s="168">
        <f t="shared" si="8"/>
        <v>1091430.3836999999</v>
      </c>
      <c r="AZ32" s="168">
        <f t="shared" si="8"/>
        <v>-120.09335</v>
      </c>
      <c r="BA32" s="168">
        <f t="shared" si="7"/>
        <v>5.3023694142818574</v>
      </c>
      <c r="BB32" s="168">
        <f t="shared" si="9"/>
        <v>1.5993362794221273</v>
      </c>
      <c r="BC32" s="169">
        <f t="shared" si="9"/>
        <v>2.1806263058571744</v>
      </c>
    </row>
    <row r="33" spans="28:55" ht="15">
      <c r="AB33" s="181">
        <v>45331</v>
      </c>
      <c r="AC33" s="157" t="s">
        <v>10</v>
      </c>
      <c r="AD33" s="158" t="s">
        <v>10</v>
      </c>
      <c r="AE33" s="157">
        <v>823058.9325</v>
      </c>
      <c r="AF33" s="157">
        <v>1091426.7411</v>
      </c>
      <c r="AG33" s="159">
        <v>-121.12855</v>
      </c>
      <c r="AL33" s="160">
        <f t="shared" si="4"/>
        <v>5.0635570925952749</v>
      </c>
      <c r="AM33" s="161">
        <f t="shared" si="5"/>
        <v>-2.531153695639627</v>
      </c>
      <c r="AN33" s="162">
        <f t="shared" si="0"/>
        <v>1.147814429074046</v>
      </c>
      <c r="AO33" s="163">
        <f t="shared" si="1"/>
        <v>-122.27636442907405</v>
      </c>
      <c r="AV33" s="157">
        <f t="shared" si="10"/>
        <v>45331</v>
      </c>
      <c r="AW33" s="167" t="str">
        <f t="shared" si="10"/>
        <v>HG</v>
      </c>
      <c r="AX33" s="168">
        <f t="shared" si="8"/>
        <v>823058.9325</v>
      </c>
      <c r="AY33" s="168">
        <f t="shared" si="8"/>
        <v>1091426.7411</v>
      </c>
      <c r="AZ33" s="168">
        <f t="shared" si="8"/>
        <v>-121.12855</v>
      </c>
      <c r="BA33" s="168">
        <f t="shared" si="7"/>
        <v>5.0635570925952749</v>
      </c>
      <c r="BB33" s="168">
        <f t="shared" si="9"/>
        <v>-2.531153695639627</v>
      </c>
      <c r="BC33" s="169">
        <f t="shared" si="9"/>
        <v>1.147814429074046</v>
      </c>
    </row>
    <row r="34" spans="28:55" ht="15">
      <c r="AB34" s="181">
        <v>45334</v>
      </c>
      <c r="AC34" s="157" t="s">
        <v>33</v>
      </c>
      <c r="AD34" s="158" t="s">
        <v>33</v>
      </c>
      <c r="AE34" s="157">
        <v>823056.71329999994</v>
      </c>
      <c r="AF34" s="157">
        <v>1091431.4524999999</v>
      </c>
      <c r="AG34" s="159">
        <v>-123.00320000000001</v>
      </c>
      <c r="AL34" s="160">
        <f t="shared" si="4"/>
        <v>5.0837945218556087</v>
      </c>
      <c r="AM34" s="161">
        <f t="shared" si="5"/>
        <v>2.6766989372465546</v>
      </c>
      <c r="AN34" s="162">
        <f t="shared" si="0"/>
        <v>-0.72703794521856935</v>
      </c>
      <c r="AO34" s="163">
        <f t="shared" si="1"/>
        <v>-122.27616205478144</v>
      </c>
      <c r="AV34" s="157">
        <f t="shared" si="10"/>
        <v>45334</v>
      </c>
      <c r="AW34" s="167" t="str">
        <f t="shared" si="10"/>
        <v>BD</v>
      </c>
      <c r="AX34" s="168">
        <f t="shared" si="8"/>
        <v>823056.71329999994</v>
      </c>
      <c r="AY34" s="168">
        <f t="shared" si="8"/>
        <v>1091431.4524999999</v>
      </c>
      <c r="AZ34" s="168">
        <f t="shared" si="8"/>
        <v>-123.00320000000001</v>
      </c>
      <c r="BA34" s="168">
        <f t="shared" si="7"/>
        <v>5.0837945218556087</v>
      </c>
      <c r="BB34" s="168">
        <f t="shared" si="9"/>
        <v>2.6766989372465546</v>
      </c>
      <c r="BC34" s="169">
        <f t="shared" si="9"/>
        <v>-0.72703794521856935</v>
      </c>
    </row>
    <row r="35" spans="28:55" ht="15">
      <c r="AB35" s="181">
        <v>45334</v>
      </c>
      <c r="AC35" s="157" t="s">
        <v>32</v>
      </c>
      <c r="AD35" s="158" t="s">
        <v>32</v>
      </c>
      <c r="AE35" s="157">
        <v>823058.96950000001</v>
      </c>
      <c r="AF35" s="157">
        <v>1091426.6565</v>
      </c>
      <c r="AG35" s="159">
        <v>-123.06059999999999</v>
      </c>
      <c r="AL35" s="160">
        <f t="shared" si="4"/>
        <v>5.0657757405533159</v>
      </c>
      <c r="AM35" s="161">
        <f t="shared" si="5"/>
        <v>-2.623464245375549</v>
      </c>
      <c r="AN35" s="162">
        <f t="shared" si="0"/>
        <v>-0.78425775740552695</v>
      </c>
      <c r="AO35" s="163">
        <f t="shared" si="1"/>
        <v>-122.27634224259447</v>
      </c>
      <c r="AV35" s="157">
        <f t="shared" si="10"/>
        <v>45334</v>
      </c>
      <c r="AW35" s="167" t="str">
        <f t="shared" si="10"/>
        <v>BG</v>
      </c>
      <c r="AX35" s="168">
        <f t="shared" si="8"/>
        <v>823058.96950000001</v>
      </c>
      <c r="AY35" s="168">
        <f t="shared" si="8"/>
        <v>1091426.6565</v>
      </c>
      <c r="AZ35" s="168">
        <f t="shared" si="8"/>
        <v>-123.06059999999999</v>
      </c>
      <c r="BA35" s="168">
        <f t="shared" si="7"/>
        <v>5.0657757405533159</v>
      </c>
      <c r="BB35" s="168">
        <f t="shared" si="9"/>
        <v>-2.623464245375549</v>
      </c>
      <c r="BC35" s="169">
        <f t="shared" si="9"/>
        <v>-0.78425775740552695</v>
      </c>
    </row>
    <row r="36" spans="28:55" ht="15">
      <c r="AB36" s="181">
        <v>45334</v>
      </c>
      <c r="AC36" s="157" t="s">
        <v>64</v>
      </c>
      <c r="AD36" s="158" t="s">
        <v>64</v>
      </c>
      <c r="AE36" s="157">
        <v>823057.99950000003</v>
      </c>
      <c r="AF36" s="157">
        <v>1091429.0833999999</v>
      </c>
      <c r="AG36" s="159">
        <v>-119.68770000000001</v>
      </c>
      <c r="AL36" s="160">
        <f t="shared" si="4"/>
        <v>4.9192835559136645</v>
      </c>
      <c r="AM36" s="161">
        <f t="shared" si="5"/>
        <v>-1.4003831988001949E-2</v>
      </c>
      <c r="AN36" s="162">
        <f t="shared" si="0"/>
        <v>2.5901071644408518</v>
      </c>
      <c r="AO36" s="163">
        <f t="shared" si="1"/>
        <v>-122.27780716444086</v>
      </c>
      <c r="AV36" s="157">
        <f t="shared" si="10"/>
        <v>45334</v>
      </c>
      <c r="AW36" s="167" t="str">
        <f t="shared" si="10"/>
        <v>CH</v>
      </c>
      <c r="AX36" s="168">
        <f t="shared" si="8"/>
        <v>823057.99950000003</v>
      </c>
      <c r="AY36" s="168">
        <f t="shared" si="8"/>
        <v>1091429.0833999999</v>
      </c>
      <c r="AZ36" s="168">
        <f t="shared" si="8"/>
        <v>-119.68770000000001</v>
      </c>
      <c r="BA36" s="168">
        <f t="shared" si="7"/>
        <v>4.9192835559136645</v>
      </c>
      <c r="BB36" s="168">
        <f t="shared" si="9"/>
        <v>-1.4003831988001949E-2</v>
      </c>
      <c r="BC36" s="169">
        <f t="shared" si="9"/>
        <v>2.5901071644408518</v>
      </c>
    </row>
    <row r="37" spans="28:55" ht="15">
      <c r="AB37" s="181">
        <v>45334</v>
      </c>
      <c r="AC37" s="157" t="s">
        <v>11</v>
      </c>
      <c r="AD37" s="158" t="s">
        <v>11</v>
      </c>
      <c r="AE37" s="157">
        <v>823056.97140000004</v>
      </c>
      <c r="AF37" s="157">
        <v>1091430.3844000001</v>
      </c>
      <c r="AG37" s="159">
        <v>-120.09350000000001</v>
      </c>
      <c r="AL37" s="160">
        <f t="shared" si="4"/>
        <v>5.3012579084591582</v>
      </c>
      <c r="AM37" s="161">
        <f t="shared" si="5"/>
        <v>1.5995903563185558</v>
      </c>
      <c r="AN37" s="162">
        <f t="shared" si="0"/>
        <v>2.1804874209153979</v>
      </c>
      <c r="AO37" s="163">
        <f t="shared" si="1"/>
        <v>-122.2739874209154</v>
      </c>
      <c r="AV37" s="157">
        <f t="shared" si="10"/>
        <v>45334</v>
      </c>
      <c r="AW37" s="167" t="str">
        <f t="shared" si="10"/>
        <v>HD</v>
      </c>
      <c r="AX37" s="168">
        <f t="shared" si="8"/>
        <v>823056.97140000004</v>
      </c>
      <c r="AY37" s="168">
        <f t="shared" si="8"/>
        <v>1091430.3844000001</v>
      </c>
      <c r="AZ37" s="168">
        <f t="shared" si="8"/>
        <v>-120.09350000000001</v>
      </c>
      <c r="BA37" s="168">
        <f t="shared" si="7"/>
        <v>5.3012579084591582</v>
      </c>
      <c r="BB37" s="168">
        <f t="shared" si="9"/>
        <v>1.5995903563185558</v>
      </c>
      <c r="BC37" s="169">
        <f t="shared" si="9"/>
        <v>2.1804874209153979</v>
      </c>
    </row>
    <row r="38" spans="28:55" ht="15">
      <c r="AB38" s="181">
        <v>45334</v>
      </c>
      <c r="AC38" s="157" t="s">
        <v>10</v>
      </c>
      <c r="AD38" s="158" t="s">
        <v>10</v>
      </c>
      <c r="AE38" s="157">
        <v>823058.93149999995</v>
      </c>
      <c r="AF38" s="157">
        <v>1091426.7420000001</v>
      </c>
      <c r="AG38" s="159">
        <v>-121.1281</v>
      </c>
      <c r="AL38" s="160">
        <f t="shared" si="4"/>
        <v>5.0640830636506244</v>
      </c>
      <c r="AM38" s="161">
        <f t="shared" si="5"/>
        <v>-2.5299154086269975</v>
      </c>
      <c r="AN38" s="162">
        <f t="shared" si="0"/>
        <v>1.1482591693634845</v>
      </c>
      <c r="AO38" s="163">
        <f t="shared" si="1"/>
        <v>-122.27635916936349</v>
      </c>
      <c r="AV38" s="157">
        <f t="shared" si="10"/>
        <v>45334</v>
      </c>
      <c r="AW38" s="167" t="str">
        <f t="shared" si="10"/>
        <v>HG</v>
      </c>
      <c r="AX38" s="168">
        <f t="shared" si="8"/>
        <v>823058.93149999995</v>
      </c>
      <c r="AY38" s="168">
        <f t="shared" si="8"/>
        <v>1091426.7420000001</v>
      </c>
      <c r="AZ38" s="168">
        <f t="shared" si="8"/>
        <v>-121.1281</v>
      </c>
      <c r="BA38" s="168">
        <f t="shared" si="7"/>
        <v>5.0640830636506244</v>
      </c>
      <c r="BB38" s="168">
        <f t="shared" si="9"/>
        <v>-2.5299154086269975</v>
      </c>
      <c r="BC38" s="169">
        <f t="shared" si="9"/>
        <v>1.1482591693634845</v>
      </c>
    </row>
    <row r="39" spans="28:55" ht="15">
      <c r="AB39" s="181">
        <v>45335</v>
      </c>
      <c r="AC39" s="157" t="s">
        <v>33</v>
      </c>
      <c r="AD39" s="158" t="s">
        <v>33</v>
      </c>
      <c r="AE39" s="157">
        <v>823056.7133249999</v>
      </c>
      <c r="AF39" s="157">
        <v>1091431.4526750001</v>
      </c>
      <c r="AG39" s="159">
        <v>-123.00322500000001</v>
      </c>
      <c r="AL39" s="160">
        <f t="shared" si="4"/>
        <v>5.0836979082880349</v>
      </c>
      <c r="AM39" s="161">
        <f t="shared" si="5"/>
        <v>2.6768469773606172</v>
      </c>
      <c r="AN39" s="162">
        <f t="shared" si="0"/>
        <v>-0.72706197908289028</v>
      </c>
      <c r="AO39" s="163">
        <f t="shared" si="1"/>
        <v>-122.27616302091712</v>
      </c>
      <c r="AV39" s="157">
        <f t="shared" si="10"/>
        <v>45335</v>
      </c>
      <c r="AW39" s="167" t="str">
        <f t="shared" si="10"/>
        <v>BD</v>
      </c>
      <c r="AX39" s="168">
        <f t="shared" si="8"/>
        <v>823056.7133249999</v>
      </c>
      <c r="AY39" s="168">
        <f t="shared" si="8"/>
        <v>1091431.4526750001</v>
      </c>
      <c r="AZ39" s="168">
        <f t="shared" si="8"/>
        <v>-123.00322500000001</v>
      </c>
      <c r="BA39" s="168">
        <f t="shared" si="7"/>
        <v>5.0836979082880349</v>
      </c>
      <c r="BB39" s="168">
        <f t="shared" si="9"/>
        <v>2.6768469773606172</v>
      </c>
      <c r="BC39" s="169">
        <f t="shared" si="9"/>
        <v>-0.72706197908289028</v>
      </c>
    </row>
    <row r="40" spans="28:55" ht="15">
      <c r="AB40" s="181">
        <v>45335</v>
      </c>
      <c r="AC40" s="157" t="s">
        <v>32</v>
      </c>
      <c r="AD40" s="158" t="s">
        <v>32</v>
      </c>
      <c r="AE40" s="157">
        <v>823058.96964999998</v>
      </c>
      <c r="AF40" s="157">
        <v>1091426.6567250001</v>
      </c>
      <c r="AG40" s="159">
        <v>-123.0608</v>
      </c>
      <c r="AL40" s="160">
        <f t="shared" si="4"/>
        <v>5.0655447074970894</v>
      </c>
      <c r="AM40" s="161">
        <f t="shared" si="5"/>
        <v>-2.6233237151016313</v>
      </c>
      <c r="AN40" s="162">
        <f t="shared" si="0"/>
        <v>-0.78445544707497561</v>
      </c>
      <c r="AO40" s="163">
        <f t="shared" si="1"/>
        <v>-122.27634455292502</v>
      </c>
      <c r="AV40" s="157">
        <f t="shared" si="10"/>
        <v>45335</v>
      </c>
      <c r="AW40" s="167" t="str">
        <f t="shared" si="10"/>
        <v>BG</v>
      </c>
      <c r="AX40" s="168">
        <f t="shared" si="8"/>
        <v>823058.96964999998</v>
      </c>
      <c r="AY40" s="168">
        <f t="shared" si="8"/>
        <v>1091426.6567250001</v>
      </c>
      <c r="AZ40" s="168">
        <f t="shared" si="8"/>
        <v>-123.0608</v>
      </c>
      <c r="BA40" s="168">
        <f t="shared" si="7"/>
        <v>5.0655447074970894</v>
      </c>
      <c r="BB40" s="168">
        <f t="shared" si="9"/>
        <v>-2.6233237151016313</v>
      </c>
      <c r="BC40" s="169">
        <f t="shared" si="9"/>
        <v>-0.78445544707497561</v>
      </c>
    </row>
    <row r="41" spans="28:55" ht="15">
      <c r="AB41" s="181">
        <v>45335</v>
      </c>
      <c r="AC41" s="157" t="s">
        <v>64</v>
      </c>
      <c r="AD41" s="158" t="s">
        <v>64</v>
      </c>
      <c r="AE41" s="157">
        <v>823057.99935000006</v>
      </c>
      <c r="AF41" s="157">
        <v>1091429.0837000001</v>
      </c>
      <c r="AG41" s="159">
        <v>-119.688125</v>
      </c>
      <c r="AL41" s="160">
        <f t="shared" si="4"/>
        <v>4.9192927218384632</v>
      </c>
      <c r="AM41" s="161">
        <f t="shared" si="5"/>
        <v>-1.3668546896547456E-2</v>
      </c>
      <c r="AN41" s="162">
        <f t="shared" si="0"/>
        <v>2.5896820727816134</v>
      </c>
      <c r="AO41" s="163">
        <f t="shared" si="1"/>
        <v>-122.27780707278161</v>
      </c>
      <c r="AV41" s="157">
        <f t="shared" si="10"/>
        <v>45335</v>
      </c>
      <c r="AW41" s="167" t="str">
        <f t="shared" si="10"/>
        <v>CH</v>
      </c>
      <c r="AX41" s="168">
        <f t="shared" si="8"/>
        <v>823057.99935000006</v>
      </c>
      <c r="AY41" s="168">
        <f t="shared" si="8"/>
        <v>1091429.0837000001</v>
      </c>
      <c r="AZ41" s="168">
        <f t="shared" si="8"/>
        <v>-119.688125</v>
      </c>
      <c r="BA41" s="168">
        <f t="shared" si="7"/>
        <v>4.9192927218384632</v>
      </c>
      <c r="BB41" s="168">
        <f t="shared" si="9"/>
        <v>-1.3668546896547456E-2</v>
      </c>
      <c r="BC41" s="169">
        <f t="shared" si="9"/>
        <v>2.5896820727816134</v>
      </c>
    </row>
    <row r="42" spans="28:55" ht="15">
      <c r="AB42" s="181">
        <v>45335</v>
      </c>
      <c r="AC42" s="157" t="s">
        <v>11</v>
      </c>
      <c r="AD42" s="158" t="s">
        <v>11</v>
      </c>
      <c r="AE42" s="157">
        <v>823056.97120000003</v>
      </c>
      <c r="AF42" s="157">
        <v>1091430.3843499999</v>
      </c>
      <c r="AG42" s="159">
        <v>-120.09425</v>
      </c>
      <c r="AL42" s="160">
        <f t="shared" si="4"/>
        <v>5.3014603016246138</v>
      </c>
      <c r="AM42" s="161">
        <f t="shared" si="5"/>
        <v>1.5996295612310831</v>
      </c>
      <c r="AN42" s="162">
        <f t="shared" si="0"/>
        <v>2.1797353969837445</v>
      </c>
      <c r="AO42" s="163">
        <f t="shared" si="1"/>
        <v>-122.27398539698375</v>
      </c>
      <c r="AV42" s="157">
        <f t="shared" si="10"/>
        <v>45335</v>
      </c>
      <c r="AW42" s="167" t="str">
        <f t="shared" si="10"/>
        <v>HD</v>
      </c>
      <c r="AX42" s="168">
        <f t="shared" si="8"/>
        <v>823056.97120000003</v>
      </c>
      <c r="AY42" s="168">
        <f t="shared" si="8"/>
        <v>1091430.3843499999</v>
      </c>
      <c r="AZ42" s="168">
        <f t="shared" si="8"/>
        <v>-120.09425</v>
      </c>
      <c r="BA42" s="168">
        <f t="shared" si="7"/>
        <v>5.3014603016246138</v>
      </c>
      <c r="BB42" s="168">
        <f t="shared" si="9"/>
        <v>1.5996295612310831</v>
      </c>
      <c r="BC42" s="169">
        <f t="shared" si="9"/>
        <v>2.1797353969837445</v>
      </c>
    </row>
    <row r="43" spans="28:55" ht="15">
      <c r="AB43" s="181">
        <v>45335</v>
      </c>
      <c r="AC43" s="157" t="s">
        <v>10</v>
      </c>
      <c r="AD43" s="158" t="s">
        <v>10</v>
      </c>
      <c r="AE43" s="157">
        <v>823058.93119999999</v>
      </c>
      <c r="AF43" s="157">
        <v>1091426.7421000001</v>
      </c>
      <c r="AG43" s="159">
        <v>-121.12832499999999</v>
      </c>
      <c r="AL43" s="160">
        <f t="shared" si="4"/>
        <v>5.0643126975535795</v>
      </c>
      <c r="AM43" s="161">
        <f t="shared" si="5"/>
        <v>-2.5296979959851655</v>
      </c>
      <c r="AN43" s="162">
        <f t="shared" si="0"/>
        <v>1.148031873024479</v>
      </c>
      <c r="AO43" s="163">
        <f t="shared" si="1"/>
        <v>-122.27635687302447</v>
      </c>
      <c r="AV43" s="157">
        <f t="shared" si="10"/>
        <v>45335</v>
      </c>
      <c r="AW43" s="167" t="str">
        <f t="shared" si="10"/>
        <v>HG</v>
      </c>
      <c r="AX43" s="168">
        <f t="shared" si="8"/>
        <v>823058.93119999999</v>
      </c>
      <c r="AY43" s="168">
        <f t="shared" si="8"/>
        <v>1091426.7421000001</v>
      </c>
      <c r="AZ43" s="168">
        <f t="shared" si="8"/>
        <v>-121.12832499999999</v>
      </c>
      <c r="BA43" s="168">
        <f t="shared" si="7"/>
        <v>5.0643126975535795</v>
      </c>
      <c r="BB43" s="168">
        <f t="shared" si="9"/>
        <v>-2.5296979959851655</v>
      </c>
      <c r="BC43" s="169">
        <f t="shared" si="9"/>
        <v>1.148031873024479</v>
      </c>
    </row>
    <row r="44" spans="28:55" ht="15">
      <c r="AB44" s="181">
        <v>45337</v>
      </c>
      <c r="AC44" s="157" t="s">
        <v>33</v>
      </c>
      <c r="AD44" s="158" t="s">
        <v>33</v>
      </c>
      <c r="AE44" s="157">
        <v>823056.71308000002</v>
      </c>
      <c r="AF44" s="157">
        <v>1091431.4529399998</v>
      </c>
      <c r="AG44" s="159">
        <v>-123.00358000000001</v>
      </c>
      <c r="AL44" s="160">
        <f t="shared" si="4"/>
        <v>5.0838079653539205</v>
      </c>
      <c r="AM44" s="161">
        <f t="shared" si="5"/>
        <v>2.6771906883177921</v>
      </c>
      <c r="AN44" s="162">
        <f t="shared" si="0"/>
        <v>-0.72741807965356031</v>
      </c>
      <c r="AO44" s="163">
        <f t="shared" si="1"/>
        <v>-122.27616192034645</v>
      </c>
      <c r="AV44" s="157">
        <f t="shared" si="10"/>
        <v>45337</v>
      </c>
      <c r="AW44" s="167" t="str">
        <f t="shared" si="10"/>
        <v>BD</v>
      </c>
      <c r="AX44" s="168">
        <f t="shared" si="8"/>
        <v>823056.71308000002</v>
      </c>
      <c r="AY44" s="168">
        <f t="shared" si="8"/>
        <v>1091431.4529399998</v>
      </c>
      <c r="AZ44" s="168">
        <f t="shared" si="8"/>
        <v>-123.00358000000001</v>
      </c>
      <c r="BA44" s="168">
        <f t="shared" si="7"/>
        <v>5.0838079653539205</v>
      </c>
      <c r="BB44" s="168">
        <f t="shared" si="9"/>
        <v>2.6771906883177921</v>
      </c>
      <c r="BC44" s="169">
        <f t="shared" si="9"/>
        <v>-0.72741807965356031</v>
      </c>
    </row>
    <row r="45" spans="28:55" ht="15">
      <c r="AB45" s="181">
        <v>45337</v>
      </c>
      <c r="AC45" s="157" t="s">
        <v>32</v>
      </c>
      <c r="AD45" s="158" t="s">
        <v>32</v>
      </c>
      <c r="AE45" s="157">
        <v>823058.96875999996</v>
      </c>
      <c r="AF45" s="157">
        <v>1091426.6570000001</v>
      </c>
      <c r="AG45" s="159">
        <v>-123.06071999999999</v>
      </c>
      <c r="AL45" s="160">
        <f t="shared" si="4"/>
        <v>5.0662351113793136</v>
      </c>
      <c r="AM45" s="161">
        <f t="shared" si="5"/>
        <v>-2.6226983611836285</v>
      </c>
      <c r="AN45" s="162">
        <f t="shared" si="0"/>
        <v>-0.78438235111379129</v>
      </c>
      <c r="AO45" s="163">
        <f t="shared" si="1"/>
        <v>-122.2763376488862</v>
      </c>
      <c r="AV45" s="157">
        <f t="shared" si="10"/>
        <v>45337</v>
      </c>
      <c r="AW45" s="167" t="str">
        <f t="shared" si="10"/>
        <v>BG</v>
      </c>
      <c r="AX45" s="168">
        <f t="shared" si="8"/>
        <v>823058.96875999996</v>
      </c>
      <c r="AY45" s="168">
        <f t="shared" si="8"/>
        <v>1091426.6570000001</v>
      </c>
      <c r="AZ45" s="168">
        <f t="shared" si="8"/>
        <v>-123.06071999999999</v>
      </c>
      <c r="BA45" s="168">
        <f t="shared" si="7"/>
        <v>5.0662351113793136</v>
      </c>
      <c r="BB45" s="168">
        <f t="shared" si="9"/>
        <v>-2.6226983611836285</v>
      </c>
      <c r="BC45" s="169">
        <f t="shared" si="9"/>
        <v>-0.78438235111379129</v>
      </c>
    </row>
    <row r="46" spans="28:55" ht="15">
      <c r="AB46" s="181">
        <v>45337</v>
      </c>
      <c r="AC46" s="157" t="s">
        <v>64</v>
      </c>
      <c r="AD46" s="158" t="s">
        <v>64</v>
      </c>
      <c r="AE46" s="157">
        <v>823057.99897499999</v>
      </c>
      <c r="AF46" s="157">
        <v>1091429.0833749999</v>
      </c>
      <c r="AG46" s="159">
        <v>-119.687725</v>
      </c>
      <c r="AL46" s="160">
        <f t="shared" si="4"/>
        <v>4.9197699361460909</v>
      </c>
      <c r="AM46" s="161">
        <f t="shared" si="5"/>
        <v>-1.38046227792683E-2</v>
      </c>
      <c r="AN46" s="162">
        <f t="shared" si="0"/>
        <v>2.5900773006385407</v>
      </c>
      <c r="AO46" s="163">
        <f t="shared" si="1"/>
        <v>-122.27780230063854</v>
      </c>
      <c r="AV46" s="157">
        <f t="shared" si="10"/>
        <v>45337</v>
      </c>
      <c r="AW46" s="167" t="str">
        <f t="shared" si="10"/>
        <v>CH</v>
      </c>
      <c r="AX46" s="168">
        <f t="shared" ref="AX46:AZ61" si="11">AE46</f>
        <v>823057.99897499999</v>
      </c>
      <c r="AY46" s="168">
        <f t="shared" si="11"/>
        <v>1091429.0833749999</v>
      </c>
      <c r="AZ46" s="168">
        <f t="shared" si="11"/>
        <v>-119.687725</v>
      </c>
      <c r="BA46" s="168">
        <f t="shared" si="7"/>
        <v>4.9197699361460909</v>
      </c>
      <c r="BB46" s="168">
        <f t="shared" ref="BB46:BC61" si="12">AM46</f>
        <v>-1.38046227792683E-2</v>
      </c>
      <c r="BC46" s="169">
        <f t="shared" si="12"/>
        <v>2.5900773006385407</v>
      </c>
    </row>
    <row r="47" spans="28:55" ht="15">
      <c r="AB47" s="181">
        <v>45337</v>
      </c>
      <c r="AC47" s="157" t="s">
        <v>11</v>
      </c>
      <c r="AD47" s="158" t="s">
        <v>11</v>
      </c>
      <c r="AE47" s="157">
        <v>823056.97122499999</v>
      </c>
      <c r="AF47" s="157">
        <v>1091430.3846499999</v>
      </c>
      <c r="AG47" s="159">
        <v>-120.09387500000001</v>
      </c>
      <c r="AL47" s="160">
        <f t="shared" si="4"/>
        <v>5.3013108626666936</v>
      </c>
      <c r="AM47" s="161">
        <f t="shared" si="5"/>
        <v>1.5998908904666438</v>
      </c>
      <c r="AN47" s="162">
        <f t="shared" si="0"/>
        <v>2.1801118913733148</v>
      </c>
      <c r="AO47" s="163">
        <f t="shared" si="1"/>
        <v>-122.27398689137333</v>
      </c>
      <c r="AV47" s="157">
        <f t="shared" ref="AV47:AW62" si="13">AB47</f>
        <v>45337</v>
      </c>
      <c r="AW47" s="167" t="str">
        <f t="shared" si="13"/>
        <v>HD</v>
      </c>
      <c r="AX47" s="168">
        <f t="shared" si="11"/>
        <v>823056.97122499999</v>
      </c>
      <c r="AY47" s="168">
        <f t="shared" si="11"/>
        <v>1091430.3846499999</v>
      </c>
      <c r="AZ47" s="168">
        <f t="shared" si="11"/>
        <v>-120.09387500000001</v>
      </c>
      <c r="BA47" s="168">
        <f t="shared" si="7"/>
        <v>5.3013108626666936</v>
      </c>
      <c r="BB47" s="168">
        <f t="shared" si="12"/>
        <v>1.5998908904666438</v>
      </c>
      <c r="BC47" s="169">
        <f t="shared" si="12"/>
        <v>2.1801118913733148</v>
      </c>
    </row>
    <row r="48" spans="28:55" ht="15">
      <c r="AB48" s="181">
        <v>45337</v>
      </c>
      <c r="AC48" s="157" t="s">
        <v>10</v>
      </c>
      <c r="AD48" s="158" t="s">
        <v>10</v>
      </c>
      <c r="AE48" s="157">
        <v>823058.93066666659</v>
      </c>
      <c r="AF48" s="157">
        <v>1091426.7422333334</v>
      </c>
      <c r="AG48" s="159">
        <v>-121.12804999999999</v>
      </c>
      <c r="AL48" s="160">
        <f t="shared" si="4"/>
        <v>5.0647397182025733</v>
      </c>
      <c r="AM48" s="161">
        <f t="shared" si="5"/>
        <v>-2.5293517653727684</v>
      </c>
      <c r="AN48" s="162">
        <f t="shared" si="0"/>
        <v>1.1483026028179779</v>
      </c>
      <c r="AO48" s="163">
        <f t="shared" si="1"/>
        <v>-122.27635260281797</v>
      </c>
      <c r="AV48" s="157">
        <f t="shared" si="13"/>
        <v>45337</v>
      </c>
      <c r="AW48" s="167" t="str">
        <f t="shared" si="13"/>
        <v>HG</v>
      </c>
      <c r="AX48" s="168">
        <f t="shared" si="11"/>
        <v>823058.93066666659</v>
      </c>
      <c r="AY48" s="168">
        <f t="shared" si="11"/>
        <v>1091426.7422333334</v>
      </c>
      <c r="AZ48" s="168">
        <f t="shared" si="11"/>
        <v>-121.12804999999999</v>
      </c>
      <c r="BA48" s="168">
        <f t="shared" si="7"/>
        <v>5.0647397182025733</v>
      </c>
      <c r="BB48" s="168">
        <f t="shared" si="12"/>
        <v>-2.5293517653727684</v>
      </c>
      <c r="BC48" s="169">
        <f t="shared" si="12"/>
        <v>1.1483026028179779</v>
      </c>
    </row>
    <row r="49" spans="28:55" ht="15">
      <c r="AB49" s="181">
        <v>45338</v>
      </c>
      <c r="AC49" s="157" t="s">
        <v>33</v>
      </c>
      <c r="AD49" s="158" t="s">
        <v>33</v>
      </c>
      <c r="AE49" s="157">
        <v>823056.71232749999</v>
      </c>
      <c r="AF49" s="157">
        <v>1091431.4523824998</v>
      </c>
      <c r="AG49" s="159">
        <v>-123.00346500000001</v>
      </c>
      <c r="AL49" s="160">
        <f t="shared" si="4"/>
        <v>5.0847255686618738</v>
      </c>
      <c r="AM49" s="161">
        <f t="shared" si="5"/>
        <v>2.6770034274349448</v>
      </c>
      <c r="AN49" s="162">
        <f t="shared" si="0"/>
        <v>-0.72731225568662694</v>
      </c>
      <c r="AO49" s="163">
        <f t="shared" si="1"/>
        <v>-122.27615274431338</v>
      </c>
      <c r="AV49" s="157">
        <f t="shared" si="13"/>
        <v>45338</v>
      </c>
      <c r="AW49" s="167" t="str">
        <f t="shared" si="13"/>
        <v>BD</v>
      </c>
      <c r="AX49" s="168">
        <f t="shared" si="11"/>
        <v>823056.71232749999</v>
      </c>
      <c r="AY49" s="168">
        <f t="shared" si="11"/>
        <v>1091431.4523824998</v>
      </c>
      <c r="AZ49" s="168">
        <f t="shared" si="11"/>
        <v>-123.00346500000001</v>
      </c>
      <c r="BA49" s="168">
        <f t="shared" si="7"/>
        <v>5.0847255686618738</v>
      </c>
      <c r="BB49" s="168">
        <f t="shared" si="12"/>
        <v>2.6770034274349448</v>
      </c>
      <c r="BC49" s="169">
        <f t="shared" si="12"/>
        <v>-0.72731225568662694</v>
      </c>
    </row>
    <row r="50" spans="28:55" ht="15">
      <c r="AB50" s="181">
        <v>45338</v>
      </c>
      <c r="AC50" s="157" t="s">
        <v>32</v>
      </c>
      <c r="AD50" s="158" t="s">
        <v>32</v>
      </c>
      <c r="AE50" s="157">
        <v>823058.96844249999</v>
      </c>
      <c r="AF50" s="157">
        <v>1091426.656225</v>
      </c>
      <c r="AG50" s="159">
        <v>-123.0608975</v>
      </c>
      <c r="AL50" s="160">
        <f t="shared" si="4"/>
        <v>5.0668503842226675</v>
      </c>
      <c r="AM50" s="161">
        <f t="shared" si="5"/>
        <v>-2.6232665782950684</v>
      </c>
      <c r="AN50" s="162">
        <f t="shared" si="0"/>
        <v>-0.78456600384222952</v>
      </c>
      <c r="AO50" s="163">
        <f t="shared" si="1"/>
        <v>-122.27633149615777</v>
      </c>
      <c r="AV50" s="157">
        <f t="shared" si="13"/>
        <v>45338</v>
      </c>
      <c r="AW50" s="167" t="str">
        <f t="shared" si="13"/>
        <v>BG</v>
      </c>
      <c r="AX50" s="168">
        <f t="shared" si="11"/>
        <v>823058.96844249999</v>
      </c>
      <c r="AY50" s="168">
        <f t="shared" si="11"/>
        <v>1091426.656225</v>
      </c>
      <c r="AZ50" s="168">
        <f t="shared" si="11"/>
        <v>-123.0608975</v>
      </c>
      <c r="BA50" s="168">
        <f t="shared" si="7"/>
        <v>5.0668503842226675</v>
      </c>
      <c r="BB50" s="168">
        <f t="shared" si="12"/>
        <v>-2.6232665782950684</v>
      </c>
      <c r="BC50" s="169">
        <f t="shared" si="12"/>
        <v>-0.78456600384222952</v>
      </c>
    </row>
    <row r="51" spans="28:55" ht="15">
      <c r="AB51" s="181">
        <v>45338</v>
      </c>
      <c r="AC51" s="157" t="s">
        <v>64</v>
      </c>
      <c r="AD51" s="158" t="s">
        <v>64</v>
      </c>
      <c r="AE51" s="157">
        <v>823057.99896250002</v>
      </c>
      <c r="AF51" s="157">
        <v>1091429.0830625</v>
      </c>
      <c r="AG51" s="159">
        <v>-119.6877375</v>
      </c>
      <c r="AL51" s="160">
        <f t="shared" si="4"/>
        <v>4.9199133287308952</v>
      </c>
      <c r="AM51" s="161">
        <f t="shared" si="5"/>
        <v>-1.4082563466009237E-2</v>
      </c>
      <c r="AN51" s="162">
        <f t="shared" si="0"/>
        <v>2.5900633667126982</v>
      </c>
      <c r="AO51" s="163">
        <f t="shared" si="1"/>
        <v>-122.2778008667127</v>
      </c>
      <c r="AV51" s="157">
        <f t="shared" si="13"/>
        <v>45338</v>
      </c>
      <c r="AW51" s="167" t="str">
        <f t="shared" si="13"/>
        <v>CH</v>
      </c>
      <c r="AX51" s="168">
        <f t="shared" si="11"/>
        <v>823057.99896250002</v>
      </c>
      <c r="AY51" s="168">
        <f t="shared" si="11"/>
        <v>1091429.0830625</v>
      </c>
      <c r="AZ51" s="168">
        <f t="shared" si="11"/>
        <v>-119.6877375</v>
      </c>
      <c r="BA51" s="168">
        <f t="shared" si="7"/>
        <v>4.9199133287308952</v>
      </c>
      <c r="BB51" s="168">
        <f t="shared" si="12"/>
        <v>-1.4082563466009237E-2</v>
      </c>
      <c r="BC51" s="169">
        <f t="shared" si="12"/>
        <v>2.5900633667126982</v>
      </c>
    </row>
    <row r="52" spans="28:55" ht="15">
      <c r="AB52" s="181">
        <v>45338</v>
      </c>
      <c r="AC52" s="157" t="s">
        <v>11</v>
      </c>
      <c r="AD52" s="158" t="s">
        <v>11</v>
      </c>
      <c r="AE52" s="157">
        <v>823056.97041249997</v>
      </c>
      <c r="AF52" s="157">
        <v>1091430.3840874999</v>
      </c>
      <c r="AG52" s="159">
        <v>-120.09358750000001</v>
      </c>
      <c r="AL52" s="160">
        <f t="shared" si="4"/>
        <v>5.3022849578726658</v>
      </c>
      <c r="AM52" s="161">
        <f t="shared" si="5"/>
        <v>1.5997244542034537</v>
      </c>
      <c r="AN52" s="162">
        <f t="shared" si="0"/>
        <v>2.1803896504212616</v>
      </c>
      <c r="AO52" s="163">
        <f t="shared" si="1"/>
        <v>-122.27397715042127</v>
      </c>
      <c r="AV52" s="157">
        <f t="shared" si="13"/>
        <v>45338</v>
      </c>
      <c r="AW52" s="167" t="str">
        <f t="shared" si="13"/>
        <v>HD</v>
      </c>
      <c r="AX52" s="168">
        <f t="shared" si="11"/>
        <v>823056.97041249997</v>
      </c>
      <c r="AY52" s="168">
        <f t="shared" si="11"/>
        <v>1091430.3840874999</v>
      </c>
      <c r="AZ52" s="168">
        <f t="shared" si="11"/>
        <v>-120.09358750000001</v>
      </c>
      <c r="BA52" s="168">
        <f t="shared" si="7"/>
        <v>5.3022849578726658</v>
      </c>
      <c r="BB52" s="168">
        <f t="shared" si="12"/>
        <v>1.5997244542034537</v>
      </c>
      <c r="BC52" s="169">
        <f t="shared" si="12"/>
        <v>2.1803896504212616</v>
      </c>
    </row>
    <row r="53" spans="28:55" ht="15">
      <c r="AB53" s="181">
        <v>45338</v>
      </c>
      <c r="AC53" s="157" t="s">
        <v>10</v>
      </c>
      <c r="AD53" s="158" t="s">
        <v>10</v>
      </c>
      <c r="AE53" s="157">
        <v>823058.93022083328</v>
      </c>
      <c r="AF53" s="157">
        <v>1091426.7414541668</v>
      </c>
      <c r="AG53" s="159">
        <v>-121.12789999999998</v>
      </c>
      <c r="AL53" s="160">
        <f t="shared" si="4"/>
        <v>5.0654730621953963</v>
      </c>
      <c r="AM53" s="161">
        <f t="shared" si="5"/>
        <v>-2.5298695244850422</v>
      </c>
      <c r="AN53" s="162">
        <f t="shared" si="0"/>
        <v>1.1484452693780582</v>
      </c>
      <c r="AO53" s="163">
        <f t="shared" si="1"/>
        <v>-122.27634526937804</v>
      </c>
      <c r="AV53" s="157">
        <f t="shared" si="13"/>
        <v>45338</v>
      </c>
      <c r="AW53" s="167" t="str">
        <f t="shared" si="13"/>
        <v>HG</v>
      </c>
      <c r="AX53" s="168">
        <f t="shared" si="11"/>
        <v>823058.93022083328</v>
      </c>
      <c r="AY53" s="168">
        <f t="shared" si="11"/>
        <v>1091426.7414541668</v>
      </c>
      <c r="AZ53" s="168">
        <f t="shared" si="11"/>
        <v>-121.12789999999998</v>
      </c>
      <c r="BA53" s="168">
        <f t="shared" si="7"/>
        <v>5.0654730621953963</v>
      </c>
      <c r="BB53" s="168">
        <f t="shared" si="12"/>
        <v>-2.5298695244850422</v>
      </c>
      <c r="BC53" s="169">
        <f t="shared" si="12"/>
        <v>1.1484452693780582</v>
      </c>
    </row>
    <row r="54" spans="28:55" ht="15">
      <c r="AB54" s="181">
        <v>45341</v>
      </c>
      <c r="AC54" s="157" t="s">
        <v>33</v>
      </c>
      <c r="AD54" s="158" t="s">
        <v>33</v>
      </c>
      <c r="AE54" s="157">
        <v>823056.71259999997</v>
      </c>
      <c r="AF54" s="157">
        <v>1091431.4524000001</v>
      </c>
      <c r="AG54" s="159">
        <v>-123.0038</v>
      </c>
      <c r="AL54" s="160">
        <f t="shared" si="4"/>
        <v>5.0844712023033569</v>
      </c>
      <c r="AM54" s="161">
        <f t="shared" si="5"/>
        <v>2.6769041286272679</v>
      </c>
      <c r="AN54" s="162">
        <f t="shared" si="0"/>
        <v>-0.72764471202303582</v>
      </c>
      <c r="AO54" s="163">
        <f t="shared" si="1"/>
        <v>-122.27615528797696</v>
      </c>
      <c r="AV54" s="157">
        <f t="shared" si="13"/>
        <v>45341</v>
      </c>
      <c r="AW54" s="167" t="str">
        <f t="shared" si="13"/>
        <v>BD</v>
      </c>
      <c r="AX54" s="168">
        <f t="shared" si="11"/>
        <v>823056.71259999997</v>
      </c>
      <c r="AY54" s="168">
        <f t="shared" si="11"/>
        <v>1091431.4524000001</v>
      </c>
      <c r="AZ54" s="168">
        <f t="shared" si="11"/>
        <v>-123.0038</v>
      </c>
      <c r="BA54" s="168">
        <f t="shared" si="7"/>
        <v>5.0844712023033569</v>
      </c>
      <c r="BB54" s="168">
        <f t="shared" si="12"/>
        <v>2.6769041286272679</v>
      </c>
      <c r="BC54" s="169">
        <f t="shared" si="12"/>
        <v>-0.72764471202303582</v>
      </c>
    </row>
    <row r="55" spans="28:55" ht="15">
      <c r="AB55" s="181">
        <v>45341</v>
      </c>
      <c r="AC55" s="157" t="s">
        <v>32</v>
      </c>
      <c r="AD55" s="158" t="s">
        <v>32</v>
      </c>
      <c r="AE55" s="157">
        <v>823058.96860000002</v>
      </c>
      <c r="AF55" s="157">
        <v>1091426.6569000001</v>
      </c>
      <c r="AG55" s="159">
        <v>-123.06139999999999</v>
      </c>
      <c r="AL55" s="160">
        <f t="shared" si="4"/>
        <v>5.066422382055416</v>
      </c>
      <c r="AM55" s="161">
        <f t="shared" si="5"/>
        <v>-2.6227213761036485</v>
      </c>
      <c r="AN55" s="162">
        <f t="shared" si="0"/>
        <v>-0.78506422382054097</v>
      </c>
      <c r="AO55" s="163">
        <f t="shared" si="1"/>
        <v>-122.27633577617945</v>
      </c>
      <c r="AV55" s="157">
        <f t="shared" si="13"/>
        <v>45341</v>
      </c>
      <c r="AW55" s="167" t="str">
        <f t="shared" si="13"/>
        <v>BG</v>
      </c>
      <c r="AX55" s="168">
        <f t="shared" si="11"/>
        <v>823058.96860000002</v>
      </c>
      <c r="AY55" s="168">
        <f t="shared" si="11"/>
        <v>1091426.6569000001</v>
      </c>
      <c r="AZ55" s="168">
        <f t="shared" si="11"/>
        <v>-123.06139999999999</v>
      </c>
      <c r="BA55" s="168">
        <f t="shared" si="7"/>
        <v>5.066422382055416</v>
      </c>
      <c r="BB55" s="168">
        <f t="shared" si="12"/>
        <v>-2.6227213761036485</v>
      </c>
      <c r="BC55" s="169">
        <f t="shared" si="12"/>
        <v>-0.78506422382054097</v>
      </c>
    </row>
    <row r="56" spans="28:55" ht="15">
      <c r="AB56" s="181">
        <v>45341</v>
      </c>
      <c r="AC56" s="157" t="s">
        <v>64</v>
      </c>
      <c r="AD56" s="158" t="s">
        <v>64</v>
      </c>
      <c r="AE56" s="157">
        <v>823057.99809999997</v>
      </c>
      <c r="AF56" s="157">
        <v>1091429.0832</v>
      </c>
      <c r="AG56" s="159">
        <v>-119.6879</v>
      </c>
      <c r="AL56" s="160">
        <f t="shared" si="4"/>
        <v>4.9206369170130619</v>
      </c>
      <c r="AM56" s="161">
        <f t="shared" si="5"/>
        <v>-1.3593449388391741E-2</v>
      </c>
      <c r="AN56" s="162">
        <f t="shared" si="0"/>
        <v>2.589893630829863</v>
      </c>
      <c r="AO56" s="163">
        <f t="shared" si="1"/>
        <v>-122.27779363082986</v>
      </c>
      <c r="AV56" s="157">
        <f t="shared" si="13"/>
        <v>45341</v>
      </c>
      <c r="AW56" s="167" t="str">
        <f t="shared" si="13"/>
        <v>CH</v>
      </c>
      <c r="AX56" s="168">
        <f t="shared" si="11"/>
        <v>823057.99809999997</v>
      </c>
      <c r="AY56" s="168">
        <f t="shared" si="11"/>
        <v>1091429.0832</v>
      </c>
      <c r="AZ56" s="168">
        <f t="shared" si="11"/>
        <v>-119.6879</v>
      </c>
      <c r="BA56" s="168">
        <f t="shared" si="7"/>
        <v>4.9206369170130619</v>
      </c>
      <c r="BB56" s="168">
        <f t="shared" si="12"/>
        <v>-1.3593449388391741E-2</v>
      </c>
      <c r="BC56" s="169">
        <f t="shared" si="12"/>
        <v>2.589893630829863</v>
      </c>
    </row>
    <row r="57" spans="28:55" ht="15">
      <c r="AB57" s="181">
        <v>45341</v>
      </c>
      <c r="AC57" s="157" t="s">
        <v>11</v>
      </c>
      <c r="AD57" s="158" t="s">
        <v>11</v>
      </c>
      <c r="AE57" s="157">
        <v>823056.97069999995</v>
      </c>
      <c r="AF57" s="157">
        <v>1091430.3840999999</v>
      </c>
      <c r="AG57" s="159">
        <v>-120.09439999999999</v>
      </c>
      <c r="AL57" s="160">
        <f t="shared" si="4"/>
        <v>5.3020191099321536</v>
      </c>
      <c r="AM57" s="161">
        <f t="shared" si="5"/>
        <v>1.5996142845210202</v>
      </c>
      <c r="AN57" s="162">
        <f t="shared" si="0"/>
        <v>2.1795798089006837</v>
      </c>
      <c r="AO57" s="163">
        <f t="shared" si="1"/>
        <v>-122.27397980890068</v>
      </c>
      <c r="AV57" s="157">
        <f t="shared" si="13"/>
        <v>45341</v>
      </c>
      <c r="AW57" s="167" t="str">
        <f t="shared" si="13"/>
        <v>HD</v>
      </c>
      <c r="AX57" s="168">
        <f t="shared" si="11"/>
        <v>823056.97069999995</v>
      </c>
      <c r="AY57" s="168">
        <f t="shared" si="11"/>
        <v>1091430.3840999999</v>
      </c>
      <c r="AZ57" s="168">
        <f t="shared" si="11"/>
        <v>-120.09439999999999</v>
      </c>
      <c r="BA57" s="168">
        <f t="shared" si="7"/>
        <v>5.3020191099321536</v>
      </c>
      <c r="BB57" s="168">
        <f t="shared" si="12"/>
        <v>1.5996142845210202</v>
      </c>
      <c r="BC57" s="169">
        <f t="shared" si="12"/>
        <v>2.1795798089006837</v>
      </c>
    </row>
    <row r="58" spans="28:55" ht="15">
      <c r="AB58" s="181">
        <v>45341</v>
      </c>
      <c r="AC58" s="157" t="s">
        <v>10</v>
      </c>
      <c r="AD58" s="158" t="s">
        <v>10</v>
      </c>
      <c r="AE58" s="157">
        <v>823058.93039999995</v>
      </c>
      <c r="AF58" s="157">
        <v>1091426.7418</v>
      </c>
      <c r="AG58" s="159">
        <v>-121.12869999999999</v>
      </c>
      <c r="AL58" s="160">
        <f t="shared" si="4"/>
        <v>5.0651645304292776</v>
      </c>
      <c r="AM58" s="161">
        <f t="shared" si="5"/>
        <v>-2.5296318074212283</v>
      </c>
      <c r="AN58" s="162">
        <f t="shared" si="0"/>
        <v>1.1476483546957041</v>
      </c>
      <c r="AO58" s="163">
        <f t="shared" si="1"/>
        <v>-122.2763483546957</v>
      </c>
      <c r="AV58" s="157">
        <f t="shared" si="13"/>
        <v>45341</v>
      </c>
      <c r="AW58" s="167" t="str">
        <f t="shared" si="13"/>
        <v>HG</v>
      </c>
      <c r="AX58" s="168">
        <f t="shared" si="11"/>
        <v>823058.93039999995</v>
      </c>
      <c r="AY58" s="168">
        <f t="shared" si="11"/>
        <v>1091426.7418</v>
      </c>
      <c r="AZ58" s="168">
        <f t="shared" si="11"/>
        <v>-121.12869999999999</v>
      </c>
      <c r="BA58" s="168">
        <f t="shared" si="7"/>
        <v>5.0651645304292776</v>
      </c>
      <c r="BB58" s="168">
        <f t="shared" si="12"/>
        <v>-2.5296318074212283</v>
      </c>
      <c r="BC58" s="169">
        <f t="shared" si="12"/>
        <v>1.1476483546957041</v>
      </c>
    </row>
    <row r="59" spans="28:55" ht="15">
      <c r="AB59" s="181">
        <v>45343</v>
      </c>
      <c r="AC59" s="157" t="s">
        <v>33</v>
      </c>
      <c r="AD59" s="158" t="s">
        <v>33</v>
      </c>
      <c r="AE59" s="157">
        <v>823056.71239999996</v>
      </c>
      <c r="AF59" s="157">
        <v>1091431.4526</v>
      </c>
      <c r="AG59" s="159">
        <v>-123.0044</v>
      </c>
      <c r="AL59" s="160">
        <f t="shared" si="4"/>
        <v>5.0845679444913294</v>
      </c>
      <c r="AM59" s="161">
        <f t="shared" si="5"/>
        <v>2.6771699122048278</v>
      </c>
      <c r="AN59" s="162">
        <f t="shared" si="0"/>
        <v>-0.72824567944492458</v>
      </c>
      <c r="AO59" s="163">
        <f t="shared" si="1"/>
        <v>-122.27615432055508</v>
      </c>
      <c r="AV59" s="157">
        <f t="shared" si="13"/>
        <v>45343</v>
      </c>
      <c r="AW59" s="167" t="str">
        <f t="shared" si="13"/>
        <v>BD</v>
      </c>
      <c r="AX59" s="168">
        <f t="shared" si="11"/>
        <v>823056.71239999996</v>
      </c>
      <c r="AY59" s="168">
        <f t="shared" si="11"/>
        <v>1091431.4526</v>
      </c>
      <c r="AZ59" s="168">
        <f t="shared" si="11"/>
        <v>-123.0044</v>
      </c>
      <c r="BA59" s="168">
        <f t="shared" si="7"/>
        <v>5.0845679444913294</v>
      </c>
      <c r="BB59" s="168">
        <f t="shared" si="12"/>
        <v>2.6771699122048278</v>
      </c>
      <c r="BC59" s="169">
        <f t="shared" si="12"/>
        <v>-0.72824567944492458</v>
      </c>
    </row>
    <row r="60" spans="28:55" ht="15">
      <c r="AB60" s="181">
        <v>45343</v>
      </c>
      <c r="AC60" s="157" t="s">
        <v>32</v>
      </c>
      <c r="AD60" s="158" t="s">
        <v>32</v>
      </c>
      <c r="AE60" s="157">
        <v>823058.9682</v>
      </c>
      <c r="AF60" s="157">
        <v>1091426.6576</v>
      </c>
      <c r="AG60" s="159">
        <v>-123.0616</v>
      </c>
      <c r="AL60" s="160">
        <f t="shared" si="4"/>
        <v>5.066489085199346</v>
      </c>
      <c r="AM60" s="161">
        <f t="shared" si="5"/>
        <v>-2.6219179144238858</v>
      </c>
      <c r="AN60" s="162">
        <f t="shared" si="0"/>
        <v>-0.78526489085199103</v>
      </c>
      <c r="AO60" s="163">
        <f t="shared" si="1"/>
        <v>-122.27633510914801</v>
      </c>
      <c r="AV60" s="157">
        <f t="shared" si="13"/>
        <v>45343</v>
      </c>
      <c r="AW60" s="167" t="str">
        <f t="shared" si="13"/>
        <v>BG</v>
      </c>
      <c r="AX60" s="168">
        <f t="shared" si="11"/>
        <v>823058.9682</v>
      </c>
      <c r="AY60" s="168">
        <f t="shared" si="11"/>
        <v>1091426.6576</v>
      </c>
      <c r="AZ60" s="168">
        <f t="shared" si="11"/>
        <v>-123.0616</v>
      </c>
      <c r="BA60" s="168">
        <f t="shared" si="7"/>
        <v>5.066489085199346</v>
      </c>
      <c r="BB60" s="168">
        <f t="shared" si="12"/>
        <v>-2.6219179144238858</v>
      </c>
      <c r="BC60" s="169">
        <f t="shared" si="12"/>
        <v>-0.78526489085199103</v>
      </c>
    </row>
    <row r="61" spans="28:55" ht="15">
      <c r="AB61" s="181">
        <v>45343</v>
      </c>
      <c r="AC61" s="157" t="s">
        <v>64</v>
      </c>
      <c r="AD61" s="158" t="s">
        <v>64</v>
      </c>
      <c r="AE61" s="157">
        <v>823057.99840000004</v>
      </c>
      <c r="AF61" s="157">
        <v>1091429.0837999999</v>
      </c>
      <c r="AG61" s="159">
        <v>-119.6887</v>
      </c>
      <c r="AL61" s="160">
        <f t="shared" si="4"/>
        <v>4.9201114603266847</v>
      </c>
      <c r="AM61" s="161">
        <f t="shared" si="5"/>
        <v>-1.3176441943954774E-2</v>
      </c>
      <c r="AN61" s="162">
        <f t="shared" si="0"/>
        <v>2.5890988853967372</v>
      </c>
      <c r="AO61" s="163">
        <f t="shared" si="1"/>
        <v>-122.27779888539673</v>
      </c>
      <c r="AV61" s="157">
        <f t="shared" si="13"/>
        <v>45343</v>
      </c>
      <c r="AW61" s="167" t="str">
        <f t="shared" si="13"/>
        <v>CH</v>
      </c>
      <c r="AX61" s="168">
        <f t="shared" si="11"/>
        <v>823057.99840000004</v>
      </c>
      <c r="AY61" s="168">
        <f t="shared" si="11"/>
        <v>1091429.0837999999</v>
      </c>
      <c r="AZ61" s="168">
        <f t="shared" si="11"/>
        <v>-119.6887</v>
      </c>
      <c r="BA61" s="168">
        <f t="shared" si="7"/>
        <v>4.9201114603266847</v>
      </c>
      <c r="BB61" s="168">
        <f t="shared" si="12"/>
        <v>-1.3176441943954774E-2</v>
      </c>
      <c r="BC61" s="169">
        <f t="shared" si="12"/>
        <v>2.5890988853967372</v>
      </c>
    </row>
    <row r="62" spans="28:55" ht="15">
      <c r="AB62" s="181">
        <v>45343</v>
      </c>
      <c r="AC62" s="157" t="s">
        <v>11</v>
      </c>
      <c r="AD62" s="158" t="s">
        <v>11</v>
      </c>
      <c r="AE62" s="157">
        <v>823056.97069999995</v>
      </c>
      <c r="AF62" s="157">
        <v>1091430.3844000001</v>
      </c>
      <c r="AG62" s="159">
        <v>-120.0954</v>
      </c>
      <c r="AL62" s="160">
        <f t="shared" si="4"/>
        <v>5.3018923287001369</v>
      </c>
      <c r="AM62" s="161">
        <f t="shared" si="5"/>
        <v>1.5998861790456651</v>
      </c>
      <c r="AN62" s="162">
        <f t="shared" si="0"/>
        <v>2.1785810767130016</v>
      </c>
      <c r="AO62" s="163">
        <f t="shared" si="1"/>
        <v>-122.273981076713</v>
      </c>
      <c r="AV62" s="157">
        <f t="shared" si="13"/>
        <v>45343</v>
      </c>
      <c r="AW62" s="167" t="str">
        <f t="shared" si="13"/>
        <v>HD</v>
      </c>
      <c r="AX62" s="168">
        <f t="shared" ref="AX62:AZ69" si="14">AE62</f>
        <v>823056.97069999995</v>
      </c>
      <c r="AY62" s="168">
        <f t="shared" si="14"/>
        <v>1091430.3844000001</v>
      </c>
      <c r="AZ62" s="168">
        <f t="shared" si="14"/>
        <v>-120.0954</v>
      </c>
      <c r="BA62" s="168">
        <f t="shared" si="7"/>
        <v>5.3018923287001369</v>
      </c>
      <c r="BB62" s="168">
        <f t="shared" ref="BB62:BC69" si="15">AM62</f>
        <v>1.5998861790456651</v>
      </c>
      <c r="BC62" s="169">
        <f t="shared" si="15"/>
        <v>2.1785810767130016</v>
      </c>
    </row>
    <row r="63" spans="28:55" ht="15">
      <c r="AB63" s="181">
        <v>45343</v>
      </c>
      <c r="AC63" s="157" t="s">
        <v>10</v>
      </c>
      <c r="AD63" s="158" t="s">
        <v>10</v>
      </c>
      <c r="AE63" s="157">
        <v>823058.93019999994</v>
      </c>
      <c r="AF63" s="157">
        <v>1091426.7427999999</v>
      </c>
      <c r="AG63" s="159">
        <v>-121.12910000000001</v>
      </c>
      <c r="AL63" s="160">
        <f t="shared" si="4"/>
        <v>5.0649231895286677</v>
      </c>
      <c r="AM63" s="161">
        <f t="shared" si="5"/>
        <v>-2.5286409721999825</v>
      </c>
      <c r="AN63" s="162">
        <f t="shared" si="0"/>
        <v>1.1472507681046977</v>
      </c>
      <c r="AO63" s="163">
        <f t="shared" si="1"/>
        <v>-122.27635076810471</v>
      </c>
      <c r="AV63" s="157">
        <f t="shared" ref="AV63:AW69" si="16">AB63</f>
        <v>45343</v>
      </c>
      <c r="AW63" s="167" t="str">
        <f t="shared" si="16"/>
        <v>HG</v>
      </c>
      <c r="AX63" s="168">
        <f t="shared" si="14"/>
        <v>823058.93019999994</v>
      </c>
      <c r="AY63" s="168">
        <f t="shared" si="14"/>
        <v>1091426.7427999999</v>
      </c>
      <c r="AZ63" s="168">
        <f t="shared" si="14"/>
        <v>-121.12910000000001</v>
      </c>
      <c r="BA63" s="168">
        <f t="shared" si="7"/>
        <v>5.0649231895286677</v>
      </c>
      <c r="BB63" s="168">
        <f t="shared" si="15"/>
        <v>-2.5286409721999825</v>
      </c>
      <c r="BC63" s="169">
        <f t="shared" si="15"/>
        <v>1.1472507681046977</v>
      </c>
    </row>
    <row r="64" spans="28:55" ht="15">
      <c r="AB64" s="181">
        <v>45348</v>
      </c>
      <c r="AC64" s="157" t="s">
        <v>33</v>
      </c>
      <c r="AD64" s="158" t="s">
        <v>33</v>
      </c>
      <c r="AE64" s="157">
        <v>823056.71270000003</v>
      </c>
      <c r="AF64" s="157">
        <v>1091431.4513999999</v>
      </c>
      <c r="AG64" s="159">
        <v>-123.0044</v>
      </c>
      <c r="AL64" s="160">
        <f t="shared" si="4"/>
        <v>5.0848031747050682</v>
      </c>
      <c r="AM64" s="161">
        <f t="shared" si="5"/>
        <v>2.675955553556483</v>
      </c>
      <c r="AN64" s="162">
        <f t="shared" si="0"/>
        <v>-0.72824803174705721</v>
      </c>
      <c r="AO64" s="163">
        <f t="shared" si="1"/>
        <v>-122.27615196825295</v>
      </c>
      <c r="AV64" s="157">
        <f t="shared" si="16"/>
        <v>45348</v>
      </c>
      <c r="AW64" s="167" t="str">
        <f t="shared" si="16"/>
        <v>BD</v>
      </c>
      <c r="AX64" s="168">
        <f t="shared" si="14"/>
        <v>823056.71270000003</v>
      </c>
      <c r="AY64" s="168">
        <f t="shared" si="14"/>
        <v>1091431.4513999999</v>
      </c>
      <c r="AZ64" s="168">
        <f t="shared" si="14"/>
        <v>-123.0044</v>
      </c>
      <c r="BA64" s="168">
        <f t="shared" si="7"/>
        <v>5.0848031747050682</v>
      </c>
      <c r="BB64" s="168">
        <f t="shared" si="15"/>
        <v>2.675955553556483</v>
      </c>
      <c r="BC64" s="169">
        <f t="shared" si="15"/>
        <v>-0.72824803174705721</v>
      </c>
    </row>
    <row r="65" spans="28:55" ht="15">
      <c r="AB65" s="181">
        <v>45348</v>
      </c>
      <c r="AC65" s="157" t="s">
        <v>32</v>
      </c>
      <c r="AD65" s="158" t="s">
        <v>32</v>
      </c>
      <c r="AE65" s="157">
        <v>823058.9682</v>
      </c>
      <c r="AF65" s="157">
        <v>1091426.6568</v>
      </c>
      <c r="AG65" s="159">
        <v>-123.0616</v>
      </c>
      <c r="AL65" s="160">
        <f t="shared" si="4"/>
        <v>5.0668271682879293</v>
      </c>
      <c r="AM65" s="161">
        <f t="shared" si="5"/>
        <v>-2.6226429660675716</v>
      </c>
      <c r="AN65" s="162">
        <f t="shared" si="0"/>
        <v>-0.78526827168288094</v>
      </c>
      <c r="AO65" s="163">
        <f t="shared" si="1"/>
        <v>-122.27633172831712</v>
      </c>
      <c r="AV65" s="157">
        <f t="shared" si="16"/>
        <v>45348</v>
      </c>
      <c r="AW65" s="167" t="str">
        <f t="shared" si="16"/>
        <v>BG</v>
      </c>
      <c r="AX65" s="168">
        <f t="shared" si="14"/>
        <v>823058.9682</v>
      </c>
      <c r="AY65" s="168">
        <f t="shared" si="14"/>
        <v>1091426.6568</v>
      </c>
      <c r="AZ65" s="168">
        <f t="shared" si="14"/>
        <v>-123.0616</v>
      </c>
      <c r="BA65" s="168">
        <f t="shared" si="7"/>
        <v>5.0668271682879293</v>
      </c>
      <c r="BB65" s="168">
        <f t="shared" si="15"/>
        <v>-2.6226429660675716</v>
      </c>
      <c r="BC65" s="169">
        <f t="shared" si="15"/>
        <v>-0.78526827168288094</v>
      </c>
    </row>
    <row r="66" spans="28:55" ht="15">
      <c r="AB66" s="181">
        <v>45348</v>
      </c>
      <c r="AC66" s="157" t="s">
        <v>64</v>
      </c>
      <c r="AD66" s="158" t="s">
        <v>64</v>
      </c>
      <c r="AE66" s="157">
        <v>823057.99609999999</v>
      </c>
      <c r="AF66" s="157">
        <v>1091429.0845999999</v>
      </c>
      <c r="AG66" s="159">
        <v>-119.6887</v>
      </c>
      <c r="AL66" s="160">
        <f t="shared" si="4"/>
        <v>4.9218579006609415</v>
      </c>
      <c r="AM66" s="161">
        <f t="shared" si="5"/>
        <v>-1.1479401445187352E-2</v>
      </c>
      <c r="AN66" s="162">
        <f t="shared" si="0"/>
        <v>2.589081420993395</v>
      </c>
      <c r="AO66" s="163">
        <f t="shared" si="1"/>
        <v>-122.27778142099339</v>
      </c>
      <c r="AV66" s="157">
        <f t="shared" si="16"/>
        <v>45348</v>
      </c>
      <c r="AW66" s="167" t="str">
        <f t="shared" si="16"/>
        <v>CH</v>
      </c>
      <c r="AX66" s="168">
        <f t="shared" si="14"/>
        <v>823057.99609999999</v>
      </c>
      <c r="AY66" s="168">
        <f t="shared" si="14"/>
        <v>1091429.0845999999</v>
      </c>
      <c r="AZ66" s="168">
        <f t="shared" si="14"/>
        <v>-119.6887</v>
      </c>
      <c r="BA66" s="168">
        <f t="shared" si="7"/>
        <v>4.9218579006609415</v>
      </c>
      <c r="BB66" s="168">
        <f t="shared" si="15"/>
        <v>-1.1479401445187352E-2</v>
      </c>
      <c r="BC66" s="169">
        <f t="shared" si="15"/>
        <v>2.589081420993395</v>
      </c>
    </row>
    <row r="67" spans="28:55" ht="15">
      <c r="AB67" s="181">
        <v>45348</v>
      </c>
      <c r="AC67" s="157" t="s">
        <v>11</v>
      </c>
      <c r="AD67" s="158" t="s">
        <v>11</v>
      </c>
      <c r="AE67" s="157">
        <v>823056.97129999998</v>
      </c>
      <c r="AF67" s="157">
        <v>1091430.3836000001</v>
      </c>
      <c r="AG67" s="159">
        <v>-120.0954</v>
      </c>
      <c r="AL67" s="160">
        <f t="shared" si="4"/>
        <v>5.3016866230559581</v>
      </c>
      <c r="AM67" s="161">
        <f t="shared" si="5"/>
        <v>1.5989075650855427</v>
      </c>
      <c r="AN67" s="162">
        <f t="shared" si="0"/>
        <v>2.1785831337694361</v>
      </c>
      <c r="AO67" s="163">
        <f t="shared" si="1"/>
        <v>-122.27398313376943</v>
      </c>
      <c r="AV67" s="157">
        <f t="shared" si="16"/>
        <v>45348</v>
      </c>
      <c r="AW67" s="167" t="str">
        <f t="shared" si="16"/>
        <v>HD</v>
      </c>
      <c r="AX67" s="168">
        <f t="shared" si="14"/>
        <v>823056.97129999998</v>
      </c>
      <c r="AY67" s="168">
        <f t="shared" si="14"/>
        <v>1091430.3836000001</v>
      </c>
      <c r="AZ67" s="168">
        <f t="shared" si="14"/>
        <v>-120.0954</v>
      </c>
      <c r="BA67" s="168">
        <f t="shared" si="7"/>
        <v>5.3016866230559581</v>
      </c>
      <c r="BB67" s="168">
        <f t="shared" si="15"/>
        <v>1.5989075650855427</v>
      </c>
      <c r="BC67" s="169">
        <f t="shared" si="15"/>
        <v>2.1785831337694361</v>
      </c>
    </row>
    <row r="68" spans="28:55" ht="15">
      <c r="AB68" s="181">
        <v>45348</v>
      </c>
      <c r="AC68" s="157" t="s">
        <v>10</v>
      </c>
      <c r="AD68" s="158" t="s">
        <v>10</v>
      </c>
      <c r="AE68" s="157">
        <v>823058.93039999995</v>
      </c>
      <c r="AF68" s="157">
        <v>1091426.7420000001</v>
      </c>
      <c r="AG68" s="159">
        <v>-121.12910000000001</v>
      </c>
      <c r="AL68" s="160">
        <f t="shared" si="4"/>
        <v>5.0650800096079358</v>
      </c>
      <c r="AM68" s="161">
        <f t="shared" si="5"/>
        <v>-2.5294505444047948</v>
      </c>
      <c r="AN68" s="162">
        <f t="shared" si="0"/>
        <v>1.1472491999039107</v>
      </c>
      <c r="AO68" s="163">
        <f t="shared" si="1"/>
        <v>-122.27634919990392</v>
      </c>
      <c r="AV68" s="157">
        <f t="shared" si="16"/>
        <v>45348</v>
      </c>
      <c r="AW68" s="167" t="str">
        <f t="shared" si="16"/>
        <v>HG</v>
      </c>
      <c r="AX68" s="168">
        <f t="shared" si="14"/>
        <v>823058.93039999995</v>
      </c>
      <c r="AY68" s="168">
        <f t="shared" si="14"/>
        <v>1091426.7420000001</v>
      </c>
      <c r="AZ68" s="168">
        <f t="shared" si="14"/>
        <v>-121.12910000000001</v>
      </c>
      <c r="BA68" s="168">
        <f t="shared" si="7"/>
        <v>5.0650800096079358</v>
      </c>
      <c r="BB68" s="168">
        <f t="shared" si="15"/>
        <v>-2.5294505444047948</v>
      </c>
      <c r="BC68" s="169">
        <f t="shared" si="15"/>
        <v>1.1472491999039107</v>
      </c>
    </row>
    <row r="69" spans="28:55" ht="15">
      <c r="AB69" s="181">
        <v>45350</v>
      </c>
      <c r="AC69" s="157" t="s">
        <v>33</v>
      </c>
      <c r="AD69" s="158" t="s">
        <v>33</v>
      </c>
      <c r="AE69" s="157">
        <v>823056.71360000002</v>
      </c>
      <c r="AF69" s="157">
        <v>1091431.4517000001</v>
      </c>
      <c r="AG69" s="159">
        <v>-123.0044</v>
      </c>
      <c r="AL69" s="160">
        <f t="shared" si="4"/>
        <v>5.0838607104266629</v>
      </c>
      <c r="AM69" s="161">
        <f t="shared" si="5"/>
        <v>2.675847104631067</v>
      </c>
      <c r="AN69" s="162">
        <f t="shared" si="0"/>
        <v>-0.72823860710427368</v>
      </c>
      <c r="AO69" s="163">
        <f t="shared" si="1"/>
        <v>-122.27616139289573</v>
      </c>
      <c r="AV69" s="157">
        <f t="shared" si="16"/>
        <v>45350</v>
      </c>
      <c r="AW69" s="167" t="str">
        <f t="shared" si="16"/>
        <v>BD</v>
      </c>
      <c r="AX69" s="168">
        <f t="shared" si="14"/>
        <v>823056.71360000002</v>
      </c>
      <c r="AY69" s="168">
        <f t="shared" si="14"/>
        <v>1091431.4517000001</v>
      </c>
      <c r="AZ69" s="168">
        <f t="shared" si="14"/>
        <v>-123.0044</v>
      </c>
      <c r="BA69" s="168">
        <f t="shared" si="7"/>
        <v>5.0838607104266629</v>
      </c>
      <c r="BB69" s="168">
        <f t="shared" si="15"/>
        <v>2.675847104631067</v>
      </c>
      <c r="BC69" s="169">
        <f t="shared" si="15"/>
        <v>-0.72823860710427368</v>
      </c>
    </row>
    <row r="70" spans="28:55" ht="15">
      <c r="AB70" s="181">
        <v>45350</v>
      </c>
      <c r="AC70" s="157" t="s">
        <v>32</v>
      </c>
      <c r="AD70" s="158" t="s">
        <v>32</v>
      </c>
      <c r="AE70" s="157">
        <v>823058.96900000004</v>
      </c>
      <c r="AF70" s="157">
        <v>1091426.6568</v>
      </c>
      <c r="AG70" s="159">
        <v>-123.0616</v>
      </c>
      <c r="AL70" s="160">
        <f t="shared" ref="AL70:AL123" si="17">IF(ISNUMBER(AE70),COS(ATAN2(AF70-AO$4,AE70-AO$3)-(AO$5/200*PI()))*SQRT((AE70-AO$3)^2+(AF70-AO$4)^2),"-")</f>
        <v>5.0661021166442453</v>
      </c>
      <c r="AM70" s="161">
        <f t="shared" ref="AM70:AM123" si="18">IF(ISNUMBER(AE70),SIN(ATAN2(AF70-AO$4,AE70-AO$3)-(AO$5/200*PI()))*SQRT((AE70-AO$3)^2+(AF70-AO$4)^2),"-")</f>
        <v>-2.6229810491561558</v>
      </c>
      <c r="AN70" s="162">
        <f t="shared" ref="AN70:AN123" si="19">IF(ISNUMBER(AL70),AG70-AO70,"-")</f>
        <v>-0.78526102116644836</v>
      </c>
      <c r="AO70" s="163">
        <f t="shared" ref="AO70:AO123" si="20">IF(ISNUMBER(AF70),((AL70-$AO$7)*AO$9)+AO$8,"-")</f>
        <v>-122.27633897883355</v>
      </c>
      <c r="AV70" s="157">
        <f t="shared" ref="AV70:AV123" si="21">AB70</f>
        <v>45350</v>
      </c>
      <c r="AW70" s="167" t="str">
        <f t="shared" ref="AW70:AW123" si="22">AC70</f>
        <v>BG</v>
      </c>
      <c r="AX70" s="168">
        <f t="shared" ref="AX70:AX123" si="23">AE70</f>
        <v>823058.96900000004</v>
      </c>
      <c r="AY70" s="168">
        <f t="shared" ref="AY70:AY123" si="24">AF70</f>
        <v>1091426.6568</v>
      </c>
      <c r="AZ70" s="168">
        <f t="shared" ref="AZ70:AZ123" si="25">AG70</f>
        <v>-123.0616</v>
      </c>
      <c r="BA70" s="168">
        <f t="shared" ref="BA70:BA123" si="26">AL70+$AY$1</f>
        <v>5.0661021166442453</v>
      </c>
      <c r="BB70" s="168">
        <f t="shared" ref="BB70:BB123" si="27">AM70</f>
        <v>-2.6229810491561558</v>
      </c>
      <c r="BC70" s="169">
        <f t="shared" ref="BC70:BC123" si="28">AN70</f>
        <v>-0.78526102116644836</v>
      </c>
    </row>
    <row r="71" spans="28:55" ht="15">
      <c r="AB71" s="181">
        <v>45350</v>
      </c>
      <c r="AC71" s="157" t="s">
        <v>64</v>
      </c>
      <c r="AD71" s="158" t="s">
        <v>64</v>
      </c>
      <c r="AE71" s="157">
        <v>823057.99699999997</v>
      </c>
      <c r="AF71" s="157">
        <v>1091429.0847</v>
      </c>
      <c r="AG71" s="159">
        <v>-119.6887</v>
      </c>
      <c r="AL71" s="160">
        <f t="shared" si="17"/>
        <v>4.9209999572038781</v>
      </c>
      <c r="AM71" s="161">
        <f t="shared" si="18"/>
        <v>-1.1769113387030412E-2</v>
      </c>
      <c r="AN71" s="162">
        <f t="shared" si="19"/>
        <v>2.5890900004279587</v>
      </c>
      <c r="AO71" s="163">
        <f t="shared" si="20"/>
        <v>-122.27779000042796</v>
      </c>
      <c r="AV71" s="157">
        <f t="shared" si="21"/>
        <v>45350</v>
      </c>
      <c r="AW71" s="167" t="str">
        <f t="shared" si="22"/>
        <v>CH</v>
      </c>
      <c r="AX71" s="168">
        <f t="shared" si="23"/>
        <v>823057.99699999997</v>
      </c>
      <c r="AY71" s="168">
        <f t="shared" si="24"/>
        <v>1091429.0847</v>
      </c>
      <c r="AZ71" s="168">
        <f t="shared" si="25"/>
        <v>-119.6887</v>
      </c>
      <c r="BA71" s="168">
        <f t="shared" si="26"/>
        <v>4.9209999572038781</v>
      </c>
      <c r="BB71" s="168">
        <f t="shared" si="27"/>
        <v>-1.1769113387030412E-2</v>
      </c>
      <c r="BC71" s="169">
        <f t="shared" si="28"/>
        <v>2.5890900004279587</v>
      </c>
    </row>
    <row r="72" spans="28:55" ht="15">
      <c r="AB72" s="181">
        <v>45350</v>
      </c>
      <c r="AC72" s="157" t="s">
        <v>11</v>
      </c>
      <c r="AD72" s="158" t="s">
        <v>11</v>
      </c>
      <c r="AE72" s="157">
        <v>823056.97180000006</v>
      </c>
      <c r="AF72" s="157">
        <v>1091430.3836000001</v>
      </c>
      <c r="AG72" s="159">
        <v>-120.0954</v>
      </c>
      <c r="AL72" s="160">
        <f t="shared" si="17"/>
        <v>5.3012334657259004</v>
      </c>
      <c r="AM72" s="161">
        <f t="shared" si="18"/>
        <v>1.5986962631305781</v>
      </c>
      <c r="AN72" s="162">
        <f t="shared" si="19"/>
        <v>2.1785876653427465</v>
      </c>
      <c r="AO72" s="163">
        <f t="shared" si="20"/>
        <v>-122.27398766534274</v>
      </c>
      <c r="AV72" s="157">
        <f t="shared" si="21"/>
        <v>45350</v>
      </c>
      <c r="AW72" s="167" t="str">
        <f t="shared" si="22"/>
        <v>HD</v>
      </c>
      <c r="AX72" s="168">
        <f t="shared" si="23"/>
        <v>823056.97180000006</v>
      </c>
      <c r="AY72" s="168">
        <f t="shared" si="24"/>
        <v>1091430.3836000001</v>
      </c>
      <c r="AZ72" s="168">
        <f t="shared" si="25"/>
        <v>-120.0954</v>
      </c>
      <c r="BA72" s="168">
        <f t="shared" si="26"/>
        <v>5.3012334657259004</v>
      </c>
      <c r="BB72" s="168">
        <f t="shared" si="27"/>
        <v>1.5986962631305781</v>
      </c>
      <c r="BC72" s="169">
        <f t="shared" si="28"/>
        <v>2.1785876653427465</v>
      </c>
    </row>
    <row r="73" spans="28:55" ht="15">
      <c r="AB73" s="181">
        <v>45350</v>
      </c>
      <c r="AC73" s="157" t="s">
        <v>10</v>
      </c>
      <c r="AD73" s="158" t="s">
        <v>10</v>
      </c>
      <c r="AE73" s="157">
        <v>823058.93059999996</v>
      </c>
      <c r="AF73" s="157">
        <v>1091426.7416000001</v>
      </c>
      <c r="AG73" s="159">
        <v>-121.12910000000001</v>
      </c>
      <c r="AL73" s="160">
        <f t="shared" si="17"/>
        <v>5.0650677882413069</v>
      </c>
      <c r="AM73" s="161">
        <f t="shared" si="18"/>
        <v>-2.5298975909987833</v>
      </c>
      <c r="AN73" s="162">
        <f t="shared" si="19"/>
        <v>1.1472493221175739</v>
      </c>
      <c r="AO73" s="163">
        <f t="shared" si="20"/>
        <v>-122.27634932211758</v>
      </c>
      <c r="AV73" s="157">
        <f t="shared" si="21"/>
        <v>45350</v>
      </c>
      <c r="AW73" s="167" t="str">
        <f t="shared" si="22"/>
        <v>HG</v>
      </c>
      <c r="AX73" s="168">
        <f t="shared" si="23"/>
        <v>823058.93059999996</v>
      </c>
      <c r="AY73" s="168">
        <f t="shared" si="24"/>
        <v>1091426.7416000001</v>
      </c>
      <c r="AZ73" s="168">
        <f t="shared" si="25"/>
        <v>-121.12910000000001</v>
      </c>
      <c r="BA73" s="168">
        <f t="shared" si="26"/>
        <v>5.0650677882413069</v>
      </c>
      <c r="BB73" s="168">
        <f t="shared" si="27"/>
        <v>-2.5298975909987833</v>
      </c>
      <c r="BC73" s="169">
        <f t="shared" si="28"/>
        <v>1.1472493221175739</v>
      </c>
    </row>
    <row r="74" spans="28:55" ht="15">
      <c r="AB74" s="181">
        <v>45364</v>
      </c>
      <c r="AC74" s="157" t="s">
        <v>33</v>
      </c>
      <c r="AD74" s="158" t="s">
        <v>33</v>
      </c>
      <c r="AE74" s="157">
        <v>823056.71380000003</v>
      </c>
      <c r="AF74" s="157">
        <v>1091431.4519</v>
      </c>
      <c r="AG74" s="159">
        <v>-123.0044</v>
      </c>
      <c r="AL74" s="160">
        <f t="shared" si="17"/>
        <v>5.0835949267927925</v>
      </c>
      <c r="AM74" s="161">
        <f t="shared" si="18"/>
        <v>2.6759438466643344</v>
      </c>
      <c r="AN74" s="162">
        <f t="shared" si="19"/>
        <v>-0.72823594926794044</v>
      </c>
      <c r="AO74" s="163">
        <f t="shared" si="20"/>
        <v>-122.27616405073206</v>
      </c>
      <c r="AV74" s="157">
        <f t="shared" si="21"/>
        <v>45364</v>
      </c>
      <c r="AW74" s="167" t="str">
        <f t="shared" si="22"/>
        <v>BD</v>
      </c>
      <c r="AX74" s="168">
        <f t="shared" si="23"/>
        <v>823056.71380000003</v>
      </c>
      <c r="AY74" s="168">
        <f t="shared" si="24"/>
        <v>1091431.4519</v>
      </c>
      <c r="AZ74" s="168">
        <f t="shared" si="25"/>
        <v>-123.0044</v>
      </c>
      <c r="BA74" s="168">
        <f t="shared" si="26"/>
        <v>5.0835949267927925</v>
      </c>
      <c r="BB74" s="168">
        <f t="shared" si="27"/>
        <v>2.6759438466643344</v>
      </c>
      <c r="BC74" s="169">
        <f t="shared" si="28"/>
        <v>-0.72823594926794044</v>
      </c>
    </row>
    <row r="75" spans="28:55" ht="15">
      <c r="AB75" s="181">
        <v>45364</v>
      </c>
      <c r="AC75" s="157" t="s">
        <v>32</v>
      </c>
      <c r="AD75" s="158" t="s">
        <v>32</v>
      </c>
      <c r="AE75" s="157">
        <v>823058.96860000002</v>
      </c>
      <c r="AF75" s="157">
        <v>1091426.6575</v>
      </c>
      <c r="AG75" s="159">
        <v>-123.0616</v>
      </c>
      <c r="AL75" s="160">
        <f t="shared" si="17"/>
        <v>5.0661688197881745</v>
      </c>
      <c r="AM75" s="161">
        <f t="shared" si="18"/>
        <v>-2.6221775874763953</v>
      </c>
      <c r="AN75" s="162">
        <f t="shared" si="19"/>
        <v>-0.78526168819787756</v>
      </c>
      <c r="AO75" s="163">
        <f t="shared" si="20"/>
        <v>-122.27633831180212</v>
      </c>
      <c r="AV75" s="157">
        <f t="shared" si="21"/>
        <v>45364</v>
      </c>
      <c r="AW75" s="167" t="str">
        <f t="shared" si="22"/>
        <v>BG</v>
      </c>
      <c r="AX75" s="168">
        <f t="shared" si="23"/>
        <v>823058.96860000002</v>
      </c>
      <c r="AY75" s="168">
        <f t="shared" si="24"/>
        <v>1091426.6575</v>
      </c>
      <c r="AZ75" s="168">
        <f t="shared" si="25"/>
        <v>-123.0616</v>
      </c>
      <c r="BA75" s="168">
        <f t="shared" si="26"/>
        <v>5.0661688197881745</v>
      </c>
      <c r="BB75" s="168">
        <f t="shared" si="27"/>
        <v>-2.6221775874763953</v>
      </c>
      <c r="BC75" s="169">
        <f t="shared" si="28"/>
        <v>-0.78526168819787756</v>
      </c>
    </row>
    <row r="76" spans="28:55" ht="15">
      <c r="AB76" s="181">
        <v>45364</v>
      </c>
      <c r="AC76" s="157" t="s">
        <v>64</v>
      </c>
      <c r="AD76" s="158" t="s">
        <v>64</v>
      </c>
      <c r="AE76" s="157">
        <v>823057.99699999997</v>
      </c>
      <c r="AF76" s="157">
        <v>1091429.0852000001</v>
      </c>
      <c r="AG76" s="159">
        <v>-119.6887</v>
      </c>
      <c r="AL76" s="160">
        <f t="shared" si="17"/>
        <v>4.9207886552489146</v>
      </c>
      <c r="AM76" s="161">
        <f t="shared" si="18"/>
        <v>-1.1315956056975931E-2</v>
      </c>
      <c r="AN76" s="162">
        <f t="shared" si="19"/>
        <v>2.5890921134475064</v>
      </c>
      <c r="AO76" s="163">
        <f t="shared" si="20"/>
        <v>-122.2777921134475</v>
      </c>
      <c r="AV76" s="157">
        <f t="shared" si="21"/>
        <v>45364</v>
      </c>
      <c r="AW76" s="167" t="str">
        <f t="shared" si="22"/>
        <v>CH</v>
      </c>
      <c r="AX76" s="168">
        <f t="shared" si="23"/>
        <v>823057.99699999997</v>
      </c>
      <c r="AY76" s="168">
        <f t="shared" si="24"/>
        <v>1091429.0852000001</v>
      </c>
      <c r="AZ76" s="168">
        <f t="shared" si="25"/>
        <v>-119.6887</v>
      </c>
      <c r="BA76" s="168">
        <f t="shared" si="26"/>
        <v>4.9207886552489146</v>
      </c>
      <c r="BB76" s="168">
        <f t="shared" si="27"/>
        <v>-1.1315956056975931E-2</v>
      </c>
      <c r="BC76" s="169">
        <f t="shared" si="28"/>
        <v>2.5890921134475064</v>
      </c>
    </row>
    <row r="77" spans="28:55" ht="15">
      <c r="AB77" s="181">
        <v>45364</v>
      </c>
      <c r="AC77" s="157" t="s">
        <v>11</v>
      </c>
      <c r="AD77" s="158" t="s">
        <v>11</v>
      </c>
      <c r="AE77" s="157">
        <v>823056.97259999998</v>
      </c>
      <c r="AF77" s="157">
        <v>1091430.3842</v>
      </c>
      <c r="AG77" s="159">
        <v>-120.0954</v>
      </c>
      <c r="AL77" s="160">
        <f t="shared" si="17"/>
        <v>5.3002548519204842</v>
      </c>
      <c r="AM77" s="161">
        <f t="shared" si="18"/>
        <v>1.5989019687184469</v>
      </c>
      <c r="AN77" s="162">
        <f t="shared" si="19"/>
        <v>2.1785974514807975</v>
      </c>
      <c r="AO77" s="163">
        <f t="shared" si="20"/>
        <v>-122.2739974514808</v>
      </c>
      <c r="AV77" s="157">
        <f t="shared" si="21"/>
        <v>45364</v>
      </c>
      <c r="AW77" s="167" t="str">
        <f t="shared" si="22"/>
        <v>HD</v>
      </c>
      <c r="AX77" s="168">
        <f t="shared" si="23"/>
        <v>823056.97259999998</v>
      </c>
      <c r="AY77" s="168">
        <f t="shared" si="24"/>
        <v>1091430.3842</v>
      </c>
      <c r="AZ77" s="168">
        <f t="shared" si="25"/>
        <v>-120.0954</v>
      </c>
      <c r="BA77" s="168">
        <f t="shared" si="26"/>
        <v>5.3002548519204842</v>
      </c>
      <c r="BB77" s="168">
        <f t="shared" si="27"/>
        <v>1.5989019687184469</v>
      </c>
      <c r="BC77" s="169">
        <f t="shared" si="28"/>
        <v>2.1785974514807975</v>
      </c>
    </row>
    <row r="78" spans="28:55" ht="15">
      <c r="AB78" s="181">
        <v>45364</v>
      </c>
      <c r="AC78" s="157" t="s">
        <v>10</v>
      </c>
      <c r="AD78" s="158" t="s">
        <v>10</v>
      </c>
      <c r="AE78" s="157">
        <v>823058.93099999998</v>
      </c>
      <c r="AF78" s="157">
        <v>1091426.743</v>
      </c>
      <c r="AG78" s="159">
        <v>-121.12910000000001</v>
      </c>
      <c r="AL78" s="160">
        <f t="shared" si="17"/>
        <v>5.06411361706364</v>
      </c>
      <c r="AM78" s="161">
        <f t="shared" si="18"/>
        <v>-2.5287977922721359</v>
      </c>
      <c r="AN78" s="162">
        <f t="shared" si="19"/>
        <v>1.1472588638293502</v>
      </c>
      <c r="AO78" s="163">
        <f t="shared" si="20"/>
        <v>-122.27635886382936</v>
      </c>
      <c r="AV78" s="157">
        <f t="shared" si="21"/>
        <v>45364</v>
      </c>
      <c r="AW78" s="167" t="str">
        <f t="shared" si="22"/>
        <v>HG</v>
      </c>
      <c r="AX78" s="168">
        <f t="shared" si="23"/>
        <v>823058.93099999998</v>
      </c>
      <c r="AY78" s="168">
        <f t="shared" si="24"/>
        <v>1091426.743</v>
      </c>
      <c r="AZ78" s="168">
        <f t="shared" si="25"/>
        <v>-121.12910000000001</v>
      </c>
      <c r="BA78" s="168">
        <f t="shared" si="26"/>
        <v>5.06411361706364</v>
      </c>
      <c r="BB78" s="168">
        <f t="shared" si="27"/>
        <v>-2.5287977922721359</v>
      </c>
      <c r="BC78" s="169">
        <f t="shared" si="28"/>
        <v>1.1472588638293502</v>
      </c>
    </row>
    <row r="79" spans="28:55" ht="15">
      <c r="AB79" s="181">
        <v>45390</v>
      </c>
      <c r="AC79" s="157" t="s">
        <v>33</v>
      </c>
      <c r="AD79" s="158" t="s">
        <v>33</v>
      </c>
      <c r="AE79" s="157">
        <v>823056.71360000002</v>
      </c>
      <c r="AF79" s="157">
        <v>1091431.4517000001</v>
      </c>
      <c r="AG79" s="159">
        <v>-123.0044</v>
      </c>
      <c r="AL79" s="160">
        <f t="shared" si="17"/>
        <v>5.0838607104266629</v>
      </c>
      <c r="AM79" s="161">
        <f t="shared" si="18"/>
        <v>2.675847104631067</v>
      </c>
      <c r="AN79" s="162">
        <f t="shared" si="19"/>
        <v>-0.72823860710427368</v>
      </c>
      <c r="AO79" s="163">
        <f t="shared" si="20"/>
        <v>-122.27616139289573</v>
      </c>
      <c r="AV79" s="157">
        <f t="shared" si="21"/>
        <v>45390</v>
      </c>
      <c r="AW79" s="167" t="str">
        <f t="shared" si="22"/>
        <v>BD</v>
      </c>
      <c r="AX79" s="168">
        <f t="shared" si="23"/>
        <v>823056.71360000002</v>
      </c>
      <c r="AY79" s="168">
        <f t="shared" si="24"/>
        <v>1091431.4517000001</v>
      </c>
      <c r="AZ79" s="168">
        <f t="shared" si="25"/>
        <v>-123.0044</v>
      </c>
      <c r="BA79" s="168">
        <f t="shared" si="26"/>
        <v>5.0838607104266629</v>
      </c>
      <c r="BB79" s="168">
        <f t="shared" si="27"/>
        <v>2.675847104631067</v>
      </c>
      <c r="BC79" s="169">
        <f t="shared" si="28"/>
        <v>-0.72823860710427368</v>
      </c>
    </row>
    <row r="80" spans="28:55" ht="15">
      <c r="AB80" s="181">
        <v>45390</v>
      </c>
      <c r="AC80" s="157" t="s">
        <v>32</v>
      </c>
      <c r="AD80" s="158" t="s">
        <v>32</v>
      </c>
      <c r="AE80" s="157">
        <v>823058.96840000001</v>
      </c>
      <c r="AF80" s="157">
        <v>1091426.6579</v>
      </c>
      <c r="AG80" s="159">
        <v>-123.0616</v>
      </c>
      <c r="AL80" s="160">
        <f t="shared" si="17"/>
        <v>5.0661810411548043</v>
      </c>
      <c r="AM80" s="161">
        <f t="shared" si="18"/>
        <v>-2.6217305408824045</v>
      </c>
      <c r="AN80" s="162">
        <f t="shared" si="19"/>
        <v>-0.78526181041155496</v>
      </c>
      <c r="AO80" s="163">
        <f t="shared" si="20"/>
        <v>-122.27633818958844</v>
      </c>
      <c r="AV80" s="157">
        <f t="shared" si="21"/>
        <v>45390</v>
      </c>
      <c r="AW80" s="167" t="str">
        <f t="shared" si="22"/>
        <v>BG</v>
      </c>
      <c r="AX80" s="168">
        <f t="shared" si="23"/>
        <v>823058.96840000001</v>
      </c>
      <c r="AY80" s="168">
        <f t="shared" si="24"/>
        <v>1091426.6579</v>
      </c>
      <c r="AZ80" s="168">
        <f t="shared" si="25"/>
        <v>-123.0616</v>
      </c>
      <c r="BA80" s="168">
        <f t="shared" si="26"/>
        <v>5.0661810411548043</v>
      </c>
      <c r="BB80" s="168">
        <f t="shared" si="27"/>
        <v>-2.6217305408824045</v>
      </c>
      <c r="BC80" s="169">
        <f t="shared" si="28"/>
        <v>-0.78526181041155496</v>
      </c>
    </row>
    <row r="81" spans="28:55" ht="15">
      <c r="AB81" s="181">
        <v>45390</v>
      </c>
      <c r="AC81" s="157" t="s">
        <v>64</v>
      </c>
      <c r="AD81" s="158" t="s">
        <v>64</v>
      </c>
      <c r="AE81" s="157">
        <v>823057.9963</v>
      </c>
      <c r="AF81" s="157">
        <v>1091429.0843</v>
      </c>
      <c r="AG81" s="159">
        <v>-119.6887</v>
      </c>
      <c r="AL81" s="160">
        <f t="shared" si="17"/>
        <v>4.9218034188836404</v>
      </c>
      <c r="AM81" s="161">
        <f t="shared" si="18"/>
        <v>-1.1835816530961227E-2</v>
      </c>
      <c r="AN81" s="162">
        <f t="shared" si="19"/>
        <v>2.589081965811161</v>
      </c>
      <c r="AO81" s="163">
        <f t="shared" si="20"/>
        <v>-122.27778196581116</v>
      </c>
      <c r="AV81" s="157">
        <f t="shared" si="21"/>
        <v>45390</v>
      </c>
      <c r="AW81" s="167" t="str">
        <f t="shared" si="22"/>
        <v>CH</v>
      </c>
      <c r="AX81" s="168">
        <f t="shared" si="23"/>
        <v>823057.9963</v>
      </c>
      <c r="AY81" s="168">
        <f t="shared" si="24"/>
        <v>1091429.0843</v>
      </c>
      <c r="AZ81" s="168">
        <f t="shared" si="25"/>
        <v>-119.6887</v>
      </c>
      <c r="BA81" s="168">
        <f t="shared" si="26"/>
        <v>4.9218034188836404</v>
      </c>
      <c r="BB81" s="168">
        <f t="shared" si="27"/>
        <v>-1.1835816530961227E-2</v>
      </c>
      <c r="BC81" s="169">
        <f t="shared" si="28"/>
        <v>2.589081965811161</v>
      </c>
    </row>
    <row r="82" spans="28:55" ht="15">
      <c r="AB82" s="181">
        <v>45390</v>
      </c>
      <c r="AC82" s="157" t="s">
        <v>11</v>
      </c>
      <c r="AD82" s="158" t="s">
        <v>11</v>
      </c>
      <c r="AE82" s="157">
        <v>823056.97129999998</v>
      </c>
      <c r="AF82" s="157">
        <v>1091430.3840000001</v>
      </c>
      <c r="AG82" s="159">
        <v>-120.0954</v>
      </c>
      <c r="AL82" s="160">
        <f t="shared" si="17"/>
        <v>5.301517581511666</v>
      </c>
      <c r="AM82" s="161">
        <f t="shared" si="18"/>
        <v>1.5992700909073847</v>
      </c>
      <c r="AN82" s="162">
        <f t="shared" si="19"/>
        <v>2.1785848241848811</v>
      </c>
      <c r="AO82" s="163">
        <f t="shared" si="20"/>
        <v>-122.27398482418488</v>
      </c>
      <c r="AV82" s="157">
        <f t="shared" si="21"/>
        <v>45390</v>
      </c>
      <c r="AW82" s="167" t="str">
        <f t="shared" si="22"/>
        <v>HD</v>
      </c>
      <c r="AX82" s="168">
        <f t="shared" si="23"/>
        <v>823056.97129999998</v>
      </c>
      <c r="AY82" s="168">
        <f t="shared" si="24"/>
        <v>1091430.3840000001</v>
      </c>
      <c r="AZ82" s="168">
        <f t="shared" si="25"/>
        <v>-120.0954</v>
      </c>
      <c r="BA82" s="168">
        <f t="shared" si="26"/>
        <v>5.301517581511666</v>
      </c>
      <c r="BB82" s="168">
        <f t="shared" si="27"/>
        <v>1.5992700909073847</v>
      </c>
      <c r="BC82" s="169">
        <f t="shared" si="28"/>
        <v>2.1785848241848811</v>
      </c>
    </row>
    <row r="83" spans="28:55" ht="15">
      <c r="AB83" s="181">
        <v>45390</v>
      </c>
      <c r="AC83" s="157" t="s">
        <v>10</v>
      </c>
      <c r="AD83" s="158" t="s">
        <v>10</v>
      </c>
      <c r="AE83" s="157">
        <v>823058.93030000001</v>
      </c>
      <c r="AF83" s="157">
        <v>1091426.7427999999</v>
      </c>
      <c r="AG83" s="159">
        <v>-121.12910000000001</v>
      </c>
      <c r="AL83" s="160">
        <f t="shared" si="17"/>
        <v>5.064832558020453</v>
      </c>
      <c r="AM83" s="161">
        <f t="shared" si="18"/>
        <v>-2.5286832326106534</v>
      </c>
      <c r="AN83" s="162">
        <f t="shared" si="19"/>
        <v>1.1472516744197918</v>
      </c>
      <c r="AO83" s="163">
        <f t="shared" si="20"/>
        <v>-122.2763516744198</v>
      </c>
      <c r="AV83" s="157">
        <f t="shared" si="21"/>
        <v>45390</v>
      </c>
      <c r="AW83" s="167" t="str">
        <f t="shared" si="22"/>
        <v>HG</v>
      </c>
      <c r="AX83" s="168">
        <f t="shared" si="23"/>
        <v>823058.93030000001</v>
      </c>
      <c r="AY83" s="168">
        <f t="shared" si="24"/>
        <v>1091426.7427999999</v>
      </c>
      <c r="AZ83" s="168">
        <f t="shared" si="25"/>
        <v>-121.12910000000001</v>
      </c>
      <c r="BA83" s="168">
        <f t="shared" si="26"/>
        <v>5.064832558020453</v>
      </c>
      <c r="BB83" s="168">
        <f t="shared" si="27"/>
        <v>-2.5286832326106534</v>
      </c>
      <c r="BC83" s="169">
        <f t="shared" si="28"/>
        <v>1.1472516744197918</v>
      </c>
    </row>
    <row r="84" spans="28:55" ht="15">
      <c r="AB84" s="181">
        <v>45404</v>
      </c>
      <c r="AC84" s="157" t="s">
        <v>33</v>
      </c>
      <c r="AD84" s="158" t="s">
        <v>33</v>
      </c>
      <c r="AE84" s="157">
        <v>823056.7132</v>
      </c>
      <c r="AF84" s="157">
        <v>1091431.4506999999</v>
      </c>
      <c r="AG84" s="159">
        <v>-123.00369999999999</v>
      </c>
      <c r="AL84" s="160">
        <f t="shared" si="17"/>
        <v>5.0846458401584318</v>
      </c>
      <c r="AM84" s="161">
        <f t="shared" si="18"/>
        <v>2.6751098315152473</v>
      </c>
      <c r="AN84" s="162">
        <f t="shared" si="19"/>
        <v>-0.7275464584015765</v>
      </c>
      <c r="AO84" s="163">
        <f t="shared" si="20"/>
        <v>-122.27615354159842</v>
      </c>
      <c r="AV84" s="157">
        <f t="shared" si="21"/>
        <v>45404</v>
      </c>
      <c r="AW84" s="167" t="str">
        <f t="shared" si="22"/>
        <v>BD</v>
      </c>
      <c r="AX84" s="168">
        <f t="shared" si="23"/>
        <v>823056.7132</v>
      </c>
      <c r="AY84" s="168">
        <f t="shared" si="24"/>
        <v>1091431.4506999999</v>
      </c>
      <c r="AZ84" s="168">
        <f t="shared" si="25"/>
        <v>-123.00369999999999</v>
      </c>
      <c r="BA84" s="168">
        <f t="shared" si="26"/>
        <v>5.0846458401584318</v>
      </c>
      <c r="BB84" s="168">
        <f t="shared" si="27"/>
        <v>2.6751098315152473</v>
      </c>
      <c r="BC84" s="169">
        <f t="shared" si="28"/>
        <v>-0.7275464584015765</v>
      </c>
    </row>
    <row r="85" spans="28:55" ht="15">
      <c r="AB85" s="181">
        <v>45404</v>
      </c>
      <c r="AC85" s="170" t="s">
        <v>32</v>
      </c>
      <c r="AD85" s="158" t="s">
        <v>32</v>
      </c>
      <c r="AE85" s="157">
        <v>823058.96880000003</v>
      </c>
      <c r="AF85" s="157">
        <v>1091426.6580000001</v>
      </c>
      <c r="AG85" s="159">
        <v>-123.06059999999999</v>
      </c>
      <c r="AL85" s="160">
        <f t="shared" si="17"/>
        <v>5.06577625492229</v>
      </c>
      <c r="AM85" s="161">
        <f t="shared" si="18"/>
        <v>-2.621808950918481</v>
      </c>
      <c r="AN85" s="162">
        <f t="shared" si="19"/>
        <v>-0.78425776254921686</v>
      </c>
      <c r="AO85" s="163">
        <f t="shared" si="20"/>
        <v>-122.27634223745078</v>
      </c>
      <c r="AV85" s="157">
        <f t="shared" si="21"/>
        <v>45404</v>
      </c>
      <c r="AW85" s="167" t="str">
        <f t="shared" si="22"/>
        <v>BG</v>
      </c>
      <c r="AX85" s="168">
        <f t="shared" si="23"/>
        <v>823058.96880000003</v>
      </c>
      <c r="AY85" s="168">
        <f t="shared" si="24"/>
        <v>1091426.6580000001</v>
      </c>
      <c r="AZ85" s="168">
        <f t="shared" si="25"/>
        <v>-123.06059999999999</v>
      </c>
      <c r="BA85" s="168">
        <f t="shared" si="26"/>
        <v>5.06577625492229</v>
      </c>
      <c r="BB85" s="168">
        <f t="shared" si="27"/>
        <v>-2.621808950918481</v>
      </c>
      <c r="BC85" s="169">
        <f t="shared" si="28"/>
        <v>-0.78425776254921686</v>
      </c>
    </row>
    <row r="86" spans="28:55" ht="15">
      <c r="AB86" s="181">
        <v>45404</v>
      </c>
      <c r="AC86" s="157" t="s">
        <v>64</v>
      </c>
      <c r="AD86" s="158" t="s">
        <v>64</v>
      </c>
      <c r="AE86" s="157">
        <v>823057.99699999997</v>
      </c>
      <c r="AF86" s="157">
        <v>1091429.0837000001</v>
      </c>
      <c r="AG86" s="159">
        <v>-119.6887</v>
      </c>
      <c r="AL86" s="160">
        <f t="shared" si="17"/>
        <v>4.9214225610154108</v>
      </c>
      <c r="AM86" s="161">
        <f t="shared" si="18"/>
        <v>-1.2675427836128008E-2</v>
      </c>
      <c r="AN86" s="162">
        <f t="shared" si="19"/>
        <v>2.5890857743898437</v>
      </c>
      <c r="AO86" s="163">
        <f t="shared" si="20"/>
        <v>-122.27778577438984</v>
      </c>
      <c r="AV86" s="157">
        <f t="shared" si="21"/>
        <v>45404</v>
      </c>
      <c r="AW86" s="167" t="str">
        <f t="shared" si="22"/>
        <v>CH</v>
      </c>
      <c r="AX86" s="168">
        <f t="shared" si="23"/>
        <v>823057.99699999997</v>
      </c>
      <c r="AY86" s="168">
        <f t="shared" si="24"/>
        <v>1091429.0837000001</v>
      </c>
      <c r="AZ86" s="168">
        <f t="shared" si="25"/>
        <v>-119.6887</v>
      </c>
      <c r="BA86" s="168">
        <f t="shared" si="26"/>
        <v>4.9214225610154108</v>
      </c>
      <c r="BB86" s="168">
        <f t="shared" si="27"/>
        <v>-1.2675427836128008E-2</v>
      </c>
      <c r="BC86" s="169">
        <f t="shared" si="28"/>
        <v>2.5890857743898437</v>
      </c>
    </row>
    <row r="87" spans="28:55" ht="15">
      <c r="AB87" s="181">
        <v>45404</v>
      </c>
      <c r="AC87" s="157" t="s">
        <v>11</v>
      </c>
      <c r="AD87" s="158" t="s">
        <v>11</v>
      </c>
      <c r="AE87" s="157">
        <v>823056.97219999996</v>
      </c>
      <c r="AF87" s="157">
        <v>1091430.3832</v>
      </c>
      <c r="AG87" s="159">
        <v>-120.09610000000001</v>
      </c>
      <c r="AL87" s="160">
        <f t="shared" si="17"/>
        <v>5.3010399815538589</v>
      </c>
      <c r="AM87" s="161">
        <f t="shared" si="18"/>
        <v>1.5981646958136417</v>
      </c>
      <c r="AN87" s="162">
        <f t="shared" si="19"/>
        <v>2.1778896001844572</v>
      </c>
      <c r="AO87" s="163">
        <f t="shared" si="20"/>
        <v>-122.27398960018446</v>
      </c>
      <c r="AV87" s="157">
        <f t="shared" si="21"/>
        <v>45404</v>
      </c>
      <c r="AW87" s="167" t="str">
        <f t="shared" si="22"/>
        <v>HD</v>
      </c>
      <c r="AX87" s="168">
        <f t="shared" si="23"/>
        <v>823056.97219999996</v>
      </c>
      <c r="AY87" s="168">
        <f t="shared" si="24"/>
        <v>1091430.3832</v>
      </c>
      <c r="AZ87" s="168">
        <f t="shared" si="25"/>
        <v>-120.09610000000001</v>
      </c>
      <c r="BA87" s="168">
        <f t="shared" si="26"/>
        <v>5.3010399815538589</v>
      </c>
      <c r="BB87" s="168">
        <f t="shared" si="27"/>
        <v>1.5981646958136417</v>
      </c>
      <c r="BC87" s="169">
        <f t="shared" si="28"/>
        <v>2.1778896001844572</v>
      </c>
    </row>
    <row r="88" spans="28:55" ht="15">
      <c r="AB88" s="181">
        <v>45404</v>
      </c>
      <c r="AC88" s="157" t="s">
        <v>10</v>
      </c>
      <c r="AD88" s="158" t="s">
        <v>10</v>
      </c>
      <c r="AE88" s="157">
        <v>823058.93059999996</v>
      </c>
      <c r="AF88" s="157">
        <v>1091426.7420000001</v>
      </c>
      <c r="AG88" s="159">
        <v>-121.1289</v>
      </c>
      <c r="AL88" s="160">
        <f t="shared" si="17"/>
        <v>5.0648987466970139</v>
      </c>
      <c r="AM88" s="161">
        <f t="shared" si="18"/>
        <v>-2.5295350651769413</v>
      </c>
      <c r="AN88" s="162">
        <f t="shared" si="19"/>
        <v>1.1474510125330255</v>
      </c>
      <c r="AO88" s="163">
        <f t="shared" si="20"/>
        <v>-122.27635101253303</v>
      </c>
      <c r="AV88" s="157">
        <f t="shared" si="21"/>
        <v>45404</v>
      </c>
      <c r="AW88" s="167" t="str">
        <f t="shared" si="22"/>
        <v>HG</v>
      </c>
      <c r="AX88" s="168">
        <f t="shared" si="23"/>
        <v>823058.93059999996</v>
      </c>
      <c r="AY88" s="168">
        <f t="shared" si="24"/>
        <v>1091426.7420000001</v>
      </c>
      <c r="AZ88" s="168">
        <f t="shared" si="25"/>
        <v>-121.1289</v>
      </c>
      <c r="BA88" s="168">
        <f t="shared" si="26"/>
        <v>5.0648987466970139</v>
      </c>
      <c r="BB88" s="168">
        <f t="shared" si="27"/>
        <v>-2.5295350651769413</v>
      </c>
      <c r="BC88" s="169">
        <f t="shared" si="28"/>
        <v>1.1474510125330255</v>
      </c>
    </row>
    <row r="89" spans="28:55" ht="15">
      <c r="AB89" s="181">
        <v>45411</v>
      </c>
      <c r="AC89" s="157" t="s">
        <v>33</v>
      </c>
      <c r="AD89" s="158" t="s">
        <v>33</v>
      </c>
      <c r="AE89" s="157">
        <v>823056.71380000003</v>
      </c>
      <c r="AF89" s="157">
        <v>1091431.4513999999</v>
      </c>
      <c r="AG89" s="159">
        <v>-123.0033</v>
      </c>
      <c r="AL89" s="160">
        <f t="shared" si="17"/>
        <v>5.083806228747755</v>
      </c>
      <c r="AM89" s="161">
        <f t="shared" si="18"/>
        <v>2.6754906893342789</v>
      </c>
      <c r="AN89" s="162">
        <f t="shared" si="19"/>
        <v>-0.72713806228748012</v>
      </c>
      <c r="AO89" s="163">
        <f t="shared" si="20"/>
        <v>-122.27616193771252</v>
      </c>
      <c r="AV89" s="157">
        <f t="shared" si="21"/>
        <v>45411</v>
      </c>
      <c r="AW89" s="167" t="str">
        <f t="shared" si="22"/>
        <v>BD</v>
      </c>
      <c r="AX89" s="168">
        <f t="shared" si="23"/>
        <v>823056.71380000003</v>
      </c>
      <c r="AY89" s="168">
        <f t="shared" si="24"/>
        <v>1091431.4513999999</v>
      </c>
      <c r="AZ89" s="168">
        <f t="shared" si="25"/>
        <v>-123.0033</v>
      </c>
      <c r="BA89" s="168">
        <f t="shared" si="26"/>
        <v>5.083806228747755</v>
      </c>
      <c r="BB89" s="168">
        <f t="shared" si="27"/>
        <v>2.6754906893342789</v>
      </c>
      <c r="BC89" s="169">
        <f t="shared" si="28"/>
        <v>-0.72713806228748012</v>
      </c>
    </row>
    <row r="90" spans="28:55" ht="15">
      <c r="AB90" s="181">
        <v>45411</v>
      </c>
      <c r="AC90" s="157" t="s">
        <v>32</v>
      </c>
      <c r="AD90" s="158" t="s">
        <v>32</v>
      </c>
      <c r="AE90" s="157">
        <v>823058.96849999996</v>
      </c>
      <c r="AF90" s="157">
        <v>1091426.6584000001</v>
      </c>
      <c r="AG90" s="159">
        <v>-123.0604</v>
      </c>
      <c r="AL90" s="160">
        <f t="shared" si="17"/>
        <v>5.0658791077971355</v>
      </c>
      <c r="AM90" s="161">
        <f t="shared" si="18"/>
        <v>-2.6213196439138193</v>
      </c>
      <c r="AN90" s="162">
        <f t="shared" si="19"/>
        <v>-0.7840587910779675</v>
      </c>
      <c r="AO90" s="163">
        <f t="shared" si="20"/>
        <v>-122.27634120892203</v>
      </c>
      <c r="AV90" s="157">
        <f t="shared" si="21"/>
        <v>45411</v>
      </c>
      <c r="AW90" s="167" t="str">
        <f t="shared" si="22"/>
        <v>BG</v>
      </c>
      <c r="AX90" s="168">
        <f t="shared" si="23"/>
        <v>823058.96849999996</v>
      </c>
      <c r="AY90" s="168">
        <f t="shared" si="24"/>
        <v>1091426.6584000001</v>
      </c>
      <c r="AZ90" s="168">
        <f t="shared" si="25"/>
        <v>-123.0604</v>
      </c>
      <c r="BA90" s="168">
        <f t="shared" si="26"/>
        <v>5.0658791077971355</v>
      </c>
      <c r="BB90" s="168">
        <f t="shared" si="27"/>
        <v>-2.6213196439138193</v>
      </c>
      <c r="BC90" s="169">
        <f t="shared" si="28"/>
        <v>-0.7840587910779675</v>
      </c>
    </row>
    <row r="91" spans="28:55" ht="15">
      <c r="AB91" s="181">
        <v>45411</v>
      </c>
      <c r="AC91" s="157" t="s">
        <v>64</v>
      </c>
      <c r="AD91" s="158" t="s">
        <v>64</v>
      </c>
      <c r="AE91" s="157">
        <v>823057.99670000002</v>
      </c>
      <c r="AF91" s="157">
        <v>1091429.0841000001</v>
      </c>
      <c r="AG91" s="159">
        <v>-119.6885</v>
      </c>
      <c r="AL91" s="160">
        <f t="shared" si="17"/>
        <v>4.921525413784746</v>
      </c>
      <c r="AM91" s="161">
        <f t="shared" si="18"/>
        <v>-1.2186120880668448E-2</v>
      </c>
      <c r="AN91" s="162">
        <f t="shared" si="19"/>
        <v>2.5892847458621446</v>
      </c>
      <c r="AO91" s="163">
        <f t="shared" si="20"/>
        <v>-122.27778474586215</v>
      </c>
      <c r="AV91" s="157">
        <f t="shared" si="21"/>
        <v>45411</v>
      </c>
      <c r="AW91" s="167" t="str">
        <f t="shared" si="22"/>
        <v>CH</v>
      </c>
      <c r="AX91" s="168">
        <f t="shared" si="23"/>
        <v>823057.99670000002</v>
      </c>
      <c r="AY91" s="168">
        <f t="shared" si="24"/>
        <v>1091429.0841000001</v>
      </c>
      <c r="AZ91" s="168">
        <f t="shared" si="25"/>
        <v>-119.6885</v>
      </c>
      <c r="BA91" s="168">
        <f t="shared" si="26"/>
        <v>4.921525413784746</v>
      </c>
      <c r="BB91" s="168">
        <f t="shared" si="27"/>
        <v>-1.2186120880668448E-2</v>
      </c>
      <c r="BC91" s="169">
        <f t="shared" si="28"/>
        <v>2.5892847458621446</v>
      </c>
    </row>
    <row r="92" spans="28:55" ht="15">
      <c r="AB92" s="181">
        <v>45411</v>
      </c>
      <c r="AC92" s="157" t="s">
        <v>11</v>
      </c>
      <c r="AD92" s="158" t="s">
        <v>11</v>
      </c>
      <c r="AE92" s="157">
        <v>823056.97160000005</v>
      </c>
      <c r="AF92" s="157">
        <v>1091430.3836999999</v>
      </c>
      <c r="AG92" s="159">
        <v>-120.0956</v>
      </c>
      <c r="AL92" s="160">
        <f t="shared" si="17"/>
        <v>5.3013724683245451</v>
      </c>
      <c r="AM92" s="161">
        <f t="shared" si="18"/>
        <v>1.5988714151999204</v>
      </c>
      <c r="AN92" s="162">
        <f t="shared" si="19"/>
        <v>2.178386275316754</v>
      </c>
      <c r="AO92" s="163">
        <f t="shared" si="20"/>
        <v>-122.27398627531676</v>
      </c>
      <c r="AV92" s="157">
        <f t="shared" si="21"/>
        <v>45411</v>
      </c>
      <c r="AW92" s="167" t="str">
        <f t="shared" si="22"/>
        <v>HD</v>
      </c>
      <c r="AX92" s="168">
        <f t="shared" si="23"/>
        <v>823056.97160000005</v>
      </c>
      <c r="AY92" s="168">
        <f t="shared" si="24"/>
        <v>1091430.3836999999</v>
      </c>
      <c r="AZ92" s="168">
        <f t="shared" si="25"/>
        <v>-120.0956</v>
      </c>
      <c r="BA92" s="168">
        <f t="shared" si="26"/>
        <v>5.3013724683245451</v>
      </c>
      <c r="BB92" s="168">
        <f t="shared" si="27"/>
        <v>1.5988714151999204</v>
      </c>
      <c r="BC92" s="169">
        <f t="shared" si="28"/>
        <v>2.178386275316754</v>
      </c>
    </row>
    <row r="93" spans="28:55" ht="15">
      <c r="AB93" s="181">
        <v>45411</v>
      </c>
      <c r="AC93" s="157" t="s">
        <v>10</v>
      </c>
      <c r="AD93" s="158" t="s">
        <v>10</v>
      </c>
      <c r="AE93" s="157">
        <v>823058.93039999995</v>
      </c>
      <c r="AF93" s="157">
        <v>1091426.7427000001</v>
      </c>
      <c r="AG93" s="159">
        <v>-121.1288</v>
      </c>
      <c r="AL93" s="160">
        <f t="shared" si="17"/>
        <v>5.0647841869300239</v>
      </c>
      <c r="AM93" s="161">
        <f t="shared" si="18"/>
        <v>-2.5288161242693268</v>
      </c>
      <c r="AN93" s="162">
        <f t="shared" si="19"/>
        <v>1.1475521581306936</v>
      </c>
      <c r="AO93" s="163">
        <f t="shared" si="20"/>
        <v>-122.27635215813069</v>
      </c>
      <c r="AV93" s="157">
        <f t="shared" si="21"/>
        <v>45411</v>
      </c>
      <c r="AW93" s="167" t="str">
        <f t="shared" si="22"/>
        <v>HG</v>
      </c>
      <c r="AX93" s="168">
        <f t="shared" si="23"/>
        <v>823058.93039999995</v>
      </c>
      <c r="AY93" s="168">
        <f t="shared" si="24"/>
        <v>1091426.7427000001</v>
      </c>
      <c r="AZ93" s="168">
        <f t="shared" si="25"/>
        <v>-121.1288</v>
      </c>
      <c r="BA93" s="168">
        <f t="shared" si="26"/>
        <v>5.0647841869300239</v>
      </c>
      <c r="BB93" s="168">
        <f t="shared" si="27"/>
        <v>-2.5288161242693268</v>
      </c>
      <c r="BC93" s="169">
        <f t="shared" si="28"/>
        <v>1.1475521581306936</v>
      </c>
    </row>
    <row r="94" spans="28:55" ht="15">
      <c r="AB94" s="181">
        <v>45426</v>
      </c>
      <c r="AC94" s="157" t="s">
        <v>33</v>
      </c>
      <c r="AD94" s="158" t="s">
        <v>33</v>
      </c>
      <c r="AE94" s="157">
        <v>823056.7132</v>
      </c>
      <c r="AF94" s="157">
        <v>1091431.4506999999</v>
      </c>
      <c r="AG94" s="159">
        <v>-123.00369999999999</v>
      </c>
      <c r="AL94" s="160">
        <f t="shared" si="17"/>
        <v>5.0846458401584318</v>
      </c>
      <c r="AM94" s="161">
        <f t="shared" si="18"/>
        <v>2.6751098315152473</v>
      </c>
      <c r="AN94" s="162">
        <f t="shared" si="19"/>
        <v>-0.7275464584015765</v>
      </c>
      <c r="AO94" s="163">
        <f t="shared" si="20"/>
        <v>-122.27615354159842</v>
      </c>
      <c r="AV94" s="157">
        <f t="shared" si="21"/>
        <v>45426</v>
      </c>
      <c r="AW94" s="167" t="str">
        <f t="shared" si="22"/>
        <v>BD</v>
      </c>
      <c r="AX94" s="168">
        <f t="shared" si="23"/>
        <v>823056.7132</v>
      </c>
      <c r="AY94" s="168">
        <f t="shared" si="24"/>
        <v>1091431.4506999999</v>
      </c>
      <c r="AZ94" s="168">
        <f t="shared" si="25"/>
        <v>-123.00369999999999</v>
      </c>
      <c r="BA94" s="168">
        <f t="shared" si="26"/>
        <v>5.0846458401584318</v>
      </c>
      <c r="BB94" s="168">
        <f t="shared" si="27"/>
        <v>2.6751098315152473</v>
      </c>
      <c r="BC94" s="169">
        <f t="shared" si="28"/>
        <v>-0.7275464584015765</v>
      </c>
    </row>
    <row r="95" spans="28:55" ht="15">
      <c r="AB95" s="181">
        <v>45426</v>
      </c>
      <c r="AC95" s="157" t="s">
        <v>32</v>
      </c>
      <c r="AD95" s="158" t="s">
        <v>32</v>
      </c>
      <c r="AE95" s="157">
        <v>823058.96880000003</v>
      </c>
      <c r="AF95" s="157">
        <v>1091426.6580000001</v>
      </c>
      <c r="AG95" s="159">
        <v>-123.06059999999999</v>
      </c>
      <c r="AL95" s="160">
        <f t="shared" si="17"/>
        <v>5.06577625492229</v>
      </c>
      <c r="AM95" s="161">
        <f t="shared" si="18"/>
        <v>-2.621808950918481</v>
      </c>
      <c r="AN95" s="162">
        <f t="shared" si="19"/>
        <v>-0.78425776254921686</v>
      </c>
      <c r="AO95" s="163">
        <f t="shared" si="20"/>
        <v>-122.27634223745078</v>
      </c>
      <c r="AV95" s="157">
        <f t="shared" si="21"/>
        <v>45426</v>
      </c>
      <c r="AW95" s="167" t="str">
        <f t="shared" si="22"/>
        <v>BG</v>
      </c>
      <c r="AX95" s="168">
        <f t="shared" si="23"/>
        <v>823058.96880000003</v>
      </c>
      <c r="AY95" s="168">
        <f t="shared" si="24"/>
        <v>1091426.6580000001</v>
      </c>
      <c r="AZ95" s="168">
        <f t="shared" si="25"/>
        <v>-123.06059999999999</v>
      </c>
      <c r="BA95" s="168">
        <f t="shared" si="26"/>
        <v>5.06577625492229</v>
      </c>
      <c r="BB95" s="168">
        <f t="shared" si="27"/>
        <v>-2.621808950918481</v>
      </c>
      <c r="BC95" s="169">
        <f t="shared" si="28"/>
        <v>-0.78425776254921686</v>
      </c>
    </row>
    <row r="96" spans="28:55" ht="15">
      <c r="AB96" s="181">
        <v>45426</v>
      </c>
      <c r="AC96" s="157" t="s">
        <v>64</v>
      </c>
      <c r="AD96" s="158" t="s">
        <v>64</v>
      </c>
      <c r="AE96" s="157">
        <v>823057.99699999997</v>
      </c>
      <c r="AF96" s="157">
        <v>1091429.0837000001</v>
      </c>
      <c r="AG96" s="159">
        <v>-119.6887</v>
      </c>
      <c r="AL96" s="160">
        <f t="shared" si="17"/>
        <v>4.9214225610154108</v>
      </c>
      <c r="AM96" s="161">
        <f t="shared" si="18"/>
        <v>-1.2675427836128008E-2</v>
      </c>
      <c r="AN96" s="162">
        <f t="shared" si="19"/>
        <v>2.5890857743898437</v>
      </c>
      <c r="AO96" s="163">
        <f t="shared" si="20"/>
        <v>-122.27778577438984</v>
      </c>
      <c r="AV96" s="157">
        <f t="shared" si="21"/>
        <v>45426</v>
      </c>
      <c r="AW96" s="167" t="str">
        <f t="shared" si="22"/>
        <v>CH</v>
      </c>
      <c r="AX96" s="168">
        <f t="shared" si="23"/>
        <v>823057.99699999997</v>
      </c>
      <c r="AY96" s="168">
        <f t="shared" si="24"/>
        <v>1091429.0837000001</v>
      </c>
      <c r="AZ96" s="168">
        <f t="shared" si="25"/>
        <v>-119.6887</v>
      </c>
      <c r="BA96" s="168">
        <f t="shared" si="26"/>
        <v>4.9214225610154108</v>
      </c>
      <c r="BB96" s="168">
        <f t="shared" si="27"/>
        <v>-1.2675427836128008E-2</v>
      </c>
      <c r="BC96" s="169">
        <f t="shared" si="28"/>
        <v>2.5890857743898437</v>
      </c>
    </row>
    <row r="97" spans="28:55" ht="15">
      <c r="AB97" s="181">
        <v>45426</v>
      </c>
      <c r="AC97" s="157" t="s">
        <v>11</v>
      </c>
      <c r="AD97" s="158" t="s">
        <v>11</v>
      </c>
      <c r="AE97" s="157">
        <v>823056.97219999996</v>
      </c>
      <c r="AF97" s="157">
        <v>1091430.3832</v>
      </c>
      <c r="AG97" s="159">
        <v>-120.09610000000001</v>
      </c>
      <c r="AI97" s="137"/>
      <c r="AL97" s="160">
        <f t="shared" si="17"/>
        <v>5.3010399815538589</v>
      </c>
      <c r="AM97" s="161">
        <f t="shared" si="18"/>
        <v>1.5981646958136417</v>
      </c>
      <c r="AN97" s="162">
        <f t="shared" si="19"/>
        <v>2.1778896001844572</v>
      </c>
      <c r="AO97" s="163">
        <f t="shared" si="20"/>
        <v>-122.27398960018446</v>
      </c>
      <c r="AV97" s="157">
        <f t="shared" si="21"/>
        <v>45426</v>
      </c>
      <c r="AW97" s="167" t="str">
        <f t="shared" si="22"/>
        <v>HD</v>
      </c>
      <c r="AX97" s="168">
        <f t="shared" si="23"/>
        <v>823056.97219999996</v>
      </c>
      <c r="AY97" s="168">
        <f t="shared" si="24"/>
        <v>1091430.3832</v>
      </c>
      <c r="AZ97" s="168">
        <f t="shared" si="25"/>
        <v>-120.09610000000001</v>
      </c>
      <c r="BA97" s="168">
        <f t="shared" si="26"/>
        <v>5.3010399815538589</v>
      </c>
      <c r="BB97" s="168">
        <f t="shared" si="27"/>
        <v>1.5981646958136417</v>
      </c>
      <c r="BC97" s="169">
        <f t="shared" si="28"/>
        <v>2.1778896001844572</v>
      </c>
    </row>
    <row r="98" spans="28:55" ht="15">
      <c r="AB98" s="181">
        <v>45426</v>
      </c>
      <c r="AC98" s="157" t="s">
        <v>10</v>
      </c>
      <c r="AD98" s="158" t="s">
        <v>10</v>
      </c>
      <c r="AE98" s="157">
        <v>823058.93059999996</v>
      </c>
      <c r="AF98" s="157">
        <v>1091426.7420000001</v>
      </c>
      <c r="AG98" s="159">
        <v>-121.1289</v>
      </c>
      <c r="AI98" s="137"/>
      <c r="AL98" s="160">
        <f t="shared" si="17"/>
        <v>5.0648987466970139</v>
      </c>
      <c r="AM98" s="161">
        <f t="shared" si="18"/>
        <v>-2.5295350651769413</v>
      </c>
      <c r="AN98" s="162">
        <f t="shared" si="19"/>
        <v>1.1474510125330255</v>
      </c>
      <c r="AO98" s="163">
        <f t="shared" si="20"/>
        <v>-122.27635101253303</v>
      </c>
      <c r="AV98" s="157">
        <f t="shared" si="21"/>
        <v>45426</v>
      </c>
      <c r="AW98" s="167" t="str">
        <f t="shared" si="22"/>
        <v>HG</v>
      </c>
      <c r="AX98" s="168">
        <f t="shared" si="23"/>
        <v>823058.93059999996</v>
      </c>
      <c r="AY98" s="168">
        <f t="shared" si="24"/>
        <v>1091426.7420000001</v>
      </c>
      <c r="AZ98" s="168">
        <f t="shared" si="25"/>
        <v>-121.1289</v>
      </c>
      <c r="BA98" s="168">
        <f t="shared" si="26"/>
        <v>5.0648987466970139</v>
      </c>
      <c r="BB98" s="168">
        <f t="shared" si="27"/>
        <v>-2.5295350651769413</v>
      </c>
      <c r="BC98" s="169">
        <f t="shared" si="28"/>
        <v>1.1474510125330255</v>
      </c>
    </row>
    <row r="99" spans="28:55" ht="15">
      <c r="AB99" s="181">
        <v>45453</v>
      </c>
      <c r="AC99" s="157" t="s">
        <v>33</v>
      </c>
      <c r="AD99" s="158" t="s">
        <v>33</v>
      </c>
      <c r="AE99" s="157">
        <v>823056.71369999985</v>
      </c>
      <c r="AF99" s="157">
        <v>1091431.4502833334</v>
      </c>
      <c r="AG99" s="159">
        <v>-123.00335</v>
      </c>
      <c r="AI99" s="137"/>
      <c r="AL99" s="160">
        <f t="shared" si="17"/>
        <v>5.0843687679034657</v>
      </c>
      <c r="AM99" s="161">
        <f t="shared" si="18"/>
        <v>2.6745208987613149</v>
      </c>
      <c r="AN99" s="162">
        <f t="shared" si="19"/>
        <v>-0.72719368767903347</v>
      </c>
      <c r="AO99" s="163">
        <f t="shared" si="20"/>
        <v>-122.27615631232096</v>
      </c>
      <c r="AV99" s="157">
        <f t="shared" si="21"/>
        <v>45453</v>
      </c>
      <c r="AW99" s="167" t="str">
        <f t="shared" si="22"/>
        <v>BD</v>
      </c>
      <c r="AX99" s="168">
        <f t="shared" si="23"/>
        <v>823056.71369999985</v>
      </c>
      <c r="AY99" s="168">
        <f t="shared" si="24"/>
        <v>1091431.4502833334</v>
      </c>
      <c r="AZ99" s="168">
        <f t="shared" si="25"/>
        <v>-123.00335</v>
      </c>
      <c r="BA99" s="168">
        <f t="shared" si="26"/>
        <v>5.0843687679034657</v>
      </c>
      <c r="BB99" s="168">
        <f t="shared" si="27"/>
        <v>2.6745208987613149</v>
      </c>
      <c r="BC99" s="169">
        <f t="shared" si="28"/>
        <v>-0.72719368767903347</v>
      </c>
    </row>
    <row r="100" spans="28:55" ht="15">
      <c r="AB100" s="181">
        <v>45453</v>
      </c>
      <c r="AC100" s="170" t="s">
        <v>32</v>
      </c>
      <c r="AD100" s="158" t="s">
        <v>32</v>
      </c>
      <c r="AE100" s="157">
        <v>823058.96849999996</v>
      </c>
      <c r="AF100" s="157">
        <v>1091426.6580000001</v>
      </c>
      <c r="AG100" s="159">
        <v>-123.06044999999999</v>
      </c>
      <c r="AI100" s="137"/>
      <c r="AL100" s="160">
        <f t="shared" si="17"/>
        <v>5.0660481493414267</v>
      </c>
      <c r="AM100" s="161">
        <f t="shared" si="18"/>
        <v>-2.6216821697356623</v>
      </c>
      <c r="AN100" s="162">
        <f t="shared" si="19"/>
        <v>-0.7841104814933999</v>
      </c>
      <c r="AO100" s="163">
        <f t="shared" si="20"/>
        <v>-122.27633951850659</v>
      </c>
      <c r="AV100" s="157">
        <f t="shared" si="21"/>
        <v>45453</v>
      </c>
      <c r="AW100" s="167" t="str">
        <f t="shared" si="22"/>
        <v>BG</v>
      </c>
      <c r="AX100" s="168">
        <f t="shared" si="23"/>
        <v>823058.96849999996</v>
      </c>
      <c r="AY100" s="168">
        <f t="shared" si="24"/>
        <v>1091426.6580000001</v>
      </c>
      <c r="AZ100" s="168">
        <f t="shared" si="25"/>
        <v>-123.06044999999999</v>
      </c>
      <c r="BA100" s="168">
        <f t="shared" si="26"/>
        <v>5.0660481493414267</v>
      </c>
      <c r="BB100" s="168">
        <f t="shared" si="27"/>
        <v>-2.6216821697356623</v>
      </c>
      <c r="BC100" s="169">
        <f t="shared" si="28"/>
        <v>-0.7841104814933999</v>
      </c>
    </row>
    <row r="101" spans="28:55" ht="15">
      <c r="AB101" s="181">
        <v>45453</v>
      </c>
      <c r="AC101" s="157" t="s">
        <v>64</v>
      </c>
      <c r="AD101" s="158" t="s">
        <v>64</v>
      </c>
      <c r="AE101" s="157">
        <v>823057.99659999995</v>
      </c>
      <c r="AF101" s="157">
        <v>1091429.0834142859</v>
      </c>
      <c r="AG101" s="159">
        <v>-119.6887</v>
      </c>
      <c r="AI101" s="137"/>
      <c r="AL101" s="160">
        <f t="shared" si="17"/>
        <v>4.9219058307412356</v>
      </c>
      <c r="AM101" s="161">
        <f t="shared" si="18"/>
        <v>-1.2765333186860128E-2</v>
      </c>
      <c r="AN101" s="162">
        <f t="shared" si="19"/>
        <v>2.5890809416925862</v>
      </c>
      <c r="AO101" s="163">
        <f t="shared" si="20"/>
        <v>-122.27778094169258</v>
      </c>
      <c r="AV101" s="157">
        <f t="shared" si="21"/>
        <v>45453</v>
      </c>
      <c r="AW101" s="167" t="str">
        <f t="shared" si="22"/>
        <v>CH</v>
      </c>
      <c r="AX101" s="168">
        <f t="shared" si="23"/>
        <v>823057.99659999995</v>
      </c>
      <c r="AY101" s="168">
        <f t="shared" si="24"/>
        <v>1091429.0834142859</v>
      </c>
      <c r="AZ101" s="168">
        <f t="shared" si="25"/>
        <v>-119.6887</v>
      </c>
      <c r="BA101" s="168">
        <f t="shared" si="26"/>
        <v>4.9219058307412356</v>
      </c>
      <c r="BB101" s="168">
        <f t="shared" si="27"/>
        <v>-1.2765333186860128E-2</v>
      </c>
      <c r="BC101" s="169">
        <f t="shared" si="28"/>
        <v>2.5890809416925862</v>
      </c>
    </row>
    <row r="102" spans="28:55" ht="15">
      <c r="AB102" s="181">
        <v>45453</v>
      </c>
      <c r="AC102" s="157" t="s">
        <v>11</v>
      </c>
      <c r="AD102" s="158" t="s">
        <v>11</v>
      </c>
      <c r="AE102" s="157">
        <v>823056.97160000016</v>
      </c>
      <c r="AF102" s="157">
        <v>1091430.3826666668</v>
      </c>
      <c r="AG102" s="159">
        <v>-120.0962</v>
      </c>
      <c r="AI102" s="137"/>
      <c r="AL102" s="160">
        <f t="shared" si="17"/>
        <v>5.3018091587685294</v>
      </c>
      <c r="AM102" s="161">
        <f t="shared" si="18"/>
        <v>1.5979348903395665</v>
      </c>
      <c r="AN102" s="162">
        <f t="shared" si="19"/>
        <v>2.1777819084123138</v>
      </c>
      <c r="AO102" s="163">
        <f t="shared" si="20"/>
        <v>-122.27398190841231</v>
      </c>
      <c r="AV102" s="157">
        <f t="shared" si="21"/>
        <v>45453</v>
      </c>
      <c r="AW102" s="167" t="str">
        <f t="shared" si="22"/>
        <v>HD</v>
      </c>
      <c r="AX102" s="168">
        <f t="shared" si="23"/>
        <v>823056.97160000016</v>
      </c>
      <c r="AY102" s="168">
        <f t="shared" si="24"/>
        <v>1091430.3826666668</v>
      </c>
      <c r="AZ102" s="168">
        <f t="shared" si="25"/>
        <v>-120.0962</v>
      </c>
      <c r="BA102" s="168">
        <f t="shared" si="26"/>
        <v>5.3018091587685294</v>
      </c>
      <c r="BB102" s="168">
        <f t="shared" si="27"/>
        <v>1.5979348903395665</v>
      </c>
      <c r="BC102" s="169">
        <f t="shared" si="28"/>
        <v>2.1777819084123138</v>
      </c>
    </row>
    <row r="103" spans="28:55" ht="15">
      <c r="AB103" s="181">
        <v>45453</v>
      </c>
      <c r="AC103" s="157" t="s">
        <v>10</v>
      </c>
      <c r="AD103" s="158" t="s">
        <v>10</v>
      </c>
      <c r="AE103" s="157">
        <v>823058.93003333348</v>
      </c>
      <c r="AF103" s="157">
        <v>1091426.7420000001</v>
      </c>
      <c r="AG103" s="159">
        <v>-121.12906666666666</v>
      </c>
      <c r="AI103" s="137"/>
      <c r="AL103" s="160">
        <f t="shared" si="17"/>
        <v>5.0654123247511915</v>
      </c>
      <c r="AM103" s="161">
        <f t="shared" si="18"/>
        <v>-2.5292955897460572</v>
      </c>
      <c r="AN103" s="162">
        <f t="shared" si="19"/>
        <v>1.1472792100858271</v>
      </c>
      <c r="AO103" s="163">
        <f t="shared" si="20"/>
        <v>-122.27634587675249</v>
      </c>
      <c r="AV103" s="157">
        <f t="shared" si="21"/>
        <v>45453</v>
      </c>
      <c r="AW103" s="167" t="str">
        <f t="shared" si="22"/>
        <v>HG</v>
      </c>
      <c r="AX103" s="168">
        <f t="shared" si="23"/>
        <v>823058.93003333348</v>
      </c>
      <c r="AY103" s="168">
        <f t="shared" si="24"/>
        <v>1091426.7420000001</v>
      </c>
      <c r="AZ103" s="168">
        <f t="shared" si="25"/>
        <v>-121.12906666666666</v>
      </c>
      <c r="BA103" s="168">
        <f t="shared" si="26"/>
        <v>5.0654123247511915</v>
      </c>
      <c r="BB103" s="168">
        <f t="shared" si="27"/>
        <v>-2.5292955897460572</v>
      </c>
      <c r="BC103" s="169">
        <f t="shared" si="28"/>
        <v>1.1472792100858271</v>
      </c>
    </row>
    <row r="104" spans="28:55" ht="15">
      <c r="AB104" s="181">
        <v>45481</v>
      </c>
      <c r="AC104" s="170" t="s">
        <v>33</v>
      </c>
      <c r="AD104" s="158" t="s">
        <v>33</v>
      </c>
      <c r="AE104" s="157">
        <v>823056.71400000004</v>
      </c>
      <c r="AF104" s="157">
        <v>1091431.4512</v>
      </c>
      <c r="AG104" s="159">
        <v>-123.00369999999999</v>
      </c>
      <c r="AI104" s="137"/>
      <c r="AL104" s="160">
        <f t="shared" si="17"/>
        <v>5.0837094865597825</v>
      </c>
      <c r="AM104" s="161">
        <f t="shared" si="18"/>
        <v>2.6752249057567203</v>
      </c>
      <c r="AN104" s="162">
        <f t="shared" si="19"/>
        <v>-0.72753709486559615</v>
      </c>
      <c r="AO104" s="163">
        <f t="shared" si="20"/>
        <v>-122.2761629051344</v>
      </c>
      <c r="AV104" s="157">
        <f t="shared" si="21"/>
        <v>45481</v>
      </c>
      <c r="AW104" s="167" t="str">
        <f t="shared" si="22"/>
        <v>BD</v>
      </c>
      <c r="AX104" s="168">
        <f t="shared" si="23"/>
        <v>823056.71400000004</v>
      </c>
      <c r="AY104" s="168">
        <f t="shared" si="24"/>
        <v>1091431.4512</v>
      </c>
      <c r="AZ104" s="168">
        <f t="shared" si="25"/>
        <v>-123.00369999999999</v>
      </c>
      <c r="BA104" s="168">
        <f t="shared" si="26"/>
        <v>5.0837094865597825</v>
      </c>
      <c r="BB104" s="168">
        <f t="shared" si="27"/>
        <v>2.6752249057567203</v>
      </c>
      <c r="BC104" s="169">
        <f t="shared" si="28"/>
        <v>-0.72753709486559615</v>
      </c>
    </row>
    <row r="105" spans="28:55" ht="15">
      <c r="AB105" s="181">
        <v>45481</v>
      </c>
      <c r="AC105" s="157" t="s">
        <v>32</v>
      </c>
      <c r="AD105" s="158" t="s">
        <v>32</v>
      </c>
      <c r="AE105" s="157">
        <v>823058.96849999996</v>
      </c>
      <c r="AF105" s="157">
        <v>1091426.6592999999</v>
      </c>
      <c r="AG105" s="159">
        <v>-123.06100000000001</v>
      </c>
      <c r="AI105" s="137"/>
      <c r="AL105" s="160">
        <f t="shared" si="17"/>
        <v>5.0654987643962741</v>
      </c>
      <c r="AM105" s="161">
        <f t="shared" si="18"/>
        <v>-2.6205039609729379</v>
      </c>
      <c r="AN105" s="162">
        <f t="shared" si="19"/>
        <v>-0.78465498764397523</v>
      </c>
      <c r="AO105" s="163">
        <f t="shared" si="20"/>
        <v>-122.27634501235603</v>
      </c>
      <c r="AV105" s="157">
        <f t="shared" si="21"/>
        <v>45481</v>
      </c>
      <c r="AW105" s="167" t="str">
        <f t="shared" si="22"/>
        <v>BG</v>
      </c>
      <c r="AX105" s="168">
        <f t="shared" si="23"/>
        <v>823058.96849999996</v>
      </c>
      <c r="AY105" s="168">
        <f t="shared" si="24"/>
        <v>1091426.6592999999</v>
      </c>
      <c r="AZ105" s="168">
        <f t="shared" si="25"/>
        <v>-123.06100000000001</v>
      </c>
      <c r="BA105" s="168">
        <f t="shared" si="26"/>
        <v>5.0654987643962741</v>
      </c>
      <c r="BB105" s="168">
        <f t="shared" si="27"/>
        <v>-2.6205039609729379</v>
      </c>
      <c r="BC105" s="169">
        <f t="shared" si="28"/>
        <v>-0.78465498764397523</v>
      </c>
    </row>
    <row r="106" spans="28:55" ht="15">
      <c r="AB106" s="181">
        <v>45481</v>
      </c>
      <c r="AC106" s="170" t="s">
        <v>64</v>
      </c>
      <c r="AD106" s="158" t="s">
        <v>64</v>
      </c>
      <c r="AE106" s="157">
        <v>823057.99659999995</v>
      </c>
      <c r="AF106" s="157">
        <v>1091429.0843</v>
      </c>
      <c r="AG106" s="159">
        <v>-119.6891</v>
      </c>
      <c r="AI106" s="137"/>
      <c r="AL106" s="160">
        <f t="shared" si="17"/>
        <v>4.9215315245700122</v>
      </c>
      <c r="AM106" s="161">
        <f t="shared" si="18"/>
        <v>-1.1962597664583144E-2</v>
      </c>
      <c r="AN106" s="162">
        <f t="shared" si="19"/>
        <v>2.5886846847542984</v>
      </c>
      <c r="AO106" s="163">
        <f t="shared" si="20"/>
        <v>-122.27778468475429</v>
      </c>
      <c r="AV106" s="157">
        <f t="shared" si="21"/>
        <v>45481</v>
      </c>
      <c r="AW106" s="167" t="str">
        <f t="shared" si="22"/>
        <v>CH</v>
      </c>
      <c r="AX106" s="168">
        <f t="shared" si="23"/>
        <v>823057.99659999995</v>
      </c>
      <c r="AY106" s="168">
        <f t="shared" si="24"/>
        <v>1091429.0843</v>
      </c>
      <c r="AZ106" s="168">
        <f t="shared" si="25"/>
        <v>-119.6891</v>
      </c>
      <c r="BA106" s="168">
        <f t="shared" si="26"/>
        <v>4.9215315245700122</v>
      </c>
      <c r="BB106" s="168">
        <f t="shared" si="27"/>
        <v>-1.1962597664583144E-2</v>
      </c>
      <c r="BC106" s="169">
        <f t="shared" si="28"/>
        <v>2.5886846847542984</v>
      </c>
    </row>
    <row r="107" spans="28:55" ht="15">
      <c r="AB107" s="181">
        <v>45481</v>
      </c>
      <c r="AC107" s="170" t="s">
        <v>11</v>
      </c>
      <c r="AD107" s="158" t="s">
        <v>11</v>
      </c>
      <c r="AE107" s="157">
        <v>823056.97239999997</v>
      </c>
      <c r="AF107" s="157">
        <v>1091430.3835</v>
      </c>
      <c r="AG107" s="159">
        <v>-120.0967</v>
      </c>
      <c r="AI107" s="137"/>
      <c r="AL107" s="160">
        <f t="shared" si="17"/>
        <v>5.300731937509318</v>
      </c>
      <c r="AM107" s="161">
        <f t="shared" si="18"/>
        <v>1.5983520693551208</v>
      </c>
      <c r="AN107" s="162">
        <f t="shared" si="19"/>
        <v>2.1772926806249018</v>
      </c>
      <c r="AO107" s="163">
        <f t="shared" si="20"/>
        <v>-122.2739926806249</v>
      </c>
      <c r="AV107" s="157">
        <f t="shared" si="21"/>
        <v>45481</v>
      </c>
      <c r="AW107" s="167" t="str">
        <f t="shared" si="22"/>
        <v>HD</v>
      </c>
      <c r="AX107" s="168">
        <f t="shared" si="23"/>
        <v>823056.97239999997</v>
      </c>
      <c r="AY107" s="168">
        <f t="shared" si="24"/>
        <v>1091430.3835</v>
      </c>
      <c r="AZ107" s="168">
        <f t="shared" si="25"/>
        <v>-120.0967</v>
      </c>
      <c r="BA107" s="168">
        <f t="shared" si="26"/>
        <v>5.300731937509318</v>
      </c>
      <c r="BB107" s="168">
        <f t="shared" si="27"/>
        <v>1.5983520693551208</v>
      </c>
      <c r="BC107" s="169">
        <f t="shared" si="28"/>
        <v>2.1772926806249018</v>
      </c>
    </row>
    <row r="108" spans="28:55" ht="15">
      <c r="AB108" s="181">
        <v>45481</v>
      </c>
      <c r="AC108" s="170" t="s">
        <v>10</v>
      </c>
      <c r="AD108" s="158" t="s">
        <v>10</v>
      </c>
      <c r="AE108" s="157">
        <v>823058.9301</v>
      </c>
      <c r="AF108" s="157">
        <v>1091426.7431999999</v>
      </c>
      <c r="AG108" s="159">
        <v>-121.1292</v>
      </c>
      <c r="AI108" s="137"/>
      <c r="AL108" s="160">
        <f t="shared" si="17"/>
        <v>5.0648447793870837</v>
      </c>
      <c r="AM108" s="161">
        <f t="shared" si="18"/>
        <v>-2.5282361860166649</v>
      </c>
      <c r="AN108" s="162">
        <f t="shared" si="19"/>
        <v>1.1471515522061253</v>
      </c>
      <c r="AO108" s="163">
        <f t="shared" si="20"/>
        <v>-122.27635155220612</v>
      </c>
      <c r="AV108" s="157">
        <f t="shared" si="21"/>
        <v>45481</v>
      </c>
      <c r="AW108" s="167" t="str">
        <f t="shared" si="22"/>
        <v>HG</v>
      </c>
      <c r="AX108" s="168">
        <f t="shared" si="23"/>
        <v>823058.9301</v>
      </c>
      <c r="AY108" s="168">
        <f t="shared" si="24"/>
        <v>1091426.7431999999</v>
      </c>
      <c r="AZ108" s="168">
        <f t="shared" si="25"/>
        <v>-121.1292</v>
      </c>
      <c r="BA108" s="168">
        <f t="shared" si="26"/>
        <v>5.0648447793870837</v>
      </c>
      <c r="BB108" s="168">
        <f t="shared" si="27"/>
        <v>-2.5282361860166649</v>
      </c>
      <c r="BC108" s="169">
        <f t="shared" si="28"/>
        <v>1.1471515522061253</v>
      </c>
    </row>
    <row r="109" spans="28:55" ht="15">
      <c r="AB109" s="181">
        <v>45544</v>
      </c>
      <c r="AC109" s="170" t="s">
        <v>33</v>
      </c>
      <c r="AD109" s="158" t="s">
        <v>33</v>
      </c>
      <c r="AE109" s="157">
        <v>823056.71349999995</v>
      </c>
      <c r="AF109" s="157">
        <v>1091431.4509999999</v>
      </c>
      <c r="AG109" s="159">
        <v>-123.0044</v>
      </c>
      <c r="AI109" s="137"/>
      <c r="AL109" s="160">
        <f t="shared" si="17"/>
        <v>5.0842471647111847</v>
      </c>
      <c r="AM109" s="161">
        <f t="shared" si="18"/>
        <v>2.6752549446952512</v>
      </c>
      <c r="AN109" s="162">
        <f t="shared" si="19"/>
        <v>-0.72824247164712119</v>
      </c>
      <c r="AO109" s="163">
        <f t="shared" si="20"/>
        <v>-122.27615752835288</v>
      </c>
      <c r="AV109" s="157">
        <f t="shared" si="21"/>
        <v>45544</v>
      </c>
      <c r="AW109" s="167" t="str">
        <f t="shared" si="22"/>
        <v>BD</v>
      </c>
      <c r="AX109" s="168">
        <f t="shared" si="23"/>
        <v>823056.71349999995</v>
      </c>
      <c r="AY109" s="168">
        <f t="shared" si="24"/>
        <v>1091431.4509999999</v>
      </c>
      <c r="AZ109" s="168">
        <f t="shared" si="25"/>
        <v>-123.0044</v>
      </c>
      <c r="BA109" s="168">
        <f t="shared" si="26"/>
        <v>5.0842471647111847</v>
      </c>
      <c r="BB109" s="168">
        <f t="shared" si="27"/>
        <v>2.6752549446952512</v>
      </c>
      <c r="BC109" s="169">
        <f t="shared" si="28"/>
        <v>-0.72824247164712119</v>
      </c>
    </row>
    <row r="110" spans="28:55" ht="15">
      <c r="AB110" s="181">
        <v>45544</v>
      </c>
      <c r="AC110" s="170" t="s">
        <v>32</v>
      </c>
      <c r="AD110" s="158" t="s">
        <v>32</v>
      </c>
      <c r="AE110" s="157">
        <v>823058.96860000002</v>
      </c>
      <c r="AF110" s="157">
        <v>1091426.6580999999</v>
      </c>
      <c r="AG110" s="159">
        <v>-123.0616</v>
      </c>
      <c r="AI110" s="137"/>
      <c r="AL110" s="160">
        <f t="shared" si="17"/>
        <v>5.0659152575209365</v>
      </c>
      <c r="AM110" s="161">
        <f t="shared" si="18"/>
        <v>-2.6216337988491367</v>
      </c>
      <c r="AN110" s="162">
        <f t="shared" si="19"/>
        <v>-0.78525915257520751</v>
      </c>
      <c r="AO110" s="163">
        <f t="shared" si="20"/>
        <v>-122.27634084742479</v>
      </c>
      <c r="AV110" s="157">
        <f t="shared" si="21"/>
        <v>45544</v>
      </c>
      <c r="AW110" s="167" t="str">
        <f t="shared" si="22"/>
        <v>BG</v>
      </c>
      <c r="AX110" s="168">
        <f t="shared" si="23"/>
        <v>823058.96860000002</v>
      </c>
      <c r="AY110" s="168">
        <f t="shared" si="24"/>
        <v>1091426.6580999999</v>
      </c>
      <c r="AZ110" s="168">
        <f t="shared" si="25"/>
        <v>-123.0616</v>
      </c>
      <c r="BA110" s="168">
        <f t="shared" si="26"/>
        <v>5.0659152575209365</v>
      </c>
      <c r="BB110" s="168">
        <f t="shared" si="27"/>
        <v>-2.6216337988491367</v>
      </c>
      <c r="BC110" s="169">
        <f t="shared" si="28"/>
        <v>-0.78525915257520751</v>
      </c>
    </row>
    <row r="111" spans="28:55" ht="15">
      <c r="AB111" s="181">
        <v>45544</v>
      </c>
      <c r="AC111" s="170" t="s">
        <v>64</v>
      </c>
      <c r="AD111" s="158" t="s">
        <v>64</v>
      </c>
      <c r="AE111" s="157">
        <v>823057.99650000001</v>
      </c>
      <c r="AF111" s="157">
        <v>1091429.0834999999</v>
      </c>
      <c r="AG111" s="159">
        <v>-119.6887</v>
      </c>
      <c r="AI111" s="137"/>
      <c r="AL111" s="160">
        <f t="shared" si="17"/>
        <v>4.9219602390613026</v>
      </c>
      <c r="AM111" s="161">
        <f t="shared" si="18"/>
        <v>-1.2645388946792043E-2</v>
      </c>
      <c r="AN111" s="162">
        <f t="shared" si="19"/>
        <v>2.5890803976093935</v>
      </c>
      <c r="AO111" s="163">
        <f t="shared" si="20"/>
        <v>-122.27778039760939</v>
      </c>
      <c r="AV111" s="157">
        <f t="shared" si="21"/>
        <v>45544</v>
      </c>
      <c r="AW111" s="167" t="str">
        <f t="shared" si="22"/>
        <v>CH</v>
      </c>
      <c r="AX111" s="168">
        <f t="shared" si="23"/>
        <v>823057.99650000001</v>
      </c>
      <c r="AY111" s="168">
        <f t="shared" si="24"/>
        <v>1091429.0834999999</v>
      </c>
      <c r="AZ111" s="168">
        <f t="shared" si="25"/>
        <v>-119.6887</v>
      </c>
      <c r="BA111" s="168">
        <f t="shared" si="26"/>
        <v>4.9219602390613026</v>
      </c>
      <c r="BB111" s="168">
        <f t="shared" si="27"/>
        <v>-1.2645388946792043E-2</v>
      </c>
      <c r="BC111" s="169">
        <f t="shared" si="28"/>
        <v>2.5890803976093935</v>
      </c>
    </row>
    <row r="112" spans="28:55" ht="15">
      <c r="AB112" s="181">
        <v>45544</v>
      </c>
      <c r="AC112" s="170" t="s">
        <v>11</v>
      </c>
      <c r="AD112" s="158" t="s">
        <v>11</v>
      </c>
      <c r="AE112" s="157">
        <v>823056.97204999998</v>
      </c>
      <c r="AF112" s="157">
        <v>1091430.3834000002</v>
      </c>
      <c r="AG112" s="159">
        <v>-120.09604999999999</v>
      </c>
      <c r="AI112" s="137"/>
      <c r="AL112" s="160">
        <f t="shared" si="17"/>
        <v>5.301091407889329</v>
      </c>
      <c r="AM112" s="161">
        <f t="shared" si="18"/>
        <v>1.5984093493968827</v>
      </c>
      <c r="AN112" s="162">
        <f t="shared" si="19"/>
        <v>2.1779390859211105</v>
      </c>
      <c r="AO112" s="163">
        <f t="shared" si="20"/>
        <v>-122.2739890859211</v>
      </c>
      <c r="AV112" s="157">
        <f t="shared" si="21"/>
        <v>45544</v>
      </c>
      <c r="AW112" s="167" t="str">
        <f t="shared" si="22"/>
        <v>HD</v>
      </c>
      <c r="AX112" s="168">
        <f t="shared" si="23"/>
        <v>823056.97204999998</v>
      </c>
      <c r="AY112" s="168">
        <f t="shared" si="24"/>
        <v>1091430.3834000002</v>
      </c>
      <c r="AZ112" s="168">
        <f t="shared" si="25"/>
        <v>-120.09604999999999</v>
      </c>
      <c r="BA112" s="168">
        <f t="shared" si="26"/>
        <v>5.301091407889329</v>
      </c>
      <c r="BB112" s="168">
        <f t="shared" si="27"/>
        <v>1.5984093493968827</v>
      </c>
      <c r="BC112" s="169">
        <f t="shared" si="28"/>
        <v>2.1779390859211105</v>
      </c>
    </row>
    <row r="113" spans="28:55" ht="15">
      <c r="AB113" s="181">
        <v>45544</v>
      </c>
      <c r="AC113" s="170" t="s">
        <v>10</v>
      </c>
      <c r="AD113" s="158" t="s">
        <v>10</v>
      </c>
      <c r="AE113" s="157">
        <v>823058.9301</v>
      </c>
      <c r="AF113" s="157">
        <v>1091426.7422</v>
      </c>
      <c r="AG113" s="159">
        <v>-121.12910000000001</v>
      </c>
      <c r="AI113" s="137"/>
      <c r="AL113" s="160">
        <f t="shared" si="17"/>
        <v>5.0652673831986146</v>
      </c>
      <c r="AM113" s="161">
        <f t="shared" si="18"/>
        <v>-2.5291425004657628</v>
      </c>
      <c r="AN113" s="162">
        <f t="shared" si="19"/>
        <v>1.1472473261679994</v>
      </c>
      <c r="AO113" s="163">
        <f t="shared" si="20"/>
        <v>-122.27634732616801</v>
      </c>
      <c r="AV113" s="157">
        <f t="shared" si="21"/>
        <v>45544</v>
      </c>
      <c r="AW113" s="167" t="str">
        <f t="shared" si="22"/>
        <v>HG</v>
      </c>
      <c r="AX113" s="168">
        <f t="shared" si="23"/>
        <v>823058.9301</v>
      </c>
      <c r="AY113" s="168">
        <f t="shared" si="24"/>
        <v>1091426.7422</v>
      </c>
      <c r="AZ113" s="168">
        <f t="shared" si="25"/>
        <v>-121.12910000000001</v>
      </c>
      <c r="BA113" s="168">
        <f t="shared" si="26"/>
        <v>5.0652673831986146</v>
      </c>
      <c r="BB113" s="168">
        <f t="shared" si="27"/>
        <v>-2.5291425004657628</v>
      </c>
      <c r="BC113" s="169">
        <f t="shared" si="28"/>
        <v>1.1472473261679994</v>
      </c>
    </row>
    <row r="114" spans="28:55" ht="15">
      <c r="AB114" s="181">
        <v>45601</v>
      </c>
      <c r="AC114" s="170" t="s">
        <v>33</v>
      </c>
      <c r="AD114" s="158" t="s">
        <v>33</v>
      </c>
      <c r="AE114" s="157">
        <v>823056.71349999995</v>
      </c>
      <c r="AF114" s="157">
        <v>1091431.4509999999</v>
      </c>
      <c r="AG114" s="159">
        <v>-123.00420000000001</v>
      </c>
      <c r="AI114" s="137"/>
      <c r="AL114" s="160">
        <f t="shared" si="17"/>
        <v>5.0842471647111847</v>
      </c>
      <c r="AM114" s="161">
        <f t="shared" si="18"/>
        <v>2.6752549446952512</v>
      </c>
      <c r="AN114" s="162">
        <f t="shared" si="19"/>
        <v>-0.72804247164712876</v>
      </c>
      <c r="AO114" s="163">
        <f t="shared" si="20"/>
        <v>-122.27615752835288</v>
      </c>
      <c r="AV114" s="157">
        <f t="shared" si="21"/>
        <v>45601</v>
      </c>
      <c r="AW114" s="167" t="str">
        <f t="shared" si="22"/>
        <v>BD</v>
      </c>
      <c r="AX114" s="168">
        <f t="shared" si="23"/>
        <v>823056.71349999995</v>
      </c>
      <c r="AY114" s="168">
        <f t="shared" si="24"/>
        <v>1091431.4509999999</v>
      </c>
      <c r="AZ114" s="168">
        <f t="shared" si="25"/>
        <v>-123.00420000000001</v>
      </c>
      <c r="BA114" s="168">
        <f t="shared" si="26"/>
        <v>5.0842471647111847</v>
      </c>
      <c r="BB114" s="168">
        <f t="shared" si="27"/>
        <v>2.6752549446952512</v>
      </c>
      <c r="BC114" s="169">
        <f t="shared" si="28"/>
        <v>-0.72804247164712876</v>
      </c>
    </row>
    <row r="115" spans="28:55" ht="15">
      <c r="AB115" s="181">
        <v>45601</v>
      </c>
      <c r="AC115" s="157" t="s">
        <v>32</v>
      </c>
      <c r="AD115" s="171" t="s">
        <v>32</v>
      </c>
      <c r="AE115" s="157">
        <v>823058.96860000002</v>
      </c>
      <c r="AF115" s="157">
        <v>1091426.6580999999</v>
      </c>
      <c r="AG115" s="159">
        <v>-123.0613</v>
      </c>
      <c r="AI115" s="137"/>
      <c r="AL115" s="160">
        <f t="shared" si="17"/>
        <v>5.0659152575209365</v>
      </c>
      <c r="AM115" s="161">
        <f t="shared" si="18"/>
        <v>-2.6216337988491367</v>
      </c>
      <c r="AN115" s="162">
        <f t="shared" si="19"/>
        <v>-0.78495915257521176</v>
      </c>
      <c r="AO115" s="163">
        <f t="shared" si="20"/>
        <v>-122.27634084742479</v>
      </c>
      <c r="AV115" s="157">
        <f t="shared" si="21"/>
        <v>45601</v>
      </c>
      <c r="AW115" s="167" t="str">
        <f t="shared" si="22"/>
        <v>BG</v>
      </c>
      <c r="AX115" s="168">
        <f t="shared" si="23"/>
        <v>823058.96860000002</v>
      </c>
      <c r="AY115" s="168">
        <f t="shared" si="24"/>
        <v>1091426.6580999999</v>
      </c>
      <c r="AZ115" s="168">
        <f t="shared" si="25"/>
        <v>-123.0613</v>
      </c>
      <c r="BA115" s="168">
        <f t="shared" si="26"/>
        <v>5.0659152575209365</v>
      </c>
      <c r="BB115" s="168">
        <f t="shared" si="27"/>
        <v>-2.6216337988491367</v>
      </c>
      <c r="BC115" s="169">
        <f t="shared" si="28"/>
        <v>-0.78495915257521176</v>
      </c>
    </row>
    <row r="116" spans="28:55" ht="15">
      <c r="AB116" s="181">
        <v>45601</v>
      </c>
      <c r="AC116" s="157" t="s">
        <v>64</v>
      </c>
      <c r="AD116" s="171" t="s">
        <v>64</v>
      </c>
      <c r="AE116" s="157">
        <v>823057.99650000001</v>
      </c>
      <c r="AF116" s="157">
        <v>1091429.0834999999</v>
      </c>
      <c r="AG116" s="159">
        <v>-119.6892</v>
      </c>
      <c r="AI116" s="137"/>
      <c r="AL116" s="160">
        <f t="shared" si="17"/>
        <v>4.9219602390613026</v>
      </c>
      <c r="AM116" s="161">
        <f t="shared" si="18"/>
        <v>-1.2645388946792043E-2</v>
      </c>
      <c r="AN116" s="162">
        <f t="shared" si="19"/>
        <v>2.5885803976093911</v>
      </c>
      <c r="AO116" s="163">
        <f t="shared" si="20"/>
        <v>-122.27778039760939</v>
      </c>
      <c r="AV116" s="157">
        <f t="shared" si="21"/>
        <v>45601</v>
      </c>
      <c r="AW116" s="167" t="str">
        <f t="shared" si="22"/>
        <v>CH</v>
      </c>
      <c r="AX116" s="168">
        <f t="shared" si="23"/>
        <v>823057.99650000001</v>
      </c>
      <c r="AY116" s="168">
        <f t="shared" si="24"/>
        <v>1091429.0834999999</v>
      </c>
      <c r="AZ116" s="168">
        <f t="shared" si="25"/>
        <v>-119.6892</v>
      </c>
      <c r="BA116" s="168">
        <f t="shared" si="26"/>
        <v>4.9219602390613026</v>
      </c>
      <c r="BB116" s="168">
        <f t="shared" si="27"/>
        <v>-1.2645388946792043E-2</v>
      </c>
      <c r="BC116" s="169">
        <f t="shared" si="28"/>
        <v>2.5885803976093911</v>
      </c>
    </row>
    <row r="117" spans="28:55" ht="15">
      <c r="AB117" s="181">
        <v>45601</v>
      </c>
      <c r="AC117" s="157" t="s">
        <v>11</v>
      </c>
      <c r="AD117" s="171" t="s">
        <v>11</v>
      </c>
      <c r="AE117" s="157">
        <v>823056.97169999999</v>
      </c>
      <c r="AF117" s="157">
        <v>1091430.3833000001</v>
      </c>
      <c r="AG117" s="159">
        <v>-120.09650000000001</v>
      </c>
      <c r="AI117" s="137"/>
      <c r="AL117" s="160">
        <f t="shared" si="17"/>
        <v>5.3014508783677359</v>
      </c>
      <c r="AM117" s="161">
        <f t="shared" si="18"/>
        <v>1.5984666292276217</v>
      </c>
      <c r="AN117" s="162">
        <f t="shared" si="19"/>
        <v>2.1774854912163164</v>
      </c>
      <c r="AO117" s="163">
        <f t="shared" si="20"/>
        <v>-122.27398549121632</v>
      </c>
      <c r="AV117" s="157">
        <f t="shared" si="21"/>
        <v>45601</v>
      </c>
      <c r="AW117" s="167" t="str">
        <f t="shared" si="22"/>
        <v>HD</v>
      </c>
      <c r="AX117" s="168">
        <f t="shared" si="23"/>
        <v>823056.97169999999</v>
      </c>
      <c r="AY117" s="168">
        <f t="shared" si="24"/>
        <v>1091430.3833000001</v>
      </c>
      <c r="AZ117" s="168">
        <f t="shared" si="25"/>
        <v>-120.09650000000001</v>
      </c>
      <c r="BA117" s="168">
        <f t="shared" si="26"/>
        <v>5.3014508783677359</v>
      </c>
      <c r="BB117" s="168">
        <f t="shared" si="27"/>
        <v>1.5984666292276217</v>
      </c>
      <c r="BC117" s="169">
        <f t="shared" si="28"/>
        <v>2.1774854912163164</v>
      </c>
    </row>
    <row r="118" spans="28:55" ht="15">
      <c r="AB118" s="181">
        <v>45601</v>
      </c>
      <c r="AC118" s="170" t="s">
        <v>10</v>
      </c>
      <c r="AD118" s="171" t="s">
        <v>10</v>
      </c>
      <c r="AE118" s="157">
        <v>823058.9301</v>
      </c>
      <c r="AF118" s="157">
        <v>1091426.7422</v>
      </c>
      <c r="AG118" s="159">
        <v>-121.12960000000001</v>
      </c>
      <c r="AI118" s="137"/>
      <c r="AL118" s="160">
        <f t="shared" si="17"/>
        <v>5.0652673831986146</v>
      </c>
      <c r="AM118" s="161">
        <f t="shared" si="18"/>
        <v>-2.5291425004657628</v>
      </c>
      <c r="AN118" s="162">
        <f t="shared" si="19"/>
        <v>1.146747326167997</v>
      </c>
      <c r="AO118" s="163">
        <f t="shared" si="20"/>
        <v>-122.27634732616801</v>
      </c>
      <c r="AV118" s="157">
        <f t="shared" si="21"/>
        <v>45601</v>
      </c>
      <c r="AW118" s="167" t="str">
        <f t="shared" si="22"/>
        <v>HG</v>
      </c>
      <c r="AX118" s="168">
        <f t="shared" si="23"/>
        <v>823058.9301</v>
      </c>
      <c r="AY118" s="168">
        <f t="shared" si="24"/>
        <v>1091426.7422</v>
      </c>
      <c r="AZ118" s="168">
        <f t="shared" si="25"/>
        <v>-121.12960000000001</v>
      </c>
      <c r="BA118" s="168">
        <f t="shared" si="26"/>
        <v>5.0652673831986146</v>
      </c>
      <c r="BB118" s="168">
        <f t="shared" si="27"/>
        <v>-2.5291425004657628</v>
      </c>
      <c r="BC118" s="169">
        <f t="shared" si="28"/>
        <v>1.146747326167997</v>
      </c>
    </row>
    <row r="119" spans="28:55" ht="15">
      <c r="AB119" s="181">
        <v>45671</v>
      </c>
      <c r="AC119" s="157" t="s">
        <v>33</v>
      </c>
      <c r="AD119" s="171" t="s">
        <v>33</v>
      </c>
      <c r="AE119" s="157">
        <v>823056.71550000005</v>
      </c>
      <c r="AF119" s="157">
        <v>1091431.4498999999</v>
      </c>
      <c r="AG119" s="159">
        <v>-123.00320000000001</v>
      </c>
      <c r="AI119" s="137"/>
      <c r="AL119" s="160">
        <f t="shared" si="17"/>
        <v>5.082899399824174</v>
      </c>
      <c r="AM119" s="161">
        <f t="shared" si="18"/>
        <v>2.673412791016482</v>
      </c>
      <c r="AN119" s="162">
        <f t="shared" si="19"/>
        <v>-0.72702899399824616</v>
      </c>
      <c r="AO119" s="163">
        <f t="shared" si="20"/>
        <v>-122.27617100600176</v>
      </c>
      <c r="AV119" s="157">
        <f t="shared" si="21"/>
        <v>45671</v>
      </c>
      <c r="AW119" s="167" t="str">
        <f t="shared" si="22"/>
        <v>BD</v>
      </c>
      <c r="AX119" s="168">
        <f t="shared" si="23"/>
        <v>823056.71550000005</v>
      </c>
      <c r="AY119" s="168">
        <f t="shared" si="24"/>
        <v>1091431.4498999999</v>
      </c>
      <c r="AZ119" s="168">
        <f t="shared" si="25"/>
        <v>-123.00320000000001</v>
      </c>
      <c r="BA119" s="168">
        <f t="shared" si="26"/>
        <v>5.082899399824174</v>
      </c>
      <c r="BB119" s="168">
        <f t="shared" si="27"/>
        <v>2.673412791016482</v>
      </c>
      <c r="BC119" s="169">
        <f t="shared" si="28"/>
        <v>-0.72702899399824616</v>
      </c>
    </row>
    <row r="120" spans="28:55" ht="15">
      <c r="AB120" s="181">
        <v>45671</v>
      </c>
      <c r="AC120" s="157" t="s">
        <v>32</v>
      </c>
      <c r="AD120" s="171" t="s">
        <v>32</v>
      </c>
      <c r="AE120" s="157">
        <v>823058.97019999998</v>
      </c>
      <c r="AF120" s="157">
        <v>1091426.6610000001</v>
      </c>
      <c r="AG120" s="159">
        <v>-123.0605</v>
      </c>
      <c r="AI120" s="137"/>
      <c r="AL120" s="160">
        <f t="shared" si="17"/>
        <v>5.0632396031183573</v>
      </c>
      <c r="AM120" s="161">
        <f t="shared" si="18"/>
        <v>-2.6196816527159967</v>
      </c>
      <c r="AN120" s="162">
        <f t="shared" si="19"/>
        <v>-0.78413239603119678</v>
      </c>
      <c r="AO120" s="163">
        <f t="shared" si="20"/>
        <v>-122.27636760396881</v>
      </c>
      <c r="AV120" s="157">
        <f t="shared" si="21"/>
        <v>45671</v>
      </c>
      <c r="AW120" s="167" t="str">
        <f t="shared" si="22"/>
        <v>BG</v>
      </c>
      <c r="AX120" s="168">
        <f t="shared" si="23"/>
        <v>823058.97019999998</v>
      </c>
      <c r="AY120" s="168">
        <f t="shared" si="24"/>
        <v>1091426.6610000001</v>
      </c>
      <c r="AZ120" s="168">
        <f t="shared" si="25"/>
        <v>-123.0605</v>
      </c>
      <c r="BA120" s="168">
        <f t="shared" si="26"/>
        <v>5.0632396031183573</v>
      </c>
      <c r="BB120" s="168">
        <f t="shared" si="27"/>
        <v>-2.6196816527159967</v>
      </c>
      <c r="BC120" s="169">
        <f t="shared" si="28"/>
        <v>-0.78413239603119678</v>
      </c>
    </row>
    <row r="121" spans="28:55" ht="15">
      <c r="AB121" s="181">
        <v>45671</v>
      </c>
      <c r="AC121" s="157" t="s">
        <v>64</v>
      </c>
      <c r="AD121" s="171" t="s">
        <v>64</v>
      </c>
      <c r="AE121" s="157">
        <v>823057.99820000003</v>
      </c>
      <c r="AF121" s="157">
        <v>1091429.0839</v>
      </c>
      <c r="AG121" s="159">
        <v>-119.6902</v>
      </c>
      <c r="AI121" s="137"/>
      <c r="AL121" s="160">
        <f t="shared" si="17"/>
        <v>4.9202504628269352</v>
      </c>
      <c r="AM121" s="161">
        <f t="shared" si="18"/>
        <v>-1.3001289663593462E-2</v>
      </c>
      <c r="AN121" s="162">
        <f t="shared" si="19"/>
        <v>2.5875974953717247</v>
      </c>
      <c r="AO121" s="163">
        <f t="shared" si="20"/>
        <v>-122.27779749537173</v>
      </c>
      <c r="AV121" s="157">
        <f t="shared" si="21"/>
        <v>45671</v>
      </c>
      <c r="AW121" s="167" t="str">
        <f t="shared" si="22"/>
        <v>CH</v>
      </c>
      <c r="AX121" s="168">
        <f t="shared" si="23"/>
        <v>823057.99820000003</v>
      </c>
      <c r="AY121" s="168">
        <f t="shared" si="24"/>
        <v>1091429.0839</v>
      </c>
      <c r="AZ121" s="168">
        <f t="shared" si="25"/>
        <v>-119.6902</v>
      </c>
      <c r="BA121" s="168">
        <f t="shared" si="26"/>
        <v>4.9202504628269352</v>
      </c>
      <c r="BB121" s="168">
        <f t="shared" si="27"/>
        <v>-1.3001289663593462E-2</v>
      </c>
      <c r="BC121" s="169">
        <f t="shared" si="28"/>
        <v>2.5875974953717247</v>
      </c>
    </row>
    <row r="122" spans="28:55" ht="15">
      <c r="AB122" s="181">
        <v>45671</v>
      </c>
      <c r="AC122" s="170" t="s">
        <v>11</v>
      </c>
      <c r="AD122" s="171" t="s">
        <v>11</v>
      </c>
      <c r="AE122" s="157">
        <v>823056.97389999998</v>
      </c>
      <c r="AF122" s="157">
        <v>1091430.3825999999</v>
      </c>
      <c r="AG122" s="159">
        <v>-120.0979</v>
      </c>
      <c r="AI122" s="137"/>
      <c r="AL122" s="160">
        <f t="shared" si="17"/>
        <v>5.2997528092294193</v>
      </c>
      <c r="AM122" s="161">
        <f t="shared" si="18"/>
        <v>1.5969024804367251</v>
      </c>
      <c r="AN122" s="162">
        <f t="shared" si="19"/>
        <v>2.1761024719077113</v>
      </c>
      <c r="AO122" s="163">
        <f t="shared" si="20"/>
        <v>-122.27400247190771</v>
      </c>
      <c r="AV122" s="157">
        <f t="shared" si="21"/>
        <v>45671</v>
      </c>
      <c r="AW122" s="167" t="str">
        <f t="shared" si="22"/>
        <v>HD</v>
      </c>
      <c r="AX122" s="168">
        <f t="shared" si="23"/>
        <v>823056.97389999998</v>
      </c>
      <c r="AY122" s="168">
        <f t="shared" si="24"/>
        <v>1091430.3825999999</v>
      </c>
      <c r="AZ122" s="168">
        <f t="shared" si="25"/>
        <v>-120.0979</v>
      </c>
      <c r="BA122" s="168">
        <f t="shared" si="26"/>
        <v>5.2997528092294193</v>
      </c>
      <c r="BB122" s="168">
        <f t="shared" si="27"/>
        <v>1.5969024804367251</v>
      </c>
      <c r="BC122" s="169">
        <f t="shared" si="28"/>
        <v>2.1761024719077113</v>
      </c>
    </row>
    <row r="123" spans="28:55" ht="15">
      <c r="AB123" s="181">
        <v>45671</v>
      </c>
      <c r="AC123" s="157" t="s">
        <v>10</v>
      </c>
      <c r="AD123" s="171" t="s">
        <v>10</v>
      </c>
      <c r="AE123" s="157">
        <v>823058.93119999999</v>
      </c>
      <c r="AF123" s="157">
        <v>1091426.7438000001</v>
      </c>
      <c r="AG123" s="159">
        <v>-121.13</v>
      </c>
      <c r="AI123" s="137"/>
      <c r="AL123" s="160">
        <f t="shared" si="17"/>
        <v>5.063594271064134</v>
      </c>
      <c r="AM123" s="161">
        <f t="shared" si="18"/>
        <v>-2.5281572614005987</v>
      </c>
      <c r="AN123" s="162">
        <f t="shared" si="19"/>
        <v>1.146364057289361</v>
      </c>
      <c r="AO123" s="163">
        <f t="shared" si="20"/>
        <v>-122.27636405728936</v>
      </c>
      <c r="AV123" s="157">
        <f t="shared" si="21"/>
        <v>45671</v>
      </c>
      <c r="AW123" s="167" t="str">
        <f t="shared" si="22"/>
        <v>HG</v>
      </c>
      <c r="AX123" s="168">
        <f t="shared" si="23"/>
        <v>823058.93119999999</v>
      </c>
      <c r="AY123" s="168">
        <f t="shared" si="24"/>
        <v>1091426.7438000001</v>
      </c>
      <c r="AZ123" s="168">
        <f t="shared" si="25"/>
        <v>-121.13</v>
      </c>
      <c r="BA123" s="168">
        <f t="shared" si="26"/>
        <v>5.063594271064134</v>
      </c>
      <c r="BB123" s="168">
        <f t="shared" si="27"/>
        <v>-2.5281572614005987</v>
      </c>
      <c r="BC123" s="169">
        <f t="shared" si="28"/>
        <v>1.146364057289361</v>
      </c>
    </row>
    <row r="124" spans="28:55" ht="15">
      <c r="AB124" s="181">
        <v>45712</v>
      </c>
      <c r="AC124" s="157" t="s">
        <v>32</v>
      </c>
      <c r="AD124" s="171" t="s">
        <v>89</v>
      </c>
      <c r="AE124" s="157">
        <v>823058.96869999997</v>
      </c>
      <c r="AF124" s="157">
        <v>1091426.6606000001</v>
      </c>
      <c r="AG124" s="159">
        <v>-123.0605</v>
      </c>
      <c r="AI124" s="137"/>
      <c r="AL124" s="160">
        <f t="shared" ref="AL124:AL128" si="29">IF(ISNUMBER(AE124),COS(ATAN2(AF124-AO$4,AE124-AO$3)-(AO$5/200*PI()))*SQRT((AE124-AO$3)^2+(AF124-AO$4)^2),"-")</f>
        <v>5.0647681164418046</v>
      </c>
      <c r="AM124" s="161">
        <f t="shared" ref="AM124:AM128" si="30">IF(ISNUMBER(AE124),SIN(ATAN2(AF124-AO$4,AE124-AO$3)-(AO$5/200*PI()))*SQRT((AE124-AO$3)^2+(AF124-AO$4)^2),"-")</f>
        <v>-2.619410272771344</v>
      </c>
      <c r="AN124" s="162">
        <f t="shared" ref="AN124:AN128" si="31">IF(ISNUMBER(AL124),AG124-AO124,"-")</f>
        <v>-0.78414768116442701</v>
      </c>
      <c r="AO124" s="163">
        <f t="shared" ref="AO124:AO128" si="32">IF(ISNUMBER(AF124),((AL124-$AO$7)*AO$9)+AO$8,"-")</f>
        <v>-122.27635231883558</v>
      </c>
      <c r="AV124" s="157">
        <f t="shared" ref="AV124:AV128" si="33">AB124</f>
        <v>45712</v>
      </c>
      <c r="AW124" s="167" t="str">
        <f t="shared" ref="AW124:AW128" si="34">AC124</f>
        <v>BG</v>
      </c>
      <c r="AX124" s="168">
        <f t="shared" ref="AX124:AX128" si="35">AE124</f>
        <v>823058.96869999997</v>
      </c>
      <c r="AY124" s="168">
        <f t="shared" ref="AY124:AY128" si="36">AF124</f>
        <v>1091426.6606000001</v>
      </c>
      <c r="AZ124" s="168">
        <f t="shared" ref="AZ124:AZ128" si="37">AG124</f>
        <v>-123.0605</v>
      </c>
      <c r="BA124" s="168">
        <f t="shared" ref="BA124:BA128" si="38">AL124+$AY$1</f>
        <v>5.0647681164418046</v>
      </c>
      <c r="BB124" s="168">
        <f t="shared" ref="BB124:BB128" si="39">AM124</f>
        <v>-2.619410272771344</v>
      </c>
      <c r="BC124" s="169">
        <f t="shared" ref="BC124:BC128" si="40">AN124</f>
        <v>-0.78414768116442701</v>
      </c>
    </row>
    <row r="125" spans="28:55" ht="15">
      <c r="AB125" s="181">
        <v>45712</v>
      </c>
      <c r="AC125" s="157" t="s">
        <v>10</v>
      </c>
      <c r="AD125" s="171" t="s">
        <v>90</v>
      </c>
      <c r="AE125" s="157">
        <v>823058.92969999998</v>
      </c>
      <c r="AF125" s="157">
        <v>1091426.7435000001</v>
      </c>
      <c r="AG125" s="159">
        <v>-121.1298</v>
      </c>
      <c r="AI125" s="137"/>
      <c r="AL125" s="160">
        <f t="shared" si="29"/>
        <v>5.0650805239769081</v>
      </c>
      <c r="AM125" s="161">
        <f t="shared" si="30"/>
        <v>-2.5277952499477294</v>
      </c>
      <c r="AN125" s="162">
        <f t="shared" si="31"/>
        <v>1.146549194760226</v>
      </c>
      <c r="AO125" s="163">
        <f t="shared" si="32"/>
        <v>-122.27634919476023</v>
      </c>
      <c r="AV125" s="157">
        <f t="shared" si="33"/>
        <v>45712</v>
      </c>
      <c r="AW125" s="167" t="str">
        <f t="shared" si="34"/>
        <v>HG</v>
      </c>
      <c r="AX125" s="168">
        <f t="shared" si="35"/>
        <v>823058.92969999998</v>
      </c>
      <c r="AY125" s="168">
        <f t="shared" si="36"/>
        <v>1091426.7435000001</v>
      </c>
      <c r="AZ125" s="168">
        <f t="shared" si="37"/>
        <v>-121.1298</v>
      </c>
      <c r="BA125" s="168">
        <f t="shared" si="38"/>
        <v>5.0650805239769081</v>
      </c>
      <c r="BB125" s="168">
        <f t="shared" si="39"/>
        <v>-2.5277952499477294</v>
      </c>
      <c r="BC125" s="169">
        <f t="shared" si="40"/>
        <v>1.146549194760226</v>
      </c>
    </row>
    <row r="126" spans="28:55" ht="15">
      <c r="AB126" s="181">
        <v>45712</v>
      </c>
      <c r="AC126" s="157" t="s">
        <v>64</v>
      </c>
      <c r="AD126" s="171" t="s">
        <v>91</v>
      </c>
      <c r="AE126" s="157">
        <v>823057.99730000005</v>
      </c>
      <c r="AF126" s="157">
        <v>1091429.0837000001</v>
      </c>
      <c r="AG126" s="159">
        <v>-119.69</v>
      </c>
      <c r="AI126" s="137"/>
      <c r="AL126" s="160">
        <f t="shared" si="29"/>
        <v>4.9211506665962741</v>
      </c>
      <c r="AM126" s="161">
        <f t="shared" si="30"/>
        <v>-1.28022090189446E-2</v>
      </c>
      <c r="AN126" s="162">
        <f t="shared" si="31"/>
        <v>2.5877884933340312</v>
      </c>
      <c r="AO126" s="163">
        <f t="shared" si="32"/>
        <v>-122.27778849333403</v>
      </c>
      <c r="AV126" s="157">
        <f t="shared" si="33"/>
        <v>45712</v>
      </c>
      <c r="AW126" s="167" t="str">
        <f t="shared" si="34"/>
        <v>CH</v>
      </c>
      <c r="AX126" s="168">
        <f t="shared" si="35"/>
        <v>823057.99730000005</v>
      </c>
      <c r="AY126" s="168">
        <f t="shared" si="36"/>
        <v>1091429.0837000001</v>
      </c>
      <c r="AZ126" s="168">
        <f t="shared" si="37"/>
        <v>-119.69</v>
      </c>
      <c r="BA126" s="168">
        <f t="shared" si="38"/>
        <v>4.9211506665962741</v>
      </c>
      <c r="BB126" s="168">
        <f t="shared" si="39"/>
        <v>-1.28022090189446E-2</v>
      </c>
      <c r="BC126" s="169">
        <f t="shared" si="40"/>
        <v>2.5877884933340312</v>
      </c>
    </row>
    <row r="127" spans="28:55" ht="15">
      <c r="AB127" s="181">
        <v>45712</v>
      </c>
      <c r="AC127" s="157" t="s">
        <v>11</v>
      </c>
      <c r="AD127" s="171" t="s">
        <v>92</v>
      </c>
      <c r="AE127" s="157">
        <v>823056.97279999999</v>
      </c>
      <c r="AF127" s="157">
        <v>1091430.3831</v>
      </c>
      <c r="AG127" s="159">
        <v>-120.0979</v>
      </c>
      <c r="AI127" s="137"/>
      <c r="AL127" s="160">
        <f t="shared" si="29"/>
        <v>5.3005384532317663</v>
      </c>
      <c r="AM127" s="161">
        <f t="shared" si="30"/>
        <v>1.5978205019889897</v>
      </c>
      <c r="AN127" s="162">
        <f t="shared" si="31"/>
        <v>2.1760946154676901</v>
      </c>
      <c r="AO127" s="163">
        <f t="shared" si="32"/>
        <v>-122.27399461546769</v>
      </c>
      <c r="AV127" s="157">
        <f t="shared" si="33"/>
        <v>45712</v>
      </c>
      <c r="AW127" s="167" t="str">
        <f t="shared" si="34"/>
        <v>HD</v>
      </c>
      <c r="AX127" s="168">
        <f t="shared" si="35"/>
        <v>823056.97279999999</v>
      </c>
      <c r="AY127" s="168">
        <f t="shared" si="36"/>
        <v>1091430.3831</v>
      </c>
      <c r="AZ127" s="168">
        <f t="shared" si="37"/>
        <v>-120.0979</v>
      </c>
      <c r="BA127" s="168">
        <f t="shared" si="38"/>
        <v>5.3005384532317663</v>
      </c>
      <c r="BB127" s="168">
        <f t="shared" si="39"/>
        <v>1.5978205019889897</v>
      </c>
      <c r="BC127" s="169">
        <f t="shared" si="40"/>
        <v>2.1760946154676901</v>
      </c>
    </row>
    <row r="128" spans="28:55" ht="15">
      <c r="AB128" s="181">
        <v>45712</v>
      </c>
      <c r="AC128" s="170" t="s">
        <v>33</v>
      </c>
      <c r="AD128" s="171" t="s">
        <v>93</v>
      </c>
      <c r="AE128" s="157">
        <v>823056.71440000006</v>
      </c>
      <c r="AF128" s="157">
        <v>1091431.4504</v>
      </c>
      <c r="AG128" s="159">
        <v>-123.0034</v>
      </c>
      <c r="AI128" s="137"/>
      <c r="AL128" s="160">
        <f t="shared" si="29"/>
        <v>5.0836850438265246</v>
      </c>
      <c r="AM128" s="161">
        <f t="shared" si="30"/>
        <v>2.6743308125687433</v>
      </c>
      <c r="AN128" s="162">
        <f t="shared" si="31"/>
        <v>-0.72723685043825981</v>
      </c>
      <c r="AO128" s="163">
        <f t="shared" si="32"/>
        <v>-122.27616314956174</v>
      </c>
      <c r="AV128" s="157">
        <f t="shared" si="33"/>
        <v>45712</v>
      </c>
      <c r="AW128" s="167" t="str">
        <f t="shared" si="34"/>
        <v>BD</v>
      </c>
      <c r="AX128" s="168">
        <f t="shared" si="35"/>
        <v>823056.71440000006</v>
      </c>
      <c r="AY128" s="168">
        <f t="shared" si="36"/>
        <v>1091431.4504</v>
      </c>
      <c r="AZ128" s="168">
        <f t="shared" si="37"/>
        <v>-123.0034</v>
      </c>
      <c r="BA128" s="168">
        <f t="shared" si="38"/>
        <v>5.0836850438265246</v>
      </c>
      <c r="BB128" s="168">
        <f t="shared" si="39"/>
        <v>2.6743308125687433</v>
      </c>
      <c r="BC128" s="169">
        <f t="shared" si="40"/>
        <v>-0.72723685043825981</v>
      </c>
    </row>
    <row r="129" spans="28:55" ht="15">
      <c r="AB129" s="184">
        <v>45722</v>
      </c>
      <c r="AC129" s="157" t="s">
        <v>32</v>
      </c>
      <c r="AD129" s="171" t="s">
        <v>95</v>
      </c>
      <c r="AE129" s="157">
        <v>823058.96909999999</v>
      </c>
      <c r="AF129" s="157">
        <v>1091426.6603999999</v>
      </c>
      <c r="AG129" s="159">
        <v>-123.0599</v>
      </c>
      <c r="AI129" s="137"/>
      <c r="AL129" s="160">
        <f t="shared" ref="AL129:AL131" si="41">IF(ISNUMBER(AE129),COS(ATAN2(AF129-AO$4,AE129-AO$3)-(AO$5/200*PI()))*SQRT((AE129-AO$3)^2+(AF129-AO$4)^2),"-")</f>
        <v>5.064490111441307</v>
      </c>
      <c r="AM129" s="161">
        <f t="shared" ref="AM129:AM131" si="42">IF(ISNUMBER(AE129),SIN(ATAN2(AF129-AO$4,AE129-AO$3)-(AO$5/200*PI()))*SQRT((AE129-AO$3)^2+(AF129-AO$4)^2),"-")</f>
        <v>-2.6197605773320629</v>
      </c>
      <c r="AN129" s="162">
        <f t="shared" ref="AN129:AN131" si="43">IF(ISNUMBER(AL129),AG129-AO129,"-")</f>
        <v>-0.78354490111441066</v>
      </c>
      <c r="AO129" s="163">
        <f t="shared" ref="AO129:AO131" si="44">IF(ISNUMBER(AF129),((AL129-$AO$7)*AO$9)+AO$8,"-")</f>
        <v>-122.27635509888559</v>
      </c>
      <c r="AV129" s="157">
        <f t="shared" ref="AV129:AV131" si="45">AB129</f>
        <v>45722</v>
      </c>
      <c r="AW129" s="167" t="str">
        <f t="shared" ref="AW129:AW131" si="46">AC129</f>
        <v>BG</v>
      </c>
      <c r="AX129" s="168">
        <f t="shared" ref="AX129:AX131" si="47">AE129</f>
        <v>823058.96909999999</v>
      </c>
      <c r="AY129" s="168">
        <f t="shared" ref="AY129:AY131" si="48">AF129</f>
        <v>1091426.6603999999</v>
      </c>
      <c r="AZ129" s="168">
        <f t="shared" ref="AZ129:AZ131" si="49">AG129</f>
        <v>-123.0599</v>
      </c>
      <c r="BA129" s="168">
        <f t="shared" ref="BA129:BA131" si="50">AL129+$AY$1</f>
        <v>5.064490111441307</v>
      </c>
      <c r="BB129" s="168">
        <f t="shared" ref="BB129:BB131" si="51">AM129</f>
        <v>-2.6197605773320629</v>
      </c>
      <c r="BC129" s="169">
        <f t="shared" ref="BC129:BC131" si="52">AN129</f>
        <v>-0.78354490111441066</v>
      </c>
    </row>
    <row r="130" spans="28:55" ht="15">
      <c r="AB130" s="184">
        <v>45722</v>
      </c>
      <c r="AC130" s="157" t="s">
        <v>64</v>
      </c>
      <c r="AD130" s="171" t="s">
        <v>96</v>
      </c>
      <c r="AE130" s="157">
        <v>823057.99820000003</v>
      </c>
      <c r="AF130" s="157">
        <v>1091429.0836</v>
      </c>
      <c r="AG130" s="159">
        <v>-119.69029999999999</v>
      </c>
      <c r="AI130" s="137"/>
      <c r="AL130" s="160">
        <f t="shared" si="41"/>
        <v>4.9203772439605542</v>
      </c>
      <c r="AM130" s="161">
        <f t="shared" si="42"/>
        <v>-1.3273183977218956E-2</v>
      </c>
      <c r="AN130" s="162">
        <f t="shared" si="43"/>
        <v>2.5874962275603934</v>
      </c>
      <c r="AO130" s="163">
        <f t="shared" si="44"/>
        <v>-122.27779622756039</v>
      </c>
      <c r="AV130" s="157">
        <f t="shared" si="45"/>
        <v>45722</v>
      </c>
      <c r="AW130" s="167" t="str">
        <f t="shared" si="46"/>
        <v>CH</v>
      </c>
      <c r="AX130" s="168">
        <f t="shared" si="47"/>
        <v>823057.99820000003</v>
      </c>
      <c r="AY130" s="168">
        <f t="shared" si="48"/>
        <v>1091429.0836</v>
      </c>
      <c r="AZ130" s="168">
        <f t="shared" si="49"/>
        <v>-119.69029999999999</v>
      </c>
      <c r="BA130" s="168">
        <f t="shared" si="50"/>
        <v>4.9203772439605542</v>
      </c>
      <c r="BB130" s="168">
        <f t="shared" si="51"/>
        <v>-1.3273183977218956E-2</v>
      </c>
      <c r="BC130" s="169">
        <f t="shared" si="52"/>
        <v>2.5874962275603934</v>
      </c>
    </row>
    <row r="131" spans="28:55" ht="15">
      <c r="AB131" s="181">
        <v>45722</v>
      </c>
      <c r="AC131" s="170" t="s">
        <v>33</v>
      </c>
      <c r="AD131" s="171" t="s">
        <v>97</v>
      </c>
      <c r="AE131" s="157">
        <v>823056.71490000002</v>
      </c>
      <c r="AF131" s="157">
        <v>1091431.4494</v>
      </c>
      <c r="AG131" s="159">
        <v>-123.0031</v>
      </c>
      <c r="AI131" s="137"/>
      <c r="AL131" s="160">
        <f t="shared" si="41"/>
        <v>5.083654490413509</v>
      </c>
      <c r="AM131" s="161">
        <f t="shared" si="42"/>
        <v>2.6732131962138777</v>
      </c>
      <c r="AN131" s="162">
        <f t="shared" si="43"/>
        <v>-0.72693654490413451</v>
      </c>
      <c r="AO131" s="163">
        <f t="shared" si="44"/>
        <v>-122.27616345509587</v>
      </c>
      <c r="AV131" s="157">
        <f t="shared" si="45"/>
        <v>45722</v>
      </c>
      <c r="AW131" s="167" t="str">
        <f t="shared" si="46"/>
        <v>BD</v>
      </c>
      <c r="AX131" s="168">
        <f t="shared" si="47"/>
        <v>823056.71490000002</v>
      </c>
      <c r="AY131" s="168">
        <f t="shared" si="48"/>
        <v>1091431.4494</v>
      </c>
      <c r="AZ131" s="168">
        <f t="shared" si="49"/>
        <v>-123.0031</v>
      </c>
      <c r="BA131" s="168">
        <f t="shared" si="50"/>
        <v>5.083654490413509</v>
      </c>
      <c r="BB131" s="168">
        <f t="shared" si="51"/>
        <v>2.6732131962138777</v>
      </c>
      <c r="BC131" s="169">
        <f t="shared" si="52"/>
        <v>-0.72693654490413451</v>
      </c>
    </row>
    <row r="132" spans="28:55" ht="15">
      <c r="AB132" s="184">
        <v>45726</v>
      </c>
      <c r="AC132" s="157" t="s">
        <v>32</v>
      </c>
      <c r="AD132" s="171" t="s">
        <v>99</v>
      </c>
      <c r="AE132" s="157">
        <v>823058.96900000004</v>
      </c>
      <c r="AF132" s="157">
        <v>1091426.6613</v>
      </c>
      <c r="AG132" s="159">
        <v>-123.06019999999999</v>
      </c>
      <c r="AL132" s="160">
        <f t="shared" ref="AL132:AL135" si="53">IF(ISNUMBER(AE132),COS(ATAN2(AF132-AO$4,AE132-AO$3)-(AO$5/200*PI()))*SQRT((AE132-AO$3)^2+(AF132-AO$4)^2),"-")</f>
        <v>5.0642003993447551</v>
      </c>
      <c r="AM132" s="161">
        <f t="shared" ref="AM132:AM135" si="54">IF(ISNUMBER(AE132),SIN(ATAN2(AF132-AO$4,AE132-AO$3)-(AO$5/200*PI()))*SQRT((AE132-AO$3)^2+(AF132-AO$4)^2),"-")</f>
        <v>-2.6189026338186907</v>
      </c>
      <c r="AN132" s="162">
        <f t="shared" ref="AN132:AN135" si="55">IF(ISNUMBER(AL132),AG132-AO132,"-")</f>
        <v>-0.78384200399344195</v>
      </c>
      <c r="AO132" s="163">
        <f t="shared" ref="AO132:AO135" si="56">IF(ISNUMBER(AF132),((AL132-$AO$7)*AO$9)+AO$8,"-")</f>
        <v>-122.27635799600655</v>
      </c>
      <c r="AV132" s="157">
        <f t="shared" ref="AV132:AV135" si="57">AB132</f>
        <v>45726</v>
      </c>
      <c r="AW132" s="167" t="str">
        <f t="shared" ref="AW132:AW135" si="58">AC132</f>
        <v>BG</v>
      </c>
      <c r="AX132" s="168">
        <f t="shared" ref="AX132:AX135" si="59">AE132</f>
        <v>823058.96900000004</v>
      </c>
      <c r="AY132" s="168">
        <f t="shared" ref="AY132:AY135" si="60">AF132</f>
        <v>1091426.6613</v>
      </c>
      <c r="AZ132" s="168">
        <f t="shared" ref="AZ132:AZ135" si="61">AG132</f>
        <v>-123.06019999999999</v>
      </c>
      <c r="BA132" s="168">
        <f t="shared" ref="BA132:BA135" si="62">AL132+$AY$1</f>
        <v>5.0642003993447551</v>
      </c>
      <c r="BB132" s="168">
        <f t="shared" ref="BB132:BB135" si="63">AM132</f>
        <v>-2.6189026338186907</v>
      </c>
      <c r="BC132" s="169">
        <f t="shared" ref="BC132:BC135" si="64">AN132</f>
        <v>-0.78384200399344195</v>
      </c>
    </row>
    <row r="133" spans="28:55" ht="15">
      <c r="AB133" s="184">
        <v>45726</v>
      </c>
      <c r="AC133" s="157" t="s">
        <v>10</v>
      </c>
      <c r="AD133" s="171" t="s">
        <v>100</v>
      </c>
      <c r="AE133" s="157">
        <v>823058.92989999999</v>
      </c>
      <c r="AF133" s="157">
        <v>1091426.7439999999</v>
      </c>
      <c r="AG133" s="159">
        <v>-121.13030000000001</v>
      </c>
      <c r="AL133" s="160">
        <f t="shared" si="53"/>
        <v>5.0646879592094196</v>
      </c>
      <c r="AM133" s="161">
        <f t="shared" si="54"/>
        <v>-2.5274266136008343</v>
      </c>
      <c r="AN133" s="162">
        <f t="shared" si="55"/>
        <v>1.146053120407899</v>
      </c>
      <c r="AO133" s="163">
        <f t="shared" si="56"/>
        <v>-122.2763531204079</v>
      </c>
      <c r="AV133" s="157">
        <f t="shared" si="57"/>
        <v>45726</v>
      </c>
      <c r="AW133" s="167" t="str">
        <f t="shared" si="58"/>
        <v>HG</v>
      </c>
      <c r="AX133" s="168">
        <f t="shared" si="59"/>
        <v>823058.92989999999</v>
      </c>
      <c r="AY133" s="168">
        <f t="shared" si="60"/>
        <v>1091426.7439999999</v>
      </c>
      <c r="AZ133" s="168">
        <f t="shared" si="61"/>
        <v>-121.13030000000001</v>
      </c>
      <c r="BA133" s="168">
        <f t="shared" si="62"/>
        <v>5.0646879592094196</v>
      </c>
      <c r="BB133" s="168">
        <f t="shared" si="63"/>
        <v>-2.5274266136008343</v>
      </c>
      <c r="BC133" s="169">
        <f t="shared" si="64"/>
        <v>1.146053120407899</v>
      </c>
    </row>
    <row r="134" spans="28:55" ht="15">
      <c r="AB134" s="181">
        <v>45726</v>
      </c>
      <c r="AC134" s="170" t="s">
        <v>64</v>
      </c>
      <c r="AD134" s="171" t="s">
        <v>101</v>
      </c>
      <c r="AE134" s="157">
        <v>823057.9976</v>
      </c>
      <c r="AF134" s="157">
        <v>1091429.0838000001</v>
      </c>
      <c r="AG134" s="159">
        <v>-119.6906</v>
      </c>
      <c r="AL134" s="160">
        <f t="shared" si="53"/>
        <v>4.9208365118719746</v>
      </c>
      <c r="AM134" s="161">
        <f t="shared" si="54"/>
        <v>-1.2838358644350701E-2</v>
      </c>
      <c r="AN134" s="162">
        <f t="shared" si="55"/>
        <v>2.5871916348812789</v>
      </c>
      <c r="AO134" s="163">
        <f t="shared" si="56"/>
        <v>-122.27779163488128</v>
      </c>
      <c r="AV134" s="157">
        <f t="shared" si="57"/>
        <v>45726</v>
      </c>
      <c r="AW134" s="167" t="str">
        <f t="shared" si="58"/>
        <v>CH</v>
      </c>
      <c r="AX134" s="168">
        <f t="shared" si="59"/>
        <v>823057.9976</v>
      </c>
      <c r="AY134" s="168">
        <f t="shared" si="60"/>
        <v>1091429.0838000001</v>
      </c>
      <c r="AZ134" s="168">
        <f t="shared" si="61"/>
        <v>-119.6906</v>
      </c>
      <c r="BA134" s="168">
        <f t="shared" si="62"/>
        <v>4.9208365118719746</v>
      </c>
      <c r="BB134" s="168">
        <f t="shared" si="63"/>
        <v>-1.2838358644350701E-2</v>
      </c>
      <c r="BC134" s="169">
        <f t="shared" si="64"/>
        <v>2.5871916348812789</v>
      </c>
    </row>
    <row r="135" spans="28:55" ht="15">
      <c r="AB135" s="184">
        <v>45726</v>
      </c>
      <c r="AC135" s="157" t="s">
        <v>33</v>
      </c>
      <c r="AD135" s="171" t="s">
        <v>102</v>
      </c>
      <c r="AE135" s="157">
        <v>823056.71519999998</v>
      </c>
      <c r="AF135" s="157">
        <v>1091431.4497</v>
      </c>
      <c r="AG135" s="159">
        <v>-123.0034</v>
      </c>
      <c r="AL135" s="160">
        <f t="shared" si="53"/>
        <v>5.083255814966261</v>
      </c>
      <c r="AM135" s="161">
        <f t="shared" si="54"/>
        <v>2.6733583093938855</v>
      </c>
      <c r="AN135" s="162">
        <f t="shared" si="55"/>
        <v>-0.72723255814966592</v>
      </c>
      <c r="AO135" s="163">
        <f t="shared" si="56"/>
        <v>-122.27616744185033</v>
      </c>
      <c r="AV135" s="157">
        <f t="shared" si="57"/>
        <v>45726</v>
      </c>
      <c r="AW135" s="167" t="str">
        <f t="shared" si="58"/>
        <v>BD</v>
      </c>
      <c r="AX135" s="168">
        <f t="shared" si="59"/>
        <v>823056.71519999998</v>
      </c>
      <c r="AY135" s="168">
        <f t="shared" si="60"/>
        <v>1091431.4497</v>
      </c>
      <c r="AZ135" s="168">
        <f t="shared" si="61"/>
        <v>-123.0034</v>
      </c>
      <c r="BA135" s="168">
        <f t="shared" si="62"/>
        <v>5.083255814966261</v>
      </c>
      <c r="BB135" s="168">
        <f t="shared" si="63"/>
        <v>2.6733583093938855</v>
      </c>
      <c r="BC135" s="169">
        <f t="shared" si="64"/>
        <v>-0.72723255814966592</v>
      </c>
    </row>
    <row r="136" spans="28:55" ht="15">
      <c r="AB136" s="184">
        <v>45730</v>
      </c>
      <c r="AC136" s="157" t="s">
        <v>32</v>
      </c>
      <c r="AD136" s="171" t="s">
        <v>103</v>
      </c>
      <c r="AE136" s="157">
        <v>823058.96889999998</v>
      </c>
      <c r="AF136" s="157">
        <v>1091426.6603999999</v>
      </c>
      <c r="AG136" s="159">
        <v>-123.0607</v>
      </c>
      <c r="AL136" s="160">
        <f t="shared" ref="AL136:AL139" si="65">IF(ISNUMBER(AE136),COS(ATAN2(AF136-AO$4,AE136-AO$3)-(AO$5/200*PI()))*SQRT((AE136-AO$3)^2+(AF136-AO$4)^2),"-")</f>
        <v>5.0646713743522271</v>
      </c>
      <c r="AM136" s="161">
        <f t="shared" ref="AM136:AM139" si="66">IF(ISNUMBER(AE136),SIN(ATAN2(AF136-AO$4,AE136-AO$3)-(AO$5/200*PI()))*SQRT((AE136-AO$3)^2+(AF136-AO$4)^2),"-")</f>
        <v>-2.6196760565599186</v>
      </c>
      <c r="AN136" s="162">
        <f t="shared" ref="AN136:AN139" si="67">IF(ISNUMBER(AL136),AG136-AO136,"-")</f>
        <v>-0.78434671374351694</v>
      </c>
      <c r="AO136" s="163">
        <f t="shared" ref="AO136:AO139" si="68">IF(ISNUMBER(AF136),((AL136-$AO$7)*AO$9)+AO$8,"-")</f>
        <v>-122.27635328625648</v>
      </c>
      <c r="AV136" s="157">
        <f t="shared" ref="AV136:AV139" si="69">AB136</f>
        <v>45730</v>
      </c>
      <c r="AW136" s="167" t="str">
        <f t="shared" ref="AW136:AW139" si="70">AC136</f>
        <v>BG</v>
      </c>
      <c r="AX136" s="168">
        <f t="shared" ref="AX136:AX139" si="71">AE136</f>
        <v>823058.96889999998</v>
      </c>
      <c r="AY136" s="168">
        <f t="shared" ref="AY136:AY139" si="72">AF136</f>
        <v>1091426.6603999999</v>
      </c>
      <c r="AZ136" s="168">
        <f t="shared" ref="AZ136:AZ139" si="73">AG136</f>
        <v>-123.0607</v>
      </c>
      <c r="BA136" s="168">
        <f t="shared" ref="BA136:BA139" si="74">AL136+$AY$1</f>
        <v>5.0646713743522271</v>
      </c>
      <c r="BB136" s="168">
        <f t="shared" ref="BB136:BB139" si="75">AM136</f>
        <v>-2.6196760565599186</v>
      </c>
      <c r="BC136" s="169">
        <f t="shared" ref="BC136:BC139" si="76">AN136</f>
        <v>-0.78434671374351694</v>
      </c>
    </row>
    <row r="137" spans="28:55" ht="15">
      <c r="AB137" s="181">
        <v>45730</v>
      </c>
      <c r="AC137" s="170" t="s">
        <v>10</v>
      </c>
      <c r="AD137" s="171" t="s">
        <v>104</v>
      </c>
      <c r="AE137" s="157">
        <v>823058.93039999995</v>
      </c>
      <c r="AF137" s="157">
        <v>1091426.7438000001</v>
      </c>
      <c r="AG137" s="159">
        <v>-121.13039999999999</v>
      </c>
      <c r="AL137" s="160">
        <f t="shared" si="65"/>
        <v>5.0643193227078207</v>
      </c>
      <c r="AM137" s="161">
        <f t="shared" si="66"/>
        <v>-2.5278191783120127</v>
      </c>
      <c r="AN137" s="162">
        <f t="shared" si="67"/>
        <v>1.1459568067729293</v>
      </c>
      <c r="AO137" s="163">
        <f t="shared" si="68"/>
        <v>-122.27635680677292</v>
      </c>
      <c r="AV137" s="157">
        <f t="shared" si="69"/>
        <v>45730</v>
      </c>
      <c r="AW137" s="167" t="str">
        <f t="shared" si="70"/>
        <v>HG</v>
      </c>
      <c r="AX137" s="168">
        <f t="shared" si="71"/>
        <v>823058.93039999995</v>
      </c>
      <c r="AY137" s="168">
        <f t="shared" si="72"/>
        <v>1091426.7438000001</v>
      </c>
      <c r="AZ137" s="168">
        <f t="shared" si="73"/>
        <v>-121.13039999999999</v>
      </c>
      <c r="BA137" s="168">
        <f t="shared" si="74"/>
        <v>5.0643193227078207</v>
      </c>
      <c r="BB137" s="168">
        <f t="shared" si="75"/>
        <v>-2.5278191783120127</v>
      </c>
      <c r="BC137" s="169">
        <f t="shared" si="76"/>
        <v>1.1459568067729293</v>
      </c>
    </row>
    <row r="138" spans="28:55" ht="15">
      <c r="AB138" s="184">
        <v>45730</v>
      </c>
      <c r="AC138" s="157" t="s">
        <v>64</v>
      </c>
      <c r="AD138" s="171" t="s">
        <v>105</v>
      </c>
      <c r="AE138" s="157">
        <v>823057.99769999995</v>
      </c>
      <c r="AF138" s="157">
        <v>1091429.0829</v>
      </c>
      <c r="AG138" s="159">
        <v>-119.691</v>
      </c>
      <c r="AL138" s="160">
        <f t="shared" si="65"/>
        <v>4.9211262239685247</v>
      </c>
      <c r="AM138" s="161">
        <f t="shared" si="66"/>
        <v>-1.3696302157727575E-2</v>
      </c>
      <c r="AN138" s="162">
        <f t="shared" si="67"/>
        <v>2.5867887377603154</v>
      </c>
      <c r="AO138" s="163">
        <f t="shared" si="68"/>
        <v>-122.27778873776032</v>
      </c>
      <c r="AV138" s="157">
        <f t="shared" si="69"/>
        <v>45730</v>
      </c>
      <c r="AW138" s="167" t="str">
        <f t="shared" si="70"/>
        <v>CH</v>
      </c>
      <c r="AX138" s="168">
        <f t="shared" si="71"/>
        <v>823057.99769999995</v>
      </c>
      <c r="AY138" s="168">
        <f t="shared" si="72"/>
        <v>1091429.0829</v>
      </c>
      <c r="AZ138" s="168">
        <f t="shared" si="73"/>
        <v>-119.691</v>
      </c>
      <c r="BA138" s="168">
        <f t="shared" si="74"/>
        <v>4.9211262239685247</v>
      </c>
      <c r="BB138" s="168">
        <f t="shared" si="75"/>
        <v>-1.3696302157727575E-2</v>
      </c>
      <c r="BC138" s="169">
        <f t="shared" si="76"/>
        <v>2.5867887377603154</v>
      </c>
    </row>
    <row r="139" spans="28:55" ht="15">
      <c r="AB139" s="184">
        <v>45730</v>
      </c>
      <c r="AC139" s="157" t="s">
        <v>33</v>
      </c>
      <c r="AD139" s="171" t="s">
        <v>106</v>
      </c>
      <c r="AE139" s="157">
        <v>823056.71479999996</v>
      </c>
      <c r="AF139" s="157">
        <v>1091431.4487000001</v>
      </c>
      <c r="AG139" s="159">
        <v>-123.0038</v>
      </c>
      <c r="AL139" s="160">
        <f t="shared" si="65"/>
        <v>5.0840409445996348</v>
      </c>
      <c r="AM139" s="161">
        <f t="shared" si="66"/>
        <v>2.6726210364890814</v>
      </c>
      <c r="AN139" s="162">
        <f t="shared" si="67"/>
        <v>-0.72764040944599628</v>
      </c>
      <c r="AO139" s="163">
        <f t="shared" si="68"/>
        <v>-122.276159590554</v>
      </c>
      <c r="AV139" s="157">
        <f t="shared" si="69"/>
        <v>45730</v>
      </c>
      <c r="AW139" s="167" t="str">
        <f t="shared" si="70"/>
        <v>BD</v>
      </c>
      <c r="AX139" s="168">
        <f t="shared" si="71"/>
        <v>823056.71479999996</v>
      </c>
      <c r="AY139" s="168">
        <f t="shared" si="72"/>
        <v>1091431.4487000001</v>
      </c>
      <c r="AZ139" s="168">
        <f t="shared" si="73"/>
        <v>-123.0038</v>
      </c>
      <c r="BA139" s="168">
        <f t="shared" si="74"/>
        <v>5.0840409445996348</v>
      </c>
      <c r="BB139" s="168">
        <f t="shared" si="75"/>
        <v>2.6726210364890814</v>
      </c>
      <c r="BC139" s="169">
        <f t="shared" si="76"/>
        <v>-0.72764040944599628</v>
      </c>
    </row>
    <row r="140" spans="28:55" ht="15">
      <c r="AB140" s="181">
        <v>45736</v>
      </c>
      <c r="AC140" s="170" t="s">
        <v>32</v>
      </c>
      <c r="AD140" s="171" t="s">
        <v>107</v>
      </c>
      <c r="AE140" s="157">
        <v>823058.96900000004</v>
      </c>
      <c r="AF140" s="157">
        <v>1091426.6608</v>
      </c>
      <c r="AG140" s="159">
        <v>-123.0605</v>
      </c>
      <c r="AL140" s="160">
        <f t="shared" ref="AL140:AL143" si="77">IF(ISNUMBER(AE140),COS(ATAN2(AF140-AO$4,AE140-AO$3)-(AO$5/200*PI()))*SQRT((AE140-AO$3)^2+(AF140-AO$4)^2),"-")</f>
        <v>5.0644117012997203</v>
      </c>
      <c r="AM140" s="161">
        <f t="shared" ref="AM140:AM143" si="78">IF(ISNUMBER(AE140),SIN(ATAN2(AF140-AO$4,AE140-AO$3)-(AO$5/200*PI()))*SQRT((AE140-AO$3)^2+(AF140-AO$4)^2),"-")</f>
        <v>-2.6193557911487488</v>
      </c>
      <c r="AN140" s="162">
        <f t="shared" ref="AN140:AN143" si="79">IF(ISNUMBER(AL140),AG140-AO140,"-")</f>
        <v>-0.78414411701299969</v>
      </c>
      <c r="AO140" s="163">
        <f t="shared" ref="AO140:AO143" si="80">IF(ISNUMBER(AF140),((AL140-$AO$7)*AO$9)+AO$8,"-")</f>
        <v>-122.276355882987</v>
      </c>
      <c r="AV140" s="157">
        <f t="shared" ref="AV140:AV143" si="81">AB140</f>
        <v>45736</v>
      </c>
      <c r="AW140" s="167" t="str">
        <f t="shared" ref="AW140:AW143" si="82">AC140</f>
        <v>BG</v>
      </c>
      <c r="AX140" s="168">
        <f t="shared" ref="AX140:AX143" si="83">AE140</f>
        <v>823058.96900000004</v>
      </c>
      <c r="AY140" s="168">
        <f t="shared" ref="AY140:AY143" si="84">AF140</f>
        <v>1091426.6608</v>
      </c>
      <c r="AZ140" s="168">
        <f t="shared" ref="AZ140:AZ143" si="85">AG140</f>
        <v>-123.0605</v>
      </c>
      <c r="BA140" s="168">
        <f t="shared" ref="BA140:BA143" si="86">AL140+$AY$1</f>
        <v>5.0644117012997203</v>
      </c>
      <c r="BB140" s="168">
        <f t="shared" ref="BB140:BB143" si="87">AM140</f>
        <v>-2.6193557911487488</v>
      </c>
      <c r="BC140" s="169">
        <f t="shared" ref="BC140:BC143" si="88">AN140</f>
        <v>-0.78414411701299969</v>
      </c>
    </row>
    <row r="141" spans="28:55" ht="15">
      <c r="AB141" s="184">
        <v>45736</v>
      </c>
      <c r="AC141" s="157" t="s">
        <v>10</v>
      </c>
      <c r="AD141" s="171" t="s">
        <v>108</v>
      </c>
      <c r="AE141" s="157">
        <v>823058.93019999994</v>
      </c>
      <c r="AF141" s="157">
        <v>1091426.7439999999</v>
      </c>
      <c r="AG141" s="159">
        <v>-121.1305</v>
      </c>
      <c r="AL141" s="160">
        <f t="shared" si="77"/>
        <v>5.0644160648957932</v>
      </c>
      <c r="AM141" s="161">
        <f t="shared" si="78"/>
        <v>-2.5275533947344528</v>
      </c>
      <c r="AN141" s="162">
        <f t="shared" si="79"/>
        <v>1.145855839351043</v>
      </c>
      <c r="AO141" s="163">
        <f t="shared" si="80"/>
        <v>-122.27635583935104</v>
      </c>
      <c r="AV141" s="157">
        <f t="shared" si="81"/>
        <v>45736</v>
      </c>
      <c r="AW141" s="167" t="str">
        <f t="shared" si="82"/>
        <v>HG</v>
      </c>
      <c r="AX141" s="168">
        <f t="shared" si="83"/>
        <v>823058.93019999994</v>
      </c>
      <c r="AY141" s="168">
        <f t="shared" si="84"/>
        <v>1091426.7439999999</v>
      </c>
      <c r="AZ141" s="168">
        <f t="shared" si="85"/>
        <v>-121.1305</v>
      </c>
      <c r="BA141" s="168">
        <f t="shared" si="86"/>
        <v>5.0644160648957932</v>
      </c>
      <c r="BB141" s="168">
        <f t="shared" si="87"/>
        <v>-2.5275533947344528</v>
      </c>
      <c r="BC141" s="169">
        <f t="shared" si="88"/>
        <v>1.145855839351043</v>
      </c>
    </row>
    <row r="142" spans="28:55" ht="15">
      <c r="AB142" s="184">
        <v>45736</v>
      </c>
      <c r="AC142" s="157" t="s">
        <v>64</v>
      </c>
      <c r="AD142" s="171" t="s">
        <v>109</v>
      </c>
      <c r="AE142" s="157">
        <v>823057.99860000005</v>
      </c>
      <c r="AF142" s="157">
        <v>1091429.0833999999</v>
      </c>
      <c r="AG142" s="159">
        <v>-119.6914</v>
      </c>
      <c r="AL142" s="160">
        <f t="shared" si="77"/>
        <v>4.9200992389600566</v>
      </c>
      <c r="AM142" s="161">
        <f t="shared" si="78"/>
        <v>-1.3623488537943112E-2</v>
      </c>
      <c r="AN142" s="162">
        <f t="shared" si="79"/>
        <v>2.586399007610396</v>
      </c>
      <c r="AO142" s="163">
        <f t="shared" si="80"/>
        <v>-122.2777990076104</v>
      </c>
      <c r="AV142" s="157">
        <f t="shared" si="81"/>
        <v>45736</v>
      </c>
      <c r="AW142" s="167" t="str">
        <f t="shared" si="82"/>
        <v>CH</v>
      </c>
      <c r="AX142" s="168">
        <f t="shared" si="83"/>
        <v>823057.99860000005</v>
      </c>
      <c r="AY142" s="168">
        <f t="shared" si="84"/>
        <v>1091429.0833999999</v>
      </c>
      <c r="AZ142" s="168">
        <f t="shared" si="85"/>
        <v>-119.6914</v>
      </c>
      <c r="BA142" s="168">
        <f t="shared" si="86"/>
        <v>4.9200992389600566</v>
      </c>
      <c r="BB142" s="168">
        <f t="shared" si="87"/>
        <v>-1.3623488537943112E-2</v>
      </c>
      <c r="BC142" s="169">
        <f t="shared" si="88"/>
        <v>2.586399007610396</v>
      </c>
    </row>
    <row r="143" spans="28:55" ht="15">
      <c r="AB143" s="181">
        <v>45736</v>
      </c>
      <c r="AC143" s="170" t="s">
        <v>33</v>
      </c>
      <c r="AD143" s="171" t="s">
        <v>110</v>
      </c>
      <c r="AE143" s="157">
        <v>823056.71490000002</v>
      </c>
      <c r="AF143" s="157">
        <v>1091431.4484000001</v>
      </c>
      <c r="AG143" s="159">
        <v>-123.00369999999999</v>
      </c>
      <c r="AL143" s="160">
        <f t="shared" si="77"/>
        <v>5.0840770942250408</v>
      </c>
      <c r="AM143" s="161">
        <f t="shared" si="78"/>
        <v>2.672306881764781</v>
      </c>
      <c r="AN143" s="162">
        <f t="shared" si="79"/>
        <v>-0.72754077094224101</v>
      </c>
      <c r="AO143" s="163">
        <f t="shared" si="80"/>
        <v>-122.27615922905775</v>
      </c>
      <c r="AV143" s="157">
        <f t="shared" si="81"/>
        <v>45736</v>
      </c>
      <c r="AW143" s="167" t="str">
        <f t="shared" si="82"/>
        <v>BD</v>
      </c>
      <c r="AX143" s="168">
        <f t="shared" si="83"/>
        <v>823056.71490000002</v>
      </c>
      <c r="AY143" s="168">
        <f t="shared" si="84"/>
        <v>1091431.4484000001</v>
      </c>
      <c r="AZ143" s="168">
        <f t="shared" si="85"/>
        <v>-123.00369999999999</v>
      </c>
      <c r="BA143" s="168">
        <f t="shared" si="86"/>
        <v>5.0840770942250408</v>
      </c>
      <c r="BB143" s="168">
        <f t="shared" si="87"/>
        <v>2.672306881764781</v>
      </c>
      <c r="BC143" s="169">
        <f t="shared" si="88"/>
        <v>-0.72754077094224101</v>
      </c>
    </row>
    <row r="144" spans="28:55" ht="15">
      <c r="AB144" s="184">
        <v>45744</v>
      </c>
      <c r="AC144" s="157" t="s">
        <v>32</v>
      </c>
      <c r="AD144" s="171" t="s">
        <v>95</v>
      </c>
      <c r="AE144" s="157">
        <v>823058.96840000001</v>
      </c>
      <c r="AF144" s="157">
        <v>1091426.6606999999</v>
      </c>
      <c r="AG144" s="159">
        <v>-123.0611</v>
      </c>
      <c r="AL144" s="160">
        <f t="shared" ref="AL144:AL147" si="89">IF(ISNUMBER(AE144),COS(ATAN2(AF144-AO$4,AE144-AO$3)-(AO$5/200*PI()))*SQRT((AE144-AO$3)^2+(AF144-AO$4)^2),"-")</f>
        <v>5.0649977504431565</v>
      </c>
      <c r="AM144" s="161">
        <f t="shared" ref="AM144:AM147" si="90">IF(ISNUMBER(AE144),SIN(ATAN2(AF144-AO$4,AE144-AO$3)-(AO$5/200*PI()))*SQRT((AE144-AO$3)^2+(AF144-AO$4)^2),"-")</f>
        <v>-2.6191928603405232</v>
      </c>
      <c r="AN144" s="162">
        <f t="shared" ref="AN144:AN147" si="91">IF(ISNUMBER(AL144),AG144-AO144,"-")</f>
        <v>-0.78474997750443265</v>
      </c>
      <c r="AO144" s="163">
        <f t="shared" ref="AO144:AO147" si="92">IF(ISNUMBER(AF144),((AL144-$AO$7)*AO$9)+AO$8,"-")</f>
        <v>-122.27635002249556</v>
      </c>
      <c r="AV144" s="157">
        <f t="shared" ref="AV144:AV147" si="93">AB144</f>
        <v>45744</v>
      </c>
      <c r="AW144" s="167" t="str">
        <f t="shared" ref="AW144:AW147" si="94">AC144</f>
        <v>BG</v>
      </c>
      <c r="AX144" s="168">
        <f t="shared" ref="AX144:AX147" si="95">AE144</f>
        <v>823058.96840000001</v>
      </c>
      <c r="AY144" s="168">
        <f t="shared" ref="AY144:AY147" si="96">AF144</f>
        <v>1091426.6606999999</v>
      </c>
      <c r="AZ144" s="168">
        <f t="shared" ref="AZ144:AZ147" si="97">AG144</f>
        <v>-123.0611</v>
      </c>
      <c r="BA144" s="168">
        <f t="shared" ref="BA144:BA147" si="98">AL144+$AY$1</f>
        <v>5.0649977504431565</v>
      </c>
      <c r="BB144" s="168">
        <f t="shared" ref="BB144:BB147" si="99">AM144</f>
        <v>-2.6191928603405232</v>
      </c>
      <c r="BC144" s="169">
        <f t="shared" ref="BC144:BC147" si="100">AN144</f>
        <v>-0.78474997750443265</v>
      </c>
    </row>
    <row r="145" spans="28:55" ht="15">
      <c r="AB145" s="184">
        <v>45744</v>
      </c>
      <c r="AC145" s="157" t="s">
        <v>10</v>
      </c>
      <c r="AD145" s="171" t="s">
        <v>111</v>
      </c>
      <c r="AE145" s="157">
        <v>823058.92949999997</v>
      </c>
      <c r="AF145" s="157">
        <v>1091426.7437</v>
      </c>
      <c r="AG145" s="159">
        <v>-121.1309</v>
      </c>
      <c r="AL145" s="160">
        <f t="shared" si="89"/>
        <v>5.0651772661648815</v>
      </c>
      <c r="AM145" s="161">
        <f t="shared" si="90"/>
        <v>-2.5275294663701726</v>
      </c>
      <c r="AN145" s="162">
        <f t="shared" si="91"/>
        <v>1.1454482273383491</v>
      </c>
      <c r="AO145" s="163">
        <f t="shared" si="92"/>
        <v>-122.27634822733835</v>
      </c>
      <c r="AV145" s="157">
        <f t="shared" si="93"/>
        <v>45744</v>
      </c>
      <c r="AW145" s="167" t="str">
        <f t="shared" si="94"/>
        <v>HG</v>
      </c>
      <c r="AX145" s="168">
        <f t="shared" si="95"/>
        <v>823058.92949999997</v>
      </c>
      <c r="AY145" s="168">
        <f t="shared" si="96"/>
        <v>1091426.7437</v>
      </c>
      <c r="AZ145" s="168">
        <f t="shared" si="97"/>
        <v>-121.1309</v>
      </c>
      <c r="BA145" s="168">
        <f t="shared" si="98"/>
        <v>5.0651772661648815</v>
      </c>
      <c r="BB145" s="168">
        <f t="shared" si="99"/>
        <v>-2.5275294663701726</v>
      </c>
      <c r="BC145" s="169">
        <f t="shared" si="100"/>
        <v>1.1454482273383491</v>
      </c>
    </row>
    <row r="146" spans="28:55" ht="15">
      <c r="AB146" s="181">
        <v>45744</v>
      </c>
      <c r="AC146" s="170" t="s">
        <v>64</v>
      </c>
      <c r="AD146" s="171" t="s">
        <v>96</v>
      </c>
      <c r="AE146" s="157">
        <v>823058.00069999998</v>
      </c>
      <c r="AF146" s="157">
        <v>1091429.0815999999</v>
      </c>
      <c r="AG146" s="159">
        <v>-119.6938</v>
      </c>
      <c r="AL146" s="160">
        <f t="shared" si="89"/>
        <v>4.918956665453762</v>
      </c>
      <c r="AM146" s="161">
        <f t="shared" si="90"/>
        <v>-1.6142322664460414E-2</v>
      </c>
      <c r="AN146" s="162">
        <f t="shared" si="91"/>
        <v>2.584010433345469</v>
      </c>
      <c r="AO146" s="163">
        <f t="shared" si="92"/>
        <v>-122.27781043334546</v>
      </c>
      <c r="AV146" s="157">
        <f t="shared" si="93"/>
        <v>45744</v>
      </c>
      <c r="AW146" s="167" t="str">
        <f t="shared" si="94"/>
        <v>CH</v>
      </c>
      <c r="AX146" s="168">
        <f t="shared" si="95"/>
        <v>823058.00069999998</v>
      </c>
      <c r="AY146" s="168">
        <f t="shared" si="96"/>
        <v>1091429.0815999999</v>
      </c>
      <c r="AZ146" s="168">
        <f t="shared" si="97"/>
        <v>-119.6938</v>
      </c>
      <c r="BA146" s="168">
        <f t="shared" si="98"/>
        <v>4.918956665453762</v>
      </c>
      <c r="BB146" s="168">
        <f t="shared" si="99"/>
        <v>-1.6142322664460414E-2</v>
      </c>
      <c r="BC146" s="169">
        <f t="shared" si="100"/>
        <v>2.584010433345469</v>
      </c>
    </row>
    <row r="147" spans="28:55" ht="15">
      <c r="AB147" s="184">
        <v>45744</v>
      </c>
      <c r="AC147" s="157" t="s">
        <v>33</v>
      </c>
      <c r="AD147" s="171" t="s">
        <v>97</v>
      </c>
      <c r="AE147" s="157">
        <v>823056.71459999995</v>
      </c>
      <c r="AF147" s="157">
        <v>1091431.4480000001</v>
      </c>
      <c r="AG147" s="159">
        <v>-123.0043</v>
      </c>
      <c r="AL147" s="160">
        <f t="shared" si="89"/>
        <v>5.0845180301884705</v>
      </c>
      <c r="AM147" s="161">
        <f t="shared" si="90"/>
        <v>2.6720711371257546</v>
      </c>
      <c r="AN147" s="162">
        <f t="shared" si="91"/>
        <v>-0.7281451803018939</v>
      </c>
      <c r="AO147" s="163">
        <f t="shared" si="92"/>
        <v>-122.27615481969811</v>
      </c>
      <c r="AV147" s="157">
        <f t="shared" si="93"/>
        <v>45744</v>
      </c>
      <c r="AW147" s="167" t="str">
        <f t="shared" si="94"/>
        <v>BD</v>
      </c>
      <c r="AX147" s="168">
        <f t="shared" si="95"/>
        <v>823056.71459999995</v>
      </c>
      <c r="AY147" s="168">
        <f t="shared" si="96"/>
        <v>1091431.4480000001</v>
      </c>
      <c r="AZ147" s="168">
        <f t="shared" si="97"/>
        <v>-123.0043</v>
      </c>
      <c r="BA147" s="168">
        <f t="shared" si="98"/>
        <v>5.0845180301884705</v>
      </c>
      <c r="BB147" s="168">
        <f t="shared" si="99"/>
        <v>2.6720711371257546</v>
      </c>
      <c r="BC147" s="169">
        <f t="shared" si="100"/>
        <v>-0.7281451803018939</v>
      </c>
    </row>
    <row r="148" spans="28:55" ht="15">
      <c r="AB148" s="184">
        <v>45748</v>
      </c>
      <c r="AC148" s="157" t="s">
        <v>32</v>
      </c>
      <c r="AD148" s="171" t="s">
        <v>99</v>
      </c>
      <c r="AE148" s="157">
        <v>823058.96887500002</v>
      </c>
      <c r="AF148" s="157">
        <v>1091426.661475</v>
      </c>
      <c r="AG148" s="159">
        <v>-123.06075</v>
      </c>
      <c r="AL148" s="160">
        <f t="shared" ref="AL148:AL151" si="101">IF(ISNUMBER(AE148),COS(ATAN2(AF148-AO$4,AE148-AO$3)-(AO$5/200*PI()))*SQRT((AE148-AO$3)^2+(AF148-AO$4)^2),"-")</f>
        <v>5.0642397330323901</v>
      </c>
      <c r="AM148" s="161">
        <f t="shared" ref="AM148:AM151" si="102">IF(ISNUMBER(AE148),SIN(ATAN2(AF148-AO$4,AE148-AO$3)-(AO$5/200*PI()))*SQRT((AE148-AO$3)^2+(AF148-AO$4)^2),"-")</f>
        <v>-2.6186912033488388</v>
      </c>
      <c r="AN148" s="162">
        <f t="shared" ref="AN148:AN151" si="103">IF(ISNUMBER(AL148),AG148-AO148,"-")</f>
        <v>-0.78439239733032196</v>
      </c>
      <c r="AO148" s="163">
        <f t="shared" ref="AO148:AO151" si="104">IF(ISNUMBER(AF148),((AL148-$AO$7)*AO$9)+AO$8,"-")</f>
        <v>-122.27635760266968</v>
      </c>
      <c r="AV148" s="157">
        <f t="shared" ref="AV148:AV151" si="105">AB148</f>
        <v>45748</v>
      </c>
      <c r="AW148" s="167" t="str">
        <f t="shared" ref="AW148:AW151" si="106">AC148</f>
        <v>BG</v>
      </c>
      <c r="AX148" s="168">
        <f t="shared" ref="AX148:AX151" si="107">AE148</f>
        <v>823058.96887500002</v>
      </c>
      <c r="AY148" s="168">
        <f t="shared" ref="AY148:AY151" si="108">AF148</f>
        <v>1091426.661475</v>
      </c>
      <c r="AZ148" s="168">
        <f t="shared" ref="AZ148:AZ151" si="109">AG148</f>
        <v>-123.06075</v>
      </c>
      <c r="BA148" s="168">
        <f t="shared" ref="BA148:BA151" si="110">AL148+$AY$1</f>
        <v>5.0642397330323901</v>
      </c>
      <c r="BB148" s="168">
        <f t="shared" ref="BB148:BB151" si="111">AM148</f>
        <v>-2.6186912033488388</v>
      </c>
      <c r="BC148" s="169">
        <f t="shared" ref="BC148:BC151" si="112">AN148</f>
        <v>-0.78439239733032196</v>
      </c>
    </row>
    <row r="149" spans="28:55" ht="15">
      <c r="AB149" s="181">
        <v>45748</v>
      </c>
      <c r="AC149" s="170" t="s">
        <v>10</v>
      </c>
      <c r="AD149" s="171" t="s">
        <v>100</v>
      </c>
      <c r="AE149" s="157">
        <v>823058.92984</v>
      </c>
      <c r="AF149" s="157">
        <v>1091426.7442000001</v>
      </c>
      <c r="AG149" s="159">
        <v>-121.13074</v>
      </c>
      <c r="AL149" s="160">
        <f t="shared" si="101"/>
        <v>5.0646578172508026</v>
      </c>
      <c r="AM149" s="161">
        <f t="shared" si="102"/>
        <v>-2.5272199943576794</v>
      </c>
      <c r="AN149" s="162">
        <f t="shared" si="103"/>
        <v>1.1456134218274912</v>
      </c>
      <c r="AO149" s="163">
        <f t="shared" si="104"/>
        <v>-122.27635342182749</v>
      </c>
      <c r="AV149" s="157">
        <f t="shared" si="105"/>
        <v>45748</v>
      </c>
      <c r="AW149" s="167" t="str">
        <f t="shared" si="106"/>
        <v>HG</v>
      </c>
      <c r="AX149" s="168">
        <f t="shared" si="107"/>
        <v>823058.92984</v>
      </c>
      <c r="AY149" s="168">
        <f t="shared" si="108"/>
        <v>1091426.7442000001</v>
      </c>
      <c r="AZ149" s="168">
        <f t="shared" si="109"/>
        <v>-121.13074</v>
      </c>
      <c r="BA149" s="168">
        <f t="shared" si="110"/>
        <v>5.0646578172508026</v>
      </c>
      <c r="BB149" s="168">
        <f t="shared" si="111"/>
        <v>-2.5272199943576794</v>
      </c>
      <c r="BC149" s="169">
        <f t="shared" si="112"/>
        <v>1.1456134218274912</v>
      </c>
    </row>
    <row r="150" spans="28:55" ht="15">
      <c r="AB150" s="184">
        <v>45748</v>
      </c>
      <c r="AC150" s="157" t="s">
        <v>64</v>
      </c>
      <c r="AD150" s="171" t="s">
        <v>101</v>
      </c>
      <c r="AE150" s="157">
        <v>823058.00402500003</v>
      </c>
      <c r="AF150" s="157">
        <v>1091429.0798500001</v>
      </c>
      <c r="AG150" s="159">
        <v>-119.69482499999999</v>
      </c>
      <c r="AL150" s="160">
        <f t="shared" si="101"/>
        <v>4.9166827262976005</v>
      </c>
      <c r="AM150" s="161">
        <f t="shared" si="102"/>
        <v>-1.9133530691509162E-2</v>
      </c>
      <c r="AN150" s="162">
        <f t="shared" si="103"/>
        <v>2.5830081727370242</v>
      </c>
      <c r="AO150" s="163">
        <f t="shared" si="104"/>
        <v>-122.27783317273702</v>
      </c>
      <c r="AV150" s="157">
        <f t="shared" si="105"/>
        <v>45748</v>
      </c>
      <c r="AW150" s="167" t="str">
        <f t="shared" si="106"/>
        <v>CH</v>
      </c>
      <c r="AX150" s="168">
        <f t="shared" si="107"/>
        <v>823058.00402500003</v>
      </c>
      <c r="AY150" s="168">
        <f t="shared" si="108"/>
        <v>1091429.0798500001</v>
      </c>
      <c r="AZ150" s="168">
        <f t="shared" si="109"/>
        <v>-119.69482499999999</v>
      </c>
      <c r="BA150" s="168">
        <f t="shared" si="110"/>
        <v>4.9166827262976005</v>
      </c>
      <c r="BB150" s="168">
        <f t="shared" si="111"/>
        <v>-1.9133530691509162E-2</v>
      </c>
      <c r="BC150" s="169">
        <f t="shared" si="112"/>
        <v>2.5830081727370242</v>
      </c>
    </row>
    <row r="151" spans="28:55" ht="15">
      <c r="AB151" s="184">
        <v>45748</v>
      </c>
      <c r="AC151" s="157" t="s">
        <v>33</v>
      </c>
      <c r="AD151" s="171" t="s">
        <v>102</v>
      </c>
      <c r="AE151" s="157">
        <v>823056.71569999994</v>
      </c>
      <c r="AF151" s="157">
        <v>1091431.44735</v>
      </c>
      <c r="AG151" s="159">
        <v>-123.003725</v>
      </c>
      <c r="AL151" s="160">
        <f t="shared" si="101"/>
        <v>5.0837957767529298</v>
      </c>
      <c r="AM151" s="161">
        <f t="shared" si="102"/>
        <v>2.6710171684166841</v>
      </c>
      <c r="AN151" s="162">
        <f t="shared" si="103"/>
        <v>-0.72756295776753177</v>
      </c>
      <c r="AO151" s="163">
        <f t="shared" si="104"/>
        <v>-122.27616204223247</v>
      </c>
      <c r="AV151" s="157">
        <f t="shared" si="105"/>
        <v>45748</v>
      </c>
      <c r="AW151" s="167" t="str">
        <f t="shared" si="106"/>
        <v>BD</v>
      </c>
      <c r="AX151" s="168">
        <f t="shared" si="107"/>
        <v>823056.71569999994</v>
      </c>
      <c r="AY151" s="168">
        <f t="shared" si="108"/>
        <v>1091431.44735</v>
      </c>
      <c r="AZ151" s="168">
        <f t="shared" si="109"/>
        <v>-123.003725</v>
      </c>
      <c r="BA151" s="168">
        <f t="shared" si="110"/>
        <v>5.0837957767529298</v>
      </c>
      <c r="BB151" s="168">
        <f t="shared" si="111"/>
        <v>2.6710171684166841</v>
      </c>
      <c r="BC151" s="169">
        <f t="shared" si="112"/>
        <v>-0.72756295776753177</v>
      </c>
    </row>
    <row r="152" spans="28:55" ht="15">
      <c r="AB152" s="181">
        <v>45751</v>
      </c>
      <c r="AC152" s="157" t="s">
        <v>32</v>
      </c>
      <c r="AD152" s="171" t="s">
        <v>112</v>
      </c>
      <c r="AE152" s="157">
        <v>823058.96889999998</v>
      </c>
      <c r="AF152" s="157">
        <v>1091426.6625999999</v>
      </c>
      <c r="AG152" s="159">
        <v>-123.0608</v>
      </c>
      <c r="AL152" s="160">
        <f t="shared" ref="AL152:AL155" si="113">IF(ISNUMBER(AE152),COS(ATAN2(AF152-AO$4,AE152-AO$3)-(AO$5/200*PI()))*SQRT((AE152-AO$3)^2+(AF152-AO$4)^2),"-")</f>
        <v>5.0637416459078173</v>
      </c>
      <c r="AM152" s="161">
        <f t="shared" ref="AM152:AM155" si="114">IF(ISNUMBER(AE152),SIN(ATAN2(AF152-AO$4,AE152-AO$3)-(AO$5/200*PI()))*SQRT((AE152-AO$3)^2+(AF152-AO$4)^2),"-")</f>
        <v>-2.6176821646452963</v>
      </c>
      <c r="AN152" s="162">
        <f t="shared" ref="AN152:AN155" si="115">IF(ISNUMBER(AL152),AG152-AO152,"-")</f>
        <v>-0.7844374164590846</v>
      </c>
      <c r="AO152" s="163">
        <f t="shared" ref="AO152:AO155" si="116">IF(ISNUMBER(AF152),((AL152-$AO$7)*AO$9)+AO$8,"-")</f>
        <v>-122.27636258354092</v>
      </c>
      <c r="AV152" s="157">
        <f t="shared" ref="AV152:AV155" si="117">AB152</f>
        <v>45751</v>
      </c>
      <c r="AW152" s="167" t="str">
        <f t="shared" ref="AW152:AW155" si="118">AC152</f>
        <v>BG</v>
      </c>
      <c r="AX152" s="168">
        <f t="shared" ref="AX152:AX155" si="119">AE152</f>
        <v>823058.96889999998</v>
      </c>
      <c r="AY152" s="168">
        <f t="shared" ref="AY152:AY155" si="120">AF152</f>
        <v>1091426.6625999999</v>
      </c>
      <c r="AZ152" s="168">
        <f t="shared" ref="AZ152:AZ155" si="121">AG152</f>
        <v>-123.0608</v>
      </c>
      <c r="BA152" s="168">
        <f t="shared" ref="BA152:BA155" si="122">AL152+$AY$1</f>
        <v>5.0637416459078173</v>
      </c>
      <c r="BB152" s="168">
        <f t="shared" ref="BB152:BB155" si="123">AM152</f>
        <v>-2.6176821646452963</v>
      </c>
      <c r="BC152" s="169">
        <f t="shared" ref="BC152:BC155" si="124">AN152</f>
        <v>-0.7844374164590846</v>
      </c>
    </row>
    <row r="153" spans="28:55" ht="15">
      <c r="AB153" s="181">
        <v>45751</v>
      </c>
      <c r="AC153" s="170" t="s">
        <v>10</v>
      </c>
      <c r="AD153" s="171" t="s">
        <v>113</v>
      </c>
      <c r="AE153" s="157">
        <v>823058.92969999998</v>
      </c>
      <c r="AF153" s="157">
        <v>1091426.7456</v>
      </c>
      <c r="AG153" s="159">
        <v>-121.13039999999999</v>
      </c>
      <c r="AL153" s="160">
        <f t="shared" si="113"/>
        <v>5.0641930559431731</v>
      </c>
      <c r="AM153" s="161">
        <f t="shared" si="114"/>
        <v>-2.5258919895413188</v>
      </c>
      <c r="AN153" s="162">
        <f t="shared" si="115"/>
        <v>1.1459580694405673</v>
      </c>
      <c r="AO153" s="163">
        <f t="shared" si="116"/>
        <v>-122.27635806944056</v>
      </c>
      <c r="AV153" s="157">
        <f t="shared" si="117"/>
        <v>45751</v>
      </c>
      <c r="AW153" s="167" t="str">
        <f t="shared" si="118"/>
        <v>HG</v>
      </c>
      <c r="AX153" s="168">
        <f t="shared" si="119"/>
        <v>823058.92969999998</v>
      </c>
      <c r="AY153" s="168">
        <f t="shared" si="120"/>
        <v>1091426.7456</v>
      </c>
      <c r="AZ153" s="168">
        <f t="shared" si="121"/>
        <v>-121.13039999999999</v>
      </c>
      <c r="BA153" s="168">
        <f t="shared" si="122"/>
        <v>5.0641930559431731</v>
      </c>
      <c r="BB153" s="168">
        <f t="shared" si="123"/>
        <v>-2.5258919895413188</v>
      </c>
      <c r="BC153" s="169">
        <f t="shared" si="124"/>
        <v>1.1459580694405673</v>
      </c>
    </row>
    <row r="154" spans="28:55" ht="15">
      <c r="AB154" s="181">
        <v>45751</v>
      </c>
      <c r="AC154" s="157" t="s">
        <v>64</v>
      </c>
      <c r="AD154" s="171" t="s">
        <v>114</v>
      </c>
      <c r="AE154" s="157">
        <v>823058.00650000002</v>
      </c>
      <c r="AF154" s="157">
        <v>1091429.0789999999</v>
      </c>
      <c r="AG154" s="159">
        <v>-119.6957</v>
      </c>
      <c r="AL154" s="160">
        <f t="shared" si="113"/>
        <v>4.9147988112367651</v>
      </c>
      <c r="AM154" s="161">
        <f t="shared" si="114"/>
        <v>-2.0949842694766019E-2</v>
      </c>
      <c r="AN154" s="162">
        <f t="shared" si="115"/>
        <v>2.5821520118876293</v>
      </c>
      <c r="AO154" s="163">
        <f t="shared" si="116"/>
        <v>-122.27785201188763</v>
      </c>
      <c r="AV154" s="157">
        <f t="shared" si="117"/>
        <v>45751</v>
      </c>
      <c r="AW154" s="167" t="str">
        <f t="shared" si="118"/>
        <v>CH</v>
      </c>
      <c r="AX154" s="168">
        <f t="shared" si="119"/>
        <v>823058.00650000002</v>
      </c>
      <c r="AY154" s="168">
        <f t="shared" si="120"/>
        <v>1091429.0789999999</v>
      </c>
      <c r="AZ154" s="168">
        <f t="shared" si="121"/>
        <v>-119.6957</v>
      </c>
      <c r="BA154" s="168">
        <f t="shared" si="122"/>
        <v>4.9147988112367651</v>
      </c>
      <c r="BB154" s="168">
        <f t="shared" si="123"/>
        <v>-2.0949842694766019E-2</v>
      </c>
      <c r="BC154" s="169">
        <f t="shared" si="124"/>
        <v>2.5821520118876293</v>
      </c>
    </row>
    <row r="155" spans="28:55" ht="15">
      <c r="AB155" s="181">
        <v>45751</v>
      </c>
      <c r="AC155" s="157" t="s">
        <v>33</v>
      </c>
      <c r="AD155" s="158" t="s">
        <v>115</v>
      </c>
      <c r="AE155" s="157">
        <v>823056.71660000004</v>
      </c>
      <c r="AF155" s="157">
        <v>1091431.4487000001</v>
      </c>
      <c r="AG155" s="159">
        <v>-123.0038</v>
      </c>
      <c r="AL155" s="160">
        <f t="shared" si="113"/>
        <v>5.082409578401343</v>
      </c>
      <c r="AM155" s="161">
        <f t="shared" si="114"/>
        <v>2.6718603495397688</v>
      </c>
      <c r="AN155" s="162">
        <f t="shared" si="115"/>
        <v>-0.72762409578400877</v>
      </c>
      <c r="AO155" s="163">
        <f t="shared" si="116"/>
        <v>-122.27617590421599</v>
      </c>
      <c r="AV155" s="157">
        <f t="shared" si="117"/>
        <v>45751</v>
      </c>
      <c r="AW155" s="167" t="str">
        <f t="shared" si="118"/>
        <v>BD</v>
      </c>
      <c r="AX155" s="168">
        <f t="shared" si="119"/>
        <v>823056.71660000004</v>
      </c>
      <c r="AY155" s="168">
        <f t="shared" si="120"/>
        <v>1091431.4487000001</v>
      </c>
      <c r="AZ155" s="168">
        <f t="shared" si="121"/>
        <v>-123.0038</v>
      </c>
      <c r="BA155" s="168">
        <f t="shared" si="122"/>
        <v>5.082409578401343</v>
      </c>
      <c r="BB155" s="168">
        <f t="shared" si="123"/>
        <v>2.6718603495397688</v>
      </c>
      <c r="BC155" s="169">
        <f t="shared" si="124"/>
        <v>-0.72762409578400877</v>
      </c>
    </row>
    <row r="156" spans="28:55" ht="15">
      <c r="AB156" s="181">
        <v>45754</v>
      </c>
      <c r="AC156" s="157" t="s">
        <v>32</v>
      </c>
      <c r="AD156" s="191" t="s">
        <v>99</v>
      </c>
      <c r="AE156" s="157">
        <v>823058.96869999997</v>
      </c>
      <c r="AF156" s="157">
        <v>1091426.6636999999</v>
      </c>
      <c r="AG156" s="159">
        <v>-123.0608</v>
      </c>
      <c r="AL156" s="160">
        <f t="shared" ref="AL156:AL159" si="125">IF(ISNUMBER(AE156),COS(ATAN2(AF156-AO$4,AE156-AO$3)-(AO$5/200*PI()))*SQRT((AE156-AO$3)^2+(AF156-AO$4)^2),"-")</f>
        <v>5.063458044596536</v>
      </c>
      <c r="AM156" s="161">
        <f t="shared" ref="AM156:AM159" si="126">IF(ISNUMBER(AE156),SIN(ATAN2(AF156-AO$4,AE156-AO$3)-(AO$5/200*PI()))*SQRT((AE156-AO$3)^2+(AF156-AO$4)^2),"-")</f>
        <v>-2.6166006979158354</v>
      </c>
      <c r="AN156" s="162">
        <f t="shared" ref="AN156:AN159" si="127">IF(ISNUMBER(AL156),AG156-AO156,"-")</f>
        <v>-0.78443458044596071</v>
      </c>
      <c r="AO156" s="163">
        <f t="shared" ref="AO156:AO159" si="128">IF(ISNUMBER(AF156),((AL156-$AO$7)*AO$9)+AO$8,"-")</f>
        <v>-122.27636541955404</v>
      </c>
      <c r="AV156" s="157">
        <f t="shared" ref="AV156:AV159" si="129">AB156</f>
        <v>45754</v>
      </c>
      <c r="AW156" s="167" t="str">
        <f t="shared" ref="AW156:AW159" si="130">AC156</f>
        <v>BG</v>
      </c>
      <c r="AX156" s="168">
        <f t="shared" ref="AX156:AX159" si="131">AE156</f>
        <v>823058.96869999997</v>
      </c>
      <c r="AY156" s="168">
        <f t="shared" ref="AY156:AY159" si="132">AF156</f>
        <v>1091426.6636999999</v>
      </c>
      <c r="AZ156" s="168">
        <f t="shared" ref="AZ156:AZ159" si="133">AG156</f>
        <v>-123.0608</v>
      </c>
      <c r="BA156" s="168">
        <f t="shared" ref="BA156:BA159" si="134">AL156+$AY$1</f>
        <v>5.063458044596536</v>
      </c>
      <c r="BB156" s="168">
        <f t="shared" ref="BB156:BB159" si="135">AM156</f>
        <v>-2.6166006979158354</v>
      </c>
      <c r="BC156" s="169">
        <f t="shared" ref="BC156:BC159" si="136">AN156</f>
        <v>-0.78443458044596071</v>
      </c>
    </row>
    <row r="157" spans="28:55" ht="15">
      <c r="AB157" s="181">
        <v>45754</v>
      </c>
      <c r="AC157" s="170" t="s">
        <v>10</v>
      </c>
      <c r="AD157" s="170" t="s">
        <v>100</v>
      </c>
      <c r="AE157" s="157">
        <v>823058.92929999996</v>
      </c>
      <c r="AF157" s="157">
        <v>1091426.7463</v>
      </c>
      <c r="AG157" s="159">
        <v>-121.1309</v>
      </c>
      <c r="AL157" s="160">
        <f t="shared" si="125"/>
        <v>5.0642597590871032</v>
      </c>
      <c r="AM157" s="161">
        <f t="shared" si="126"/>
        <v>-2.5250885278615556</v>
      </c>
      <c r="AN157" s="162">
        <f t="shared" si="127"/>
        <v>1.1454574024091357</v>
      </c>
      <c r="AO157" s="163">
        <f t="shared" si="128"/>
        <v>-122.27635740240913</v>
      </c>
      <c r="AV157" s="157">
        <f t="shared" si="129"/>
        <v>45754</v>
      </c>
      <c r="AW157" s="167" t="str">
        <f t="shared" si="130"/>
        <v>HG</v>
      </c>
      <c r="AX157" s="168">
        <f t="shared" si="131"/>
        <v>823058.92929999996</v>
      </c>
      <c r="AY157" s="168">
        <f t="shared" si="132"/>
        <v>1091426.7463</v>
      </c>
      <c r="AZ157" s="168">
        <f t="shared" si="133"/>
        <v>-121.1309</v>
      </c>
      <c r="BA157" s="168">
        <f t="shared" si="134"/>
        <v>5.0642597590871032</v>
      </c>
      <c r="BB157" s="168">
        <f t="shared" si="135"/>
        <v>-2.5250885278615556</v>
      </c>
      <c r="BC157" s="169">
        <f t="shared" si="136"/>
        <v>1.1454574024091357</v>
      </c>
    </row>
    <row r="158" spans="28:55" ht="15">
      <c r="AB158" s="181">
        <v>45754</v>
      </c>
      <c r="AC158" s="157" t="s">
        <v>64</v>
      </c>
      <c r="AD158" s="170" t="s">
        <v>101</v>
      </c>
      <c r="AE158" s="157">
        <v>823058.0074</v>
      </c>
      <c r="AF158" s="157">
        <v>1091429.0785999999</v>
      </c>
      <c r="AG158" s="159">
        <v>-119.69629999999999</v>
      </c>
      <c r="AL158" s="160">
        <f t="shared" si="125"/>
        <v>4.914152169734666</v>
      </c>
      <c r="AM158" s="161">
        <f t="shared" si="126"/>
        <v>-2.1692711966666712E-2</v>
      </c>
      <c r="AN158" s="162">
        <f t="shared" si="127"/>
        <v>2.5815584783026537</v>
      </c>
      <c r="AO158" s="163">
        <f t="shared" si="128"/>
        <v>-122.27785847830265</v>
      </c>
      <c r="AV158" s="157">
        <f t="shared" si="129"/>
        <v>45754</v>
      </c>
      <c r="AW158" s="167" t="str">
        <f t="shared" si="130"/>
        <v>CH</v>
      </c>
      <c r="AX158" s="168">
        <f t="shared" si="131"/>
        <v>823058.0074</v>
      </c>
      <c r="AY158" s="168">
        <f t="shared" si="132"/>
        <v>1091429.0785999999</v>
      </c>
      <c r="AZ158" s="168">
        <f t="shared" si="133"/>
        <v>-119.69629999999999</v>
      </c>
      <c r="BA158" s="168">
        <f t="shared" si="134"/>
        <v>4.914152169734666</v>
      </c>
      <c r="BB158" s="168">
        <f t="shared" si="135"/>
        <v>-2.1692711966666712E-2</v>
      </c>
      <c r="BC158" s="169">
        <f t="shared" si="136"/>
        <v>2.5815584783026537</v>
      </c>
    </row>
    <row r="159" spans="28:55" ht="15">
      <c r="AB159" s="181">
        <v>45754</v>
      </c>
      <c r="AC159" s="157" t="s">
        <v>33</v>
      </c>
      <c r="AD159" s="171" t="s">
        <v>102</v>
      </c>
      <c r="AE159" s="157">
        <v>823056.71649999998</v>
      </c>
      <c r="AF159" s="157">
        <v>1091431.4487999999</v>
      </c>
      <c r="AG159" s="159">
        <v>-123.00360000000001</v>
      </c>
      <c r="AL159" s="160">
        <f t="shared" si="125"/>
        <v>5.0824579495972815</v>
      </c>
      <c r="AM159" s="161">
        <f t="shared" si="126"/>
        <v>2.6719932412476388</v>
      </c>
      <c r="AN159" s="162">
        <f t="shared" si="127"/>
        <v>-0.72742457949597394</v>
      </c>
      <c r="AO159" s="163">
        <f t="shared" si="128"/>
        <v>-122.27617542050403</v>
      </c>
      <c r="AV159" s="157">
        <f t="shared" si="129"/>
        <v>45754</v>
      </c>
      <c r="AW159" s="167" t="str">
        <f t="shared" si="130"/>
        <v>BD</v>
      </c>
      <c r="AX159" s="168">
        <f t="shared" si="131"/>
        <v>823056.71649999998</v>
      </c>
      <c r="AY159" s="168">
        <f t="shared" si="132"/>
        <v>1091431.4487999999</v>
      </c>
      <c r="AZ159" s="168">
        <f t="shared" si="133"/>
        <v>-123.00360000000001</v>
      </c>
      <c r="BA159" s="168">
        <f t="shared" si="134"/>
        <v>5.0824579495972815</v>
      </c>
      <c r="BB159" s="168">
        <f t="shared" si="135"/>
        <v>2.6719932412476388</v>
      </c>
      <c r="BC159" s="169">
        <f t="shared" si="136"/>
        <v>-0.72742457949597394</v>
      </c>
    </row>
    <row r="160" spans="28:55" ht="15">
      <c r="AB160" s="181">
        <v>45756</v>
      </c>
      <c r="AC160" s="157" t="s">
        <v>32</v>
      </c>
      <c r="AD160" s="170" t="s">
        <v>116</v>
      </c>
      <c r="AE160" s="157">
        <v>823058.96860000002</v>
      </c>
      <c r="AF160" s="157">
        <v>1091426.6631</v>
      </c>
      <c r="AG160" s="159">
        <v>-123.0607</v>
      </c>
      <c r="AL160" s="160">
        <f t="shared" ref="AL160:AL162" si="137">IF(ISNUMBER(AE160),COS(ATAN2(AF160-AO$4,AE160-AO$3)-(AO$5/200*PI()))*SQRT((AE160-AO$3)^2+(AF160-AO$4)^2),"-")</f>
        <v>5.0638022382664847</v>
      </c>
      <c r="AM160" s="161">
        <f t="shared" ref="AM160:AM162" si="138">IF(ISNUMBER(AE160),SIN(ATAN2(AF160-AO$4,AE160-AO$3)-(AO$5/200*PI()))*SQRT((AE160-AO$3)^2+(AF160-AO$4)^2),"-")</f>
        <v>-2.6171022261816135</v>
      </c>
      <c r="AN160" s="162">
        <f t="shared" ref="AN160:AN162" si="139">IF(ISNUMBER(AL160),AG160-AO160,"-")</f>
        <v>-0.78433802238266992</v>
      </c>
      <c r="AO160" s="163">
        <f t="shared" ref="AO160:AO162" si="140">IF(ISNUMBER(AF160),((AL160-$AO$7)*AO$9)+AO$8,"-")</f>
        <v>-122.27636197761733</v>
      </c>
      <c r="AV160" s="157">
        <f t="shared" ref="AV160:AV162" si="141">AB160</f>
        <v>45756</v>
      </c>
      <c r="AW160" s="167" t="str">
        <f t="shared" ref="AW160:AW162" si="142">AC160</f>
        <v>BG</v>
      </c>
      <c r="AX160" s="168">
        <f t="shared" ref="AX160:AX162" si="143">AE160</f>
        <v>823058.96860000002</v>
      </c>
      <c r="AY160" s="168">
        <f t="shared" ref="AY160:AY162" si="144">AF160</f>
        <v>1091426.6631</v>
      </c>
      <c r="AZ160" s="168">
        <f t="shared" ref="AZ160:AZ162" si="145">AG160</f>
        <v>-123.0607</v>
      </c>
      <c r="BA160" s="168">
        <f t="shared" ref="BA160:BA162" si="146">AL160+$AY$1</f>
        <v>5.0638022382664847</v>
      </c>
      <c r="BB160" s="168">
        <f t="shared" ref="BB160:BB162" si="147">AM160</f>
        <v>-2.6171022261816135</v>
      </c>
      <c r="BC160" s="169">
        <f t="shared" ref="BC160:BC162" si="148">AN160</f>
        <v>-0.78433802238266992</v>
      </c>
    </row>
    <row r="161" spans="28:55" ht="15">
      <c r="AB161" s="181">
        <v>45756</v>
      </c>
      <c r="AC161" s="157" t="s">
        <v>64</v>
      </c>
      <c r="AD161" s="158" t="s">
        <v>117</v>
      </c>
      <c r="AE161" s="157">
        <v>823058.00809999998</v>
      </c>
      <c r="AF161" s="157">
        <v>1091429.0771999999</v>
      </c>
      <c r="AG161" s="159">
        <v>-119.697</v>
      </c>
      <c r="AL161" s="160">
        <f t="shared" si="137"/>
        <v>4.9141093949550205</v>
      </c>
      <c r="AM161" s="161">
        <f t="shared" si="138"/>
        <v>-2.3257374915517496E-2</v>
      </c>
      <c r="AN161" s="162">
        <f t="shared" si="139"/>
        <v>2.5808589060504517</v>
      </c>
      <c r="AO161" s="163">
        <f t="shared" si="140"/>
        <v>-122.27785890605045</v>
      </c>
      <c r="AV161" s="157">
        <f t="shared" si="141"/>
        <v>45756</v>
      </c>
      <c r="AW161" s="167" t="str">
        <f t="shared" si="142"/>
        <v>CH</v>
      </c>
      <c r="AX161" s="168">
        <f t="shared" si="143"/>
        <v>823058.00809999998</v>
      </c>
      <c r="AY161" s="168">
        <f t="shared" si="144"/>
        <v>1091429.0771999999</v>
      </c>
      <c r="AZ161" s="168">
        <f t="shared" si="145"/>
        <v>-119.697</v>
      </c>
      <c r="BA161" s="168">
        <f t="shared" si="146"/>
        <v>4.9141093949550205</v>
      </c>
      <c r="BB161" s="168">
        <f t="shared" si="147"/>
        <v>-2.3257374915517496E-2</v>
      </c>
      <c r="BC161" s="169">
        <f t="shared" si="148"/>
        <v>2.5808589060504517</v>
      </c>
    </row>
    <row r="162" spans="28:55" ht="15">
      <c r="AB162" s="181">
        <v>45756</v>
      </c>
      <c r="AC162" s="157" t="s">
        <v>33</v>
      </c>
      <c r="AD162" s="158" t="s">
        <v>118</v>
      </c>
      <c r="AE162" s="157">
        <v>823056.71649999998</v>
      </c>
      <c r="AF162" s="157">
        <v>1091431.4479</v>
      </c>
      <c r="AG162" s="159">
        <v>-123.00360000000001</v>
      </c>
      <c r="AL162" s="160">
        <f t="shared" si="137"/>
        <v>5.0828382929981446</v>
      </c>
      <c r="AM162" s="161">
        <f t="shared" si="138"/>
        <v>2.6711775583067525</v>
      </c>
      <c r="AN162" s="162">
        <f t="shared" si="139"/>
        <v>-0.72742838292998613</v>
      </c>
      <c r="AO162" s="163">
        <f t="shared" si="140"/>
        <v>-122.27617161707002</v>
      </c>
      <c r="AV162" s="157">
        <f t="shared" si="141"/>
        <v>45756</v>
      </c>
      <c r="AW162" s="167" t="str">
        <f t="shared" si="142"/>
        <v>BD</v>
      </c>
      <c r="AX162" s="168">
        <f t="shared" si="143"/>
        <v>823056.71649999998</v>
      </c>
      <c r="AY162" s="168">
        <f t="shared" si="144"/>
        <v>1091431.4479</v>
      </c>
      <c r="AZ162" s="168">
        <f t="shared" si="145"/>
        <v>-123.00360000000001</v>
      </c>
      <c r="BA162" s="168">
        <f t="shared" si="146"/>
        <v>5.0828382929981446</v>
      </c>
      <c r="BB162" s="168">
        <f t="shared" si="147"/>
        <v>2.6711775583067525</v>
      </c>
      <c r="BC162" s="169">
        <f t="shared" si="148"/>
        <v>-0.72742838292998613</v>
      </c>
    </row>
    <row r="163" spans="28:55" ht="15">
      <c r="AB163" s="181">
        <v>45762</v>
      </c>
      <c r="AC163" s="157" t="s">
        <v>32</v>
      </c>
      <c r="AD163" s="158" t="s">
        <v>119</v>
      </c>
      <c r="AE163" s="157">
        <v>823058.96860000002</v>
      </c>
      <c r="AF163" s="157">
        <v>1091426.6625999999</v>
      </c>
      <c r="AG163" s="159">
        <v>-123.0609</v>
      </c>
      <c r="AL163" s="160">
        <f t="shared" ref="AL163:AL166" si="149">IF(ISNUMBER(AE163),COS(ATAN2(AF163-AO$4,AE163-AO$3)-(AO$5/200*PI()))*SQRT((AE163-AO$3)^2+(AF163-AO$4)^2),"-")</f>
        <v>5.0640135402214463</v>
      </c>
      <c r="AM163" s="161">
        <f t="shared" ref="AM163:AM166" si="150">IF(ISNUMBER(AE163),SIN(ATAN2(AF163-AO$4,AE163-AO$3)-(AO$5/200*PI()))*SQRT((AE163-AO$3)^2+(AF163-AO$4)^2),"-")</f>
        <v>-2.6175553835116747</v>
      </c>
      <c r="AN163" s="162">
        <f t="shared" ref="AN163:AN166" si="151">IF(ISNUMBER(AL163),AG163-AO163,"-")</f>
        <v>-0.78454013540222434</v>
      </c>
      <c r="AO163" s="163">
        <f t="shared" ref="AO163:AO166" si="152">IF(ISNUMBER(AF163),((AL163-$AO$7)*AO$9)+AO$8,"-")</f>
        <v>-122.27635986459778</v>
      </c>
      <c r="AV163" s="157">
        <f t="shared" ref="AV163:AV166" si="153">AB163</f>
        <v>45762</v>
      </c>
      <c r="AW163" s="167" t="str">
        <f t="shared" ref="AW163:AW166" si="154">AC163</f>
        <v>BG</v>
      </c>
      <c r="AX163" s="168">
        <f t="shared" ref="AX163:AX166" si="155">AE163</f>
        <v>823058.96860000002</v>
      </c>
      <c r="AY163" s="168">
        <f t="shared" ref="AY163:AY166" si="156">AF163</f>
        <v>1091426.6625999999</v>
      </c>
      <c r="AZ163" s="168">
        <f t="shared" ref="AZ163:AZ166" si="157">AG163</f>
        <v>-123.0609</v>
      </c>
      <c r="BA163" s="168">
        <f t="shared" ref="BA163:BA166" si="158">AL163+$AY$1</f>
        <v>5.0640135402214463</v>
      </c>
      <c r="BB163" s="168">
        <f t="shared" ref="BB163:BB166" si="159">AM163</f>
        <v>-2.6175553835116747</v>
      </c>
      <c r="BC163" s="169">
        <f t="shared" ref="BC163:BC166" si="160">AN163</f>
        <v>-0.78454013540222434</v>
      </c>
    </row>
    <row r="164" spans="28:55" ht="15">
      <c r="AB164" s="181">
        <v>45762</v>
      </c>
      <c r="AC164" s="170" t="s">
        <v>10</v>
      </c>
      <c r="AD164" s="158" t="s">
        <v>120</v>
      </c>
      <c r="AE164" s="157">
        <v>823058.92960000003</v>
      </c>
      <c r="AF164" s="157">
        <v>1091426.7455</v>
      </c>
      <c r="AG164" s="159">
        <v>-121.1307</v>
      </c>
      <c r="AL164" s="160">
        <f t="shared" si="149"/>
        <v>5.0643259477565499</v>
      </c>
      <c r="AM164" s="161">
        <f t="shared" si="150"/>
        <v>-2.525940360688061</v>
      </c>
      <c r="AN164" s="162">
        <f t="shared" si="151"/>
        <v>1.1456567405224263</v>
      </c>
      <c r="AO164" s="163">
        <f t="shared" si="152"/>
        <v>-122.27635674052243</v>
      </c>
      <c r="AV164" s="157">
        <f t="shared" si="153"/>
        <v>45762</v>
      </c>
      <c r="AW164" s="167" t="str">
        <f t="shared" si="154"/>
        <v>HG</v>
      </c>
      <c r="AX164" s="168">
        <f t="shared" si="155"/>
        <v>823058.92960000003</v>
      </c>
      <c r="AY164" s="168">
        <f t="shared" si="156"/>
        <v>1091426.7455</v>
      </c>
      <c r="AZ164" s="168">
        <f t="shared" si="157"/>
        <v>-121.1307</v>
      </c>
      <c r="BA164" s="168">
        <f t="shared" si="158"/>
        <v>5.0643259477565499</v>
      </c>
      <c r="BB164" s="168">
        <f t="shared" si="159"/>
        <v>-2.525940360688061</v>
      </c>
      <c r="BC164" s="169">
        <f t="shared" si="160"/>
        <v>1.1456567405224263</v>
      </c>
    </row>
    <row r="165" spans="28:55" ht="15">
      <c r="AB165" s="181">
        <v>45762</v>
      </c>
      <c r="AC165" s="157" t="s">
        <v>64</v>
      </c>
      <c r="AD165" s="158" t="s">
        <v>121</v>
      </c>
      <c r="AE165" s="157">
        <v>823058.0098</v>
      </c>
      <c r="AF165" s="157">
        <v>1091429.0759999999</v>
      </c>
      <c r="AG165" s="159">
        <v>-119.6973</v>
      </c>
      <c r="AL165" s="160">
        <f t="shared" si="149"/>
        <v>4.9130757848978197</v>
      </c>
      <c r="AM165" s="161">
        <f t="shared" si="150"/>
        <v>-2.5063378919687976E-2</v>
      </c>
      <c r="AN165" s="162">
        <f t="shared" si="151"/>
        <v>2.5805692421510145</v>
      </c>
      <c r="AO165" s="163">
        <f t="shared" si="152"/>
        <v>-122.27786924215101</v>
      </c>
      <c r="AV165" s="157">
        <f t="shared" si="153"/>
        <v>45762</v>
      </c>
      <c r="AW165" s="167" t="str">
        <f t="shared" si="154"/>
        <v>CH</v>
      </c>
      <c r="AX165" s="168">
        <f t="shared" si="155"/>
        <v>823058.0098</v>
      </c>
      <c r="AY165" s="168">
        <f t="shared" si="156"/>
        <v>1091429.0759999999</v>
      </c>
      <c r="AZ165" s="168">
        <f t="shared" si="157"/>
        <v>-119.6973</v>
      </c>
      <c r="BA165" s="168">
        <f t="shared" si="158"/>
        <v>4.9130757848978197</v>
      </c>
      <c r="BB165" s="168">
        <f t="shared" si="159"/>
        <v>-2.5063378919687976E-2</v>
      </c>
      <c r="BC165" s="169">
        <f t="shared" si="160"/>
        <v>2.5805692421510145</v>
      </c>
    </row>
    <row r="166" spans="28:55" ht="15">
      <c r="AB166" s="181">
        <v>45762</v>
      </c>
      <c r="AC166" s="157" t="s">
        <v>33</v>
      </c>
      <c r="AD166" s="158" t="s">
        <v>122</v>
      </c>
      <c r="AE166" s="157">
        <v>823056.71649999998</v>
      </c>
      <c r="AF166" s="157">
        <v>1091431.4478</v>
      </c>
      <c r="AG166" s="159">
        <v>-123.00369999999999</v>
      </c>
      <c r="AL166" s="160">
        <f t="shared" si="149"/>
        <v>5.0828805534088151</v>
      </c>
      <c r="AM166" s="161">
        <f t="shared" si="150"/>
        <v>2.6710869267985382</v>
      </c>
      <c r="AN166" s="162">
        <f t="shared" si="151"/>
        <v>-0.72752880553407806</v>
      </c>
      <c r="AO166" s="163">
        <f t="shared" si="152"/>
        <v>-122.27617119446592</v>
      </c>
      <c r="AV166" s="157">
        <f t="shared" si="153"/>
        <v>45762</v>
      </c>
      <c r="AW166" s="167" t="str">
        <f t="shared" si="154"/>
        <v>BD</v>
      </c>
      <c r="AX166" s="168">
        <f t="shared" si="155"/>
        <v>823056.71649999998</v>
      </c>
      <c r="AY166" s="168">
        <f t="shared" si="156"/>
        <v>1091431.4478</v>
      </c>
      <c r="AZ166" s="168">
        <f t="shared" si="157"/>
        <v>-123.00369999999999</v>
      </c>
      <c r="BA166" s="168">
        <f t="shared" si="158"/>
        <v>5.0828805534088151</v>
      </c>
      <c r="BB166" s="168">
        <f t="shared" si="159"/>
        <v>2.6710869267985382</v>
      </c>
      <c r="BC166" s="169">
        <f t="shared" si="160"/>
        <v>-0.72752880553407806</v>
      </c>
    </row>
    <row r="167" spans="28:55" ht="15">
      <c r="AB167" s="181">
        <v>45769</v>
      </c>
      <c r="AC167" s="157" t="s">
        <v>32</v>
      </c>
      <c r="AD167" s="158" t="s">
        <v>123</v>
      </c>
      <c r="AE167" s="157">
        <v>823058.96869999997</v>
      </c>
      <c r="AF167" s="157">
        <v>1091426.6636000001</v>
      </c>
      <c r="AG167" s="159">
        <v>-123.0608</v>
      </c>
      <c r="AL167" s="160">
        <f t="shared" ref="AL167:AL170" si="161">IF(ISNUMBER(AE167),COS(ATAN2(AF167-AO$4,AE167-AO$3)-(AO$5/200*PI()))*SQRT((AE167-AO$3)^2+(AF167-AO$4)^2),"-")</f>
        <v>5.0635003049088114</v>
      </c>
      <c r="AM167" s="161">
        <f t="shared" ref="AM167:AM170" si="162">IF(ISNUMBER(AE167),SIN(ATAN2(AF167-AO$4,AE167-AO$3)-(AO$5/200*PI()))*SQRT((AE167-AO$3)^2+(AF167-AO$4)^2),"-")</f>
        <v>-2.6166913292130345</v>
      </c>
      <c r="AN167" s="162">
        <f t="shared" ref="AN167:AN170" si="163">IF(ISNUMBER(AL167),AG167-AO167,"-")</f>
        <v>-0.78443500304909719</v>
      </c>
      <c r="AO167" s="163">
        <f t="shared" ref="AO167:AO170" si="164">IF(ISNUMBER(AF167),((AL167-$AO$7)*AO$9)+AO$8,"-")</f>
        <v>-122.2763649969509</v>
      </c>
      <c r="AV167" s="157">
        <f t="shared" ref="AV167:AV170" si="165">AB167</f>
        <v>45769</v>
      </c>
      <c r="AW167" s="167" t="str">
        <f t="shared" ref="AW167:AW170" si="166">AC167</f>
        <v>BG</v>
      </c>
      <c r="AX167" s="168">
        <f t="shared" ref="AX167:AX170" si="167">AE167</f>
        <v>823058.96869999997</v>
      </c>
      <c r="AY167" s="168">
        <f t="shared" ref="AY167:AY170" si="168">AF167</f>
        <v>1091426.6636000001</v>
      </c>
      <c r="AZ167" s="168">
        <f t="shared" ref="AZ167:AZ170" si="169">AG167</f>
        <v>-123.0608</v>
      </c>
      <c r="BA167" s="168">
        <f t="shared" ref="BA167:BA170" si="170">AL167+$AY$1</f>
        <v>5.0635003049088114</v>
      </c>
      <c r="BB167" s="168">
        <f t="shared" ref="BB167:BB170" si="171">AM167</f>
        <v>-2.6166913292130345</v>
      </c>
      <c r="BC167" s="169">
        <f t="shared" ref="BC167:BC170" si="172">AN167</f>
        <v>-0.78443500304909719</v>
      </c>
    </row>
    <row r="168" spans="28:55" ht="15">
      <c r="AB168" s="181">
        <v>45769</v>
      </c>
      <c r="AC168" s="170" t="s">
        <v>10</v>
      </c>
      <c r="AD168" s="158" t="s">
        <v>124</v>
      </c>
      <c r="AE168" s="157">
        <v>823058.92949999997</v>
      </c>
      <c r="AF168" s="157">
        <v>1091426.7463</v>
      </c>
      <c r="AG168" s="159">
        <v>-121.131</v>
      </c>
      <c r="AL168" s="160">
        <f t="shared" si="161"/>
        <v>5.0640784961761831</v>
      </c>
      <c r="AM168" s="161">
        <f t="shared" si="162"/>
        <v>-2.5251730486337003</v>
      </c>
      <c r="AN168" s="162">
        <f t="shared" si="163"/>
        <v>1.1453592150382406</v>
      </c>
      <c r="AO168" s="163">
        <f t="shared" si="164"/>
        <v>-122.27635921503824</v>
      </c>
      <c r="AV168" s="157">
        <f t="shared" si="165"/>
        <v>45769</v>
      </c>
      <c r="AW168" s="167" t="str">
        <f t="shared" si="166"/>
        <v>HG</v>
      </c>
      <c r="AX168" s="168">
        <f t="shared" si="167"/>
        <v>823058.92949999997</v>
      </c>
      <c r="AY168" s="168">
        <f t="shared" si="168"/>
        <v>1091426.7463</v>
      </c>
      <c r="AZ168" s="168">
        <f t="shared" si="169"/>
        <v>-121.131</v>
      </c>
      <c r="BA168" s="168">
        <f t="shared" si="170"/>
        <v>5.0640784961761831</v>
      </c>
      <c r="BB168" s="168">
        <f t="shared" si="171"/>
        <v>-2.5251730486337003</v>
      </c>
      <c r="BC168" s="169">
        <f t="shared" si="172"/>
        <v>1.1453592150382406</v>
      </c>
    </row>
    <row r="169" spans="28:55" ht="15">
      <c r="AB169" s="181">
        <v>45769</v>
      </c>
      <c r="AC169" s="157" t="s">
        <v>64</v>
      </c>
      <c r="AD169" s="158" t="s">
        <v>125</v>
      </c>
      <c r="AE169" s="157">
        <v>823058.01080000005</v>
      </c>
      <c r="AF169" s="157">
        <v>1091429.0728</v>
      </c>
      <c r="AG169" s="159">
        <v>-119.69889999999999</v>
      </c>
      <c r="AL169" s="160">
        <f t="shared" si="161"/>
        <v>4.9135218025991545</v>
      </c>
      <c r="AM169" s="161">
        <f t="shared" si="162"/>
        <v>-2.8386189144140279E-2</v>
      </c>
      <c r="AN169" s="162">
        <f t="shared" si="163"/>
        <v>2.5789647819740082</v>
      </c>
      <c r="AO169" s="163">
        <f t="shared" si="164"/>
        <v>-122.277864781974</v>
      </c>
      <c r="AV169" s="157">
        <f t="shared" si="165"/>
        <v>45769</v>
      </c>
      <c r="AW169" s="167" t="str">
        <f t="shared" si="166"/>
        <v>CH</v>
      </c>
      <c r="AX169" s="168">
        <f t="shared" si="167"/>
        <v>823058.01080000005</v>
      </c>
      <c r="AY169" s="168">
        <f t="shared" si="168"/>
        <v>1091429.0728</v>
      </c>
      <c r="AZ169" s="168">
        <f t="shared" si="169"/>
        <v>-119.69889999999999</v>
      </c>
      <c r="BA169" s="168">
        <f t="shared" si="170"/>
        <v>4.9135218025991545</v>
      </c>
      <c r="BB169" s="168">
        <f t="shared" si="171"/>
        <v>-2.8386189144140279E-2</v>
      </c>
      <c r="BC169" s="169">
        <f t="shared" si="172"/>
        <v>2.5789647819740082</v>
      </c>
    </row>
    <row r="170" spans="28:55" ht="15">
      <c r="AB170" s="181">
        <v>45769</v>
      </c>
      <c r="AC170" s="157" t="s">
        <v>33</v>
      </c>
      <c r="AD170" s="158" t="s">
        <v>126</v>
      </c>
      <c r="AE170" s="157">
        <v>823056.71649999998</v>
      </c>
      <c r="AF170" s="157">
        <v>1091431.4473000001</v>
      </c>
      <c r="AG170" s="159">
        <v>-123.004</v>
      </c>
      <c r="AL170" s="160">
        <f t="shared" si="161"/>
        <v>5.0830918552653843</v>
      </c>
      <c r="AM170" s="161">
        <f t="shared" si="162"/>
        <v>2.6706337696794975</v>
      </c>
      <c r="AN170" s="162">
        <f t="shared" si="163"/>
        <v>-0.72783091855265525</v>
      </c>
      <c r="AO170" s="163">
        <f t="shared" si="164"/>
        <v>-122.27616908144735</v>
      </c>
      <c r="AV170" s="157">
        <f t="shared" si="165"/>
        <v>45769</v>
      </c>
      <c r="AW170" s="167" t="str">
        <f t="shared" si="166"/>
        <v>BD</v>
      </c>
      <c r="AX170" s="168">
        <f t="shared" si="167"/>
        <v>823056.71649999998</v>
      </c>
      <c r="AY170" s="168">
        <f t="shared" si="168"/>
        <v>1091431.4473000001</v>
      </c>
      <c r="AZ170" s="168">
        <f t="shared" si="169"/>
        <v>-123.004</v>
      </c>
      <c r="BA170" s="168">
        <f t="shared" si="170"/>
        <v>5.0830918552653843</v>
      </c>
      <c r="BB170" s="168">
        <f t="shared" si="171"/>
        <v>2.6706337696794975</v>
      </c>
      <c r="BC170" s="169">
        <f t="shared" si="172"/>
        <v>-0.72783091855265525</v>
      </c>
    </row>
    <row r="171" spans="28:55" ht="15">
      <c r="AB171" s="181">
        <v>45772</v>
      </c>
      <c r="AC171" s="157" t="s">
        <v>32</v>
      </c>
      <c r="AD171" s="158" t="s">
        <v>99</v>
      </c>
      <c r="AE171" s="157">
        <v>823058.96840000001</v>
      </c>
      <c r="AF171" s="157">
        <v>1091426.6634</v>
      </c>
      <c r="AG171" s="159">
        <v>-123.0608</v>
      </c>
      <c r="AL171" s="160">
        <f t="shared" ref="AL171:AL174" si="173">IF(ISNUMBER(AE171),COS(ATAN2(AF171-AO$4,AE171-AO$3)-(AO$5/200*PI()))*SQRT((AE171-AO$3)^2+(AF171-AO$4)^2),"-")</f>
        <v>5.0638567200437841</v>
      </c>
      <c r="AM171" s="161">
        <f t="shared" ref="AM171:AM174" si="174">IF(ISNUMBER(AE171),SIN(ATAN2(AF171-AO$4,AE171-AO$3)-(AO$5/200*PI()))*SQRT((AE171-AO$3)^2+(AF171-AO$4)^2),"-")</f>
        <v>-2.6167458110958419</v>
      </c>
      <c r="AN171" s="162">
        <f t="shared" ref="AN171:AN174" si="175">IF(ISNUMBER(AL171),AG171-AO171,"-")</f>
        <v>-0.78443856720043925</v>
      </c>
      <c r="AO171" s="163">
        <f t="shared" ref="AO171:AO174" si="176">IF(ISNUMBER(AF171),((AL171-$AO$7)*AO$9)+AO$8,"-")</f>
        <v>-122.27636143279956</v>
      </c>
      <c r="AV171" s="157">
        <f t="shared" ref="AV171:AV174" si="177">AB171</f>
        <v>45772</v>
      </c>
      <c r="AW171" s="167" t="str">
        <f t="shared" ref="AW171:AW174" si="178">AC171</f>
        <v>BG</v>
      </c>
      <c r="AX171" s="168">
        <f t="shared" ref="AX171:AX174" si="179">AE171</f>
        <v>823058.96840000001</v>
      </c>
      <c r="AY171" s="168">
        <f t="shared" ref="AY171:AY174" si="180">AF171</f>
        <v>1091426.6634</v>
      </c>
      <c r="AZ171" s="168">
        <f t="shared" ref="AZ171:AZ174" si="181">AG171</f>
        <v>-123.0608</v>
      </c>
      <c r="BA171" s="168">
        <f t="shared" ref="BA171:BA174" si="182">AL171+$AY$1</f>
        <v>5.0638567200437841</v>
      </c>
      <c r="BB171" s="168">
        <f t="shared" ref="BB171:BB174" si="183">AM171</f>
        <v>-2.6167458110958419</v>
      </c>
      <c r="BC171" s="169">
        <f t="shared" ref="BC171:BC174" si="184">AN171</f>
        <v>-0.78443856720043925</v>
      </c>
    </row>
    <row r="172" spans="28:55" ht="15">
      <c r="AB172" s="181">
        <v>45772</v>
      </c>
      <c r="AC172" s="170" t="s">
        <v>10</v>
      </c>
      <c r="AD172" s="158" t="s">
        <v>100</v>
      </c>
      <c r="AE172" s="157">
        <v>823058.92929999996</v>
      </c>
      <c r="AF172" s="157">
        <v>1091426.7464000001</v>
      </c>
      <c r="AG172" s="159">
        <v>-121.1309</v>
      </c>
      <c r="AL172" s="160">
        <f t="shared" si="173"/>
        <v>5.0642174986764301</v>
      </c>
      <c r="AM172" s="161">
        <f t="shared" si="174"/>
        <v>-2.5249978963533444</v>
      </c>
      <c r="AN172" s="162">
        <f t="shared" si="175"/>
        <v>1.1454578250132386</v>
      </c>
      <c r="AO172" s="163">
        <f t="shared" si="176"/>
        <v>-122.27635782501324</v>
      </c>
      <c r="AV172" s="157">
        <f t="shared" si="177"/>
        <v>45772</v>
      </c>
      <c r="AW172" s="167" t="str">
        <f t="shared" si="178"/>
        <v>HG</v>
      </c>
      <c r="AX172" s="168">
        <f t="shared" si="179"/>
        <v>823058.92929999996</v>
      </c>
      <c r="AY172" s="168">
        <f t="shared" si="180"/>
        <v>1091426.7464000001</v>
      </c>
      <c r="AZ172" s="168">
        <f t="shared" si="181"/>
        <v>-121.1309</v>
      </c>
      <c r="BA172" s="168">
        <f t="shared" si="182"/>
        <v>5.0642174986764301</v>
      </c>
      <c r="BB172" s="168">
        <f t="shared" si="183"/>
        <v>-2.5249978963533444</v>
      </c>
      <c r="BC172" s="169">
        <f t="shared" si="184"/>
        <v>1.1454578250132386</v>
      </c>
    </row>
    <row r="173" spans="28:55" ht="15">
      <c r="AB173" s="181">
        <v>45772</v>
      </c>
      <c r="AC173" s="157" t="s">
        <v>64</v>
      </c>
      <c r="AD173" s="158" t="s">
        <v>101</v>
      </c>
      <c r="AE173" s="157">
        <v>823058.01150000002</v>
      </c>
      <c r="AF173" s="157">
        <v>1091429.0726000001</v>
      </c>
      <c r="AG173" s="159">
        <v>-119.69889999999999</v>
      </c>
      <c r="AL173" s="160">
        <f t="shared" si="173"/>
        <v>4.9129719031866328</v>
      </c>
      <c r="AM173" s="161">
        <f t="shared" si="174"/>
        <v>-2.8863274627466583E-2</v>
      </c>
      <c r="AN173" s="162">
        <f t="shared" si="175"/>
        <v>2.5789702809681359</v>
      </c>
      <c r="AO173" s="163">
        <f t="shared" si="176"/>
        <v>-122.27787028096813</v>
      </c>
      <c r="AV173" s="157">
        <f t="shared" si="177"/>
        <v>45772</v>
      </c>
      <c r="AW173" s="167" t="str">
        <f t="shared" si="178"/>
        <v>CH</v>
      </c>
      <c r="AX173" s="168">
        <f t="shared" si="179"/>
        <v>823058.01150000002</v>
      </c>
      <c r="AY173" s="168">
        <f t="shared" si="180"/>
        <v>1091429.0726000001</v>
      </c>
      <c r="AZ173" s="168">
        <f t="shared" si="181"/>
        <v>-119.69889999999999</v>
      </c>
      <c r="BA173" s="168">
        <f t="shared" si="182"/>
        <v>4.9129719031866328</v>
      </c>
      <c r="BB173" s="168">
        <f t="shared" si="183"/>
        <v>-2.8863274627466583E-2</v>
      </c>
      <c r="BC173" s="169">
        <f t="shared" si="184"/>
        <v>2.5789702809681359</v>
      </c>
    </row>
    <row r="174" spans="28:55" ht="15">
      <c r="AB174" s="181">
        <v>45772</v>
      </c>
      <c r="AC174" s="157" t="s">
        <v>33</v>
      </c>
      <c r="AD174" s="158" t="s">
        <v>102</v>
      </c>
      <c r="AE174" s="157">
        <v>823056.71640000003</v>
      </c>
      <c r="AF174" s="157">
        <v>1091431.4475</v>
      </c>
      <c r="AG174" s="159">
        <v>-123.00360000000001</v>
      </c>
      <c r="AL174" s="160">
        <f t="shared" si="173"/>
        <v>5.0830979659451394</v>
      </c>
      <c r="AM174" s="161">
        <f t="shared" si="174"/>
        <v>2.6708572928463887</v>
      </c>
      <c r="AN174" s="162">
        <f t="shared" si="175"/>
        <v>-0.72743097965945935</v>
      </c>
      <c r="AO174" s="163">
        <f t="shared" si="176"/>
        <v>-122.27616902034055</v>
      </c>
      <c r="AV174" s="157">
        <f t="shared" si="177"/>
        <v>45772</v>
      </c>
      <c r="AW174" s="167" t="str">
        <f t="shared" si="178"/>
        <v>BD</v>
      </c>
      <c r="AX174" s="168">
        <f t="shared" si="179"/>
        <v>823056.71640000003</v>
      </c>
      <c r="AY174" s="168">
        <f t="shared" si="180"/>
        <v>1091431.4475</v>
      </c>
      <c r="AZ174" s="168">
        <f t="shared" si="181"/>
        <v>-123.00360000000001</v>
      </c>
      <c r="BA174" s="168">
        <f t="shared" si="182"/>
        <v>5.0830979659451394</v>
      </c>
      <c r="BB174" s="168">
        <f t="shared" si="183"/>
        <v>2.6708572928463887</v>
      </c>
      <c r="BC174" s="169">
        <f t="shared" si="184"/>
        <v>-0.72743097965945935</v>
      </c>
    </row>
    <row r="175" spans="28:55" ht="15">
      <c r="AB175" s="181">
        <v>45775</v>
      </c>
      <c r="AC175" s="157" t="s">
        <v>32</v>
      </c>
      <c r="AD175" s="158" t="s">
        <v>127</v>
      </c>
      <c r="AE175" s="157">
        <v>823058.96869999997</v>
      </c>
      <c r="AF175" s="157">
        <v>1091426.6643000001</v>
      </c>
      <c r="AG175" s="159">
        <v>-123.0605</v>
      </c>
      <c r="AL175" s="160">
        <f t="shared" ref="AL175:AL178" si="185">IF(ISNUMBER(AE175),COS(ATAN2(AF175-AO$4,AE175-AO$3)-(AO$5/200*PI()))*SQRT((AE175-AO$3)^2+(AF175-AO$4)^2),"-")</f>
        <v>5.0632044822309012</v>
      </c>
      <c r="AM175" s="161">
        <f t="shared" ref="AM175:AM178" si="186">IF(ISNUMBER(AE175),SIN(ATAN2(AF175-AO$4,AE175-AO$3)-(AO$5/200*PI()))*SQRT((AE175-AO$3)^2+(AF175-AO$4)^2),"-")</f>
        <v>-2.6160569090775598</v>
      </c>
      <c r="AN175" s="162">
        <f t="shared" ref="AN175:AN178" si="187">IF(ISNUMBER(AL175),AG175-AO175,"-")</f>
        <v>-0.78413204482231436</v>
      </c>
      <c r="AO175" s="163">
        <f t="shared" ref="AO175:AO178" si="188">IF(ISNUMBER(AF175),((AL175-$AO$7)*AO$9)+AO$8,"-")</f>
        <v>-122.27636795517769</v>
      </c>
      <c r="AV175" s="157">
        <f t="shared" ref="AV175:AV178" si="189">AB175</f>
        <v>45775</v>
      </c>
      <c r="AW175" s="167" t="str">
        <f t="shared" ref="AW175:AW178" si="190">AC175</f>
        <v>BG</v>
      </c>
      <c r="AX175" s="168">
        <f t="shared" ref="AX175:AX178" si="191">AE175</f>
        <v>823058.96869999997</v>
      </c>
      <c r="AY175" s="168">
        <f t="shared" ref="AY175:AY178" si="192">AF175</f>
        <v>1091426.6643000001</v>
      </c>
      <c r="AZ175" s="168">
        <f t="shared" ref="AZ175:AZ178" si="193">AG175</f>
        <v>-123.0605</v>
      </c>
      <c r="BA175" s="168">
        <f t="shared" ref="BA175:BA178" si="194">AL175+$AY$1</f>
        <v>5.0632044822309012</v>
      </c>
      <c r="BB175" s="168">
        <f t="shared" ref="BB175:BB178" si="195">AM175</f>
        <v>-2.6160569090775598</v>
      </c>
      <c r="BC175" s="169">
        <f t="shared" ref="BC175:BC178" si="196">AN175</f>
        <v>-0.78413204482231436</v>
      </c>
    </row>
    <row r="176" spans="28:55" ht="15">
      <c r="AB176" s="181">
        <v>45775</v>
      </c>
      <c r="AC176" s="170" t="s">
        <v>10</v>
      </c>
      <c r="AD176" s="158" t="s">
        <v>128</v>
      </c>
      <c r="AE176" s="157">
        <v>823058.92960000003</v>
      </c>
      <c r="AF176" s="157">
        <v>1091426.7472000001</v>
      </c>
      <c r="AG176" s="159">
        <v>-121.1307</v>
      </c>
      <c r="AL176" s="160">
        <f t="shared" si="185"/>
        <v>5.0636075211687119</v>
      </c>
      <c r="AM176" s="161">
        <f t="shared" si="186"/>
        <v>-2.5243996258924719</v>
      </c>
      <c r="AN176" s="162">
        <f t="shared" si="187"/>
        <v>1.1456639247883089</v>
      </c>
      <c r="AO176" s="163">
        <f t="shared" si="188"/>
        <v>-122.27636392478831</v>
      </c>
      <c r="AV176" s="157">
        <f t="shared" si="189"/>
        <v>45775</v>
      </c>
      <c r="AW176" s="167" t="str">
        <f t="shared" si="190"/>
        <v>HG</v>
      </c>
      <c r="AX176" s="168">
        <f t="shared" si="191"/>
        <v>823058.92960000003</v>
      </c>
      <c r="AY176" s="168">
        <f t="shared" si="192"/>
        <v>1091426.7472000001</v>
      </c>
      <c r="AZ176" s="168">
        <f t="shared" si="193"/>
        <v>-121.1307</v>
      </c>
      <c r="BA176" s="168">
        <f t="shared" si="194"/>
        <v>5.0636075211687119</v>
      </c>
      <c r="BB176" s="168">
        <f t="shared" si="195"/>
        <v>-2.5243996258924719</v>
      </c>
      <c r="BC176" s="169">
        <f t="shared" si="196"/>
        <v>1.1456639247883089</v>
      </c>
    </row>
    <row r="177" spans="28:55" ht="15">
      <c r="AB177" s="181">
        <v>45775</v>
      </c>
      <c r="AC177" s="157" t="s">
        <v>64</v>
      </c>
      <c r="AD177" s="158" t="s">
        <v>129</v>
      </c>
      <c r="AE177" s="157">
        <v>823058.01199999999</v>
      </c>
      <c r="AF177" s="157">
        <v>1091429.0728</v>
      </c>
      <c r="AG177" s="159">
        <v>-119.6992</v>
      </c>
      <c r="AL177" s="160">
        <f t="shared" si="185"/>
        <v>4.912434225239136</v>
      </c>
      <c r="AM177" s="161">
        <f t="shared" si="186"/>
        <v>-2.8893313727819812E-2</v>
      </c>
      <c r="AN177" s="162">
        <f t="shared" si="187"/>
        <v>2.5786756577475956</v>
      </c>
      <c r="AO177" s="163">
        <f t="shared" si="188"/>
        <v>-122.2778756577476</v>
      </c>
      <c r="AV177" s="157">
        <f t="shared" si="189"/>
        <v>45775</v>
      </c>
      <c r="AW177" s="167" t="str">
        <f t="shared" si="190"/>
        <v>CH</v>
      </c>
      <c r="AX177" s="168">
        <f t="shared" si="191"/>
        <v>823058.01199999999</v>
      </c>
      <c r="AY177" s="168">
        <f t="shared" si="192"/>
        <v>1091429.0728</v>
      </c>
      <c r="AZ177" s="168">
        <f t="shared" si="193"/>
        <v>-119.6992</v>
      </c>
      <c r="BA177" s="168">
        <f t="shared" si="194"/>
        <v>4.912434225239136</v>
      </c>
      <c r="BB177" s="168">
        <f t="shared" si="195"/>
        <v>-2.8893313727819812E-2</v>
      </c>
      <c r="BC177" s="169">
        <f t="shared" si="196"/>
        <v>2.5786756577475956</v>
      </c>
    </row>
    <row r="178" spans="28:55" ht="15">
      <c r="AB178" s="181">
        <v>45775</v>
      </c>
      <c r="AC178" s="157" t="s">
        <v>33</v>
      </c>
      <c r="AD178" s="158" t="s">
        <v>130</v>
      </c>
      <c r="AE178" s="157">
        <v>823056.71730000002</v>
      </c>
      <c r="AF178" s="157">
        <v>1091431.4484999999</v>
      </c>
      <c r="AG178" s="159">
        <v>-123.0035</v>
      </c>
      <c r="AL178" s="160">
        <f t="shared" si="185"/>
        <v>5.0818596790872181</v>
      </c>
      <c r="AM178" s="161">
        <f t="shared" si="186"/>
        <v>2.6713832638454242</v>
      </c>
      <c r="AN178" s="162">
        <f t="shared" si="187"/>
        <v>-0.72731859679088018</v>
      </c>
      <c r="AO178" s="163">
        <f t="shared" si="188"/>
        <v>-122.27618140320912</v>
      </c>
      <c r="AV178" s="157">
        <f t="shared" si="189"/>
        <v>45775</v>
      </c>
      <c r="AW178" s="167" t="str">
        <f t="shared" si="190"/>
        <v>BD</v>
      </c>
      <c r="AX178" s="168">
        <f t="shared" si="191"/>
        <v>823056.71730000002</v>
      </c>
      <c r="AY178" s="168">
        <f t="shared" si="192"/>
        <v>1091431.4484999999</v>
      </c>
      <c r="AZ178" s="168">
        <f t="shared" si="193"/>
        <v>-123.0035</v>
      </c>
      <c r="BA178" s="168">
        <f t="shared" si="194"/>
        <v>5.0818596790872181</v>
      </c>
      <c r="BB178" s="168">
        <f t="shared" si="195"/>
        <v>2.6713832638454242</v>
      </c>
      <c r="BC178" s="169">
        <f t="shared" si="196"/>
        <v>-0.72731859679088018</v>
      </c>
    </row>
    <row r="179" spans="28:55" ht="15">
      <c r="AB179" s="181">
        <v>45792</v>
      </c>
      <c r="AC179" s="157" t="s">
        <v>32</v>
      </c>
      <c r="AD179" s="158" t="s">
        <v>95</v>
      </c>
      <c r="AE179" s="157">
        <v>823058.9682</v>
      </c>
      <c r="AF179" s="157">
        <v>1091426.6640000001</v>
      </c>
      <c r="AG179" s="159">
        <v>-123.06100000000001</v>
      </c>
      <c r="AL179" s="160">
        <f t="shared" ref="AL179:AL182" si="197">IF(ISNUMBER(AE179),COS(ATAN2(AF179-AO$4,AE179-AO$3)-(AO$5/200*PI()))*SQRT((AE179-AO$3)^2+(AF179-AO$4)^2),"-")</f>
        <v>5.0637844205890685</v>
      </c>
      <c r="AM179" s="161">
        <f t="shared" ref="AM179:AM182" si="198">IF(ISNUMBER(AE179),SIN(ATAN2(AF179-AO$4,AE179-AO$3)-(AO$5/200*PI()))*SQRT((AE179-AO$3)^2+(AF179-AO$4)^2),"-")</f>
        <v>-2.6161175014854243</v>
      </c>
      <c r="AN179" s="162">
        <f t="shared" ref="AN179:AN182" si="199">IF(ISNUMBER(AL179),AG179-AO179,"-")</f>
        <v>-0.78463784420590343</v>
      </c>
      <c r="AO179" s="163">
        <f t="shared" ref="AO179:AO182" si="200">IF(ISNUMBER(AF179),((AL179-$AO$7)*AO$9)+AO$8,"-")</f>
        <v>-122.2763621557941</v>
      </c>
      <c r="AV179" s="157">
        <f t="shared" ref="AV179:AV182" si="201">AB179</f>
        <v>45792</v>
      </c>
      <c r="AW179" s="167" t="str">
        <f t="shared" ref="AW179:AW182" si="202">AC179</f>
        <v>BG</v>
      </c>
      <c r="AX179" s="168">
        <f t="shared" ref="AX179:AX182" si="203">AE179</f>
        <v>823058.9682</v>
      </c>
      <c r="AY179" s="168">
        <f t="shared" ref="AY179:AY182" si="204">AF179</f>
        <v>1091426.6640000001</v>
      </c>
      <c r="AZ179" s="168">
        <f t="shared" ref="AZ179:AZ182" si="205">AG179</f>
        <v>-123.06100000000001</v>
      </c>
      <c r="BA179" s="168">
        <f t="shared" ref="BA179:BA182" si="206">AL179+$AY$1</f>
        <v>5.0637844205890685</v>
      </c>
      <c r="BB179" s="168">
        <f t="shared" ref="BB179:BB182" si="207">AM179</f>
        <v>-2.6161175014854243</v>
      </c>
      <c r="BC179" s="169">
        <f t="shared" ref="BC179:BC182" si="208">AN179</f>
        <v>-0.78463784420590343</v>
      </c>
    </row>
    <row r="180" spans="28:55" ht="15">
      <c r="AB180" s="181">
        <v>45792</v>
      </c>
      <c r="AC180" s="170" t="s">
        <v>10</v>
      </c>
      <c r="AD180" s="158" t="s">
        <v>111</v>
      </c>
      <c r="AE180" s="157">
        <v>823058.92909999995</v>
      </c>
      <c r="AF180" s="157">
        <v>1091426.7467</v>
      </c>
      <c r="AG180" s="159">
        <v>-121.1311</v>
      </c>
      <c r="AL180" s="160">
        <f t="shared" si="197"/>
        <v>5.0642719804537339</v>
      </c>
      <c r="AM180" s="161">
        <f t="shared" si="198"/>
        <v>-2.5246414812675662</v>
      </c>
      <c r="AN180" s="162">
        <f t="shared" si="199"/>
        <v>1.1452572801954517</v>
      </c>
      <c r="AO180" s="163">
        <f t="shared" si="200"/>
        <v>-122.27635728019546</v>
      </c>
      <c r="AV180" s="157">
        <f t="shared" si="201"/>
        <v>45792</v>
      </c>
      <c r="AW180" s="167" t="str">
        <f t="shared" si="202"/>
        <v>HG</v>
      </c>
      <c r="AX180" s="168">
        <f t="shared" si="203"/>
        <v>823058.92909999995</v>
      </c>
      <c r="AY180" s="168">
        <f t="shared" si="204"/>
        <v>1091426.7467</v>
      </c>
      <c r="AZ180" s="168">
        <f t="shared" si="205"/>
        <v>-121.1311</v>
      </c>
      <c r="BA180" s="168">
        <f t="shared" si="206"/>
        <v>5.0642719804537339</v>
      </c>
      <c r="BB180" s="168">
        <f t="shared" si="207"/>
        <v>-2.5246414812675662</v>
      </c>
      <c r="BC180" s="169">
        <f t="shared" si="208"/>
        <v>1.1452572801954517</v>
      </c>
    </row>
    <row r="181" spans="28:55" ht="15">
      <c r="AB181" s="181">
        <v>45792</v>
      </c>
      <c r="AC181" s="157" t="s">
        <v>64</v>
      </c>
      <c r="AD181" s="158" t="s">
        <v>96</v>
      </c>
      <c r="AE181" s="157">
        <v>823058.01269999996</v>
      </c>
      <c r="AF181" s="157">
        <v>1091429.0707</v>
      </c>
      <c r="AG181" s="159">
        <v>-119.70059999999999</v>
      </c>
      <c r="AL181" s="160">
        <f t="shared" si="197"/>
        <v>4.9126872731374025</v>
      </c>
      <c r="AM181" s="161">
        <f t="shared" si="198"/>
        <v>-3.109239681214291E-2</v>
      </c>
      <c r="AN181" s="162">
        <f t="shared" si="199"/>
        <v>2.5772731272686258</v>
      </c>
      <c r="AO181" s="163">
        <f t="shared" si="200"/>
        <v>-122.27787312726862</v>
      </c>
      <c r="AV181" s="157">
        <f t="shared" si="201"/>
        <v>45792</v>
      </c>
      <c r="AW181" s="167" t="str">
        <f t="shared" si="202"/>
        <v>CH</v>
      </c>
      <c r="AX181" s="168">
        <f t="shared" si="203"/>
        <v>823058.01269999996</v>
      </c>
      <c r="AY181" s="168">
        <f t="shared" si="204"/>
        <v>1091429.0707</v>
      </c>
      <c r="AZ181" s="168">
        <f t="shared" si="205"/>
        <v>-119.70059999999999</v>
      </c>
      <c r="BA181" s="168">
        <f t="shared" si="206"/>
        <v>4.9126872731374025</v>
      </c>
      <c r="BB181" s="168">
        <f t="shared" si="207"/>
        <v>-3.109239681214291E-2</v>
      </c>
      <c r="BC181" s="169">
        <f t="shared" si="208"/>
        <v>2.5772731272686258</v>
      </c>
    </row>
    <row r="182" spans="28:55" ht="15">
      <c r="AB182" s="181">
        <v>45792</v>
      </c>
      <c r="AC182" s="157" t="s">
        <v>33</v>
      </c>
      <c r="AD182" s="158" t="s">
        <v>97</v>
      </c>
      <c r="AE182" s="157">
        <v>823056.71640000003</v>
      </c>
      <c r="AF182" s="157">
        <v>1091431.4472000001</v>
      </c>
      <c r="AG182" s="159">
        <v>-123.0039</v>
      </c>
      <c r="AL182" s="160">
        <f t="shared" si="197"/>
        <v>5.083224747078761</v>
      </c>
      <c r="AM182" s="161">
        <f t="shared" si="198"/>
        <v>2.6705853985327592</v>
      </c>
      <c r="AN182" s="162">
        <f t="shared" si="199"/>
        <v>-0.72773224747079723</v>
      </c>
      <c r="AO182" s="163">
        <f t="shared" si="200"/>
        <v>-122.2761677525292</v>
      </c>
      <c r="AV182" s="157">
        <f t="shared" si="201"/>
        <v>45792</v>
      </c>
      <c r="AW182" s="167" t="str">
        <f t="shared" si="202"/>
        <v>BD</v>
      </c>
      <c r="AX182" s="168">
        <f t="shared" si="203"/>
        <v>823056.71640000003</v>
      </c>
      <c r="AY182" s="168">
        <f t="shared" si="204"/>
        <v>1091431.4472000001</v>
      </c>
      <c r="AZ182" s="168">
        <f t="shared" si="205"/>
        <v>-123.0039</v>
      </c>
      <c r="BA182" s="168">
        <f t="shared" si="206"/>
        <v>5.083224747078761</v>
      </c>
      <c r="BB182" s="168">
        <f t="shared" si="207"/>
        <v>2.6705853985327592</v>
      </c>
      <c r="BC182" s="169">
        <f t="shared" si="208"/>
        <v>-0.72773224747079723</v>
      </c>
    </row>
    <row r="183" spans="28:55" ht="15">
      <c r="AB183" s="181">
        <v>45798</v>
      </c>
      <c r="AC183" s="157" t="s">
        <v>32</v>
      </c>
      <c r="AD183" s="158" t="s">
        <v>131</v>
      </c>
      <c r="AE183" s="157">
        <v>823058.96900000004</v>
      </c>
      <c r="AF183" s="157">
        <v>1091426.665</v>
      </c>
      <c r="AG183" s="159">
        <v>-123.0615</v>
      </c>
      <c r="AL183" s="160">
        <f t="shared" ref="AL183:AL186" si="209">IF(ISNUMBER(AE183),COS(ATAN2(AF183-AO$4,AE183-AO$3)-(AO$5/200*PI()))*SQRT((AE183-AO$3)^2+(AF183-AO$4)^2),"-")</f>
        <v>5.0626367651338517</v>
      </c>
      <c r="AM183" s="161">
        <f t="shared" ref="AM183:AM186" si="210">IF(ISNUMBER(AE183),SIN(ATAN2(AF183-AO$4,AE183-AO$3)-(AO$5/200*PI()))*SQRT((AE183-AO$3)^2+(AF183-AO$4)^2),"-")</f>
        <v>-2.6155492701249092</v>
      </c>
      <c r="AN183" s="162">
        <f t="shared" ref="AN183:AN186" si="211">IF(ISNUMBER(AL183),AG183-AO183,"-")</f>
        <v>-0.78512636765132982</v>
      </c>
      <c r="AO183" s="163">
        <f t="shared" ref="AO183:AO186" si="212">IF(ISNUMBER(AF183),((AL183-$AO$7)*AO$9)+AO$8,"-")</f>
        <v>-122.27637363234867</v>
      </c>
      <c r="AV183" s="157">
        <f t="shared" ref="AV183:AV186" si="213">AB183</f>
        <v>45798</v>
      </c>
      <c r="AW183" s="167" t="str">
        <f t="shared" ref="AW183:AW186" si="214">AC183</f>
        <v>BG</v>
      </c>
      <c r="AX183" s="168">
        <f t="shared" ref="AX183:AX186" si="215">AE183</f>
        <v>823058.96900000004</v>
      </c>
      <c r="AY183" s="168">
        <f t="shared" ref="AY183:AY186" si="216">AF183</f>
        <v>1091426.665</v>
      </c>
      <c r="AZ183" s="168">
        <f t="shared" ref="AZ183:AZ186" si="217">AG183</f>
        <v>-123.0615</v>
      </c>
      <c r="BA183" s="168">
        <f t="shared" ref="BA183:BA186" si="218">AL183+$AY$1</f>
        <v>5.0626367651338517</v>
      </c>
      <c r="BB183" s="168">
        <f t="shared" ref="BB183:BB186" si="219">AM183</f>
        <v>-2.6155492701249092</v>
      </c>
      <c r="BC183" s="169">
        <f t="shared" ref="BC183:BC186" si="220">AN183</f>
        <v>-0.78512636765132982</v>
      </c>
    </row>
    <row r="184" spans="28:55" ht="15">
      <c r="AB184" s="181">
        <v>45798</v>
      </c>
      <c r="AC184" s="170" t="s">
        <v>10</v>
      </c>
      <c r="AD184" s="158" t="s">
        <v>132</v>
      </c>
      <c r="AE184" s="157">
        <v>823058.92859999998</v>
      </c>
      <c r="AF184" s="157">
        <v>1091426.746</v>
      </c>
      <c r="AG184" s="159">
        <v>-121.1314</v>
      </c>
      <c r="AL184" s="160">
        <f t="shared" si="209"/>
        <v>5.0650209603561942</v>
      </c>
      <c r="AM184" s="161">
        <f t="shared" si="210"/>
        <v>-2.5250645994972718</v>
      </c>
      <c r="AN184" s="162">
        <f t="shared" si="211"/>
        <v>1.1449497903964385</v>
      </c>
      <c r="AO184" s="163">
        <f t="shared" si="212"/>
        <v>-122.27634979039644</v>
      </c>
      <c r="AV184" s="157">
        <f t="shared" si="213"/>
        <v>45798</v>
      </c>
      <c r="AW184" s="167" t="str">
        <f t="shared" si="214"/>
        <v>HG</v>
      </c>
      <c r="AX184" s="168">
        <f t="shared" si="215"/>
        <v>823058.92859999998</v>
      </c>
      <c r="AY184" s="168">
        <f t="shared" si="216"/>
        <v>1091426.746</v>
      </c>
      <c r="AZ184" s="168">
        <f t="shared" si="217"/>
        <v>-121.1314</v>
      </c>
      <c r="BA184" s="168">
        <f t="shared" si="218"/>
        <v>5.0650209603561942</v>
      </c>
      <c r="BB184" s="168">
        <f t="shared" si="219"/>
        <v>-2.5250645994972718</v>
      </c>
      <c r="BC184" s="169">
        <f t="shared" si="220"/>
        <v>1.1449497903964385</v>
      </c>
    </row>
    <row r="185" spans="28:55" ht="15">
      <c r="AB185" s="181">
        <v>45798</v>
      </c>
      <c r="AC185" s="157" t="s">
        <v>64</v>
      </c>
      <c r="AD185" s="158" t="s">
        <v>133</v>
      </c>
      <c r="AE185" s="157">
        <v>823058.01370000001</v>
      </c>
      <c r="AF185" s="157">
        <v>1091429.0704999999</v>
      </c>
      <c r="AG185" s="159">
        <v>-119.7015</v>
      </c>
      <c r="AL185" s="160">
        <f t="shared" si="209"/>
        <v>4.9118654794041401</v>
      </c>
      <c r="AM185" s="161">
        <f t="shared" si="210"/>
        <v>-3.1696263689303714E-2</v>
      </c>
      <c r="AN185" s="162">
        <f t="shared" si="211"/>
        <v>2.5763813452059594</v>
      </c>
      <c r="AO185" s="163">
        <f t="shared" si="212"/>
        <v>-122.27788134520596</v>
      </c>
      <c r="AV185" s="157">
        <f t="shared" si="213"/>
        <v>45798</v>
      </c>
      <c r="AW185" s="167" t="str">
        <f t="shared" si="214"/>
        <v>CH</v>
      </c>
      <c r="AX185" s="168">
        <f t="shared" si="215"/>
        <v>823058.01370000001</v>
      </c>
      <c r="AY185" s="168">
        <f t="shared" si="216"/>
        <v>1091429.0704999999</v>
      </c>
      <c r="AZ185" s="168">
        <f t="shared" si="217"/>
        <v>-119.7015</v>
      </c>
      <c r="BA185" s="168">
        <f t="shared" si="218"/>
        <v>4.9118654794041401</v>
      </c>
      <c r="BB185" s="168">
        <f t="shared" si="219"/>
        <v>-3.1696263689303714E-2</v>
      </c>
      <c r="BC185" s="169">
        <f t="shared" si="220"/>
        <v>2.5763813452059594</v>
      </c>
    </row>
    <row r="186" spans="28:55" ht="15">
      <c r="AB186" s="181">
        <v>45798</v>
      </c>
      <c r="AC186" s="157" t="s">
        <v>33</v>
      </c>
      <c r="AD186" s="158" t="s">
        <v>134</v>
      </c>
      <c r="AE186" s="157">
        <v>823056.71779999998</v>
      </c>
      <c r="AF186" s="157">
        <v>1091431.4480000001</v>
      </c>
      <c r="AG186" s="159">
        <v>-123.0042</v>
      </c>
      <c r="AL186" s="160">
        <f t="shared" si="209"/>
        <v>5.0816178237192382</v>
      </c>
      <c r="AM186" s="161">
        <f t="shared" si="210"/>
        <v>2.6707188048206172</v>
      </c>
      <c r="AN186" s="162">
        <f t="shared" si="211"/>
        <v>-0.72801617823719766</v>
      </c>
      <c r="AO186" s="163">
        <f t="shared" si="212"/>
        <v>-122.2761838217628</v>
      </c>
      <c r="AV186" s="157">
        <f t="shared" si="213"/>
        <v>45798</v>
      </c>
      <c r="AW186" s="167" t="str">
        <f t="shared" si="214"/>
        <v>BD</v>
      </c>
      <c r="AX186" s="168">
        <f t="shared" si="215"/>
        <v>823056.71779999998</v>
      </c>
      <c r="AY186" s="168">
        <f t="shared" si="216"/>
        <v>1091431.4480000001</v>
      </c>
      <c r="AZ186" s="168">
        <f t="shared" si="217"/>
        <v>-123.0042</v>
      </c>
      <c r="BA186" s="168">
        <f t="shared" si="218"/>
        <v>5.0816178237192382</v>
      </c>
      <c r="BB186" s="168">
        <f t="shared" si="219"/>
        <v>2.6707188048206172</v>
      </c>
      <c r="BC186" s="169">
        <f t="shared" si="220"/>
        <v>-0.72801617823719766</v>
      </c>
    </row>
    <row r="187" spans="28:55" ht="15">
      <c r="AB187" s="184">
        <v>45803</v>
      </c>
      <c r="AC187" s="157" t="s">
        <v>32</v>
      </c>
      <c r="AD187" s="158" t="s">
        <v>119</v>
      </c>
      <c r="AE187" s="157">
        <v>823058.96950000001</v>
      </c>
      <c r="AF187" s="157">
        <v>1091426.6645</v>
      </c>
      <c r="AG187" s="159">
        <v>-123.0608</v>
      </c>
      <c r="AL187" s="160">
        <f t="shared" ref="AL187:AL190" si="221">IF(ISNUMBER(AE187),COS(ATAN2(AF187-AO$4,AE187-AO$3)-(AO$5/200*PI()))*SQRT((AE187-AO$3)^2+(AF187-AO$4)^2),"-")</f>
        <v>5.0623949098642687</v>
      </c>
      <c r="AM187" s="161">
        <f t="shared" ref="AM187:AM190" si="222">IF(ISNUMBER(AE187),SIN(ATAN2(AF187-AO$4,AE187-AO$3)-(AO$5/200*PI()))*SQRT((AE187-AO$3)^2+(AF187-AO$4)^2),"-")</f>
        <v>-2.6162137293607337</v>
      </c>
      <c r="AN187" s="162">
        <f t="shared" ref="AN187:AN190" si="223">IF(ISNUMBER(AL187),AG187-AO187,"-")</f>
        <v>-0.78442394909863822</v>
      </c>
      <c r="AO187" s="163">
        <f t="shared" ref="AO187:AO190" si="224">IF(ISNUMBER(AF187),((AL187-$AO$7)*AO$9)+AO$8,"-")</f>
        <v>-122.27637605090136</v>
      </c>
      <c r="AV187" s="157">
        <f t="shared" ref="AV187:AV190" si="225">AB187</f>
        <v>45803</v>
      </c>
      <c r="AW187" s="167" t="str">
        <f t="shared" ref="AW187:AW190" si="226">AC187</f>
        <v>BG</v>
      </c>
      <c r="AX187" s="168">
        <f t="shared" ref="AX187:AX190" si="227">AE187</f>
        <v>823058.96950000001</v>
      </c>
      <c r="AY187" s="168">
        <f t="shared" ref="AY187:AY190" si="228">AF187</f>
        <v>1091426.6645</v>
      </c>
      <c r="AZ187" s="168">
        <f t="shared" ref="AZ187:AZ190" si="229">AG187</f>
        <v>-123.0608</v>
      </c>
      <c r="BA187" s="168">
        <f t="shared" ref="BA187:BA190" si="230">AL187+$AY$1</f>
        <v>5.0623949098642687</v>
      </c>
      <c r="BB187" s="168">
        <f t="shared" ref="BB187:BB190" si="231">AM187</f>
        <v>-2.6162137293607337</v>
      </c>
      <c r="BC187" s="169">
        <f t="shared" ref="BC187:BC190" si="232">AN187</f>
        <v>-0.78442394909863822</v>
      </c>
    </row>
    <row r="188" spans="28:55" ht="15">
      <c r="AB188" s="184">
        <v>45803</v>
      </c>
      <c r="AC188" s="170" t="s">
        <v>10</v>
      </c>
      <c r="AD188" s="158" t="s">
        <v>120</v>
      </c>
      <c r="AE188" s="157">
        <v>823058.93039999995</v>
      </c>
      <c r="AF188" s="157">
        <v>1091426.7472999999</v>
      </c>
      <c r="AG188" s="159">
        <v>-121.13120000000001</v>
      </c>
      <c r="AL188" s="160">
        <f t="shared" si="221"/>
        <v>5.0628402093182583</v>
      </c>
      <c r="AM188" s="161">
        <f t="shared" si="222"/>
        <v>-2.5246470776346639</v>
      </c>
      <c r="AN188" s="162">
        <f t="shared" si="223"/>
        <v>1.1451715979068098</v>
      </c>
      <c r="AO188" s="163">
        <f t="shared" si="224"/>
        <v>-122.27637159790682</v>
      </c>
      <c r="AV188" s="157">
        <f t="shared" si="225"/>
        <v>45803</v>
      </c>
      <c r="AW188" s="167" t="str">
        <f t="shared" si="226"/>
        <v>HG</v>
      </c>
      <c r="AX188" s="168">
        <f t="shared" si="227"/>
        <v>823058.93039999995</v>
      </c>
      <c r="AY188" s="168">
        <f t="shared" si="228"/>
        <v>1091426.7472999999</v>
      </c>
      <c r="AZ188" s="168">
        <f t="shared" si="229"/>
        <v>-121.13120000000001</v>
      </c>
      <c r="BA188" s="168">
        <f t="shared" si="230"/>
        <v>5.0628402093182583</v>
      </c>
      <c r="BB188" s="168">
        <f t="shared" si="231"/>
        <v>-2.5246470776346639</v>
      </c>
      <c r="BC188" s="169">
        <f t="shared" si="232"/>
        <v>1.1451715979068098</v>
      </c>
    </row>
    <row r="189" spans="28:55" ht="15">
      <c r="AB189" s="184">
        <v>45803</v>
      </c>
      <c r="AC189" s="157" t="s">
        <v>64</v>
      </c>
      <c r="AD189" s="158" t="s">
        <v>121</v>
      </c>
      <c r="AE189" s="157">
        <v>823058.01470000006</v>
      </c>
      <c r="AF189" s="157">
        <v>1091429.0693999999</v>
      </c>
      <c r="AG189" s="159">
        <v>-119.7016</v>
      </c>
      <c r="AL189" s="160">
        <f t="shared" si="221"/>
        <v>4.9114240290717381</v>
      </c>
      <c r="AM189" s="161">
        <f t="shared" si="222"/>
        <v>-3.3115813507344362E-2</v>
      </c>
      <c r="AN189" s="162">
        <f t="shared" si="223"/>
        <v>2.576285759709279</v>
      </c>
      <c r="AO189" s="163">
        <f t="shared" si="224"/>
        <v>-122.27788575970928</v>
      </c>
      <c r="AV189" s="157">
        <f t="shared" si="225"/>
        <v>45803</v>
      </c>
      <c r="AW189" s="167" t="str">
        <f t="shared" si="226"/>
        <v>CH</v>
      </c>
      <c r="AX189" s="168">
        <f t="shared" si="227"/>
        <v>823058.01470000006</v>
      </c>
      <c r="AY189" s="168">
        <f t="shared" si="228"/>
        <v>1091429.0693999999</v>
      </c>
      <c r="AZ189" s="168">
        <f t="shared" si="229"/>
        <v>-119.7016</v>
      </c>
      <c r="BA189" s="168">
        <f t="shared" si="230"/>
        <v>4.9114240290717381</v>
      </c>
      <c r="BB189" s="168">
        <f t="shared" si="231"/>
        <v>-3.3115813507344362E-2</v>
      </c>
      <c r="BC189" s="169">
        <f t="shared" si="232"/>
        <v>2.576285759709279</v>
      </c>
    </row>
    <row r="190" spans="28:55" ht="15">
      <c r="AB190" s="184">
        <v>45803</v>
      </c>
      <c r="AC190" s="157" t="s">
        <v>33</v>
      </c>
      <c r="AD190" s="158" t="s">
        <v>122</v>
      </c>
      <c r="AE190" s="157">
        <v>823056.71810000006</v>
      </c>
      <c r="AF190" s="157">
        <v>1091431.4467</v>
      </c>
      <c r="AG190" s="159">
        <v>-123.0038</v>
      </c>
      <c r="AL190" s="160">
        <f t="shared" si="221"/>
        <v>5.0818953143436483</v>
      </c>
      <c r="AM190" s="161">
        <f t="shared" si="222"/>
        <v>2.6694138146640607</v>
      </c>
      <c r="AN190" s="162">
        <f t="shared" si="223"/>
        <v>-0.72761895314343406</v>
      </c>
      <c r="AO190" s="163">
        <f t="shared" si="224"/>
        <v>-122.27618104685656</v>
      </c>
      <c r="AV190" s="157">
        <f t="shared" si="225"/>
        <v>45803</v>
      </c>
      <c r="AW190" s="167" t="str">
        <f t="shared" si="226"/>
        <v>BD</v>
      </c>
      <c r="AX190" s="168">
        <f t="shared" si="227"/>
        <v>823056.71810000006</v>
      </c>
      <c r="AY190" s="168">
        <f t="shared" si="228"/>
        <v>1091431.4467</v>
      </c>
      <c r="AZ190" s="168">
        <f t="shared" si="229"/>
        <v>-123.0038</v>
      </c>
      <c r="BA190" s="168">
        <f t="shared" si="230"/>
        <v>5.0818953143436483</v>
      </c>
      <c r="BB190" s="168">
        <f t="shared" si="231"/>
        <v>2.6694138146640607</v>
      </c>
      <c r="BC190" s="169">
        <f t="shared" si="232"/>
        <v>-0.72761895314343406</v>
      </c>
    </row>
    <row r="191" spans="28:55" ht="15">
      <c r="AB191" s="181">
        <v>45810</v>
      </c>
      <c r="AC191" s="157" t="s">
        <v>32</v>
      </c>
      <c r="AD191" s="158" t="s">
        <v>99</v>
      </c>
      <c r="AE191" s="157">
        <v>823058.96829999995</v>
      </c>
      <c r="AF191" s="157">
        <v>1091426.6649</v>
      </c>
      <c r="AG191" s="159">
        <v>-123.0605</v>
      </c>
      <c r="AL191" s="160">
        <f t="shared" ref="AL191:AL194" si="233">IF(ISNUMBER(AE191),COS(ATAN2(AF191-AO$4,AE191-AO$3)-(AO$5/200*PI()))*SQRT((AE191-AO$3)^2+(AF191-AO$4)^2),"-")</f>
        <v>5.0633134457855018</v>
      </c>
      <c r="AM191" s="161">
        <f t="shared" ref="AM191:AM194" si="234">IF(ISNUMBER(AE191),SIN(ATAN2(AF191-AO$4,AE191-AO$3)-(AO$5/200*PI()))*SQRT((AE191-AO$3)^2+(AF191-AO$4)^2),"-")</f>
        <v>-2.6153440789060172</v>
      </c>
      <c r="AN191" s="162">
        <f t="shared" ref="AN191:AN194" si="235">IF(ISNUMBER(AL191),AG191-AO191,"-")</f>
        <v>-0.78413313445786059</v>
      </c>
      <c r="AO191" s="163">
        <f t="shared" ref="AO191:AO194" si="236">IF(ISNUMBER(AF191),((AL191-$AO$7)*AO$9)+AO$8,"-")</f>
        <v>-122.27636686554214</v>
      </c>
      <c r="AV191" s="157">
        <f t="shared" ref="AV191:AV194" si="237">AB191</f>
        <v>45810</v>
      </c>
      <c r="AW191" s="167" t="str">
        <f t="shared" ref="AW191:AW194" si="238">AC191</f>
        <v>BG</v>
      </c>
      <c r="AX191" s="168">
        <f t="shared" ref="AX191:AX194" si="239">AE191</f>
        <v>823058.96829999995</v>
      </c>
      <c r="AY191" s="168">
        <f t="shared" ref="AY191:AY194" si="240">AF191</f>
        <v>1091426.6649</v>
      </c>
      <c r="AZ191" s="168">
        <f t="shared" ref="AZ191:AZ194" si="241">AG191</f>
        <v>-123.0605</v>
      </c>
      <c r="BA191" s="168">
        <f t="shared" ref="BA191:BA194" si="242">AL191+$AY$1</f>
        <v>5.0633134457855018</v>
      </c>
      <c r="BB191" s="168">
        <f t="shared" ref="BB191:BB194" si="243">AM191</f>
        <v>-2.6153440789060172</v>
      </c>
      <c r="BC191" s="169">
        <f t="shared" ref="BC191:BC194" si="244">AN191</f>
        <v>-0.78413313445786059</v>
      </c>
    </row>
    <row r="192" spans="28:55" ht="15">
      <c r="AB192" s="181">
        <v>45810</v>
      </c>
      <c r="AC192" s="170" t="s">
        <v>10</v>
      </c>
      <c r="AD192" s="158" t="s">
        <v>100</v>
      </c>
      <c r="AE192" s="157">
        <v>823058.92909999995</v>
      </c>
      <c r="AF192" s="157">
        <v>1091426.7475999999</v>
      </c>
      <c r="AG192" s="159">
        <v>-121.13079999999999</v>
      </c>
      <c r="AL192" s="160">
        <f t="shared" si="233"/>
        <v>5.0638916370528735</v>
      </c>
      <c r="AM192" s="161">
        <f t="shared" si="234"/>
        <v>-2.5238257983266843</v>
      </c>
      <c r="AN192" s="162">
        <f t="shared" si="235"/>
        <v>1.1455610836294738</v>
      </c>
      <c r="AO192" s="163">
        <f t="shared" si="236"/>
        <v>-122.27636108362947</v>
      </c>
      <c r="AV192" s="157">
        <f t="shared" si="237"/>
        <v>45810</v>
      </c>
      <c r="AW192" s="167" t="str">
        <f t="shared" si="238"/>
        <v>HG</v>
      </c>
      <c r="AX192" s="168">
        <f t="shared" si="239"/>
        <v>823058.92909999995</v>
      </c>
      <c r="AY192" s="168">
        <f t="shared" si="240"/>
        <v>1091426.7475999999</v>
      </c>
      <c r="AZ192" s="168">
        <f t="shared" si="241"/>
        <v>-121.13079999999999</v>
      </c>
      <c r="BA192" s="168">
        <f t="shared" si="242"/>
        <v>5.0638916370528735</v>
      </c>
      <c r="BB192" s="168">
        <f t="shared" si="243"/>
        <v>-2.5238257983266843</v>
      </c>
      <c r="BC192" s="169">
        <f t="shared" si="244"/>
        <v>1.1455610836294738</v>
      </c>
    </row>
    <row r="193" spans="28:55" ht="15">
      <c r="AB193" s="181">
        <v>45810</v>
      </c>
      <c r="AC193" s="157" t="s">
        <v>64</v>
      </c>
      <c r="AD193" s="158" t="s">
        <v>101</v>
      </c>
      <c r="AE193" s="157">
        <v>823058.01430000004</v>
      </c>
      <c r="AF193" s="157">
        <v>1091429.0696</v>
      </c>
      <c r="AG193" s="159">
        <v>-119.7017</v>
      </c>
      <c r="AL193" s="160">
        <f t="shared" si="233"/>
        <v>4.9117020340722375</v>
      </c>
      <c r="AM193" s="161">
        <f t="shared" si="234"/>
        <v>-3.2765508946622418E-2</v>
      </c>
      <c r="AN193" s="162">
        <f t="shared" si="235"/>
        <v>2.5761829796592792</v>
      </c>
      <c r="AO193" s="163">
        <f t="shared" si="236"/>
        <v>-122.27788297965928</v>
      </c>
      <c r="AV193" s="157">
        <f t="shared" si="237"/>
        <v>45810</v>
      </c>
      <c r="AW193" s="167" t="str">
        <f t="shared" si="238"/>
        <v>CH</v>
      </c>
      <c r="AX193" s="168">
        <f t="shared" si="239"/>
        <v>823058.01430000004</v>
      </c>
      <c r="AY193" s="168">
        <f t="shared" si="240"/>
        <v>1091429.0696</v>
      </c>
      <c r="AZ193" s="168">
        <f t="shared" si="241"/>
        <v>-119.7017</v>
      </c>
      <c r="BA193" s="168">
        <f t="shared" si="242"/>
        <v>4.9117020340722375</v>
      </c>
      <c r="BB193" s="168">
        <f t="shared" si="243"/>
        <v>-3.2765508946622418E-2</v>
      </c>
      <c r="BC193" s="169">
        <f t="shared" si="244"/>
        <v>2.5761829796592792</v>
      </c>
    </row>
    <row r="194" spans="28:55" ht="15">
      <c r="AB194" s="181">
        <v>45810</v>
      </c>
      <c r="AC194" s="157" t="s">
        <v>33</v>
      </c>
      <c r="AD194" s="158" t="s">
        <v>102</v>
      </c>
      <c r="AE194" s="157">
        <v>823056.71750000003</v>
      </c>
      <c r="AF194" s="157">
        <v>1091431.4472000001</v>
      </c>
      <c r="AG194" s="159">
        <v>-123.00360000000001</v>
      </c>
      <c r="AL194" s="160">
        <f t="shared" si="233"/>
        <v>5.0822278011214497</v>
      </c>
      <c r="AM194" s="161">
        <f t="shared" si="234"/>
        <v>2.6701205343105534</v>
      </c>
      <c r="AN194" s="162">
        <f t="shared" si="235"/>
        <v>-0.72742227801121828</v>
      </c>
      <c r="AO194" s="163">
        <f t="shared" si="236"/>
        <v>-122.27617772198879</v>
      </c>
      <c r="AV194" s="157">
        <f t="shared" si="237"/>
        <v>45810</v>
      </c>
      <c r="AW194" s="167" t="str">
        <f t="shared" si="238"/>
        <v>BD</v>
      </c>
      <c r="AX194" s="168">
        <f t="shared" si="239"/>
        <v>823056.71750000003</v>
      </c>
      <c r="AY194" s="168">
        <f t="shared" si="240"/>
        <v>1091431.4472000001</v>
      </c>
      <c r="AZ194" s="168">
        <f t="shared" si="241"/>
        <v>-123.00360000000001</v>
      </c>
      <c r="BA194" s="168">
        <f t="shared" si="242"/>
        <v>5.0822278011214497</v>
      </c>
      <c r="BB194" s="168">
        <f t="shared" si="243"/>
        <v>2.6701205343105534</v>
      </c>
      <c r="BC194" s="169">
        <f t="shared" si="244"/>
        <v>-0.72742227801121828</v>
      </c>
    </row>
    <row r="195" spans="28:55" ht="15">
      <c r="AB195" s="181">
        <v>45818</v>
      </c>
      <c r="AC195" s="157" t="s">
        <v>32</v>
      </c>
      <c r="AD195" s="158" t="s">
        <v>99</v>
      </c>
      <c r="AE195" s="157">
        <v>823058.96880000003</v>
      </c>
      <c r="AF195" s="157">
        <v>1091426.665</v>
      </c>
      <c r="AG195" s="159">
        <v>-123.0608</v>
      </c>
      <c r="AL195" s="160">
        <f t="shared" ref="AL195:AL198" si="245">IF(ISNUMBER(AE195),COS(ATAN2(AF195-AO$4,AE195-AO$3)-(AO$5/200*PI()))*SQRT((AE195-AO$3)^2+(AF195-AO$4)^2),"-")</f>
        <v>5.0628180280447737</v>
      </c>
      <c r="AM195" s="161">
        <f t="shared" ref="AM195:AM198" si="246">IF(ISNUMBER(AE195),SIN(ATAN2(AF195-AO$4,AE195-AO$3)-(AO$5/200*PI()))*SQRT((AE195-AO$3)^2+(AF195-AO$4)^2),"-")</f>
        <v>-2.615464749352765</v>
      </c>
      <c r="AN195" s="162">
        <f t="shared" ref="AN195:AN198" si="247">IF(ISNUMBER(AL195),AG195-AO195,"-")</f>
        <v>-0.78442818028044314</v>
      </c>
      <c r="AO195" s="163">
        <f t="shared" ref="AO195:AO198" si="248">IF(ISNUMBER(AF195),((AL195-$AO$7)*AO$9)+AO$8,"-")</f>
        <v>-122.27637181971956</v>
      </c>
      <c r="AV195" s="157">
        <f t="shared" ref="AV195:AV198" si="249">AB195</f>
        <v>45818</v>
      </c>
      <c r="AW195" s="167" t="str">
        <f t="shared" ref="AW195:AW198" si="250">AC195</f>
        <v>BG</v>
      </c>
      <c r="AX195" s="168">
        <f t="shared" ref="AX195:AX198" si="251">AE195</f>
        <v>823058.96880000003</v>
      </c>
      <c r="AY195" s="168">
        <f t="shared" ref="AY195:AY198" si="252">AF195</f>
        <v>1091426.665</v>
      </c>
      <c r="AZ195" s="168">
        <f t="shared" ref="AZ195:AZ198" si="253">AG195</f>
        <v>-123.0608</v>
      </c>
      <c r="BA195" s="168">
        <f t="shared" ref="BA195:BA198" si="254">AL195+$AY$1</f>
        <v>5.0628180280447737</v>
      </c>
      <c r="BB195" s="168">
        <f t="shared" ref="BB195:BB198" si="255">AM195</f>
        <v>-2.615464749352765</v>
      </c>
      <c r="BC195" s="169">
        <f t="shared" ref="BC195:BC198" si="256">AN195</f>
        <v>-0.78442818028044314</v>
      </c>
    </row>
    <row r="196" spans="28:55" ht="15">
      <c r="AB196" s="181">
        <v>45818</v>
      </c>
      <c r="AC196" s="170" t="s">
        <v>10</v>
      </c>
      <c r="AD196" s="158" t="s">
        <v>100</v>
      </c>
      <c r="AE196" s="157">
        <v>823058.92940000002</v>
      </c>
      <c r="AF196" s="157">
        <v>1091426.7472999999</v>
      </c>
      <c r="AG196" s="159">
        <v>-121.131</v>
      </c>
      <c r="AL196" s="160">
        <f t="shared" si="245"/>
        <v>5.0637465237673576</v>
      </c>
      <c r="AM196" s="161">
        <f t="shared" si="246"/>
        <v>-2.5242244738231299</v>
      </c>
      <c r="AN196" s="162">
        <f t="shared" si="247"/>
        <v>1.1453625347623273</v>
      </c>
      <c r="AO196" s="163">
        <f t="shared" si="248"/>
        <v>-122.27636253476233</v>
      </c>
      <c r="AV196" s="157">
        <f t="shared" si="249"/>
        <v>45818</v>
      </c>
      <c r="AW196" s="167" t="str">
        <f t="shared" si="250"/>
        <v>HG</v>
      </c>
      <c r="AX196" s="168">
        <f t="shared" si="251"/>
        <v>823058.92940000002</v>
      </c>
      <c r="AY196" s="168">
        <f t="shared" si="252"/>
        <v>1091426.7472999999</v>
      </c>
      <c r="AZ196" s="168">
        <f t="shared" si="253"/>
        <v>-121.131</v>
      </c>
      <c r="BA196" s="168">
        <f t="shared" si="254"/>
        <v>5.0637465237673576</v>
      </c>
      <c r="BB196" s="168">
        <f t="shared" si="255"/>
        <v>-2.5242244738231299</v>
      </c>
      <c r="BC196" s="169">
        <f t="shared" si="256"/>
        <v>1.1453625347623273</v>
      </c>
    </row>
    <row r="197" spans="28:55" ht="15">
      <c r="AB197" s="181">
        <v>45818</v>
      </c>
      <c r="AC197" s="157" t="s">
        <v>64</v>
      </c>
      <c r="AD197" s="158" t="s">
        <v>101</v>
      </c>
      <c r="AE197" s="157">
        <v>823058.0148</v>
      </c>
      <c r="AF197" s="157">
        <v>1091429.0689000001</v>
      </c>
      <c r="AG197" s="159">
        <v>-119.70269999999999</v>
      </c>
      <c r="AL197" s="160">
        <f t="shared" si="245"/>
        <v>4.9115446995256002</v>
      </c>
      <c r="AM197" s="161">
        <f t="shared" si="246"/>
        <v>-3.3611230987857836E-2</v>
      </c>
      <c r="AN197" s="162">
        <f t="shared" si="247"/>
        <v>2.5751845530047461</v>
      </c>
      <c r="AO197" s="163">
        <f t="shared" si="248"/>
        <v>-122.27788455300474</v>
      </c>
      <c r="AV197" s="157">
        <f t="shared" si="249"/>
        <v>45818</v>
      </c>
      <c r="AW197" s="167" t="str">
        <f t="shared" si="250"/>
        <v>CH</v>
      </c>
      <c r="AX197" s="168">
        <f t="shared" si="251"/>
        <v>823058.0148</v>
      </c>
      <c r="AY197" s="168">
        <f t="shared" si="252"/>
        <v>1091429.0689000001</v>
      </c>
      <c r="AZ197" s="168">
        <f t="shared" si="253"/>
        <v>-119.70269999999999</v>
      </c>
      <c r="BA197" s="168">
        <f t="shared" si="254"/>
        <v>4.9115446995256002</v>
      </c>
      <c r="BB197" s="168">
        <f t="shared" si="255"/>
        <v>-3.3611230987857836E-2</v>
      </c>
      <c r="BC197" s="169">
        <f t="shared" si="256"/>
        <v>2.5751845530047461</v>
      </c>
    </row>
    <row r="198" spans="28:55" ht="15">
      <c r="AB198" s="181">
        <v>45818</v>
      </c>
      <c r="AC198" s="157" t="s">
        <v>33</v>
      </c>
      <c r="AD198" s="158" t="s">
        <v>102</v>
      </c>
      <c r="AE198" s="157">
        <v>823056.71840000001</v>
      </c>
      <c r="AF198" s="157">
        <v>1091431.4461000001</v>
      </c>
      <c r="AG198" s="159">
        <v>-123.0035</v>
      </c>
      <c r="AL198" s="160">
        <f t="shared" si="245"/>
        <v>5.0818769822972616</v>
      </c>
      <c r="AM198" s="161">
        <f t="shared" si="246"/>
        <v>2.668743244903184</v>
      </c>
      <c r="AN198" s="162">
        <f t="shared" si="247"/>
        <v>-0.72731876982297194</v>
      </c>
      <c r="AO198" s="163">
        <f t="shared" si="248"/>
        <v>-122.27618123017703</v>
      </c>
      <c r="AV198" s="157">
        <f t="shared" si="249"/>
        <v>45818</v>
      </c>
      <c r="AW198" s="167" t="str">
        <f t="shared" si="250"/>
        <v>BD</v>
      </c>
      <c r="AX198" s="168">
        <f t="shared" si="251"/>
        <v>823056.71840000001</v>
      </c>
      <c r="AY198" s="168">
        <f t="shared" si="252"/>
        <v>1091431.4461000001</v>
      </c>
      <c r="AZ198" s="168">
        <f t="shared" si="253"/>
        <v>-123.0035</v>
      </c>
      <c r="BA198" s="168">
        <f t="shared" si="254"/>
        <v>5.0818769822972616</v>
      </c>
      <c r="BB198" s="168">
        <f t="shared" si="255"/>
        <v>2.668743244903184</v>
      </c>
      <c r="BC198" s="169">
        <f t="shared" si="256"/>
        <v>-0.72731876982297194</v>
      </c>
    </row>
    <row r="199" spans="28:55" ht="15">
      <c r="AB199" s="181">
        <v>45824</v>
      </c>
      <c r="AC199" s="157" t="s">
        <v>32</v>
      </c>
      <c r="AD199" s="158" t="s">
        <v>135</v>
      </c>
      <c r="AE199" s="157">
        <v>823058.9682</v>
      </c>
      <c r="AF199" s="157">
        <v>1091426.6654999999</v>
      </c>
      <c r="AG199" s="159">
        <v>-123.0612</v>
      </c>
      <c r="AL199" s="160">
        <f t="shared" ref="AL199:AL202" si="257">IF(ISNUMBER(AE199),COS(ATAN2(AF199-AO$4,AE199-AO$3)-(AO$5/200*PI()))*SQRT((AE199-AO$3)^2+(AF199-AO$4)^2),"-")</f>
        <v>5.0631505149209683</v>
      </c>
      <c r="AM199" s="161">
        <f t="shared" ref="AM199:AM202" si="258">IF(ISNUMBER(AE199),SIN(ATAN2(AF199-AO$4,AE199-AO$3)-(AO$5/200*PI()))*SQRT((AE199-AO$3)^2+(AF199-AO$4)^2),"-")</f>
        <v>-2.6147580299172866</v>
      </c>
      <c r="AN199" s="162">
        <f t="shared" ref="AN199:AN202" si="259">IF(ISNUMBER(AL199),AG199-AO199,"-")</f>
        <v>-0.78483150514921363</v>
      </c>
      <c r="AO199" s="163">
        <f t="shared" ref="AO199:AO202" si="260">IF(ISNUMBER(AF199),((AL199-$AO$7)*AO$9)+AO$8,"-")</f>
        <v>-122.27636849485079</v>
      </c>
      <c r="AV199" s="157">
        <f t="shared" ref="AV199:AV202" si="261">AB199</f>
        <v>45824</v>
      </c>
      <c r="AW199" s="167" t="str">
        <f t="shared" ref="AW199:AW202" si="262">AC199</f>
        <v>BG</v>
      </c>
      <c r="AX199" s="168">
        <f t="shared" ref="AX199:AX202" si="263">AE199</f>
        <v>823058.9682</v>
      </c>
      <c r="AY199" s="168">
        <f t="shared" ref="AY199:AY202" si="264">AF199</f>
        <v>1091426.6654999999</v>
      </c>
      <c r="AZ199" s="168">
        <f t="shared" ref="AZ199:AZ202" si="265">AG199</f>
        <v>-123.0612</v>
      </c>
      <c r="BA199" s="168">
        <f t="shared" ref="BA199:BA202" si="266">AL199+$AY$1</f>
        <v>5.0631505149209683</v>
      </c>
      <c r="BB199" s="168">
        <f t="shared" ref="BB199:BB202" si="267">AM199</f>
        <v>-2.6147580299172866</v>
      </c>
      <c r="BC199" s="169">
        <f t="shared" ref="BC199:BC202" si="268">AN199</f>
        <v>-0.78483150514921363</v>
      </c>
    </row>
    <row r="200" spans="28:55" ht="15">
      <c r="AB200" s="181">
        <v>45824</v>
      </c>
      <c r="AC200" s="170" t="s">
        <v>10</v>
      </c>
      <c r="AD200" s="158" t="s">
        <v>136</v>
      </c>
      <c r="AE200" s="157">
        <v>823058.92859999998</v>
      </c>
      <c r="AF200" s="157">
        <v>1091426.7475999999</v>
      </c>
      <c r="AG200" s="159">
        <v>-121.1315</v>
      </c>
      <c r="AL200" s="160">
        <f t="shared" si="257"/>
        <v>5.0643447942774209</v>
      </c>
      <c r="AM200" s="161">
        <f t="shared" si="258"/>
        <v>-2.5236144964209197</v>
      </c>
      <c r="AN200" s="162">
        <f t="shared" si="259"/>
        <v>1.1448565520572203</v>
      </c>
      <c r="AO200" s="163">
        <f t="shared" si="260"/>
        <v>-122.27635655205722</v>
      </c>
      <c r="AV200" s="157">
        <f t="shared" si="261"/>
        <v>45824</v>
      </c>
      <c r="AW200" s="167" t="str">
        <f t="shared" si="262"/>
        <v>HG</v>
      </c>
      <c r="AX200" s="168">
        <f t="shared" si="263"/>
        <v>823058.92859999998</v>
      </c>
      <c r="AY200" s="168">
        <f t="shared" si="264"/>
        <v>1091426.7475999999</v>
      </c>
      <c r="AZ200" s="168">
        <f t="shared" si="265"/>
        <v>-121.1315</v>
      </c>
      <c r="BA200" s="168">
        <f t="shared" si="266"/>
        <v>5.0643447942774209</v>
      </c>
      <c r="BB200" s="168">
        <f t="shared" si="267"/>
        <v>-2.5236144964209197</v>
      </c>
      <c r="BC200" s="169">
        <f t="shared" si="268"/>
        <v>1.1448565520572203</v>
      </c>
    </row>
    <row r="201" spans="28:55" ht="15">
      <c r="AB201" s="181">
        <v>45824</v>
      </c>
      <c r="AC201" s="157" t="s">
        <v>64</v>
      </c>
      <c r="AD201" s="158" t="s">
        <v>137</v>
      </c>
      <c r="AE201" s="157">
        <v>823058.01439999999</v>
      </c>
      <c r="AF201" s="157">
        <v>1091429.0693999999</v>
      </c>
      <c r="AG201" s="159">
        <v>-119.70310000000001</v>
      </c>
      <c r="AL201" s="160">
        <f t="shared" si="257"/>
        <v>4.9116959234908739</v>
      </c>
      <c r="AM201" s="161">
        <f t="shared" si="258"/>
        <v>-3.2989032324524679E-2</v>
      </c>
      <c r="AN201" s="162">
        <f t="shared" si="259"/>
        <v>2.5747830407650838</v>
      </c>
      <c r="AO201" s="163">
        <f t="shared" si="260"/>
        <v>-122.27788304076509</v>
      </c>
      <c r="AV201" s="157">
        <f t="shared" si="261"/>
        <v>45824</v>
      </c>
      <c r="AW201" s="167" t="str">
        <f t="shared" si="262"/>
        <v>CH</v>
      </c>
      <c r="AX201" s="168">
        <f t="shared" si="263"/>
        <v>823058.01439999999</v>
      </c>
      <c r="AY201" s="168">
        <f t="shared" si="264"/>
        <v>1091429.0693999999</v>
      </c>
      <c r="AZ201" s="168">
        <f t="shared" si="265"/>
        <v>-119.70310000000001</v>
      </c>
      <c r="BA201" s="168">
        <f t="shared" si="266"/>
        <v>4.9116959234908739</v>
      </c>
      <c r="BB201" s="168">
        <f t="shared" si="267"/>
        <v>-3.2989032324524679E-2</v>
      </c>
      <c r="BC201" s="169">
        <f t="shared" si="268"/>
        <v>2.5747830407650838</v>
      </c>
    </row>
    <row r="202" spans="28:55" ht="15">
      <c r="AB202" s="181">
        <v>45824</v>
      </c>
      <c r="AC202" s="157" t="s">
        <v>33</v>
      </c>
      <c r="AD202" s="158" t="s">
        <v>138</v>
      </c>
      <c r="AE202" s="157">
        <v>823056.71770000004</v>
      </c>
      <c r="AF202" s="157">
        <v>1091431.4469000001</v>
      </c>
      <c r="AG202" s="159">
        <v>-123.004</v>
      </c>
      <c r="AL202" s="160">
        <f t="shared" si="257"/>
        <v>5.0821733193441485</v>
      </c>
      <c r="AM202" s="161">
        <f t="shared" si="258"/>
        <v>2.6697641192247805</v>
      </c>
      <c r="AN202" s="162">
        <f t="shared" si="259"/>
        <v>-0.72782173319345134</v>
      </c>
      <c r="AO202" s="163">
        <f t="shared" si="260"/>
        <v>-122.27617826680655</v>
      </c>
      <c r="AV202" s="157">
        <f t="shared" si="261"/>
        <v>45824</v>
      </c>
      <c r="AW202" s="167" t="str">
        <f t="shared" si="262"/>
        <v>BD</v>
      </c>
      <c r="AX202" s="168">
        <f t="shared" si="263"/>
        <v>823056.71770000004</v>
      </c>
      <c r="AY202" s="168">
        <f t="shared" si="264"/>
        <v>1091431.4469000001</v>
      </c>
      <c r="AZ202" s="168">
        <f t="shared" si="265"/>
        <v>-123.004</v>
      </c>
      <c r="BA202" s="168">
        <f t="shared" si="266"/>
        <v>5.0821733193441485</v>
      </c>
      <c r="BB202" s="168">
        <f t="shared" si="267"/>
        <v>2.6697641192247805</v>
      </c>
      <c r="BC202" s="169">
        <f t="shared" si="268"/>
        <v>-0.72782173319345134</v>
      </c>
    </row>
    <row r="203" spans="28:55" ht="15">
      <c r="AB203" s="181">
        <v>45831</v>
      </c>
      <c r="AC203" s="157" t="s">
        <v>32</v>
      </c>
      <c r="AD203" s="158" t="s">
        <v>131</v>
      </c>
      <c r="AE203" s="157">
        <v>823058.96829999995</v>
      </c>
      <c r="AF203" s="157">
        <v>1091426.6658000001</v>
      </c>
      <c r="AG203" s="159">
        <v>-123.06100000000001</v>
      </c>
      <c r="AL203" s="160">
        <f t="shared" ref="AL203:AL206" si="269">IF(ISNUMBER(AE203),COS(ATAN2(AF203-AO$4,AE203-AO$3)-(AO$5/200*PI()))*SQRT((AE203-AO$3)^2+(AF203-AO$4)^2),"-")</f>
        <v>5.062933102286248</v>
      </c>
      <c r="AM203" s="161">
        <f t="shared" ref="AM203:AM206" si="270">IF(ISNUMBER(AE203),SIN(ATAN2(AF203-AO$4,AE203-AO$3)-(AO$5/200*PI()))*SQRT((AE203-AO$3)^2+(AF203-AO$4)^2),"-")</f>
        <v>-2.614528395754113</v>
      </c>
      <c r="AN203" s="162">
        <f t="shared" ref="AN203:AN206" si="271">IF(ISNUMBER(AL203),AG203-AO203,"-")</f>
        <v>-0.78462933102287025</v>
      </c>
      <c r="AO203" s="163">
        <f t="shared" ref="AO203:AO206" si="272">IF(ISNUMBER(AF203),((AL203-$AO$7)*AO$9)+AO$8,"-")</f>
        <v>-122.27637066897714</v>
      </c>
      <c r="AV203" s="157">
        <f t="shared" ref="AV203:AV206" si="273">AB203</f>
        <v>45831</v>
      </c>
      <c r="AW203" s="167" t="str">
        <f t="shared" ref="AW203:AW206" si="274">AC203</f>
        <v>BG</v>
      </c>
      <c r="AX203" s="168">
        <f t="shared" ref="AX203:AX206" si="275">AE203</f>
        <v>823058.96829999995</v>
      </c>
      <c r="AY203" s="168">
        <f t="shared" ref="AY203:AY206" si="276">AF203</f>
        <v>1091426.6658000001</v>
      </c>
      <c r="AZ203" s="168">
        <f t="shared" ref="AZ203:AZ206" si="277">AG203</f>
        <v>-123.06100000000001</v>
      </c>
      <c r="BA203" s="168">
        <f t="shared" ref="BA203:BA206" si="278">AL203+$AY$1</f>
        <v>5.062933102286248</v>
      </c>
      <c r="BB203" s="168">
        <f t="shared" ref="BB203:BB206" si="279">AM203</f>
        <v>-2.614528395754113</v>
      </c>
      <c r="BC203" s="169">
        <f t="shared" ref="BC203:BC206" si="280">AN203</f>
        <v>-0.78462933102287025</v>
      </c>
    </row>
    <row r="204" spans="28:55" ht="15">
      <c r="AB204" s="181">
        <v>45831</v>
      </c>
      <c r="AC204" s="170" t="s">
        <v>10</v>
      </c>
      <c r="AD204" s="158" t="s">
        <v>132</v>
      </c>
      <c r="AE204" s="157">
        <v>823058.92870000005</v>
      </c>
      <c r="AF204" s="157">
        <v>1091426.7479000001</v>
      </c>
      <c r="AG204" s="159">
        <v>-121.1313</v>
      </c>
      <c r="AL204" s="160">
        <f t="shared" si="269"/>
        <v>5.0641273815371912</v>
      </c>
      <c r="AM204" s="161">
        <f t="shared" si="270"/>
        <v>-2.5233848623069455</v>
      </c>
      <c r="AN204" s="162">
        <f t="shared" si="271"/>
        <v>1.1450587261846294</v>
      </c>
      <c r="AO204" s="163">
        <f t="shared" si="272"/>
        <v>-122.27635872618463</v>
      </c>
      <c r="AV204" s="157">
        <f t="shared" si="273"/>
        <v>45831</v>
      </c>
      <c r="AW204" s="167" t="str">
        <f t="shared" si="274"/>
        <v>HG</v>
      </c>
      <c r="AX204" s="168">
        <f t="shared" si="275"/>
        <v>823058.92870000005</v>
      </c>
      <c r="AY204" s="168">
        <f t="shared" si="276"/>
        <v>1091426.7479000001</v>
      </c>
      <c r="AZ204" s="168">
        <f t="shared" si="277"/>
        <v>-121.1313</v>
      </c>
      <c r="BA204" s="168">
        <f t="shared" si="278"/>
        <v>5.0641273815371912</v>
      </c>
      <c r="BB204" s="168">
        <f t="shared" si="279"/>
        <v>-2.5233848623069455</v>
      </c>
      <c r="BC204" s="169">
        <f t="shared" si="280"/>
        <v>1.1450587261846294</v>
      </c>
    </row>
    <row r="205" spans="28:55" ht="15">
      <c r="AB205" s="181">
        <v>45831</v>
      </c>
      <c r="AC205" s="157" t="s">
        <v>64</v>
      </c>
      <c r="AD205" s="158" t="s">
        <v>133</v>
      </c>
      <c r="AE205" s="157">
        <v>823058.01500000001</v>
      </c>
      <c r="AF205" s="157">
        <v>1091429.0686999999</v>
      </c>
      <c r="AG205" s="159">
        <v>-119.7037</v>
      </c>
      <c r="AL205" s="160">
        <f t="shared" si="269"/>
        <v>4.9114479574360219</v>
      </c>
      <c r="AM205" s="161">
        <f t="shared" si="270"/>
        <v>-3.3877014776434518E-2</v>
      </c>
      <c r="AN205" s="162">
        <f t="shared" si="271"/>
        <v>2.5741855204256439</v>
      </c>
      <c r="AO205" s="163">
        <f t="shared" si="272"/>
        <v>-122.27788552042564</v>
      </c>
      <c r="AV205" s="157">
        <f t="shared" si="273"/>
        <v>45831</v>
      </c>
      <c r="AW205" s="167" t="str">
        <f t="shared" si="274"/>
        <v>CH</v>
      </c>
      <c r="AX205" s="168">
        <f t="shared" si="275"/>
        <v>823058.01500000001</v>
      </c>
      <c r="AY205" s="168">
        <f t="shared" si="276"/>
        <v>1091429.0686999999</v>
      </c>
      <c r="AZ205" s="168">
        <f t="shared" si="277"/>
        <v>-119.7037</v>
      </c>
      <c r="BA205" s="168">
        <f t="shared" si="278"/>
        <v>4.9114479574360219</v>
      </c>
      <c r="BB205" s="168">
        <f t="shared" si="279"/>
        <v>-3.3877014776434518E-2</v>
      </c>
      <c r="BC205" s="169">
        <f t="shared" si="280"/>
        <v>2.5741855204256439</v>
      </c>
    </row>
    <row r="206" spans="28:55" ht="15">
      <c r="AB206" s="181">
        <v>45831</v>
      </c>
      <c r="AC206" s="157" t="s">
        <v>33</v>
      </c>
      <c r="AD206" s="158" t="s">
        <v>134</v>
      </c>
      <c r="AE206" s="157">
        <v>823056.71790000005</v>
      </c>
      <c r="AF206" s="157">
        <v>1091431.4463</v>
      </c>
      <c r="AG206" s="159">
        <v>-123.0039</v>
      </c>
      <c r="AL206" s="160">
        <f t="shared" si="269"/>
        <v>5.0822456187988623</v>
      </c>
      <c r="AM206" s="161">
        <f t="shared" si="270"/>
        <v>2.669135809614362</v>
      </c>
      <c r="AN206" s="162">
        <f t="shared" si="271"/>
        <v>-0.72772245618799047</v>
      </c>
      <c r="AO206" s="163">
        <f t="shared" si="272"/>
        <v>-122.27617754381201</v>
      </c>
      <c r="AV206" s="157">
        <f t="shared" si="273"/>
        <v>45831</v>
      </c>
      <c r="AW206" s="167" t="str">
        <f t="shared" si="274"/>
        <v>BD</v>
      </c>
      <c r="AX206" s="168">
        <f t="shared" si="275"/>
        <v>823056.71790000005</v>
      </c>
      <c r="AY206" s="168">
        <f t="shared" si="276"/>
        <v>1091431.4463</v>
      </c>
      <c r="AZ206" s="168">
        <f t="shared" si="277"/>
        <v>-123.0039</v>
      </c>
      <c r="BA206" s="168">
        <f t="shared" si="278"/>
        <v>5.0822456187988623</v>
      </c>
      <c r="BB206" s="168">
        <f t="shared" si="279"/>
        <v>2.669135809614362</v>
      </c>
      <c r="BC206" s="169">
        <f t="shared" si="280"/>
        <v>-0.72772245618799047</v>
      </c>
    </row>
    <row r="207" spans="28:55" ht="15">
      <c r="AB207" s="181">
        <v>45839</v>
      </c>
      <c r="AC207" s="157" t="s">
        <v>32</v>
      </c>
      <c r="AD207" s="158" t="s">
        <v>131</v>
      </c>
      <c r="AE207" s="157">
        <v>823058.96840000001</v>
      </c>
      <c r="AF207" s="157">
        <v>1091426.6654999999</v>
      </c>
      <c r="AG207" s="159">
        <v>-123.0613</v>
      </c>
      <c r="AL207" s="160">
        <f t="shared" ref="AL207:AL210" si="281">IF(ISNUMBER(AE207),COS(ATAN2(AF207-AO$4,AE207-AO$3)-(AO$5/200*PI()))*SQRT((AE207-AO$3)^2+(AF207-AO$4)^2),"-")</f>
        <v>5.0629692520100473</v>
      </c>
      <c r="AM207" s="161">
        <f t="shared" ref="AM207:AM210" si="282">IF(ISNUMBER(AE207),SIN(ATAN2(AF207-AO$4,AE207-AO$3)-(AO$5/200*PI()))*SQRT((AE207-AO$3)^2+(AF207-AO$4)^2),"-")</f>
        <v>-2.6148425506894322</v>
      </c>
      <c r="AN207" s="162">
        <f t="shared" ref="AN207:AN210" si="283">IF(ISNUMBER(AL207),AG207-AO207,"-")</f>
        <v>-0.7849296925201088</v>
      </c>
      <c r="AO207" s="163">
        <f t="shared" ref="AO207:AO210" si="284">IF(ISNUMBER(AF207),((AL207-$AO$7)*AO$9)+AO$8,"-")</f>
        <v>-122.27637030747989</v>
      </c>
      <c r="AV207" s="157">
        <f t="shared" ref="AV207:AV210" si="285">AB207</f>
        <v>45839</v>
      </c>
      <c r="AW207" s="167" t="str">
        <f t="shared" ref="AW207:AW210" si="286">AC207</f>
        <v>BG</v>
      </c>
      <c r="AX207" s="168">
        <f t="shared" ref="AX207:AX210" si="287">AE207</f>
        <v>823058.96840000001</v>
      </c>
      <c r="AY207" s="168">
        <f t="shared" ref="AY207:AY210" si="288">AF207</f>
        <v>1091426.6654999999</v>
      </c>
      <c r="AZ207" s="168">
        <f t="shared" ref="AZ207:AZ210" si="289">AG207</f>
        <v>-123.0613</v>
      </c>
      <c r="BA207" s="168">
        <f t="shared" ref="BA207:BA210" si="290">AL207+$AY$1</f>
        <v>5.0629692520100473</v>
      </c>
      <c r="BB207" s="168">
        <f t="shared" ref="BB207:BB210" si="291">AM207</f>
        <v>-2.6148425506894322</v>
      </c>
      <c r="BC207" s="169">
        <f t="shared" ref="BC207:BC210" si="292">AN207</f>
        <v>-0.7849296925201088</v>
      </c>
    </row>
    <row r="208" spans="28:55" ht="15">
      <c r="AB208" s="181">
        <v>45839</v>
      </c>
      <c r="AC208" s="170" t="s">
        <v>10</v>
      </c>
      <c r="AD208" s="158" t="s">
        <v>132</v>
      </c>
      <c r="AE208" s="157">
        <v>823058.92940000002</v>
      </c>
      <c r="AF208" s="157">
        <v>1091426.7483999999</v>
      </c>
      <c r="AG208" s="159">
        <v>-121.13160000000001</v>
      </c>
      <c r="AL208" s="160">
        <f t="shared" si="281"/>
        <v>5.0632816595451517</v>
      </c>
      <c r="AM208" s="161">
        <f t="shared" si="282"/>
        <v>-2.5232275278658194</v>
      </c>
      <c r="AN208" s="162">
        <f t="shared" si="283"/>
        <v>1.1447671834045394</v>
      </c>
      <c r="AO208" s="163">
        <f t="shared" si="284"/>
        <v>-122.27636718340455</v>
      </c>
      <c r="AV208" s="157">
        <f t="shared" si="285"/>
        <v>45839</v>
      </c>
      <c r="AW208" s="167" t="str">
        <f t="shared" si="286"/>
        <v>HG</v>
      </c>
      <c r="AX208" s="168">
        <f t="shared" si="287"/>
        <v>823058.92940000002</v>
      </c>
      <c r="AY208" s="168">
        <f t="shared" si="288"/>
        <v>1091426.7483999999</v>
      </c>
      <c r="AZ208" s="168">
        <f t="shared" si="289"/>
        <v>-121.13160000000001</v>
      </c>
      <c r="BA208" s="168">
        <f t="shared" si="290"/>
        <v>5.0632816595451517</v>
      </c>
      <c r="BB208" s="168">
        <f t="shared" si="291"/>
        <v>-2.5232275278658194</v>
      </c>
      <c r="BC208" s="169">
        <f t="shared" si="292"/>
        <v>1.1447671834045394</v>
      </c>
    </row>
    <row r="209" spans="28:55" ht="15">
      <c r="AB209" s="181">
        <v>45839</v>
      </c>
      <c r="AC209" s="157" t="s">
        <v>64</v>
      </c>
      <c r="AD209" s="158" t="s">
        <v>133</v>
      </c>
      <c r="AE209" s="157">
        <v>823058.01549999998</v>
      </c>
      <c r="AF209" s="157">
        <v>1091429.0681</v>
      </c>
      <c r="AG209" s="159">
        <v>-119.7041</v>
      </c>
      <c r="AL209" s="160">
        <f t="shared" si="281"/>
        <v>4.9112483624787151</v>
      </c>
      <c r="AM209" s="161">
        <f t="shared" si="282"/>
        <v>-3.4632105309453202E-2</v>
      </c>
      <c r="AN209" s="162">
        <f t="shared" si="283"/>
        <v>2.5737875163752193</v>
      </c>
      <c r="AO209" s="163">
        <f t="shared" si="284"/>
        <v>-122.27788751637522</v>
      </c>
      <c r="AV209" s="157">
        <f t="shared" si="285"/>
        <v>45839</v>
      </c>
      <c r="AW209" s="167" t="str">
        <f t="shared" si="286"/>
        <v>CH</v>
      </c>
      <c r="AX209" s="168">
        <f t="shared" si="287"/>
        <v>823058.01549999998</v>
      </c>
      <c r="AY209" s="168">
        <f t="shared" si="288"/>
        <v>1091429.0681</v>
      </c>
      <c r="AZ209" s="168">
        <f t="shared" si="289"/>
        <v>-119.7041</v>
      </c>
      <c r="BA209" s="168">
        <f t="shared" si="290"/>
        <v>4.9112483624787151</v>
      </c>
      <c r="BB209" s="168">
        <f t="shared" si="291"/>
        <v>-3.4632105309453202E-2</v>
      </c>
      <c r="BC209" s="169">
        <f t="shared" si="292"/>
        <v>2.5737875163752193</v>
      </c>
    </row>
    <row r="210" spans="28:55" ht="15">
      <c r="AB210" s="181">
        <v>45839</v>
      </c>
      <c r="AC210" s="157" t="s">
        <v>33</v>
      </c>
      <c r="AD210" s="158" t="s">
        <v>134</v>
      </c>
      <c r="AE210" s="157">
        <v>823056.71840000001</v>
      </c>
      <c r="AF210" s="157">
        <v>1091431.4461000001</v>
      </c>
      <c r="AG210" s="159">
        <v>-123.004</v>
      </c>
      <c r="AL210" s="160">
        <f t="shared" si="281"/>
        <v>5.0818769822972616</v>
      </c>
      <c r="AM210" s="161">
        <f t="shared" si="282"/>
        <v>2.668743244903184</v>
      </c>
      <c r="AN210" s="162">
        <f t="shared" si="283"/>
        <v>-0.72781876982297433</v>
      </c>
      <c r="AO210" s="163">
        <f t="shared" si="284"/>
        <v>-122.27618123017703</v>
      </c>
      <c r="AV210" s="157">
        <f t="shared" si="285"/>
        <v>45839</v>
      </c>
      <c r="AW210" s="167" t="str">
        <f t="shared" si="286"/>
        <v>BD</v>
      </c>
      <c r="AX210" s="168">
        <f t="shared" si="287"/>
        <v>823056.71840000001</v>
      </c>
      <c r="AY210" s="168">
        <f t="shared" si="288"/>
        <v>1091431.4461000001</v>
      </c>
      <c r="AZ210" s="168">
        <f t="shared" si="289"/>
        <v>-123.004</v>
      </c>
      <c r="BA210" s="168">
        <f t="shared" si="290"/>
        <v>5.0818769822972616</v>
      </c>
      <c r="BB210" s="168">
        <f t="shared" si="291"/>
        <v>2.668743244903184</v>
      </c>
      <c r="BC210" s="169">
        <f t="shared" si="292"/>
        <v>-0.72781876982297433</v>
      </c>
    </row>
    <row r="211" spans="28:55" ht="15">
      <c r="AB211" s="181">
        <v>45846</v>
      </c>
      <c r="AC211" s="157" t="s">
        <v>32</v>
      </c>
      <c r="AD211" s="158" t="s">
        <v>139</v>
      </c>
      <c r="AE211" s="157">
        <v>823058.96889999998</v>
      </c>
      <c r="AF211" s="157">
        <v>1091426.6662999999</v>
      </c>
      <c r="AG211" s="159">
        <v>-123.0611</v>
      </c>
      <c r="AL211" s="160">
        <f t="shared" ref="AL211:AL214" si="293">IF(ISNUMBER(AE211),COS(ATAN2(AF211-AO$4,AE211-AO$3)-(AO$5/200*PI()))*SQRT((AE211-AO$3)^2+(AF211-AO$4)^2),"-")</f>
        <v>5.0621780116969148</v>
      </c>
      <c r="AM211" s="161">
        <f t="shared" ref="AM211:AM214" si="294">IF(ISNUMBER(AE211),SIN(ATAN2(AF211-AO$4,AE211-AO$3)-(AO$5/200*PI()))*SQRT((AE211-AO$3)^2+(AF211-AO$4)^2),"-")</f>
        <v>-2.6143288009515127</v>
      </c>
      <c r="AN211" s="162">
        <f t="shared" ref="AN211:AN214" si="295">IF(ISNUMBER(AL211),AG211-AO211,"-")</f>
        <v>-0.78472178011696769</v>
      </c>
      <c r="AO211" s="163">
        <f t="shared" ref="AO211:AO214" si="296">IF(ISNUMBER(AF211),((AL211-$AO$7)*AO$9)+AO$8,"-")</f>
        <v>-122.27637821988303</v>
      </c>
      <c r="AV211" s="157">
        <f t="shared" ref="AV211:AV214" si="297">AB211</f>
        <v>45846</v>
      </c>
      <c r="AW211" s="167" t="str">
        <f t="shared" ref="AW211:AW214" si="298">AC211</f>
        <v>BG</v>
      </c>
      <c r="AX211" s="168">
        <f t="shared" ref="AX211:AX214" si="299">AE211</f>
        <v>823058.96889999998</v>
      </c>
      <c r="AY211" s="168">
        <f t="shared" ref="AY211:AY214" si="300">AF211</f>
        <v>1091426.6662999999</v>
      </c>
      <c r="AZ211" s="168">
        <f t="shared" ref="AZ211:AZ214" si="301">AG211</f>
        <v>-123.0611</v>
      </c>
      <c r="BA211" s="168">
        <f t="shared" ref="BA211:BA214" si="302">AL211+$AY$1</f>
        <v>5.0621780116969148</v>
      </c>
      <c r="BB211" s="168">
        <f t="shared" ref="BB211:BB214" si="303">AM211</f>
        <v>-2.6143288009515127</v>
      </c>
      <c r="BC211" s="169">
        <f t="shared" ref="BC211:BC214" si="304">AN211</f>
        <v>-0.78472178011696769</v>
      </c>
    </row>
    <row r="212" spans="28:55" ht="15">
      <c r="AB212" s="181">
        <v>45846</v>
      </c>
      <c r="AC212" s="170" t="s">
        <v>10</v>
      </c>
      <c r="AD212" s="158" t="s">
        <v>140</v>
      </c>
      <c r="AE212" s="157">
        <v>823058.92969999998</v>
      </c>
      <c r="AF212" s="157">
        <v>1091426.7487000001</v>
      </c>
      <c r="AG212" s="159">
        <v>-121.1319</v>
      </c>
      <c r="AL212" s="160">
        <f t="shared" si="293"/>
        <v>5.0628829839995086</v>
      </c>
      <c r="AM212" s="161">
        <f t="shared" si="294"/>
        <v>-2.5230824144747959</v>
      </c>
      <c r="AN212" s="162">
        <f t="shared" si="295"/>
        <v>1.1444711701600028</v>
      </c>
      <c r="AO212" s="163">
        <f t="shared" si="296"/>
        <v>-122.27637117016</v>
      </c>
      <c r="AV212" s="157">
        <f t="shared" si="297"/>
        <v>45846</v>
      </c>
      <c r="AW212" s="167" t="str">
        <f t="shared" si="298"/>
        <v>HG</v>
      </c>
      <c r="AX212" s="168">
        <f t="shared" si="299"/>
        <v>823058.92969999998</v>
      </c>
      <c r="AY212" s="168">
        <f t="shared" si="300"/>
        <v>1091426.7487000001</v>
      </c>
      <c r="AZ212" s="168">
        <f t="shared" si="301"/>
        <v>-121.1319</v>
      </c>
      <c r="BA212" s="168">
        <f t="shared" si="302"/>
        <v>5.0628829839995086</v>
      </c>
      <c r="BB212" s="168">
        <f t="shared" si="303"/>
        <v>-2.5230824144747959</v>
      </c>
      <c r="BC212" s="169">
        <f t="shared" si="304"/>
        <v>1.1444711701600028</v>
      </c>
    </row>
    <row r="213" spans="28:55" ht="15">
      <c r="AB213" s="181">
        <v>45846</v>
      </c>
      <c r="AC213" s="157" t="s">
        <v>64</v>
      </c>
      <c r="AD213" s="158" t="s">
        <v>141</v>
      </c>
      <c r="AE213" s="157">
        <v>823058.01679999998</v>
      </c>
      <c r="AF213" s="157">
        <v>1091429.0689999999</v>
      </c>
      <c r="AG213" s="159">
        <v>-119.70519999999999</v>
      </c>
      <c r="AL213" s="160">
        <f t="shared" si="293"/>
        <v>4.9096898102096196</v>
      </c>
      <c r="AM213" s="161">
        <f t="shared" si="294"/>
        <v>-3.4365807362923023E-2</v>
      </c>
      <c r="AN213" s="162">
        <f t="shared" si="295"/>
        <v>2.5727031018979147</v>
      </c>
      <c r="AO213" s="163">
        <f t="shared" si="296"/>
        <v>-122.27790310189791</v>
      </c>
      <c r="AV213" s="157">
        <f t="shared" si="297"/>
        <v>45846</v>
      </c>
      <c r="AW213" s="167" t="str">
        <f t="shared" si="298"/>
        <v>CH</v>
      </c>
      <c r="AX213" s="168">
        <f t="shared" si="299"/>
        <v>823058.01679999998</v>
      </c>
      <c r="AY213" s="168">
        <f t="shared" si="300"/>
        <v>1091429.0689999999</v>
      </c>
      <c r="AZ213" s="168">
        <f t="shared" si="301"/>
        <v>-119.70519999999999</v>
      </c>
      <c r="BA213" s="168">
        <f t="shared" si="302"/>
        <v>4.9096898102096196</v>
      </c>
      <c r="BB213" s="168">
        <f t="shared" si="303"/>
        <v>-3.4365807362923023E-2</v>
      </c>
      <c r="BC213" s="169">
        <f t="shared" si="304"/>
        <v>2.5727031018979147</v>
      </c>
    </row>
    <row r="214" spans="28:55" ht="15">
      <c r="AB214" s="181">
        <v>45846</v>
      </c>
      <c r="AC214" s="157" t="s">
        <v>33</v>
      </c>
      <c r="AD214" s="158" t="s">
        <v>142</v>
      </c>
      <c r="AE214" s="157">
        <v>823056.71790000005</v>
      </c>
      <c r="AF214" s="157">
        <v>1091431.4450000001</v>
      </c>
      <c r="AG214" s="159">
        <v>-123.0138</v>
      </c>
      <c r="AL214" s="160">
        <f t="shared" si="293"/>
        <v>5.0827950037440148</v>
      </c>
      <c r="AM214" s="161">
        <f t="shared" si="294"/>
        <v>2.6679576008516372</v>
      </c>
      <c r="AN214" s="162">
        <f t="shared" si="295"/>
        <v>-0.73762795003744941</v>
      </c>
      <c r="AO214" s="163">
        <f t="shared" si="296"/>
        <v>-122.27617204996255</v>
      </c>
      <c r="AV214" s="157">
        <f t="shared" si="297"/>
        <v>45846</v>
      </c>
      <c r="AW214" s="167" t="str">
        <f t="shared" si="298"/>
        <v>BD</v>
      </c>
      <c r="AX214" s="168">
        <f t="shared" si="299"/>
        <v>823056.71790000005</v>
      </c>
      <c r="AY214" s="168">
        <f t="shared" si="300"/>
        <v>1091431.4450000001</v>
      </c>
      <c r="AZ214" s="168">
        <f t="shared" si="301"/>
        <v>-123.0138</v>
      </c>
      <c r="BA214" s="168">
        <f t="shared" si="302"/>
        <v>5.0827950037440148</v>
      </c>
      <c r="BB214" s="168">
        <f t="shared" si="303"/>
        <v>2.6679576008516372</v>
      </c>
      <c r="BC214" s="169">
        <f t="shared" si="304"/>
        <v>-0.73762795003744941</v>
      </c>
    </row>
    <row r="215" spans="28:55" ht="15">
      <c r="AB215" s="181">
        <v>45853</v>
      </c>
      <c r="AC215" s="157" t="s">
        <v>32</v>
      </c>
      <c r="AD215" s="158" t="s">
        <v>99</v>
      </c>
      <c r="AE215" s="157">
        <v>823058.96900000004</v>
      </c>
      <c r="AF215" s="157">
        <v>1091426.6662000001</v>
      </c>
      <c r="AG215" s="159">
        <v>-123.06089999999999</v>
      </c>
      <c r="AL215" s="160">
        <f t="shared" ref="AL215:AL218" si="305">IF(ISNUMBER(AE215),COS(ATAN2(AF215-AO$4,AE215-AO$3)-(AO$5/200*PI()))*SQRT((AE215-AO$3)^2+(AF215-AO$4)^2),"-")</f>
        <v>5.0621296405009772</v>
      </c>
      <c r="AM215" s="161">
        <f t="shared" ref="AM215:AM218" si="306">IF(ISNUMBER(AE215),SIN(ATAN2(AF215-AO$4,AE215-AO$3)-(AO$5/200*PI()))*SQRT((AE215-AO$3)^2+(AF215-AO$4)^2),"-")</f>
        <v>-2.6144616926593822</v>
      </c>
      <c r="AN215" s="162">
        <f t="shared" ref="AN215:AN218" si="307">IF(ISNUMBER(AL215),AG215-AO215,"-")</f>
        <v>-0.78452129640500345</v>
      </c>
      <c r="AO215" s="163">
        <f t="shared" ref="AO215:AO218" si="308">IF(ISNUMBER(AF215),((AL215-$AO$7)*AO$9)+AO$8,"-")</f>
        <v>-122.27637870359499</v>
      </c>
      <c r="AV215" s="157">
        <f t="shared" ref="AV215:AV218" si="309">AB215</f>
        <v>45853</v>
      </c>
      <c r="AW215" s="167" t="str">
        <f t="shared" ref="AW215:AW218" si="310">AC215</f>
        <v>BG</v>
      </c>
      <c r="AX215" s="168">
        <f t="shared" ref="AX215:AX218" si="311">AE215</f>
        <v>823058.96900000004</v>
      </c>
      <c r="AY215" s="168">
        <f t="shared" ref="AY215:AY218" si="312">AF215</f>
        <v>1091426.6662000001</v>
      </c>
      <c r="AZ215" s="168">
        <f t="shared" ref="AZ215:AZ218" si="313">AG215</f>
        <v>-123.06089999999999</v>
      </c>
      <c r="BA215" s="168">
        <f t="shared" ref="BA215:BA218" si="314">AL215+$AY$1</f>
        <v>5.0621296405009772</v>
      </c>
      <c r="BB215" s="168">
        <f t="shared" ref="BB215:BB218" si="315">AM215</f>
        <v>-2.6144616926593822</v>
      </c>
      <c r="BC215" s="169">
        <f t="shared" ref="BC215:BC218" si="316">AN215</f>
        <v>-0.78452129640500345</v>
      </c>
    </row>
    <row r="216" spans="28:55" ht="15">
      <c r="AB216" s="181">
        <v>45853</v>
      </c>
      <c r="AC216" s="170" t="s">
        <v>10</v>
      </c>
      <c r="AD216" s="158" t="s">
        <v>100</v>
      </c>
      <c r="AE216" s="157">
        <v>823058.92920000001</v>
      </c>
      <c r="AF216" s="157">
        <v>1091426.7483000001</v>
      </c>
      <c r="AG216" s="159">
        <v>-121.1313</v>
      </c>
      <c r="AL216" s="160">
        <f t="shared" si="305"/>
        <v>5.063505182768349</v>
      </c>
      <c r="AM216" s="161">
        <f t="shared" si="306"/>
        <v>-2.5232336383908711</v>
      </c>
      <c r="AN216" s="162">
        <f t="shared" si="307"/>
        <v>1.145064948172319</v>
      </c>
      <c r="AO216" s="163">
        <f t="shared" si="308"/>
        <v>-122.27636494817231</v>
      </c>
      <c r="AV216" s="157">
        <f t="shared" si="309"/>
        <v>45853</v>
      </c>
      <c r="AW216" s="167" t="str">
        <f t="shared" si="310"/>
        <v>HG</v>
      </c>
      <c r="AX216" s="168">
        <f t="shared" si="311"/>
        <v>823058.92920000001</v>
      </c>
      <c r="AY216" s="168">
        <f t="shared" si="312"/>
        <v>1091426.7483000001</v>
      </c>
      <c r="AZ216" s="168">
        <f t="shared" si="313"/>
        <v>-121.1313</v>
      </c>
      <c r="BA216" s="168">
        <f t="shared" si="314"/>
        <v>5.063505182768349</v>
      </c>
      <c r="BB216" s="168">
        <f t="shared" si="315"/>
        <v>-2.5232336383908711</v>
      </c>
      <c r="BC216" s="169">
        <f t="shared" si="316"/>
        <v>1.145064948172319</v>
      </c>
    </row>
    <row r="217" spans="28:55" ht="15">
      <c r="AB217" s="181">
        <v>45853</v>
      </c>
      <c r="AC217" s="157" t="s">
        <v>64</v>
      </c>
      <c r="AD217" s="158" t="s">
        <v>101</v>
      </c>
      <c r="AE217" s="157">
        <v>823058.01639999996</v>
      </c>
      <c r="AF217" s="157">
        <v>1091429.0689000001</v>
      </c>
      <c r="AG217" s="159">
        <v>-119.7054</v>
      </c>
      <c r="AL217" s="160">
        <f t="shared" si="305"/>
        <v>4.9100945963437397</v>
      </c>
      <c r="AM217" s="161">
        <f t="shared" si="306"/>
        <v>-3.4287397115827206E-2</v>
      </c>
      <c r="AN217" s="162">
        <f t="shared" si="307"/>
        <v>2.5724990540365695</v>
      </c>
      <c r="AO217" s="163">
        <f t="shared" si="308"/>
        <v>-122.27789905403657</v>
      </c>
      <c r="AV217" s="157">
        <f t="shared" si="309"/>
        <v>45853</v>
      </c>
      <c r="AW217" s="167" t="str">
        <f t="shared" si="310"/>
        <v>CH</v>
      </c>
      <c r="AX217" s="168">
        <f t="shared" si="311"/>
        <v>823058.01639999996</v>
      </c>
      <c r="AY217" s="168">
        <f t="shared" si="312"/>
        <v>1091429.0689000001</v>
      </c>
      <c r="AZ217" s="168">
        <f t="shared" si="313"/>
        <v>-119.7054</v>
      </c>
      <c r="BA217" s="168">
        <f t="shared" si="314"/>
        <v>4.9100945963437397</v>
      </c>
      <c r="BB217" s="168">
        <f t="shared" si="315"/>
        <v>-3.4287397115827206E-2</v>
      </c>
      <c r="BC217" s="169">
        <f t="shared" si="316"/>
        <v>2.5724990540365695</v>
      </c>
    </row>
    <row r="218" spans="28:55" ht="15">
      <c r="AB218" s="181">
        <v>45853</v>
      </c>
      <c r="AC218" s="157" t="s">
        <v>33</v>
      </c>
      <c r="AD218" s="158" t="s">
        <v>102</v>
      </c>
      <c r="AE218" s="157">
        <v>823056.7182</v>
      </c>
      <c r="AF218" s="157">
        <v>1091431.4447999999</v>
      </c>
      <c r="AG218" s="159">
        <v>-123.0136</v>
      </c>
      <c r="AL218" s="160">
        <f t="shared" si="305"/>
        <v>5.0826076302517329</v>
      </c>
      <c r="AM218" s="161">
        <f t="shared" si="306"/>
        <v>2.6676495567015861</v>
      </c>
      <c r="AN218" s="162">
        <f t="shared" si="307"/>
        <v>-0.737426076302512</v>
      </c>
      <c r="AO218" s="163">
        <f t="shared" si="308"/>
        <v>-122.27617392369748</v>
      </c>
      <c r="AV218" s="157">
        <f t="shared" si="309"/>
        <v>45853</v>
      </c>
      <c r="AW218" s="167" t="str">
        <f t="shared" si="310"/>
        <v>BD</v>
      </c>
      <c r="AX218" s="168">
        <f t="shared" si="311"/>
        <v>823056.7182</v>
      </c>
      <c r="AY218" s="168">
        <f t="shared" si="312"/>
        <v>1091431.4447999999</v>
      </c>
      <c r="AZ218" s="168">
        <f t="shared" si="313"/>
        <v>-123.0136</v>
      </c>
      <c r="BA218" s="168">
        <f t="shared" si="314"/>
        <v>5.0826076302517329</v>
      </c>
      <c r="BB218" s="168">
        <f t="shared" si="315"/>
        <v>2.6676495567015861</v>
      </c>
      <c r="BC218" s="169">
        <f t="shared" si="316"/>
        <v>-0.737426076302512</v>
      </c>
    </row>
    <row r="219" spans="28:55" ht="15">
      <c r="AB219" s="184">
        <v>45861</v>
      </c>
      <c r="AC219" s="157" t="s">
        <v>32</v>
      </c>
      <c r="AD219" s="158" t="s">
        <v>144</v>
      </c>
      <c r="AE219" s="157">
        <v>823058.96869999997</v>
      </c>
      <c r="AF219" s="157">
        <v>1091426.6665000001</v>
      </c>
      <c r="AG219" s="159">
        <v>-123.0607</v>
      </c>
      <c r="AL219" s="160">
        <f t="shared" ref="AL219:AL222" si="317">IF(ISNUMBER(AE219),COS(ATAN2(AF219-AO$4,AE219-AO$3)-(AO$5/200*PI()))*SQRT((AE219-AO$3)^2+(AF219-AO$4)^2),"-")</f>
        <v>5.0622747537864923</v>
      </c>
      <c r="AM219" s="161">
        <f t="shared" ref="AM219:AM222" si="318">IF(ISNUMBER(AE219),SIN(ATAN2(AF219-AO$4,AE219-AO$3)-(AO$5/200*PI()))*SQRT((AE219-AO$3)^2+(AF219-AO$4)^2),"-")</f>
        <v>-2.6140630171629389</v>
      </c>
      <c r="AN219" s="162">
        <f t="shared" ref="AN219:AN222" si="319">IF(ISNUMBER(AL219),AG219-AO219,"-")</f>
        <v>-0.78432274753785691</v>
      </c>
      <c r="AO219" s="163">
        <f t="shared" ref="AO219:AO222" si="320">IF(ISNUMBER(AF219),((AL219-$AO$7)*AO$9)+AO$8,"-")</f>
        <v>-122.27637725246214</v>
      </c>
      <c r="AV219" s="157">
        <f t="shared" ref="AV219:AV222" si="321">AB219</f>
        <v>45861</v>
      </c>
      <c r="AW219" s="167" t="str">
        <f t="shared" ref="AW219:AW222" si="322">AC219</f>
        <v>BG</v>
      </c>
      <c r="AX219" s="168">
        <f t="shared" ref="AX219:AX222" si="323">AE219</f>
        <v>823058.96869999997</v>
      </c>
      <c r="AY219" s="168">
        <f t="shared" ref="AY219:AY222" si="324">AF219</f>
        <v>1091426.6665000001</v>
      </c>
      <c r="AZ219" s="168">
        <f t="shared" ref="AZ219:AZ222" si="325">AG219</f>
        <v>-123.0607</v>
      </c>
      <c r="BA219" s="168">
        <f t="shared" ref="BA219:BA222" si="326">AL219+$AY$1</f>
        <v>5.0622747537864923</v>
      </c>
      <c r="BB219" s="168">
        <f t="shared" ref="BB219:BB222" si="327">AM219</f>
        <v>-2.6140630171629389</v>
      </c>
      <c r="BC219" s="169">
        <f t="shared" ref="BC219:BC222" si="328">AN219</f>
        <v>-0.78432274753785691</v>
      </c>
    </row>
    <row r="220" spans="28:55" ht="15">
      <c r="AB220" s="184">
        <v>45861</v>
      </c>
      <c r="AC220" s="170" t="s">
        <v>10</v>
      </c>
      <c r="AD220" s="158" t="s">
        <v>145</v>
      </c>
      <c r="AE220" s="157">
        <v>823058.92920000001</v>
      </c>
      <c r="AF220" s="157">
        <v>1091426.7487999999</v>
      </c>
      <c r="AG220" s="159">
        <v>-121.13160000000001</v>
      </c>
      <c r="AL220" s="160">
        <f t="shared" si="317"/>
        <v>5.0632938809117798</v>
      </c>
      <c r="AM220" s="161">
        <f t="shared" si="318"/>
        <v>-2.5227804812718326</v>
      </c>
      <c r="AN220" s="162">
        <f t="shared" si="319"/>
        <v>1.1447670611908762</v>
      </c>
      <c r="AO220" s="163">
        <f t="shared" si="320"/>
        <v>-122.27636706119088</v>
      </c>
      <c r="AV220" s="157">
        <f t="shared" si="321"/>
        <v>45861</v>
      </c>
      <c r="AW220" s="167" t="str">
        <f t="shared" si="322"/>
        <v>HG</v>
      </c>
      <c r="AX220" s="168">
        <f t="shared" si="323"/>
        <v>823058.92920000001</v>
      </c>
      <c r="AY220" s="168">
        <f t="shared" si="324"/>
        <v>1091426.7487999999</v>
      </c>
      <c r="AZ220" s="168">
        <f t="shared" si="325"/>
        <v>-121.13160000000001</v>
      </c>
      <c r="BA220" s="168">
        <f t="shared" si="326"/>
        <v>5.0632938809117798</v>
      </c>
      <c r="BB220" s="168">
        <f t="shared" si="327"/>
        <v>-2.5227804812718326</v>
      </c>
      <c r="BC220" s="169">
        <f t="shared" si="328"/>
        <v>1.1447670611908762</v>
      </c>
    </row>
    <row r="221" spans="28:55" ht="15">
      <c r="AB221" s="184">
        <v>45861</v>
      </c>
      <c r="AC221" s="157" t="s">
        <v>64</v>
      </c>
      <c r="AD221" s="158" t="s">
        <v>146</v>
      </c>
      <c r="AE221" s="157">
        <v>823058.01639999996</v>
      </c>
      <c r="AF221" s="157">
        <v>1091429.0686999999</v>
      </c>
      <c r="AG221" s="159">
        <v>-119.706</v>
      </c>
      <c r="AL221" s="160">
        <f t="shared" si="317"/>
        <v>4.9101791171650833</v>
      </c>
      <c r="AM221" s="161">
        <f t="shared" si="318"/>
        <v>-3.4468660132257925E-2</v>
      </c>
      <c r="AN221" s="162">
        <f t="shared" si="319"/>
        <v>2.571898208828344</v>
      </c>
      <c r="AO221" s="163">
        <f t="shared" si="320"/>
        <v>-122.27789820882835</v>
      </c>
      <c r="AV221" s="157">
        <f t="shared" si="321"/>
        <v>45861</v>
      </c>
      <c r="AW221" s="167" t="str">
        <f t="shared" si="322"/>
        <v>CH</v>
      </c>
      <c r="AX221" s="168">
        <f t="shared" si="323"/>
        <v>823058.01639999996</v>
      </c>
      <c r="AY221" s="168">
        <f t="shared" si="324"/>
        <v>1091429.0686999999</v>
      </c>
      <c r="AZ221" s="168">
        <f t="shared" si="325"/>
        <v>-119.706</v>
      </c>
      <c r="BA221" s="168">
        <f t="shared" si="326"/>
        <v>4.9101791171650833</v>
      </c>
      <c r="BB221" s="168">
        <f t="shared" si="327"/>
        <v>-3.4468660132257925E-2</v>
      </c>
      <c r="BC221" s="169">
        <f t="shared" si="328"/>
        <v>2.571898208828344</v>
      </c>
    </row>
    <row r="222" spans="28:55" ht="15">
      <c r="AB222" s="184">
        <v>45861</v>
      </c>
      <c r="AC222" s="157" t="s">
        <v>33</v>
      </c>
      <c r="AD222" s="158" t="s">
        <v>147</v>
      </c>
      <c r="AE222" s="157">
        <v>823056.71790000005</v>
      </c>
      <c r="AF222" s="157">
        <v>1091431.4443999999</v>
      </c>
      <c r="AG222" s="159">
        <v>-123.0136</v>
      </c>
      <c r="AL222" s="160">
        <f t="shared" si="317"/>
        <v>5.0830485661096505</v>
      </c>
      <c r="AM222" s="161">
        <f t="shared" si="318"/>
        <v>2.6674138120133648</v>
      </c>
      <c r="AN222" s="162">
        <f t="shared" si="319"/>
        <v>-0.73743048566109337</v>
      </c>
      <c r="AO222" s="163">
        <f t="shared" si="320"/>
        <v>-122.2761695143389</v>
      </c>
      <c r="AV222" s="157">
        <f t="shared" si="321"/>
        <v>45861</v>
      </c>
      <c r="AW222" s="167" t="str">
        <f t="shared" si="322"/>
        <v>BD</v>
      </c>
      <c r="AX222" s="168">
        <f t="shared" si="323"/>
        <v>823056.71790000005</v>
      </c>
      <c r="AY222" s="168">
        <f t="shared" si="324"/>
        <v>1091431.4443999999</v>
      </c>
      <c r="AZ222" s="168">
        <f t="shared" si="325"/>
        <v>-123.0136</v>
      </c>
      <c r="BA222" s="168">
        <f t="shared" si="326"/>
        <v>5.0830485661096505</v>
      </c>
      <c r="BB222" s="168">
        <f t="shared" si="327"/>
        <v>2.6674138120133648</v>
      </c>
      <c r="BC222" s="169">
        <f t="shared" si="328"/>
        <v>-0.73743048566109337</v>
      </c>
    </row>
    <row r="223" spans="28:55" ht="15">
      <c r="AB223" s="181">
        <v>45867</v>
      </c>
      <c r="AC223" s="157" t="s">
        <v>32</v>
      </c>
      <c r="AD223" s="158" t="s">
        <v>148</v>
      </c>
      <c r="AE223" s="157">
        <v>823058.96829999995</v>
      </c>
      <c r="AF223" s="157">
        <v>1091426.6662000001</v>
      </c>
      <c r="AG223" s="159">
        <v>-123.0607</v>
      </c>
      <c r="AL223" s="160">
        <f t="shared" ref="AL223:AL226" si="329">IF(ISNUMBER(AE223),COS(ATAN2(AF223-AO$4,AE223-AO$3)-(AO$5/200*PI()))*SQRT((AE223-AO$3)^2+(AF223-AO$4)^2),"-")</f>
        <v>5.0627640607419542</v>
      </c>
      <c r="AM223" s="161">
        <f t="shared" ref="AM223:AM226" si="330">IF(ISNUMBER(AE223),SIN(ATAN2(AF223-AO$4,AE223-AO$3)-(AO$5/200*PI()))*SQRT((AE223-AO$3)^2+(AF223-AO$4)^2),"-")</f>
        <v>-2.6141658699322754</v>
      </c>
      <c r="AN223" s="162">
        <f t="shared" ref="AN223:AN226" si="331">IF(ISNUMBER(AL223),AG223-AO223,"-")</f>
        <v>-0.78432764060741533</v>
      </c>
      <c r="AO223" s="163">
        <f t="shared" ref="AO223:AO226" si="332">IF(ISNUMBER(AF223),((AL223-$AO$7)*AO$9)+AO$8,"-")</f>
        <v>-122.27637235939258</v>
      </c>
      <c r="AV223" s="157">
        <f t="shared" ref="AV223:AV226" si="333">AB223</f>
        <v>45867</v>
      </c>
      <c r="AW223" s="167" t="str">
        <f t="shared" ref="AW223:AW226" si="334">AC223</f>
        <v>BG</v>
      </c>
      <c r="AX223" s="168">
        <f t="shared" ref="AX223:AX226" si="335">AE223</f>
        <v>823058.96829999995</v>
      </c>
      <c r="AY223" s="168">
        <f t="shared" ref="AY223:AY226" si="336">AF223</f>
        <v>1091426.6662000001</v>
      </c>
      <c r="AZ223" s="168">
        <f t="shared" ref="AZ223:AZ226" si="337">AG223</f>
        <v>-123.0607</v>
      </c>
      <c r="BA223" s="168">
        <f t="shared" ref="BA223:BA226" si="338">AL223+$AY$1</f>
        <v>5.0627640607419542</v>
      </c>
      <c r="BB223" s="168">
        <f t="shared" ref="BB223:BB226" si="339">AM223</f>
        <v>-2.6141658699322754</v>
      </c>
      <c r="BC223" s="169">
        <f t="shared" ref="BC223:BC226" si="340">AN223</f>
        <v>-0.78432764060741533</v>
      </c>
    </row>
    <row r="224" spans="28:55" ht="15">
      <c r="AB224" s="181">
        <v>45867</v>
      </c>
      <c r="AC224" s="170" t="s">
        <v>10</v>
      </c>
      <c r="AD224" s="158" t="s">
        <v>149</v>
      </c>
      <c r="AE224" s="157">
        <v>823058.92879999999</v>
      </c>
      <c r="AF224" s="157">
        <v>1091426.7487000001</v>
      </c>
      <c r="AG224" s="159">
        <v>-121.1314</v>
      </c>
      <c r="AL224" s="160">
        <f t="shared" si="329"/>
        <v>5.0636986670458999</v>
      </c>
      <c r="AM224" s="161">
        <f t="shared" si="330"/>
        <v>-2.5227020710247379</v>
      </c>
      <c r="AN224" s="162">
        <f t="shared" si="331"/>
        <v>1.1449630133295443</v>
      </c>
      <c r="AO224" s="163">
        <f t="shared" si="332"/>
        <v>-122.27636301332954</v>
      </c>
      <c r="AV224" s="157">
        <f t="shared" si="333"/>
        <v>45867</v>
      </c>
      <c r="AW224" s="167" t="str">
        <f t="shared" si="334"/>
        <v>HG</v>
      </c>
      <c r="AX224" s="168">
        <f t="shared" si="335"/>
        <v>823058.92879999999</v>
      </c>
      <c r="AY224" s="168">
        <f t="shared" si="336"/>
        <v>1091426.7487000001</v>
      </c>
      <c r="AZ224" s="168">
        <f t="shared" si="337"/>
        <v>-121.1314</v>
      </c>
      <c r="BA224" s="168">
        <f t="shared" si="338"/>
        <v>5.0636986670458999</v>
      </c>
      <c r="BB224" s="168">
        <f t="shared" si="339"/>
        <v>-2.5227020710247379</v>
      </c>
      <c r="BC224" s="169">
        <f t="shared" si="340"/>
        <v>1.1449630133295443</v>
      </c>
    </row>
    <row r="225" spans="28:55" ht="15">
      <c r="AB225" s="181">
        <v>45867</v>
      </c>
      <c r="AC225" s="157" t="s">
        <v>64</v>
      </c>
      <c r="AD225" s="158" t="s">
        <v>150</v>
      </c>
      <c r="AE225" s="157">
        <v>823058.01610000001</v>
      </c>
      <c r="AF225" s="157">
        <v>1091429.0685000001</v>
      </c>
      <c r="AG225" s="159">
        <v>-119.7063</v>
      </c>
      <c r="AL225" s="160">
        <f t="shared" si="329"/>
        <v>4.9105355322016591</v>
      </c>
      <c r="AM225" s="161">
        <f t="shared" si="330"/>
        <v>-3.4523141804051818E-2</v>
      </c>
      <c r="AN225" s="162">
        <f t="shared" si="331"/>
        <v>2.5715946446779867</v>
      </c>
      <c r="AO225" s="163">
        <f t="shared" si="332"/>
        <v>-122.27789464467799</v>
      </c>
      <c r="AV225" s="157">
        <f t="shared" si="333"/>
        <v>45867</v>
      </c>
      <c r="AW225" s="167" t="str">
        <f t="shared" si="334"/>
        <v>CH</v>
      </c>
      <c r="AX225" s="168">
        <f t="shared" si="335"/>
        <v>823058.01610000001</v>
      </c>
      <c r="AY225" s="168">
        <f t="shared" si="336"/>
        <v>1091429.0685000001</v>
      </c>
      <c r="AZ225" s="168">
        <f t="shared" si="337"/>
        <v>-119.7063</v>
      </c>
      <c r="BA225" s="168">
        <f t="shared" si="338"/>
        <v>4.9105355322016591</v>
      </c>
      <c r="BB225" s="168">
        <f t="shared" si="339"/>
        <v>-3.4523141804051818E-2</v>
      </c>
      <c r="BC225" s="169">
        <f t="shared" si="340"/>
        <v>2.5715946446779867</v>
      </c>
    </row>
    <row r="226" spans="28:55" ht="15">
      <c r="AB226" s="181">
        <v>45867</v>
      </c>
      <c r="AC226" s="157" t="s">
        <v>33</v>
      </c>
      <c r="AD226" s="158" t="s">
        <v>151</v>
      </c>
      <c r="AE226" s="157">
        <v>823056.71730000002</v>
      </c>
      <c r="AF226" s="157">
        <v>1091431.4436999999</v>
      </c>
      <c r="AG226" s="159">
        <v>-123.0134</v>
      </c>
      <c r="AL226" s="160">
        <f t="shared" si="329"/>
        <v>5.0838881775203273</v>
      </c>
      <c r="AM226" s="161">
        <f t="shared" si="330"/>
        <v>2.6670329541943327</v>
      </c>
      <c r="AN226" s="162">
        <f t="shared" si="331"/>
        <v>-0.73723888177521246</v>
      </c>
      <c r="AO226" s="163">
        <f t="shared" si="332"/>
        <v>-122.27616111822479</v>
      </c>
      <c r="AV226" s="157">
        <f t="shared" si="333"/>
        <v>45867</v>
      </c>
      <c r="AW226" s="167" t="str">
        <f t="shared" si="334"/>
        <v>BD</v>
      </c>
      <c r="AX226" s="168">
        <f t="shared" si="335"/>
        <v>823056.71730000002</v>
      </c>
      <c r="AY226" s="168">
        <f t="shared" si="336"/>
        <v>1091431.4436999999</v>
      </c>
      <c r="AZ226" s="168">
        <f t="shared" si="337"/>
        <v>-123.0134</v>
      </c>
      <c r="BA226" s="168">
        <f t="shared" si="338"/>
        <v>5.0838881775203273</v>
      </c>
      <c r="BB226" s="168">
        <f t="shared" si="339"/>
        <v>2.6670329541943327</v>
      </c>
      <c r="BC226" s="169">
        <f t="shared" si="340"/>
        <v>-0.73723888177521246</v>
      </c>
    </row>
    <row r="227" spans="28:55" ht="15">
      <c r="AB227" s="181"/>
      <c r="AC227" s="170"/>
      <c r="AD227" s="158"/>
      <c r="AE227" s="157"/>
      <c r="AF227" s="157"/>
      <c r="AG227" s="159"/>
      <c r="AL227" s="160"/>
      <c r="AM227" s="161"/>
      <c r="AN227" s="162"/>
      <c r="AO227" s="163"/>
      <c r="AV227" s="157"/>
      <c r="AW227" s="167"/>
      <c r="AX227" s="168"/>
      <c r="AY227" s="168"/>
      <c r="AZ227" s="168"/>
      <c r="BA227" s="168"/>
      <c r="BB227" s="168"/>
      <c r="BC227" s="169"/>
    </row>
    <row r="228" spans="28:55" ht="15">
      <c r="AB228" s="181"/>
      <c r="AC228" s="170"/>
      <c r="AD228" s="158"/>
      <c r="AE228" s="157"/>
      <c r="AF228" s="157"/>
      <c r="AG228" s="159"/>
      <c r="AL228" s="160"/>
      <c r="AM228" s="161"/>
      <c r="AN228" s="162"/>
      <c r="AO228" s="163"/>
      <c r="AV228" s="157"/>
      <c r="AW228" s="167"/>
      <c r="AX228" s="168"/>
      <c r="AY228" s="168"/>
      <c r="AZ228" s="168"/>
      <c r="BA228" s="168"/>
      <c r="BB228" s="168"/>
      <c r="BC228" s="169"/>
    </row>
    <row r="229" spans="28:55" ht="15">
      <c r="AB229" s="181"/>
      <c r="AC229" s="170"/>
      <c r="AD229" s="158"/>
      <c r="AE229" s="157"/>
      <c r="AF229" s="157"/>
      <c r="AG229" s="159"/>
      <c r="AL229" s="160"/>
      <c r="AM229" s="161"/>
      <c r="AN229" s="162"/>
      <c r="AO229" s="163"/>
      <c r="AV229" s="157"/>
      <c r="AW229" s="167"/>
      <c r="AX229" s="168"/>
      <c r="AY229" s="168"/>
      <c r="AZ229" s="168"/>
      <c r="BA229" s="168"/>
      <c r="BB229" s="168"/>
      <c r="BC229" s="169"/>
    </row>
    <row r="230" spans="28:55" ht="15">
      <c r="AB230" s="181"/>
      <c r="AC230" s="170"/>
      <c r="AD230" s="158"/>
      <c r="AE230" s="157"/>
      <c r="AF230" s="157"/>
      <c r="AG230" s="159"/>
      <c r="AL230" s="160"/>
      <c r="AM230" s="161"/>
      <c r="AN230" s="162"/>
      <c r="AO230" s="163"/>
      <c r="AV230" s="157"/>
      <c r="AW230" s="167"/>
      <c r="AX230" s="168"/>
      <c r="AY230" s="168"/>
      <c r="AZ230" s="168"/>
      <c r="BA230" s="168"/>
      <c r="BB230" s="168"/>
      <c r="BC230" s="169"/>
    </row>
    <row r="231" spans="28:55" ht="15">
      <c r="AB231" s="181"/>
      <c r="AC231" s="170"/>
      <c r="AD231" s="158"/>
      <c r="AE231" s="157"/>
      <c r="AF231" s="157"/>
      <c r="AG231" s="159"/>
      <c r="AL231" s="160"/>
      <c r="AM231" s="161"/>
      <c r="AN231" s="162"/>
      <c r="AO231" s="163"/>
      <c r="AV231" s="157"/>
      <c r="AW231" s="167"/>
      <c r="AX231" s="168"/>
      <c r="AY231" s="168"/>
      <c r="AZ231" s="168"/>
      <c r="BA231" s="168"/>
      <c r="BB231" s="168"/>
      <c r="BC231" s="169"/>
    </row>
    <row r="232" spans="28:55" ht="15">
      <c r="AB232" s="181"/>
      <c r="AC232" s="170"/>
      <c r="AD232" s="158"/>
      <c r="AE232" s="157"/>
      <c r="AF232" s="157"/>
      <c r="AG232" s="159"/>
      <c r="AL232" s="160"/>
      <c r="AM232" s="161"/>
      <c r="AN232" s="162"/>
      <c r="AO232" s="163"/>
      <c r="AV232" s="157"/>
      <c r="AW232" s="167"/>
      <c r="AX232" s="168"/>
      <c r="AY232" s="168"/>
      <c r="AZ232" s="168"/>
      <c r="BA232" s="168"/>
      <c r="BB232" s="168"/>
      <c r="BC232" s="169"/>
    </row>
    <row r="233" spans="28:55" ht="15">
      <c r="AB233" s="181"/>
      <c r="AC233" s="170"/>
      <c r="AD233" s="158"/>
      <c r="AE233" s="157"/>
      <c r="AF233" s="157"/>
      <c r="AG233" s="159"/>
      <c r="AL233" s="160"/>
      <c r="AM233" s="161"/>
      <c r="AN233" s="162"/>
      <c r="AO233" s="163"/>
      <c r="AV233" s="157"/>
      <c r="AW233" s="167"/>
      <c r="AX233" s="168"/>
      <c r="AY233" s="168"/>
      <c r="AZ233" s="168"/>
      <c r="BA233" s="168"/>
      <c r="BB233" s="168"/>
      <c r="BC233" s="169"/>
    </row>
    <row r="234" spans="28:55" ht="15">
      <c r="AB234" s="181"/>
      <c r="AC234" s="170"/>
      <c r="AD234" s="158"/>
      <c r="AE234" s="157"/>
      <c r="AF234" s="157"/>
      <c r="AG234" s="159"/>
      <c r="AL234" s="160"/>
      <c r="AM234" s="161"/>
      <c r="AN234" s="162"/>
      <c r="AO234" s="163"/>
      <c r="AV234" s="157"/>
      <c r="AW234" s="167"/>
      <c r="AX234" s="168"/>
      <c r="AY234" s="168"/>
      <c r="AZ234" s="168"/>
      <c r="BA234" s="168"/>
      <c r="BB234" s="168"/>
      <c r="BC234" s="169"/>
    </row>
    <row r="235" spans="28:55" ht="15">
      <c r="AB235" s="181"/>
      <c r="AC235" s="170"/>
      <c r="AD235" s="158"/>
      <c r="AE235" s="157"/>
      <c r="AF235" s="157"/>
      <c r="AG235" s="159"/>
      <c r="AL235" s="160"/>
      <c r="AM235" s="161"/>
      <c r="AN235" s="162"/>
      <c r="AO235" s="163"/>
      <c r="AV235" s="157"/>
      <c r="AW235" s="167"/>
      <c r="AX235" s="168"/>
      <c r="AY235" s="168"/>
      <c r="AZ235" s="168"/>
      <c r="BA235" s="168"/>
      <c r="BB235" s="168"/>
      <c r="BC235" s="169"/>
    </row>
    <row r="236" spans="28:55" ht="15">
      <c r="AB236" s="181"/>
      <c r="AC236" s="170"/>
      <c r="AD236" s="158"/>
      <c r="AE236" s="157"/>
      <c r="AF236" s="157"/>
      <c r="AG236" s="159"/>
      <c r="AL236" s="160"/>
      <c r="AM236" s="161"/>
      <c r="AN236" s="162"/>
      <c r="AO236" s="163"/>
      <c r="AV236" s="157"/>
      <c r="AW236" s="167"/>
      <c r="AX236" s="168"/>
      <c r="AY236" s="168"/>
      <c r="AZ236" s="168"/>
      <c r="BA236" s="168"/>
      <c r="BB236" s="168"/>
      <c r="BC236" s="169"/>
    </row>
    <row r="237" spans="28:55" ht="15">
      <c r="AB237" s="181"/>
      <c r="AC237" s="170"/>
      <c r="AD237" s="158"/>
      <c r="AE237" s="157"/>
      <c r="AF237" s="157"/>
      <c r="AG237" s="159"/>
      <c r="AL237" s="160"/>
      <c r="AM237" s="161"/>
      <c r="AN237" s="162"/>
      <c r="AO237" s="163"/>
      <c r="AV237" s="157"/>
      <c r="AW237" s="167"/>
      <c r="AX237" s="168"/>
      <c r="AY237" s="168"/>
      <c r="AZ237" s="168"/>
      <c r="BA237" s="168"/>
      <c r="BB237" s="168"/>
      <c r="BC237" s="169"/>
    </row>
    <row r="238" spans="28:55" ht="15">
      <c r="AB238" s="181"/>
      <c r="AC238" s="170"/>
      <c r="AD238" s="158"/>
      <c r="AE238" s="157"/>
      <c r="AF238" s="157"/>
      <c r="AG238" s="159"/>
      <c r="AL238" s="160"/>
      <c r="AM238" s="161"/>
      <c r="AN238" s="162"/>
      <c r="AO238" s="163"/>
      <c r="AV238" s="157"/>
      <c r="AW238" s="167"/>
      <c r="AX238" s="168"/>
      <c r="AY238" s="168"/>
      <c r="AZ238" s="168"/>
      <c r="BA238" s="168"/>
      <c r="BB238" s="168"/>
      <c r="BC238" s="169"/>
    </row>
    <row r="239" spans="28:55" ht="15">
      <c r="AB239" s="181"/>
      <c r="AC239" s="157"/>
      <c r="AD239" s="158"/>
      <c r="AE239" s="157"/>
      <c r="AF239" s="157"/>
      <c r="AG239" s="159"/>
      <c r="AL239" s="160"/>
      <c r="AM239" s="161"/>
      <c r="AN239" s="162"/>
      <c r="AO239" s="163"/>
      <c r="AV239" s="157"/>
      <c r="AW239" s="167"/>
      <c r="AX239" s="168"/>
      <c r="AY239" s="168"/>
      <c r="AZ239" s="168"/>
      <c r="BA239" s="168"/>
      <c r="BB239" s="168"/>
      <c r="BC239" s="169"/>
    </row>
    <row r="240" spans="28:55" ht="15">
      <c r="AB240" s="181"/>
      <c r="AC240" s="157"/>
      <c r="AD240" s="158"/>
      <c r="AE240" s="157"/>
      <c r="AF240" s="157"/>
      <c r="AG240" s="159"/>
      <c r="AL240" s="160"/>
      <c r="AM240" s="161"/>
      <c r="AN240" s="162"/>
      <c r="AO240" s="163"/>
      <c r="AV240" s="157"/>
      <c r="AW240" s="167"/>
      <c r="AX240" s="168"/>
      <c r="AY240" s="168"/>
      <c r="AZ240" s="168"/>
      <c r="BA240" s="168"/>
      <c r="BB240" s="168"/>
      <c r="BC240" s="169"/>
    </row>
    <row r="241" spans="28:55" ht="15">
      <c r="AB241" s="181"/>
      <c r="AC241" s="170"/>
      <c r="AD241" s="158"/>
      <c r="AE241" s="157"/>
      <c r="AF241" s="157"/>
      <c r="AG241" s="159"/>
      <c r="AL241" s="160"/>
      <c r="AM241" s="161"/>
      <c r="AN241" s="162"/>
      <c r="AO241" s="163"/>
      <c r="AV241" s="157"/>
      <c r="AW241" s="167"/>
      <c r="AX241" s="168"/>
      <c r="AY241" s="168"/>
      <c r="AZ241" s="168"/>
      <c r="BA241" s="168"/>
      <c r="BB241" s="168"/>
      <c r="BC241" s="169"/>
    </row>
    <row r="242" spans="28:55" ht="15">
      <c r="AB242" s="181"/>
      <c r="AC242" s="170"/>
      <c r="AD242" s="158"/>
      <c r="AE242" s="157"/>
      <c r="AF242" s="157"/>
      <c r="AG242" s="159"/>
      <c r="AL242" s="160"/>
      <c r="AM242" s="161"/>
      <c r="AN242" s="162"/>
      <c r="AO242" s="163"/>
      <c r="AV242" s="157"/>
      <c r="AW242" s="167"/>
      <c r="AX242" s="168"/>
      <c r="AY242" s="168"/>
      <c r="AZ242" s="168"/>
      <c r="BA242" s="168"/>
      <c r="BB242" s="168"/>
      <c r="BC242" s="169"/>
    </row>
    <row r="243" spans="28:55" ht="15">
      <c r="AB243" s="181"/>
      <c r="AC243" s="170"/>
      <c r="AD243" s="158"/>
      <c r="AE243" s="157"/>
      <c r="AF243" s="157"/>
      <c r="AG243" s="159"/>
      <c r="AL243" s="160"/>
      <c r="AM243" s="161"/>
      <c r="AN243" s="162"/>
      <c r="AO243" s="163"/>
      <c r="AV243" s="157"/>
      <c r="AW243" s="167"/>
      <c r="AX243" s="168"/>
      <c r="AY243" s="168"/>
      <c r="AZ243" s="168"/>
      <c r="BA243" s="168"/>
      <c r="BB243" s="168"/>
      <c r="BC243" s="169"/>
    </row>
    <row r="244" spans="28:55" ht="15">
      <c r="AB244" s="181"/>
      <c r="AC244" s="170"/>
      <c r="AD244" s="158"/>
      <c r="AE244" s="157"/>
      <c r="AF244" s="157"/>
      <c r="AG244" s="159"/>
      <c r="AL244" s="160"/>
      <c r="AM244" s="161"/>
      <c r="AN244" s="162"/>
      <c r="AO244" s="163"/>
      <c r="AV244" s="157"/>
      <c r="AW244" s="167"/>
      <c r="AX244" s="168"/>
      <c r="AY244" s="168"/>
      <c r="AZ244" s="168"/>
      <c r="BA244" s="168"/>
      <c r="BB244" s="168"/>
      <c r="BC244" s="169"/>
    </row>
    <row r="245" spans="28:55" ht="15">
      <c r="AB245" s="181"/>
      <c r="AC245" s="170"/>
      <c r="AD245" s="158"/>
      <c r="AE245" s="157"/>
      <c r="AF245" s="157"/>
      <c r="AG245" s="159"/>
      <c r="AL245" s="160"/>
      <c r="AM245" s="161"/>
      <c r="AN245" s="162"/>
      <c r="AO245" s="163"/>
      <c r="AV245" s="157"/>
      <c r="AW245" s="167"/>
      <c r="AX245" s="168"/>
      <c r="AY245" s="168"/>
      <c r="AZ245" s="168"/>
      <c r="BA245" s="168"/>
      <c r="BB245" s="168"/>
      <c r="BC245" s="169"/>
    </row>
    <row r="246" spans="28:55" ht="15">
      <c r="AB246" s="181"/>
      <c r="AC246" s="170"/>
      <c r="AD246" s="158"/>
      <c r="AE246" s="157"/>
      <c r="AF246" s="157"/>
      <c r="AG246" s="159"/>
      <c r="AL246" s="160"/>
      <c r="AM246" s="161"/>
      <c r="AN246" s="162"/>
      <c r="AO246" s="163"/>
      <c r="AV246" s="157"/>
      <c r="AW246" s="167"/>
      <c r="AX246" s="168"/>
      <c r="AY246" s="168"/>
      <c r="AZ246" s="168"/>
      <c r="BA246" s="168"/>
      <c r="BB246" s="168"/>
      <c r="BC246" s="169"/>
    </row>
    <row r="247" spans="28:55" ht="15">
      <c r="AB247" s="181"/>
      <c r="AC247" s="170"/>
      <c r="AD247" s="158"/>
      <c r="AE247" s="157"/>
      <c r="AF247" s="157"/>
      <c r="AG247" s="159"/>
      <c r="AL247" s="160"/>
      <c r="AM247" s="161"/>
      <c r="AN247" s="162"/>
      <c r="AO247" s="163"/>
      <c r="AV247" s="157"/>
      <c r="AW247" s="167"/>
      <c r="AX247" s="168"/>
      <c r="AY247" s="168"/>
      <c r="AZ247" s="168"/>
      <c r="BA247" s="168"/>
      <c r="BB247" s="168"/>
      <c r="BC247" s="169"/>
    </row>
    <row r="248" spans="28:55" ht="15">
      <c r="AB248" s="181"/>
      <c r="AC248" s="170"/>
      <c r="AD248" s="158"/>
      <c r="AE248" s="157"/>
      <c r="AF248" s="157"/>
      <c r="AG248" s="159"/>
      <c r="AL248" s="160"/>
      <c r="AM248" s="161"/>
      <c r="AN248" s="162"/>
      <c r="AO248" s="163"/>
      <c r="AV248" s="157"/>
      <c r="AW248" s="167"/>
      <c r="AX248" s="168"/>
      <c r="AY248" s="168"/>
      <c r="AZ248" s="168"/>
      <c r="BA248" s="168"/>
      <c r="BB248" s="168"/>
      <c r="BC248" s="169"/>
    </row>
    <row r="249" spans="28:55" ht="15">
      <c r="AB249" s="181"/>
      <c r="AC249" s="170"/>
      <c r="AD249" s="158"/>
      <c r="AE249" s="157"/>
      <c r="AF249" s="157"/>
      <c r="AG249" s="159"/>
      <c r="AL249" s="160"/>
      <c r="AM249" s="161"/>
      <c r="AN249" s="162"/>
      <c r="AO249" s="163"/>
      <c r="AV249" s="157"/>
      <c r="AW249" s="167"/>
      <c r="AX249" s="168"/>
      <c r="AY249" s="168"/>
      <c r="AZ249" s="168"/>
      <c r="BA249" s="168"/>
      <c r="BB249" s="168"/>
      <c r="BC249" s="169"/>
    </row>
    <row r="250" spans="28:55" ht="15">
      <c r="AB250" s="181"/>
      <c r="AC250" s="170"/>
      <c r="AD250" s="158"/>
      <c r="AE250" s="157"/>
      <c r="AF250" s="157"/>
      <c r="AG250" s="159"/>
      <c r="AL250" s="160"/>
      <c r="AM250" s="161"/>
      <c r="AN250" s="162"/>
      <c r="AO250" s="163"/>
      <c r="AV250" s="157"/>
      <c r="AW250" s="167"/>
      <c r="AX250" s="168"/>
      <c r="AY250" s="168"/>
      <c r="AZ250" s="168"/>
      <c r="BA250" s="168"/>
      <c r="BB250" s="168"/>
      <c r="BC250" s="169"/>
    </row>
    <row r="251" spans="28:55" ht="15">
      <c r="AB251" s="181"/>
      <c r="AC251" s="170"/>
      <c r="AD251" s="158"/>
      <c r="AE251" s="157"/>
      <c r="AF251" s="157"/>
      <c r="AG251" s="159"/>
      <c r="AL251" s="160"/>
      <c r="AM251" s="161"/>
      <c r="AN251" s="162"/>
      <c r="AO251" s="163"/>
      <c r="AV251" s="157"/>
      <c r="AW251" s="167"/>
      <c r="AX251" s="168"/>
      <c r="AY251" s="168"/>
      <c r="AZ251" s="168"/>
      <c r="BA251" s="168"/>
      <c r="BB251" s="168"/>
      <c r="BC251" s="169"/>
    </row>
    <row r="252" spans="28:55" ht="15">
      <c r="AB252" s="181"/>
      <c r="AC252" s="170"/>
      <c r="AD252" s="158"/>
      <c r="AE252" s="157"/>
      <c r="AF252" s="157"/>
      <c r="AG252" s="159"/>
      <c r="AL252" s="160"/>
      <c r="AM252" s="161"/>
      <c r="AN252" s="162"/>
      <c r="AO252" s="163"/>
      <c r="AV252" s="157"/>
      <c r="AW252" s="167"/>
      <c r="AX252" s="168"/>
      <c r="AY252" s="168"/>
      <c r="AZ252" s="168"/>
      <c r="BA252" s="168"/>
      <c r="BB252" s="168"/>
      <c r="BC252" s="169"/>
    </row>
    <row r="253" spans="28:55" ht="15">
      <c r="AB253" s="181"/>
      <c r="AC253" s="170"/>
      <c r="AD253" s="158"/>
      <c r="AE253" s="157"/>
      <c r="AF253" s="157"/>
      <c r="AG253" s="159"/>
      <c r="AL253" s="160"/>
      <c r="AM253" s="161"/>
      <c r="AN253" s="162"/>
      <c r="AO253" s="163"/>
      <c r="AV253" s="157"/>
      <c r="AW253" s="167"/>
      <c r="AX253" s="168"/>
      <c r="AY253" s="168"/>
      <c r="AZ253" s="168"/>
      <c r="BA253" s="168"/>
      <c r="BB253" s="168"/>
      <c r="BC253" s="169"/>
    </row>
    <row r="254" spans="28:55" ht="15">
      <c r="AB254" s="181"/>
      <c r="AC254" s="170"/>
      <c r="AD254" s="158"/>
      <c r="AE254" s="157"/>
      <c r="AF254" s="157"/>
      <c r="AG254" s="159"/>
      <c r="AL254" s="160"/>
      <c r="AM254" s="161"/>
      <c r="AN254" s="162"/>
      <c r="AO254" s="163"/>
      <c r="AV254" s="157"/>
      <c r="AW254" s="167"/>
      <c r="AX254" s="168"/>
      <c r="AY254" s="168"/>
      <c r="AZ254" s="168"/>
      <c r="BA254" s="168"/>
      <c r="BB254" s="168"/>
      <c r="BC254" s="169"/>
    </row>
    <row r="255" spans="28:55" ht="15">
      <c r="AB255" s="181"/>
      <c r="AC255" s="170"/>
      <c r="AD255" s="158"/>
      <c r="AE255" s="157"/>
      <c r="AF255" s="157"/>
      <c r="AG255" s="159"/>
      <c r="AL255" s="160"/>
      <c r="AM255" s="161"/>
      <c r="AN255" s="162"/>
      <c r="AO255" s="163"/>
      <c r="AV255" s="157"/>
      <c r="AW255" s="167"/>
      <c r="AX255" s="168"/>
      <c r="AY255" s="168"/>
      <c r="AZ255" s="168"/>
      <c r="BA255" s="168"/>
      <c r="BB255" s="168"/>
      <c r="BC255" s="169"/>
    </row>
    <row r="256" spans="28:55" ht="15">
      <c r="AB256" s="181"/>
      <c r="AC256" s="170"/>
      <c r="AD256" s="158"/>
      <c r="AE256" s="157"/>
      <c r="AF256" s="157"/>
      <c r="AG256" s="159"/>
      <c r="AL256" s="160"/>
      <c r="AM256" s="161"/>
      <c r="AN256" s="162"/>
      <c r="AO256" s="163"/>
      <c r="AV256" s="157"/>
      <c r="AW256" s="167"/>
      <c r="AX256" s="168"/>
      <c r="AY256" s="168"/>
      <c r="AZ256" s="168"/>
      <c r="BA256" s="168"/>
      <c r="BB256" s="168"/>
      <c r="BC256" s="169"/>
    </row>
    <row r="257" spans="28:55" ht="15">
      <c r="AB257" s="181"/>
      <c r="AC257" s="170"/>
      <c r="AD257" s="158"/>
      <c r="AE257" s="157"/>
      <c r="AF257" s="157"/>
      <c r="AG257" s="159"/>
      <c r="AL257" s="160"/>
      <c r="AM257" s="161"/>
      <c r="AN257" s="162"/>
      <c r="AO257" s="163"/>
      <c r="AV257" s="157"/>
      <c r="AW257" s="167"/>
      <c r="AX257" s="168"/>
      <c r="AY257" s="168"/>
      <c r="AZ257" s="168"/>
      <c r="BA257" s="168"/>
      <c r="BB257" s="168"/>
      <c r="BC257" s="169"/>
    </row>
    <row r="258" spans="28:55" ht="15">
      <c r="AB258" s="181"/>
      <c r="AC258" s="170"/>
      <c r="AD258" s="158"/>
      <c r="AE258" s="157"/>
      <c r="AF258" s="157"/>
      <c r="AG258" s="159"/>
      <c r="AL258" s="160"/>
      <c r="AM258" s="161"/>
      <c r="AN258" s="162"/>
      <c r="AO258" s="163"/>
      <c r="AV258" s="157"/>
      <c r="AW258" s="167"/>
      <c r="AX258" s="168"/>
      <c r="AY258" s="168"/>
      <c r="AZ258" s="168"/>
      <c r="BA258" s="168"/>
      <c r="BB258" s="168"/>
      <c r="BC258" s="169"/>
    </row>
    <row r="259" spans="28:55" ht="15">
      <c r="AB259" s="181"/>
      <c r="AC259" s="170"/>
      <c r="AD259" s="158"/>
      <c r="AE259" s="157"/>
      <c r="AF259" s="157"/>
      <c r="AG259" s="159"/>
      <c r="AL259" s="160"/>
      <c r="AM259" s="161"/>
      <c r="AN259" s="162"/>
      <c r="AO259" s="163"/>
      <c r="AV259" s="157"/>
      <c r="AW259" s="167"/>
      <c r="AX259" s="168"/>
      <c r="AY259" s="168"/>
      <c r="AZ259" s="168"/>
      <c r="BA259" s="168"/>
      <c r="BB259" s="168"/>
      <c r="BC259" s="169"/>
    </row>
    <row r="260" spans="28:55" ht="15">
      <c r="AB260" s="181"/>
      <c r="AC260" s="170"/>
      <c r="AD260" s="158"/>
      <c r="AE260" s="157"/>
      <c r="AF260" s="157"/>
      <c r="AG260" s="159"/>
      <c r="AL260" s="160"/>
      <c r="AM260" s="161"/>
      <c r="AN260" s="162"/>
      <c r="AO260" s="163"/>
      <c r="AV260" s="157"/>
      <c r="AW260" s="167"/>
      <c r="AX260" s="168"/>
      <c r="AY260" s="168"/>
      <c r="AZ260" s="168"/>
      <c r="BA260" s="168"/>
      <c r="BB260" s="168"/>
      <c r="BC260" s="169"/>
    </row>
    <row r="261" spans="28:55" ht="15">
      <c r="AB261" s="181"/>
      <c r="AC261" s="170"/>
      <c r="AD261" s="158"/>
      <c r="AE261" s="157"/>
      <c r="AF261" s="157"/>
      <c r="AG261" s="159"/>
      <c r="AL261" s="160"/>
      <c r="AM261" s="161"/>
      <c r="AN261" s="162"/>
      <c r="AO261" s="163"/>
      <c r="AV261" s="157"/>
      <c r="AW261" s="167"/>
      <c r="AX261" s="168"/>
      <c r="AY261" s="168"/>
      <c r="AZ261" s="168"/>
      <c r="BA261" s="168"/>
      <c r="BB261" s="168"/>
      <c r="BC261" s="169"/>
    </row>
    <row r="262" spans="28:55" ht="15">
      <c r="AB262" s="181"/>
      <c r="AC262" s="170"/>
      <c r="AD262" s="158"/>
      <c r="AE262" s="157"/>
      <c r="AF262" s="157"/>
      <c r="AG262" s="159"/>
      <c r="AL262" s="160"/>
      <c r="AM262" s="161"/>
      <c r="AN262" s="162"/>
      <c r="AO262" s="163"/>
      <c r="AV262" s="157"/>
      <c r="AW262" s="167"/>
      <c r="AX262" s="168"/>
      <c r="AY262" s="168"/>
      <c r="AZ262" s="168"/>
      <c r="BA262" s="168"/>
      <c r="BB262" s="168"/>
      <c r="BC262" s="169"/>
    </row>
    <row r="263" spans="28:55" ht="15">
      <c r="AB263" s="181"/>
      <c r="AC263" s="170"/>
      <c r="AD263" s="158"/>
      <c r="AE263" s="157"/>
      <c r="AF263" s="157"/>
      <c r="AG263" s="159"/>
      <c r="AL263" s="160"/>
      <c r="AM263" s="161"/>
      <c r="AN263" s="162"/>
      <c r="AO263" s="163"/>
      <c r="AV263" s="157"/>
      <c r="AW263" s="167"/>
      <c r="AX263" s="168"/>
      <c r="AY263" s="168"/>
      <c r="AZ263" s="168"/>
      <c r="BA263" s="168"/>
      <c r="BB263" s="168"/>
      <c r="BC263" s="169"/>
    </row>
    <row r="264" spans="28:55" ht="15">
      <c r="AB264" s="181"/>
      <c r="AC264" s="170"/>
      <c r="AD264" s="158"/>
      <c r="AE264" s="157"/>
      <c r="AF264" s="157"/>
      <c r="AG264" s="159"/>
      <c r="AL264" s="160"/>
      <c r="AM264" s="161"/>
      <c r="AN264" s="162"/>
      <c r="AO264" s="163"/>
      <c r="AV264" s="157"/>
      <c r="AW264" s="167"/>
      <c r="AX264" s="168"/>
      <c r="AY264" s="168"/>
      <c r="AZ264" s="168"/>
      <c r="BA264" s="168"/>
      <c r="BB264" s="168"/>
      <c r="BC264" s="169"/>
    </row>
    <row r="265" spans="28:55" ht="15">
      <c r="AB265" s="181"/>
      <c r="AC265" s="170"/>
      <c r="AD265" s="158"/>
      <c r="AE265" s="157"/>
      <c r="AF265" s="157"/>
      <c r="AG265" s="159"/>
      <c r="AL265" s="160"/>
      <c r="AM265" s="161"/>
      <c r="AN265" s="162"/>
      <c r="AO265" s="163"/>
      <c r="AV265" s="157"/>
      <c r="AW265" s="167"/>
      <c r="AX265" s="168"/>
      <c r="AY265" s="168"/>
      <c r="AZ265" s="168"/>
      <c r="BA265" s="168"/>
      <c r="BB265" s="168"/>
      <c r="BC265" s="169"/>
    </row>
    <row r="266" spans="28:55" ht="15">
      <c r="AB266" s="181"/>
      <c r="AC266" s="170"/>
      <c r="AD266" s="158"/>
      <c r="AE266" s="157"/>
      <c r="AF266" s="157"/>
      <c r="AG266" s="159"/>
      <c r="AL266" s="160"/>
      <c r="AM266" s="161"/>
      <c r="AN266" s="162"/>
      <c r="AO266" s="163"/>
      <c r="AV266" s="157"/>
      <c r="AW266" s="167"/>
      <c r="AX266" s="168"/>
      <c r="AY266" s="168"/>
      <c r="AZ266" s="168"/>
      <c r="BA266" s="168"/>
      <c r="BB266" s="168"/>
      <c r="BC266" s="169"/>
    </row>
    <row r="267" spans="28:55" ht="15">
      <c r="AB267" s="181"/>
      <c r="AC267" s="170"/>
      <c r="AD267" s="158"/>
      <c r="AE267" s="157"/>
      <c r="AF267" s="157"/>
      <c r="AG267" s="159"/>
      <c r="AL267" s="160"/>
      <c r="AM267" s="161"/>
      <c r="AN267" s="162"/>
      <c r="AO267" s="163"/>
      <c r="AV267" s="157"/>
      <c r="AW267" s="167"/>
      <c r="AX267" s="168"/>
      <c r="AY267" s="168"/>
      <c r="AZ267" s="168"/>
      <c r="BA267" s="168"/>
      <c r="BB267" s="168"/>
      <c r="BC267" s="169"/>
    </row>
    <row r="268" spans="28:55" ht="15">
      <c r="AB268" s="181"/>
      <c r="AC268" s="170"/>
      <c r="AD268" s="158"/>
      <c r="AE268" s="157"/>
      <c r="AF268" s="157"/>
      <c r="AG268" s="159"/>
      <c r="AL268" s="160"/>
      <c r="AM268" s="161"/>
      <c r="AN268" s="162"/>
      <c r="AO268" s="163"/>
      <c r="AV268" s="157"/>
      <c r="AW268" s="167"/>
      <c r="AX268" s="168"/>
      <c r="AY268" s="168"/>
      <c r="AZ268" s="168"/>
      <c r="BA268" s="168"/>
      <c r="BB268" s="168"/>
      <c r="BC268" s="169"/>
    </row>
    <row r="269" spans="28:55" ht="15">
      <c r="AB269" s="181"/>
      <c r="AD269" s="158"/>
      <c r="AE269" s="157"/>
      <c r="AF269" s="157"/>
      <c r="AG269" s="159"/>
      <c r="AL269" s="160"/>
      <c r="AM269" s="161"/>
      <c r="AN269" s="162"/>
      <c r="AO269" s="163"/>
      <c r="AV269" s="157"/>
      <c r="AW269" s="167"/>
      <c r="AX269" s="168"/>
      <c r="AY269" s="168"/>
      <c r="AZ269" s="168"/>
      <c r="BA269" s="168"/>
      <c r="BB269" s="168"/>
      <c r="BC269" s="169"/>
    </row>
    <row r="270" spans="28:55" ht="15">
      <c r="AB270" s="181"/>
      <c r="AC270" s="170"/>
      <c r="AD270" s="158"/>
      <c r="AE270" s="157"/>
      <c r="AF270" s="157"/>
      <c r="AG270" s="159"/>
      <c r="AL270" s="160"/>
      <c r="AM270" s="161"/>
      <c r="AN270" s="162"/>
      <c r="AO270" s="163"/>
      <c r="AV270" s="157"/>
      <c r="AW270" s="167"/>
      <c r="AX270" s="168"/>
      <c r="AY270" s="168"/>
      <c r="AZ270" s="168"/>
      <c r="BA270" s="168"/>
      <c r="BB270" s="168"/>
      <c r="BC270" s="169"/>
    </row>
    <row r="271" spans="28:55" ht="15">
      <c r="AB271" s="181"/>
      <c r="AC271" s="170"/>
      <c r="AD271" s="158"/>
      <c r="AE271" s="157"/>
      <c r="AF271" s="157"/>
      <c r="AG271" s="159"/>
      <c r="AL271" s="160"/>
      <c r="AM271" s="161"/>
      <c r="AN271" s="162"/>
      <c r="AO271" s="163"/>
      <c r="AV271" s="157"/>
      <c r="AW271" s="167"/>
      <c r="AX271" s="168"/>
      <c r="AY271" s="168"/>
      <c r="AZ271" s="168"/>
      <c r="BA271" s="168"/>
      <c r="BB271" s="168"/>
      <c r="BC271" s="169"/>
    </row>
    <row r="272" spans="28:55" ht="15">
      <c r="AB272" s="181"/>
      <c r="AC272" s="170"/>
      <c r="AD272" s="158"/>
      <c r="AE272" s="157"/>
      <c r="AF272" s="157"/>
      <c r="AG272" s="159"/>
      <c r="AL272" s="160"/>
      <c r="AM272" s="161"/>
      <c r="AN272" s="162"/>
      <c r="AO272" s="163"/>
      <c r="AV272" s="157"/>
      <c r="AW272" s="167"/>
      <c r="AX272" s="168"/>
      <c r="AY272" s="168"/>
      <c r="AZ272" s="168"/>
      <c r="BA272" s="168"/>
      <c r="BB272" s="168"/>
      <c r="BC272" s="169"/>
    </row>
    <row r="273" spans="28:55" ht="15">
      <c r="AB273" s="181"/>
      <c r="AC273" s="170"/>
      <c r="AD273" s="158"/>
      <c r="AE273" s="157"/>
      <c r="AF273" s="157"/>
      <c r="AG273" s="159"/>
      <c r="AL273" s="160"/>
      <c r="AM273" s="161"/>
      <c r="AN273" s="162"/>
      <c r="AO273" s="163"/>
      <c r="AV273" s="157"/>
      <c r="AW273" s="167"/>
      <c r="AX273" s="168"/>
      <c r="AY273" s="168"/>
      <c r="AZ273" s="168"/>
      <c r="BA273" s="168"/>
      <c r="BB273" s="168"/>
      <c r="BC273" s="169"/>
    </row>
    <row r="274" spans="28:55" ht="15">
      <c r="AB274" s="181"/>
      <c r="AC274" s="170"/>
      <c r="AD274" s="158"/>
      <c r="AE274" s="157"/>
      <c r="AF274" s="157"/>
      <c r="AG274" s="159"/>
      <c r="AL274" s="160"/>
      <c r="AM274" s="161"/>
      <c r="AN274" s="162"/>
      <c r="AO274" s="163"/>
      <c r="AV274" s="157"/>
      <c r="AW274" s="167"/>
      <c r="AX274" s="168"/>
      <c r="AY274" s="168"/>
      <c r="AZ274" s="168"/>
      <c r="BA274" s="168"/>
      <c r="BB274" s="168"/>
      <c r="BC274" s="169"/>
    </row>
    <row r="275" spans="28:55" ht="15">
      <c r="AB275" s="181"/>
      <c r="AC275" s="170"/>
      <c r="AD275" s="158"/>
      <c r="AE275" s="157"/>
      <c r="AF275" s="157"/>
      <c r="AG275" s="159"/>
      <c r="AL275" s="160"/>
      <c r="AM275" s="161"/>
      <c r="AN275" s="162"/>
      <c r="AO275" s="163"/>
      <c r="AV275" s="157"/>
      <c r="AW275" s="167"/>
      <c r="AX275" s="168"/>
      <c r="AY275" s="168"/>
      <c r="AZ275" s="168"/>
      <c r="BA275" s="168"/>
      <c r="BB275" s="168"/>
      <c r="BC275" s="169"/>
    </row>
    <row r="276" spans="28:55" ht="15">
      <c r="AB276" s="181"/>
      <c r="AC276" s="170"/>
      <c r="AD276" s="158"/>
      <c r="AE276" s="157"/>
      <c r="AF276" s="157"/>
      <c r="AG276" s="159"/>
      <c r="AL276" s="160"/>
      <c r="AM276" s="161"/>
      <c r="AN276" s="162"/>
      <c r="AO276" s="163"/>
      <c r="AV276" s="157"/>
      <c r="AW276" s="167"/>
      <c r="AX276" s="168"/>
      <c r="AY276" s="168"/>
      <c r="AZ276" s="168"/>
      <c r="BA276" s="168"/>
      <c r="BB276" s="168"/>
      <c r="BC276" s="169"/>
    </row>
    <row r="277" spans="28:55" ht="15">
      <c r="AB277" s="181"/>
      <c r="AC277" s="170"/>
      <c r="AD277" s="158"/>
      <c r="AE277" s="157"/>
      <c r="AF277" s="157"/>
      <c r="AG277" s="159"/>
      <c r="AL277" s="160"/>
      <c r="AM277" s="161"/>
      <c r="AN277" s="162"/>
      <c r="AO277" s="163"/>
      <c r="AV277" s="157"/>
      <c r="AW277" s="167"/>
      <c r="AX277" s="168"/>
      <c r="AY277" s="168"/>
      <c r="AZ277" s="168"/>
      <c r="BA277" s="168"/>
      <c r="BB277" s="168"/>
      <c r="BC277" s="169"/>
    </row>
    <row r="278" spans="28:55" ht="15">
      <c r="AB278" s="181"/>
      <c r="AC278" s="170"/>
      <c r="AD278" s="158"/>
      <c r="AE278" s="157"/>
      <c r="AF278" s="157"/>
      <c r="AG278" s="159"/>
      <c r="AL278" s="160"/>
      <c r="AM278" s="161"/>
      <c r="AN278" s="162"/>
      <c r="AO278" s="163"/>
      <c r="AV278" s="157"/>
      <c r="AW278" s="167"/>
      <c r="AX278" s="168"/>
      <c r="AY278" s="168"/>
      <c r="AZ278" s="168"/>
      <c r="BA278" s="168"/>
      <c r="BB278" s="168"/>
      <c r="BC278" s="169"/>
    </row>
    <row r="279" spans="28:55" ht="15">
      <c r="AB279" s="181"/>
      <c r="AC279" s="170"/>
      <c r="AD279" s="158"/>
      <c r="AE279" s="157"/>
      <c r="AF279" s="157"/>
      <c r="AG279" s="159"/>
      <c r="AL279" s="160"/>
      <c r="AM279" s="161"/>
      <c r="AN279" s="162"/>
      <c r="AO279" s="163"/>
      <c r="AV279" s="157"/>
      <c r="AW279" s="167"/>
      <c r="AX279" s="168"/>
      <c r="AY279" s="168"/>
      <c r="AZ279" s="168"/>
      <c r="BA279" s="168"/>
      <c r="BB279" s="168"/>
      <c r="BC279" s="169"/>
    </row>
    <row r="280" spans="28:55" ht="15">
      <c r="AB280" s="181"/>
      <c r="AC280" s="170"/>
      <c r="AD280" s="158"/>
      <c r="AE280" s="157"/>
      <c r="AF280" s="157"/>
      <c r="AG280" s="159"/>
      <c r="AL280" s="160"/>
      <c r="AM280" s="161"/>
      <c r="AN280" s="162"/>
      <c r="AO280" s="163"/>
      <c r="AV280" s="157"/>
      <c r="AW280" s="167"/>
      <c r="AX280" s="168"/>
      <c r="AY280" s="168"/>
      <c r="AZ280" s="168"/>
      <c r="BA280" s="168"/>
      <c r="BB280" s="168"/>
      <c r="BC280" s="169"/>
    </row>
    <row r="281" spans="28:55" ht="15">
      <c r="AB281" s="181"/>
      <c r="AC281" s="170"/>
      <c r="AD281" s="158"/>
      <c r="AE281" s="157"/>
      <c r="AF281" s="157"/>
      <c r="AG281" s="159"/>
      <c r="AL281" s="160"/>
      <c r="AM281" s="161"/>
      <c r="AN281" s="162"/>
      <c r="AO281" s="163"/>
      <c r="AV281" s="157"/>
      <c r="AW281" s="167"/>
      <c r="AX281" s="168"/>
      <c r="AY281" s="168"/>
      <c r="AZ281" s="168"/>
      <c r="BA281" s="168"/>
      <c r="BB281" s="168"/>
      <c r="BC281" s="169"/>
    </row>
    <row r="282" spans="28:55" ht="15">
      <c r="AB282" s="181"/>
      <c r="AC282" s="170"/>
      <c r="AD282" s="158"/>
      <c r="AE282" s="157"/>
      <c r="AF282" s="157"/>
      <c r="AG282" s="159"/>
      <c r="AL282" s="160"/>
      <c r="AM282" s="161"/>
      <c r="AN282" s="162"/>
      <c r="AO282" s="163"/>
      <c r="AV282" s="157"/>
      <c r="AW282" s="167"/>
      <c r="AX282" s="168"/>
      <c r="AY282" s="168"/>
      <c r="AZ282" s="168"/>
      <c r="BA282" s="168"/>
      <c r="BB282" s="168"/>
      <c r="BC282" s="169"/>
    </row>
    <row r="283" spans="28:55" ht="15">
      <c r="AB283" s="181"/>
      <c r="AC283" s="170"/>
      <c r="AD283" s="158"/>
      <c r="AE283" s="157"/>
      <c r="AF283" s="157"/>
      <c r="AG283" s="159"/>
      <c r="AL283" s="160"/>
      <c r="AM283" s="161"/>
      <c r="AN283" s="162"/>
      <c r="AO283" s="163"/>
      <c r="AV283" s="157"/>
      <c r="AW283" s="167"/>
      <c r="AX283" s="168"/>
      <c r="AY283" s="168"/>
      <c r="AZ283" s="168"/>
      <c r="BA283" s="168"/>
      <c r="BB283" s="168"/>
      <c r="BC283" s="169"/>
    </row>
    <row r="284" spans="28:55" ht="15">
      <c r="AB284" s="181"/>
      <c r="AC284" s="170"/>
      <c r="AD284" s="158"/>
      <c r="AE284" s="157"/>
      <c r="AF284" s="157"/>
      <c r="AG284" s="159"/>
      <c r="AL284" s="160"/>
      <c r="AM284" s="161"/>
      <c r="AN284" s="162"/>
      <c r="AO284" s="163"/>
      <c r="AV284" s="157"/>
      <c r="AW284" s="167"/>
      <c r="AX284" s="168"/>
      <c r="AY284" s="168"/>
      <c r="AZ284" s="168"/>
      <c r="BA284" s="168"/>
      <c r="BB284" s="168"/>
      <c r="BC284" s="169"/>
    </row>
    <row r="285" spans="28:55" ht="15">
      <c r="AB285" s="181"/>
      <c r="AC285" s="170"/>
      <c r="AD285" s="158"/>
      <c r="AE285" s="157"/>
      <c r="AF285" s="157"/>
      <c r="AG285" s="159"/>
      <c r="AL285" s="160"/>
      <c r="AM285" s="161"/>
      <c r="AN285" s="162"/>
      <c r="AO285" s="163"/>
      <c r="AV285" s="157"/>
      <c r="AW285" s="167"/>
      <c r="AX285" s="168"/>
      <c r="AY285" s="168"/>
      <c r="AZ285" s="168"/>
      <c r="BA285" s="168"/>
      <c r="BB285" s="168"/>
      <c r="BC285" s="169"/>
    </row>
    <row r="286" spans="28:55" ht="15">
      <c r="AB286" s="181"/>
      <c r="AC286" s="170"/>
      <c r="AD286" s="158"/>
      <c r="AE286" s="157"/>
      <c r="AF286" s="157"/>
      <c r="AG286" s="159"/>
      <c r="AL286" s="160"/>
      <c r="AM286" s="161"/>
      <c r="AN286" s="162"/>
      <c r="AO286" s="163"/>
      <c r="AV286" s="157"/>
      <c r="AW286" s="167"/>
      <c r="AX286" s="168"/>
      <c r="AY286" s="168"/>
      <c r="AZ286" s="168"/>
      <c r="BA286" s="168"/>
      <c r="BB286" s="168"/>
      <c r="BC286" s="169"/>
    </row>
    <row r="287" spans="28:55" ht="15">
      <c r="AB287" s="181"/>
      <c r="AD287" s="158"/>
      <c r="AE287" s="157"/>
      <c r="AF287" s="157"/>
      <c r="AG287" s="159"/>
      <c r="AL287" s="160"/>
      <c r="AM287" s="161"/>
      <c r="AN287" s="162"/>
      <c r="AO287" s="163"/>
      <c r="AV287" s="157"/>
      <c r="AW287" s="167"/>
      <c r="AX287" s="168"/>
      <c r="AY287" s="168"/>
      <c r="AZ287" s="168"/>
      <c r="BA287" s="168"/>
      <c r="BB287" s="168"/>
      <c r="BC287" s="169"/>
    </row>
    <row r="288" spans="28:55" ht="15">
      <c r="AB288" s="181"/>
      <c r="AC288" s="170"/>
      <c r="AD288" s="158"/>
      <c r="AE288" s="157"/>
      <c r="AF288" s="157"/>
      <c r="AG288" s="159"/>
      <c r="AL288" s="160"/>
      <c r="AM288" s="161"/>
      <c r="AN288" s="162"/>
      <c r="AO288" s="163"/>
      <c r="AV288" s="157"/>
      <c r="AW288" s="167"/>
      <c r="AX288" s="168"/>
      <c r="AY288" s="168"/>
      <c r="AZ288" s="168"/>
      <c r="BA288" s="168"/>
      <c r="BB288" s="168"/>
      <c r="BC288" s="169"/>
    </row>
    <row r="289" spans="28:55" ht="15">
      <c r="AB289" s="181"/>
      <c r="AC289" s="170"/>
      <c r="AD289" s="158"/>
      <c r="AE289" s="157"/>
      <c r="AF289" s="157"/>
      <c r="AG289" s="159"/>
      <c r="AL289" s="160"/>
      <c r="AM289" s="161"/>
      <c r="AN289" s="162"/>
      <c r="AO289" s="163"/>
      <c r="AV289" s="157"/>
      <c r="AW289" s="167"/>
      <c r="AX289" s="168"/>
      <c r="AY289" s="168"/>
      <c r="AZ289" s="168"/>
      <c r="BA289" s="168"/>
      <c r="BB289" s="168"/>
      <c r="BC289" s="169"/>
    </row>
    <row r="290" spans="28:55" ht="15">
      <c r="AB290" s="181"/>
      <c r="AC290" s="170"/>
      <c r="AD290" s="158"/>
      <c r="AE290" s="157"/>
      <c r="AF290" s="157"/>
      <c r="AG290" s="159"/>
      <c r="AL290" s="160"/>
      <c r="AM290" s="161"/>
      <c r="AN290" s="162"/>
      <c r="AO290" s="163"/>
      <c r="AV290" s="157"/>
      <c r="AW290" s="167"/>
      <c r="AX290" s="168"/>
      <c r="AY290" s="168"/>
      <c r="AZ290" s="168"/>
      <c r="BA290" s="168"/>
      <c r="BB290" s="168"/>
      <c r="BC290" s="169"/>
    </row>
    <row r="291" spans="28:55" ht="15">
      <c r="AB291" s="181"/>
      <c r="AC291" s="170"/>
      <c r="AD291" s="158"/>
      <c r="AE291" s="157"/>
      <c r="AF291" s="157"/>
      <c r="AG291" s="159"/>
      <c r="AL291" s="160"/>
      <c r="AM291" s="161"/>
      <c r="AN291" s="162"/>
      <c r="AO291" s="163"/>
      <c r="AV291" s="157"/>
      <c r="AW291" s="167"/>
      <c r="AX291" s="168"/>
      <c r="AY291" s="168"/>
      <c r="AZ291" s="168"/>
      <c r="BA291" s="168"/>
      <c r="BB291" s="168"/>
      <c r="BC291" s="169"/>
    </row>
    <row r="292" spans="28:55" ht="15">
      <c r="AB292" s="181"/>
      <c r="AC292" s="170"/>
      <c r="AD292" s="158"/>
      <c r="AE292" s="157"/>
      <c r="AF292" s="157"/>
      <c r="AG292" s="159"/>
      <c r="AL292" s="160"/>
      <c r="AM292" s="161"/>
      <c r="AN292" s="162"/>
      <c r="AO292" s="163"/>
      <c r="AV292" s="157"/>
      <c r="AW292" s="167"/>
      <c r="AX292" s="168"/>
      <c r="AY292" s="168"/>
      <c r="AZ292" s="168"/>
      <c r="BA292" s="168"/>
      <c r="BB292" s="168"/>
      <c r="BC292" s="169"/>
    </row>
    <row r="293" spans="28:55" ht="15">
      <c r="AB293" s="181"/>
      <c r="AC293" s="170"/>
      <c r="AD293" s="158"/>
      <c r="AE293" s="157"/>
      <c r="AF293" s="157"/>
      <c r="AG293" s="159"/>
      <c r="AL293" s="160"/>
      <c r="AM293" s="161"/>
      <c r="AN293" s="162"/>
      <c r="AO293" s="163"/>
      <c r="AV293" s="157"/>
      <c r="AW293" s="167"/>
      <c r="AX293" s="168"/>
      <c r="AY293" s="168"/>
      <c r="AZ293" s="168"/>
      <c r="BA293" s="168"/>
      <c r="BB293" s="168"/>
      <c r="BC293" s="169"/>
    </row>
    <row r="294" spans="28:55" ht="15">
      <c r="AB294" s="181"/>
      <c r="AC294" s="170"/>
      <c r="AD294" s="158"/>
      <c r="AE294" s="157"/>
      <c r="AF294" s="157"/>
      <c r="AG294" s="159"/>
      <c r="AL294" s="160"/>
      <c r="AM294" s="161"/>
      <c r="AN294" s="162"/>
      <c r="AO294" s="163"/>
      <c r="AV294" s="157"/>
      <c r="AW294" s="167"/>
      <c r="AX294" s="168"/>
      <c r="AY294" s="168"/>
      <c r="AZ294" s="168"/>
      <c r="BA294" s="168"/>
      <c r="BB294" s="168"/>
      <c r="BC294" s="169"/>
    </row>
    <row r="295" spans="28:55" ht="15">
      <c r="AB295" s="181"/>
      <c r="AC295" s="170"/>
      <c r="AD295" s="158"/>
      <c r="AE295" s="157"/>
      <c r="AF295" s="157"/>
      <c r="AG295" s="159"/>
      <c r="AL295" s="160"/>
      <c r="AM295" s="161"/>
      <c r="AN295" s="162"/>
      <c r="AO295" s="163"/>
      <c r="AV295" s="157"/>
      <c r="AW295" s="167"/>
      <c r="AX295" s="168"/>
      <c r="AY295" s="168"/>
      <c r="AZ295" s="168"/>
      <c r="BA295" s="168"/>
      <c r="BB295" s="168"/>
      <c r="BC295" s="169"/>
    </row>
    <row r="296" spans="28:55" ht="15">
      <c r="AB296" s="181"/>
      <c r="AC296" s="170"/>
      <c r="AD296" s="158"/>
      <c r="AE296" s="157"/>
      <c r="AF296" s="157"/>
      <c r="AG296" s="159"/>
      <c r="AL296" s="160"/>
      <c r="AM296" s="161"/>
      <c r="AN296" s="162"/>
      <c r="AO296" s="163"/>
      <c r="AV296" s="157"/>
      <c r="AW296" s="167"/>
      <c r="AX296" s="168"/>
      <c r="AY296" s="168"/>
      <c r="AZ296" s="168"/>
      <c r="BA296" s="168"/>
      <c r="BB296" s="168"/>
      <c r="BC296" s="169"/>
    </row>
    <row r="297" spans="28:55" ht="15">
      <c r="AB297" s="181"/>
      <c r="AC297" s="170"/>
      <c r="AD297" s="158"/>
      <c r="AE297" s="157"/>
      <c r="AF297" s="157"/>
      <c r="AG297" s="159"/>
      <c r="AL297" s="160"/>
      <c r="AM297" s="161"/>
      <c r="AN297" s="162"/>
      <c r="AO297" s="163"/>
      <c r="AV297" s="157"/>
      <c r="AW297" s="167"/>
      <c r="AX297" s="168"/>
      <c r="AY297" s="168"/>
      <c r="AZ297" s="168"/>
      <c r="BA297" s="168"/>
      <c r="BB297" s="168"/>
      <c r="BC297" s="169"/>
    </row>
    <row r="298" spans="28:55" ht="15">
      <c r="AB298" s="181"/>
      <c r="AC298" s="170"/>
      <c r="AD298" s="158"/>
      <c r="AE298" s="157"/>
      <c r="AF298" s="157"/>
      <c r="AG298" s="159"/>
      <c r="AL298" s="160"/>
      <c r="AM298" s="161"/>
      <c r="AN298" s="162"/>
      <c r="AO298" s="163"/>
      <c r="AV298" s="157"/>
      <c r="AW298" s="167"/>
      <c r="AX298" s="168"/>
      <c r="AY298" s="168"/>
      <c r="AZ298" s="168"/>
      <c r="BA298" s="168"/>
      <c r="BB298" s="168"/>
      <c r="BC298" s="169"/>
    </row>
    <row r="299" spans="28:55" ht="15">
      <c r="AB299" s="181"/>
      <c r="AC299" s="170"/>
      <c r="AD299" s="158"/>
      <c r="AE299" s="157"/>
      <c r="AF299" s="157"/>
      <c r="AG299" s="159"/>
      <c r="AL299" s="160"/>
      <c r="AM299" s="161"/>
      <c r="AN299" s="162"/>
      <c r="AO299" s="163"/>
      <c r="AV299" s="157"/>
      <c r="AW299" s="167"/>
      <c r="AX299" s="168"/>
      <c r="AY299" s="168"/>
      <c r="AZ299" s="168"/>
      <c r="BA299" s="168"/>
      <c r="BB299" s="168"/>
      <c r="BC299" s="169"/>
    </row>
    <row r="300" spans="28:55" ht="15">
      <c r="AB300" s="181"/>
      <c r="AC300" s="170"/>
      <c r="AD300" s="158"/>
      <c r="AE300" s="157"/>
      <c r="AF300" s="157"/>
      <c r="AG300" s="159"/>
      <c r="AL300" s="160"/>
      <c r="AM300" s="161"/>
      <c r="AN300" s="162"/>
      <c r="AO300" s="163"/>
      <c r="AV300" s="157"/>
      <c r="AW300" s="167"/>
      <c r="AX300" s="168"/>
      <c r="AY300" s="168"/>
      <c r="AZ300" s="168"/>
      <c r="BA300" s="168"/>
      <c r="BB300" s="168"/>
      <c r="BC300" s="169"/>
    </row>
    <row r="301" spans="28:55" ht="15">
      <c r="AB301" s="181"/>
      <c r="AC301" s="170"/>
      <c r="AD301" s="158"/>
      <c r="AE301" s="157"/>
      <c r="AF301" s="157"/>
      <c r="AG301" s="159"/>
      <c r="AL301" s="160"/>
      <c r="AM301" s="161"/>
      <c r="AN301" s="162"/>
      <c r="AO301" s="163"/>
      <c r="AV301" s="157"/>
      <c r="AW301" s="167"/>
      <c r="AX301" s="168"/>
      <c r="AY301" s="168"/>
      <c r="AZ301" s="168"/>
      <c r="BA301" s="168"/>
      <c r="BB301" s="168"/>
      <c r="BC301" s="169"/>
    </row>
    <row r="302" spans="28:55" ht="15">
      <c r="AB302" s="181"/>
      <c r="AC302" s="170"/>
      <c r="AD302" s="158"/>
      <c r="AE302" s="157"/>
      <c r="AF302" s="157"/>
      <c r="AG302" s="159"/>
      <c r="AL302" s="160"/>
      <c r="AM302" s="161"/>
      <c r="AN302" s="162"/>
      <c r="AO302" s="163"/>
      <c r="AV302" s="157"/>
      <c r="AW302" s="167"/>
      <c r="AX302" s="168"/>
      <c r="AY302" s="168"/>
      <c r="AZ302" s="168"/>
      <c r="BA302" s="168"/>
      <c r="BB302" s="168"/>
      <c r="BC302" s="169"/>
    </row>
    <row r="303" spans="28:55" ht="15">
      <c r="AB303" s="181"/>
      <c r="AC303" s="170"/>
      <c r="AD303" s="158"/>
      <c r="AE303" s="157"/>
      <c r="AF303" s="157"/>
      <c r="AG303" s="159"/>
      <c r="AL303" s="160"/>
      <c r="AM303" s="161"/>
      <c r="AN303" s="162"/>
      <c r="AO303" s="163"/>
      <c r="AV303" s="157"/>
      <c r="AW303" s="167"/>
      <c r="AX303" s="168"/>
      <c r="AY303" s="168"/>
      <c r="AZ303" s="168"/>
      <c r="BA303" s="168"/>
      <c r="BB303" s="168"/>
      <c r="BC303" s="169"/>
    </row>
    <row r="304" spans="28:55" ht="15">
      <c r="AB304" s="181"/>
      <c r="AC304" s="170"/>
      <c r="AD304" s="158"/>
      <c r="AE304" s="157"/>
      <c r="AF304" s="157"/>
      <c r="AG304" s="159"/>
      <c r="AL304" s="160"/>
      <c r="AM304" s="161"/>
      <c r="AN304" s="162"/>
      <c r="AO304" s="163"/>
      <c r="AV304" s="157"/>
      <c r="AW304" s="167"/>
      <c r="AX304" s="168"/>
      <c r="AY304" s="168"/>
      <c r="AZ304" s="168"/>
      <c r="BA304" s="168"/>
      <c r="BB304" s="168"/>
      <c r="BC304" s="169"/>
    </row>
    <row r="305" spans="28:55" ht="15">
      <c r="AB305" s="181"/>
      <c r="AC305" s="170"/>
      <c r="AD305" s="158"/>
      <c r="AE305" s="157"/>
      <c r="AF305" s="157"/>
      <c r="AG305" s="159"/>
      <c r="AL305" s="160"/>
      <c r="AM305" s="161"/>
      <c r="AN305" s="162"/>
      <c r="AO305" s="163"/>
      <c r="AV305" s="157"/>
      <c r="AW305" s="167"/>
      <c r="AX305" s="168"/>
      <c r="AY305" s="168"/>
      <c r="AZ305" s="168"/>
      <c r="BA305" s="168"/>
      <c r="BB305" s="168"/>
      <c r="BC305" s="169"/>
    </row>
    <row r="306" spans="28:55" ht="15">
      <c r="AB306" s="181"/>
      <c r="AC306" s="170"/>
      <c r="AD306" s="158"/>
      <c r="AE306" s="157"/>
      <c r="AF306" s="157"/>
      <c r="AG306" s="159"/>
      <c r="AL306" s="160"/>
      <c r="AM306" s="161"/>
      <c r="AN306" s="162"/>
      <c r="AO306" s="163"/>
      <c r="AV306" s="157"/>
      <c r="AW306" s="167"/>
      <c r="AX306" s="168"/>
      <c r="AY306" s="168"/>
      <c r="AZ306" s="168"/>
      <c r="BA306" s="168"/>
      <c r="BB306" s="168"/>
      <c r="BC306" s="169"/>
    </row>
    <row r="307" spans="28:55" ht="15">
      <c r="AB307" s="181"/>
      <c r="AC307" s="170"/>
      <c r="AD307" s="158"/>
      <c r="AE307" s="157"/>
      <c r="AF307" s="157"/>
      <c r="AG307" s="159"/>
      <c r="AL307" s="160"/>
      <c r="AM307" s="161"/>
      <c r="AN307" s="162"/>
      <c r="AO307" s="163"/>
      <c r="AV307" s="157"/>
      <c r="AW307" s="167"/>
      <c r="AX307" s="168"/>
      <c r="AY307" s="168"/>
      <c r="AZ307" s="168"/>
      <c r="BA307" s="168"/>
      <c r="BB307" s="168"/>
      <c r="BC307" s="169"/>
    </row>
    <row r="308" spans="28:55" ht="15">
      <c r="AB308" s="181"/>
      <c r="AC308" s="170"/>
      <c r="AD308" s="158"/>
      <c r="AE308" s="157"/>
      <c r="AF308" s="157"/>
      <c r="AG308" s="159"/>
      <c r="AL308" s="160"/>
      <c r="AM308" s="161"/>
      <c r="AN308" s="162"/>
      <c r="AO308" s="163"/>
      <c r="AV308" s="157"/>
      <c r="AW308" s="167"/>
      <c r="AX308" s="168"/>
      <c r="AY308" s="168"/>
      <c r="AZ308" s="168"/>
      <c r="BA308" s="168"/>
      <c r="BB308" s="168"/>
      <c r="BC308" s="169"/>
    </row>
    <row r="309" spans="28:55" ht="15">
      <c r="AB309" s="181"/>
      <c r="AC309" s="170"/>
      <c r="AD309" s="158"/>
      <c r="AE309" s="157"/>
      <c r="AF309" s="157"/>
      <c r="AG309" s="159"/>
      <c r="AL309" s="160"/>
      <c r="AM309" s="161"/>
      <c r="AN309" s="162"/>
      <c r="AO309" s="163"/>
      <c r="AV309" s="157"/>
      <c r="AW309" s="167"/>
      <c r="AX309" s="168"/>
      <c r="AY309" s="168"/>
      <c r="AZ309" s="168"/>
      <c r="BA309" s="168"/>
      <c r="BB309" s="168"/>
      <c r="BC309" s="169"/>
    </row>
    <row r="310" spans="28:55" ht="15">
      <c r="AB310" s="181"/>
      <c r="AC310" s="170"/>
      <c r="AD310" s="158"/>
      <c r="AE310" s="157"/>
      <c r="AF310" s="157"/>
      <c r="AG310" s="159"/>
      <c r="AL310" s="160"/>
      <c r="AM310" s="161"/>
      <c r="AN310" s="162"/>
      <c r="AO310" s="163"/>
      <c r="AV310" s="157"/>
      <c r="AW310" s="167"/>
      <c r="AX310" s="168"/>
      <c r="AY310" s="168"/>
      <c r="AZ310" s="168"/>
      <c r="BA310" s="168"/>
      <c r="BB310" s="168"/>
      <c r="BC310" s="169"/>
    </row>
    <row r="311" spans="28:55" ht="15">
      <c r="AB311" s="181"/>
      <c r="AC311" s="170"/>
      <c r="AD311" s="158"/>
      <c r="AE311" s="157"/>
      <c r="AF311" s="157"/>
      <c r="AG311" s="159"/>
      <c r="AL311" s="160"/>
      <c r="AM311" s="161"/>
      <c r="AN311" s="162"/>
      <c r="AO311" s="163"/>
      <c r="AV311" s="157"/>
      <c r="AW311" s="167"/>
      <c r="AX311" s="168"/>
      <c r="AY311" s="168"/>
      <c r="AZ311" s="168"/>
      <c r="BA311" s="168"/>
      <c r="BB311" s="168"/>
      <c r="BC311" s="169"/>
    </row>
    <row r="312" spans="28:55" ht="15">
      <c r="AB312" s="181"/>
      <c r="AC312" s="170"/>
      <c r="AD312" s="158"/>
      <c r="AE312" s="157"/>
      <c r="AF312" s="157"/>
      <c r="AG312" s="159"/>
      <c r="AL312" s="160"/>
      <c r="AM312" s="161"/>
      <c r="AN312" s="162"/>
      <c r="AO312" s="163"/>
      <c r="AV312" s="157"/>
      <c r="AW312" s="167"/>
      <c r="AX312" s="168"/>
      <c r="AY312" s="168"/>
      <c r="AZ312" s="168"/>
      <c r="BA312" s="168"/>
      <c r="BB312" s="168"/>
      <c r="BC312" s="169"/>
    </row>
    <row r="313" spans="28:55" ht="15">
      <c r="AB313" s="181"/>
      <c r="AC313" s="170"/>
      <c r="AD313" s="158"/>
      <c r="AE313" s="157"/>
      <c r="AF313" s="157"/>
      <c r="AG313" s="159"/>
      <c r="AL313" s="160"/>
      <c r="AM313" s="161"/>
      <c r="AN313" s="162"/>
      <c r="AO313" s="163"/>
      <c r="AV313" s="157"/>
      <c r="AW313" s="167"/>
      <c r="AX313" s="168"/>
      <c r="AY313" s="168"/>
      <c r="AZ313" s="168"/>
      <c r="BA313" s="168"/>
      <c r="BB313" s="168"/>
      <c r="BC313" s="169"/>
    </row>
    <row r="314" spans="28:55" ht="15">
      <c r="AB314" s="181"/>
      <c r="AC314" s="170"/>
      <c r="AD314" s="158"/>
      <c r="AE314" s="157"/>
      <c r="AF314" s="157"/>
      <c r="AG314" s="159"/>
      <c r="AL314" s="160"/>
      <c r="AM314" s="161"/>
      <c r="AN314" s="162"/>
      <c r="AO314" s="163"/>
      <c r="AV314" s="157"/>
      <c r="AW314" s="167"/>
      <c r="AX314" s="168"/>
      <c r="AY314" s="168"/>
      <c r="AZ314" s="168"/>
      <c r="BA314" s="168"/>
      <c r="BB314" s="168"/>
      <c r="BC314" s="169"/>
    </row>
    <row r="315" spans="28:55" ht="15">
      <c r="AB315" s="181"/>
      <c r="AC315" s="170"/>
      <c r="AD315" s="158"/>
      <c r="AE315" s="157"/>
      <c r="AF315" s="157"/>
      <c r="AG315" s="159"/>
      <c r="AL315" s="160"/>
      <c r="AM315" s="161"/>
      <c r="AN315" s="162"/>
      <c r="AO315" s="163"/>
      <c r="AV315" s="157"/>
      <c r="AW315" s="167"/>
      <c r="AX315" s="168"/>
      <c r="AY315" s="168"/>
      <c r="AZ315" s="168"/>
      <c r="BA315" s="168"/>
      <c r="BB315" s="168"/>
      <c r="BC315" s="169"/>
    </row>
    <row r="316" spans="28:55" ht="15">
      <c r="AB316" s="181"/>
      <c r="AC316" s="170"/>
      <c r="AD316" s="158"/>
      <c r="AE316" s="157"/>
      <c r="AF316" s="157"/>
      <c r="AG316" s="159"/>
      <c r="AL316" s="160"/>
      <c r="AM316" s="161"/>
      <c r="AN316" s="162"/>
      <c r="AO316" s="163"/>
      <c r="AV316" s="157"/>
      <c r="AW316" s="167"/>
      <c r="AX316" s="168"/>
      <c r="AY316" s="168"/>
      <c r="AZ316" s="168"/>
      <c r="BA316" s="168"/>
      <c r="BB316" s="168"/>
      <c r="BC316" s="169"/>
    </row>
    <row r="317" spans="28:55" ht="15">
      <c r="AB317" s="181"/>
      <c r="AC317" s="170"/>
      <c r="AD317" s="158"/>
      <c r="AE317" s="157"/>
      <c r="AF317" s="157"/>
      <c r="AG317" s="159"/>
      <c r="AL317" s="160"/>
      <c r="AM317" s="161"/>
      <c r="AN317" s="162"/>
      <c r="AO317" s="163"/>
      <c r="AV317" s="157"/>
      <c r="AW317" s="167"/>
      <c r="AX317" s="168"/>
      <c r="AY317" s="168"/>
      <c r="AZ317" s="168"/>
      <c r="BA317" s="168"/>
      <c r="BB317" s="168"/>
      <c r="BC317" s="169"/>
    </row>
    <row r="318" spans="28:55" ht="15">
      <c r="AB318" s="181"/>
      <c r="AC318" s="170"/>
      <c r="AD318" s="158"/>
      <c r="AE318" s="157"/>
      <c r="AF318" s="157"/>
      <c r="AG318" s="159"/>
      <c r="AL318" s="160"/>
      <c r="AM318" s="161"/>
      <c r="AN318" s="162"/>
      <c r="AO318" s="163"/>
      <c r="AV318" s="157"/>
      <c r="AW318" s="167"/>
      <c r="AX318" s="168"/>
      <c r="AY318" s="168"/>
      <c r="AZ318" s="168"/>
      <c r="BA318" s="168"/>
      <c r="BB318" s="168"/>
      <c r="BC318" s="169"/>
    </row>
    <row r="319" spans="28:55" ht="15">
      <c r="AB319" s="181"/>
      <c r="AC319" s="170"/>
      <c r="AD319" s="158"/>
      <c r="AE319" s="157"/>
      <c r="AF319" s="157"/>
      <c r="AG319" s="159"/>
      <c r="AL319" s="160"/>
      <c r="AM319" s="161"/>
      <c r="AN319" s="162"/>
      <c r="AO319" s="163"/>
      <c r="AV319" s="157"/>
      <c r="AW319" s="167"/>
      <c r="AX319" s="168"/>
      <c r="AY319" s="168"/>
      <c r="AZ319" s="168"/>
      <c r="BA319" s="168"/>
      <c r="BB319" s="168"/>
      <c r="BC319" s="169"/>
    </row>
    <row r="320" spans="28:55" ht="15">
      <c r="AB320" s="181"/>
      <c r="AC320" s="170"/>
      <c r="AD320" s="158"/>
      <c r="AE320" s="157"/>
      <c r="AF320" s="157"/>
      <c r="AG320" s="159"/>
      <c r="AL320" s="160"/>
      <c r="AM320" s="161"/>
      <c r="AN320" s="162"/>
      <c r="AO320" s="163"/>
      <c r="AV320" s="157"/>
      <c r="AW320" s="167"/>
      <c r="AX320" s="168"/>
      <c r="AY320" s="168"/>
      <c r="AZ320" s="168"/>
      <c r="BA320" s="168"/>
      <c r="BB320" s="168"/>
      <c r="BC320" s="169"/>
    </row>
    <row r="321" spans="28:55" ht="15">
      <c r="AB321" s="181"/>
      <c r="AC321" s="170"/>
      <c r="AD321" s="158"/>
      <c r="AE321" s="157"/>
      <c r="AF321" s="157"/>
      <c r="AG321" s="159"/>
      <c r="AL321" s="160"/>
      <c r="AM321" s="161"/>
      <c r="AN321" s="162"/>
      <c r="AO321" s="163"/>
      <c r="AV321" s="157"/>
      <c r="AW321" s="167"/>
      <c r="AX321" s="168"/>
      <c r="AY321" s="168"/>
      <c r="AZ321" s="168"/>
      <c r="BA321" s="168"/>
      <c r="BB321" s="168"/>
      <c r="BC321" s="169"/>
    </row>
    <row r="322" spans="28:55" ht="15">
      <c r="AB322" s="181"/>
      <c r="AC322" s="170"/>
      <c r="AD322" s="158"/>
      <c r="AE322" s="157"/>
      <c r="AF322" s="157"/>
      <c r="AG322" s="159"/>
      <c r="AL322" s="160"/>
      <c r="AM322" s="161"/>
      <c r="AN322" s="162"/>
      <c r="AO322" s="163"/>
      <c r="AV322" s="157"/>
      <c r="AW322" s="167"/>
      <c r="AX322" s="168"/>
      <c r="AY322" s="168"/>
      <c r="AZ322" s="168"/>
      <c r="BA322" s="168"/>
      <c r="BB322" s="168"/>
      <c r="BC322" s="169"/>
    </row>
    <row r="323" spans="28:55" ht="15">
      <c r="AB323" s="181"/>
      <c r="AC323" s="170"/>
      <c r="AD323" s="158"/>
      <c r="AE323" s="157"/>
      <c r="AF323" s="157"/>
      <c r="AG323" s="159"/>
      <c r="AL323" s="160"/>
      <c r="AM323" s="161"/>
      <c r="AN323" s="162"/>
      <c r="AO323" s="163"/>
      <c r="AV323" s="157"/>
      <c r="AW323" s="167"/>
      <c r="AX323" s="168"/>
      <c r="AY323" s="168"/>
      <c r="AZ323" s="168"/>
      <c r="BA323" s="168"/>
      <c r="BB323" s="168"/>
      <c r="BC323" s="169"/>
    </row>
    <row r="324" spans="28:55" ht="15">
      <c r="AB324" s="181"/>
      <c r="AC324" s="170"/>
      <c r="AD324" s="158"/>
      <c r="AE324" s="157"/>
      <c r="AF324" s="157"/>
      <c r="AG324" s="159"/>
      <c r="AL324" s="160"/>
      <c r="AM324" s="161"/>
      <c r="AN324" s="162"/>
      <c r="AO324" s="163"/>
      <c r="AV324" s="157"/>
      <c r="AW324" s="167"/>
      <c r="AX324" s="168"/>
      <c r="AY324" s="168"/>
      <c r="AZ324" s="168"/>
      <c r="BA324" s="168"/>
      <c r="BB324" s="168"/>
      <c r="BC324" s="169"/>
    </row>
    <row r="325" spans="28:55" ht="15">
      <c r="AB325" s="181"/>
      <c r="AC325" s="170"/>
      <c r="AD325" s="158"/>
      <c r="AE325" s="157"/>
      <c r="AF325" s="157"/>
      <c r="AG325" s="159"/>
      <c r="AL325" s="160"/>
      <c r="AM325" s="161"/>
      <c r="AN325" s="162"/>
      <c r="AO325" s="163"/>
      <c r="AV325" s="157"/>
      <c r="AW325" s="167"/>
      <c r="AX325" s="168"/>
      <c r="AY325" s="168"/>
      <c r="AZ325" s="168"/>
      <c r="BA325" s="168"/>
      <c r="BB325" s="168"/>
      <c r="BC325" s="169"/>
    </row>
    <row r="326" spans="28:55" ht="15">
      <c r="AB326" s="181"/>
      <c r="AC326" s="170"/>
      <c r="AD326" s="158"/>
      <c r="AE326" s="157"/>
      <c r="AF326" s="157"/>
      <c r="AG326" s="159"/>
      <c r="AL326" s="160"/>
      <c r="AM326" s="161"/>
      <c r="AN326" s="162"/>
      <c r="AO326" s="163"/>
      <c r="AV326" s="157"/>
      <c r="AW326" s="167"/>
      <c r="AX326" s="168"/>
      <c r="AY326" s="168"/>
      <c r="AZ326" s="168"/>
      <c r="BA326" s="168"/>
      <c r="BB326" s="168"/>
      <c r="BC326" s="169"/>
    </row>
    <row r="327" spans="28:55" ht="15">
      <c r="AB327" s="181"/>
      <c r="AC327" s="170"/>
      <c r="AD327" s="158"/>
      <c r="AE327" s="157"/>
      <c r="AF327" s="157"/>
      <c r="AG327" s="159"/>
      <c r="AL327" s="160"/>
      <c r="AM327" s="161"/>
      <c r="AN327" s="162"/>
      <c r="AO327" s="163"/>
      <c r="AV327" s="157"/>
      <c r="AW327" s="167"/>
      <c r="AX327" s="168"/>
      <c r="AY327" s="168"/>
      <c r="AZ327" s="168"/>
      <c r="BA327" s="168"/>
      <c r="BB327" s="168"/>
      <c r="BC327" s="169"/>
    </row>
    <row r="328" spans="28:55" ht="15">
      <c r="AB328" s="181"/>
      <c r="AC328" s="170"/>
      <c r="AD328" s="158"/>
      <c r="AE328" s="157"/>
      <c r="AF328" s="157"/>
      <c r="AG328" s="159"/>
      <c r="AL328" s="160"/>
      <c r="AM328" s="161"/>
      <c r="AN328" s="162"/>
      <c r="AO328" s="163"/>
      <c r="AV328" s="157"/>
      <c r="AW328" s="167"/>
      <c r="AX328" s="168"/>
      <c r="AY328" s="168"/>
      <c r="AZ328" s="168"/>
      <c r="BA328" s="168"/>
      <c r="BB328" s="168"/>
      <c r="BC328" s="169"/>
    </row>
    <row r="329" spans="28:55" ht="15">
      <c r="AB329" s="181"/>
      <c r="AC329" s="170"/>
      <c r="AD329" s="158"/>
      <c r="AE329" s="157"/>
      <c r="AF329" s="157"/>
      <c r="AG329" s="159"/>
      <c r="AL329" s="160"/>
      <c r="AM329" s="161"/>
      <c r="AN329" s="162"/>
      <c r="AO329" s="163"/>
      <c r="AV329" s="157"/>
      <c r="AW329" s="167"/>
      <c r="AX329" s="168"/>
      <c r="AY329" s="168"/>
      <c r="AZ329" s="168"/>
      <c r="BA329" s="168"/>
      <c r="BB329" s="168"/>
      <c r="BC329" s="169"/>
    </row>
    <row r="330" spans="28:55" ht="15">
      <c r="AB330" s="181"/>
      <c r="AC330" s="170"/>
      <c r="AD330" s="158"/>
      <c r="AE330" s="157"/>
      <c r="AF330" s="157"/>
      <c r="AG330" s="159"/>
      <c r="AL330" s="160"/>
      <c r="AM330" s="161"/>
      <c r="AN330" s="162"/>
      <c r="AO330" s="163"/>
      <c r="AV330" s="157"/>
      <c r="AW330" s="167"/>
      <c r="AX330" s="168"/>
      <c r="AY330" s="168"/>
      <c r="AZ330" s="168"/>
      <c r="BA330" s="168"/>
      <c r="BB330" s="168"/>
      <c r="BC330" s="169"/>
    </row>
    <row r="331" spans="28:55" ht="15">
      <c r="AB331" s="181"/>
      <c r="AC331" s="170"/>
      <c r="AD331" s="158"/>
      <c r="AE331" s="157"/>
      <c r="AF331" s="157"/>
      <c r="AG331" s="159"/>
      <c r="AL331" s="160"/>
      <c r="AM331" s="161"/>
      <c r="AN331" s="162"/>
      <c r="AO331" s="163"/>
      <c r="AV331" s="157"/>
      <c r="AW331" s="167"/>
      <c r="AX331" s="168"/>
      <c r="AY331" s="168"/>
      <c r="AZ331" s="168"/>
      <c r="BA331" s="168"/>
      <c r="BB331" s="168"/>
      <c r="BC331" s="169"/>
    </row>
    <row r="332" spans="28:55" ht="15">
      <c r="AB332" s="181"/>
      <c r="AC332" s="170"/>
      <c r="AD332" s="158"/>
      <c r="AE332" s="157"/>
      <c r="AF332" s="157"/>
      <c r="AG332" s="159"/>
      <c r="AL332" s="160"/>
      <c r="AM332" s="161"/>
      <c r="AN332" s="162"/>
      <c r="AO332" s="163"/>
      <c r="AV332" s="157"/>
      <c r="AW332" s="167"/>
      <c r="AX332" s="168"/>
      <c r="AY332" s="168"/>
      <c r="AZ332" s="168"/>
      <c r="BA332" s="168"/>
      <c r="BB332" s="168"/>
      <c r="BC332" s="169"/>
    </row>
    <row r="333" spans="28:55" ht="15">
      <c r="AB333" s="181"/>
      <c r="AC333" s="170"/>
      <c r="AD333" s="158"/>
      <c r="AE333" s="157"/>
      <c r="AF333" s="157"/>
      <c r="AG333" s="159"/>
      <c r="AL333" s="160"/>
      <c r="AM333" s="161"/>
      <c r="AN333" s="162"/>
      <c r="AO333" s="163"/>
      <c r="AV333" s="157"/>
      <c r="AW333" s="167"/>
      <c r="AX333" s="168"/>
      <c r="AY333" s="168"/>
      <c r="AZ333" s="168"/>
      <c r="BA333" s="168"/>
      <c r="BB333" s="168"/>
      <c r="BC333" s="169"/>
    </row>
    <row r="334" spans="28:55" ht="15">
      <c r="AB334" s="181"/>
      <c r="AC334" s="170"/>
      <c r="AD334" s="158"/>
      <c r="AE334" s="157"/>
      <c r="AF334" s="157"/>
      <c r="AG334" s="159"/>
      <c r="AL334" s="160"/>
      <c r="AM334" s="161"/>
      <c r="AN334" s="162"/>
      <c r="AO334" s="163"/>
      <c r="AV334" s="157"/>
      <c r="AW334" s="167"/>
      <c r="AX334" s="168"/>
      <c r="AY334" s="168"/>
      <c r="AZ334" s="168"/>
      <c r="BA334" s="168"/>
      <c r="BB334" s="168"/>
      <c r="BC334" s="169"/>
    </row>
    <row r="335" spans="28:55" ht="15">
      <c r="AB335" s="181"/>
      <c r="AC335" s="170"/>
      <c r="AD335" s="158"/>
      <c r="AE335" s="157"/>
      <c r="AF335" s="157"/>
      <c r="AG335" s="159"/>
      <c r="AL335" s="160"/>
      <c r="AM335" s="161"/>
      <c r="AN335" s="162"/>
      <c r="AO335" s="163"/>
      <c r="AV335" s="157"/>
      <c r="AW335" s="167"/>
      <c r="AX335" s="168"/>
      <c r="AY335" s="168"/>
      <c r="AZ335" s="168"/>
      <c r="BA335" s="168"/>
      <c r="BB335" s="168"/>
      <c r="BC335" s="169"/>
    </row>
    <row r="336" spans="28:55" ht="15">
      <c r="AB336" s="181"/>
      <c r="AC336" s="170"/>
      <c r="AD336" s="158"/>
      <c r="AE336" s="157"/>
      <c r="AF336" s="157"/>
      <c r="AG336" s="159"/>
      <c r="AL336" s="160"/>
      <c r="AM336" s="161"/>
      <c r="AN336" s="162"/>
      <c r="AO336" s="163"/>
      <c r="AV336" s="157"/>
      <c r="AW336" s="167"/>
      <c r="AX336" s="168"/>
      <c r="AY336" s="168"/>
      <c r="AZ336" s="168"/>
      <c r="BA336" s="168"/>
      <c r="BB336" s="168"/>
      <c r="BC336" s="169"/>
    </row>
    <row r="337" spans="28:55" ht="15">
      <c r="AB337" s="181"/>
      <c r="AC337" s="170"/>
      <c r="AD337" s="158"/>
      <c r="AE337" s="157"/>
      <c r="AF337" s="157"/>
      <c r="AG337" s="159"/>
      <c r="AL337" s="160"/>
      <c r="AM337" s="161"/>
      <c r="AN337" s="162"/>
      <c r="AO337" s="163"/>
      <c r="AV337" s="157"/>
      <c r="AW337" s="167"/>
      <c r="AX337" s="168"/>
      <c r="AY337" s="168"/>
      <c r="AZ337" s="168"/>
      <c r="BA337" s="168"/>
      <c r="BB337" s="168"/>
      <c r="BC337" s="169"/>
    </row>
    <row r="338" spans="28:55" ht="15">
      <c r="AB338" s="181"/>
      <c r="AC338" s="170"/>
      <c r="AD338" s="158"/>
      <c r="AE338" s="157"/>
      <c r="AF338" s="157"/>
      <c r="AG338" s="159"/>
      <c r="AL338" s="160"/>
      <c r="AM338" s="161"/>
      <c r="AN338" s="162"/>
      <c r="AO338" s="163"/>
      <c r="AV338" s="157"/>
      <c r="AW338" s="167"/>
      <c r="AX338" s="168"/>
      <c r="AY338" s="168"/>
      <c r="AZ338" s="168"/>
      <c r="BA338" s="168"/>
      <c r="BB338" s="168"/>
      <c r="BC338" s="169"/>
    </row>
    <row r="339" spans="28:55" ht="15">
      <c r="AB339" s="181"/>
      <c r="AC339" s="170"/>
      <c r="AD339" s="158"/>
      <c r="AE339" s="157"/>
      <c r="AF339" s="157"/>
      <c r="AG339" s="159"/>
      <c r="AL339" s="160"/>
      <c r="AM339" s="161"/>
      <c r="AN339" s="162"/>
      <c r="AO339" s="163"/>
      <c r="AV339" s="157"/>
      <c r="AW339" s="167"/>
      <c r="AX339" s="168"/>
      <c r="AY339" s="168"/>
      <c r="AZ339" s="168"/>
      <c r="BA339" s="168"/>
      <c r="BB339" s="168"/>
      <c r="BC339" s="169"/>
    </row>
    <row r="340" spans="28:55" ht="15">
      <c r="AB340" s="181"/>
      <c r="AC340" s="170"/>
      <c r="AD340" s="158"/>
      <c r="AE340" s="157"/>
      <c r="AF340" s="157"/>
      <c r="AG340" s="159"/>
      <c r="AL340" s="160"/>
      <c r="AM340" s="161"/>
      <c r="AN340" s="162"/>
      <c r="AO340" s="163"/>
      <c r="AV340" s="157"/>
      <c r="AW340" s="167"/>
      <c r="AX340" s="168"/>
      <c r="AY340" s="168"/>
      <c r="AZ340" s="168"/>
      <c r="BA340" s="168"/>
      <c r="BB340" s="168"/>
      <c r="BC340" s="169"/>
    </row>
    <row r="341" spans="28:55" ht="15">
      <c r="AB341" s="181"/>
      <c r="AC341" s="170"/>
      <c r="AD341" s="158"/>
      <c r="AE341" s="157"/>
      <c r="AF341" s="157"/>
      <c r="AG341" s="159"/>
      <c r="AL341" s="160"/>
      <c r="AM341" s="161"/>
      <c r="AN341" s="162"/>
      <c r="AO341" s="163"/>
      <c r="AV341" s="157"/>
      <c r="AW341" s="167"/>
      <c r="AX341" s="168"/>
      <c r="AY341" s="168"/>
      <c r="AZ341" s="168"/>
      <c r="BA341" s="168"/>
      <c r="BB341" s="168"/>
      <c r="BC341" s="169"/>
    </row>
    <row r="342" spans="28:55" ht="15">
      <c r="AB342" s="181"/>
      <c r="AC342" s="170"/>
      <c r="AD342" s="158"/>
      <c r="AE342" s="157"/>
      <c r="AF342" s="157"/>
      <c r="AG342" s="159"/>
      <c r="AL342" s="160"/>
      <c r="AM342" s="161"/>
      <c r="AN342" s="162"/>
      <c r="AO342" s="163"/>
      <c r="AV342" s="157"/>
      <c r="AW342" s="167"/>
      <c r="AX342" s="168"/>
      <c r="AY342" s="168"/>
      <c r="AZ342" s="168"/>
      <c r="BA342" s="168"/>
      <c r="BB342" s="168"/>
      <c r="BC342" s="169"/>
    </row>
    <row r="343" spans="28:55" ht="15">
      <c r="AB343" s="181"/>
      <c r="AC343" s="170"/>
      <c r="AD343" s="158"/>
      <c r="AE343" s="157"/>
      <c r="AF343" s="157"/>
      <c r="AG343" s="159"/>
      <c r="AL343" s="160"/>
      <c r="AM343" s="161"/>
      <c r="AN343" s="162"/>
      <c r="AO343" s="163"/>
      <c r="AV343" s="157"/>
      <c r="AW343" s="167"/>
      <c r="AX343" s="168"/>
      <c r="AY343" s="168"/>
      <c r="AZ343" s="168"/>
      <c r="BA343" s="168"/>
      <c r="BB343" s="168"/>
      <c r="BC343" s="169"/>
    </row>
    <row r="344" spans="28:55" ht="15">
      <c r="AB344" s="181"/>
      <c r="AC344" s="170"/>
      <c r="AD344" s="158"/>
      <c r="AE344" s="157"/>
      <c r="AF344" s="157"/>
      <c r="AG344" s="159"/>
      <c r="AL344" s="160"/>
      <c r="AM344" s="161"/>
      <c r="AN344" s="162"/>
      <c r="AO344" s="163"/>
      <c r="AV344" s="157"/>
      <c r="AW344" s="167"/>
      <c r="AX344" s="168"/>
      <c r="AY344" s="168"/>
      <c r="AZ344" s="168"/>
      <c r="BA344" s="168"/>
      <c r="BB344" s="168"/>
      <c r="BC344" s="169"/>
    </row>
    <row r="345" spans="28:55" ht="15">
      <c r="AB345" s="181"/>
      <c r="AC345" s="170"/>
      <c r="AD345" s="158"/>
      <c r="AE345" s="157"/>
      <c r="AF345" s="157"/>
      <c r="AG345" s="159"/>
      <c r="AL345" s="160"/>
      <c r="AM345" s="161"/>
      <c r="AN345" s="162"/>
      <c r="AO345" s="163"/>
      <c r="AV345" s="157"/>
      <c r="AW345" s="167"/>
      <c r="AX345" s="168"/>
      <c r="AY345" s="168"/>
      <c r="AZ345" s="168"/>
      <c r="BA345" s="168"/>
      <c r="BB345" s="168"/>
      <c r="BC345" s="169"/>
    </row>
    <row r="346" spans="28:55" ht="15">
      <c r="AB346" s="181"/>
      <c r="AC346" s="170"/>
      <c r="AD346" s="158"/>
      <c r="AE346" s="157"/>
      <c r="AF346" s="157"/>
      <c r="AG346" s="159"/>
      <c r="AL346" s="160"/>
      <c r="AM346" s="161"/>
      <c r="AN346" s="162"/>
      <c r="AO346" s="163"/>
      <c r="AV346" s="157"/>
      <c r="AW346" s="167"/>
      <c r="AX346" s="168"/>
      <c r="AY346" s="168"/>
      <c r="AZ346" s="168"/>
      <c r="BA346" s="168"/>
      <c r="BB346" s="168"/>
      <c r="BC346" s="169"/>
    </row>
    <row r="347" spans="28:55" ht="15">
      <c r="AB347" s="181"/>
      <c r="AC347" s="170"/>
      <c r="AD347" s="158"/>
      <c r="AE347" s="157"/>
      <c r="AF347" s="157"/>
      <c r="AG347" s="159"/>
      <c r="AL347" s="160"/>
      <c r="AM347" s="161"/>
      <c r="AN347" s="162"/>
      <c r="AO347" s="163"/>
      <c r="AV347" s="157"/>
      <c r="AW347" s="167"/>
      <c r="AX347" s="168"/>
      <c r="AY347" s="168"/>
      <c r="AZ347" s="168"/>
      <c r="BA347" s="168"/>
      <c r="BB347" s="168"/>
      <c r="BC347" s="169"/>
    </row>
    <row r="348" spans="28:55" ht="15">
      <c r="AB348" s="181"/>
      <c r="AC348" s="170"/>
      <c r="AD348" s="158"/>
      <c r="AE348" s="157"/>
      <c r="AF348" s="157"/>
      <c r="AG348" s="159"/>
      <c r="AL348" s="160"/>
      <c r="AM348" s="161"/>
      <c r="AN348" s="162"/>
      <c r="AO348" s="163"/>
      <c r="AV348" s="157"/>
      <c r="AW348" s="167"/>
      <c r="AX348" s="168"/>
      <c r="AY348" s="168"/>
      <c r="AZ348" s="168"/>
      <c r="BA348" s="168"/>
      <c r="BB348" s="168"/>
      <c r="BC348" s="169"/>
    </row>
    <row r="349" spans="28:55" ht="15">
      <c r="AB349" s="181"/>
      <c r="AC349" s="170"/>
      <c r="AD349" s="158"/>
      <c r="AE349" s="157"/>
      <c r="AF349" s="157"/>
      <c r="AG349" s="159"/>
      <c r="AL349" s="160"/>
      <c r="AM349" s="161"/>
      <c r="AN349" s="162"/>
      <c r="AO349" s="163"/>
      <c r="AV349" s="157"/>
      <c r="AW349" s="167"/>
      <c r="AX349" s="168"/>
      <c r="AY349" s="168"/>
      <c r="AZ349" s="168"/>
      <c r="BA349" s="168"/>
      <c r="BB349" s="168"/>
      <c r="BC349" s="169"/>
    </row>
    <row r="350" spans="28:55" ht="15">
      <c r="AB350" s="181"/>
      <c r="AC350" s="170"/>
      <c r="AD350" s="158"/>
      <c r="AE350" s="157"/>
      <c r="AF350" s="157"/>
      <c r="AG350" s="159"/>
      <c r="AL350" s="160"/>
      <c r="AM350" s="161"/>
      <c r="AN350" s="162"/>
      <c r="AO350" s="163"/>
      <c r="AV350" s="157"/>
      <c r="AW350" s="167"/>
      <c r="AX350" s="168"/>
      <c r="AY350" s="168"/>
      <c r="AZ350" s="168"/>
      <c r="BA350" s="168"/>
      <c r="BB350" s="168"/>
      <c r="BC350" s="169"/>
    </row>
    <row r="351" spans="28:55" ht="15">
      <c r="AB351" s="181"/>
      <c r="AC351" s="170"/>
      <c r="AD351" s="158"/>
      <c r="AE351" s="157"/>
      <c r="AF351" s="157"/>
      <c r="AG351" s="159"/>
      <c r="AL351" s="160"/>
      <c r="AM351" s="161"/>
      <c r="AN351" s="162"/>
      <c r="AO351" s="163"/>
      <c r="AV351" s="157"/>
      <c r="AW351" s="167"/>
      <c r="AX351" s="168"/>
      <c r="AY351" s="168"/>
      <c r="AZ351" s="168"/>
      <c r="BA351" s="168"/>
      <c r="BB351" s="168"/>
      <c r="BC351" s="169"/>
    </row>
    <row r="352" spans="28:55" ht="15">
      <c r="AB352" s="181"/>
      <c r="AC352" s="170"/>
      <c r="AD352" s="158"/>
      <c r="AE352" s="157"/>
      <c r="AF352" s="157"/>
      <c r="AG352" s="159"/>
      <c r="AL352" s="160"/>
      <c r="AM352" s="161"/>
      <c r="AN352" s="162"/>
      <c r="AO352" s="163"/>
      <c r="AV352" s="157"/>
      <c r="AW352" s="167"/>
      <c r="AX352" s="168"/>
      <c r="AY352" s="168"/>
      <c r="AZ352" s="168"/>
      <c r="BA352" s="168"/>
      <c r="BB352" s="168"/>
      <c r="BC352" s="169"/>
    </row>
    <row r="353" spans="28:55" ht="15">
      <c r="AB353" s="181"/>
      <c r="AC353" s="170"/>
      <c r="AD353" s="158"/>
      <c r="AE353" s="157"/>
      <c r="AF353" s="157"/>
      <c r="AG353" s="159"/>
      <c r="AL353" s="160"/>
      <c r="AM353" s="161"/>
      <c r="AN353" s="162"/>
      <c r="AO353" s="163"/>
      <c r="AV353" s="157"/>
      <c r="AW353" s="167"/>
      <c r="AX353" s="168"/>
      <c r="AY353" s="168"/>
      <c r="AZ353" s="168"/>
      <c r="BA353" s="168"/>
      <c r="BB353" s="168"/>
      <c r="BC353" s="169"/>
    </row>
    <row r="354" spans="28:55" ht="15">
      <c r="AB354" s="181"/>
      <c r="AC354" s="170"/>
      <c r="AD354" s="158"/>
      <c r="AE354" s="157"/>
      <c r="AF354" s="157"/>
      <c r="AG354" s="159"/>
      <c r="AL354" s="160"/>
      <c r="AM354" s="161"/>
      <c r="AN354" s="162"/>
      <c r="AO354" s="163"/>
      <c r="AV354" s="157"/>
      <c r="AW354" s="167"/>
      <c r="AX354" s="168"/>
      <c r="AY354" s="168"/>
      <c r="AZ354" s="168"/>
      <c r="BA354" s="168"/>
      <c r="BB354" s="168"/>
      <c r="BC354" s="169"/>
    </row>
    <row r="355" spans="28:55" ht="15">
      <c r="AB355" s="181"/>
      <c r="AC355" s="170"/>
      <c r="AD355" s="158"/>
      <c r="AE355" s="157"/>
      <c r="AF355" s="157"/>
      <c r="AG355" s="159"/>
      <c r="AL355" s="160"/>
      <c r="AM355" s="161"/>
      <c r="AN355" s="162"/>
      <c r="AO355" s="163"/>
      <c r="AV355" s="157"/>
      <c r="AW355" s="167"/>
      <c r="AX355" s="168"/>
      <c r="AY355" s="168"/>
      <c r="AZ355" s="168"/>
      <c r="BA355" s="168"/>
      <c r="BB355" s="168"/>
      <c r="BC355" s="169"/>
    </row>
    <row r="356" spans="28:55" ht="15">
      <c r="AB356" s="181"/>
      <c r="AD356" s="158"/>
      <c r="AE356" s="157"/>
      <c r="AF356" s="157"/>
      <c r="AG356" s="159"/>
      <c r="AL356" s="160"/>
      <c r="AM356" s="161"/>
      <c r="AN356" s="162"/>
      <c r="AO356" s="163"/>
      <c r="AV356" s="157"/>
      <c r="AW356" s="167"/>
      <c r="AX356" s="168"/>
      <c r="AY356" s="168"/>
      <c r="AZ356" s="168"/>
      <c r="BA356" s="168"/>
      <c r="BB356" s="168"/>
      <c r="BC356" s="169"/>
    </row>
    <row r="357" spans="28:55" ht="15">
      <c r="AB357" s="181"/>
      <c r="AC357" s="170"/>
      <c r="AD357" s="158"/>
      <c r="AE357" s="157"/>
      <c r="AF357" s="157"/>
      <c r="AG357" s="159"/>
      <c r="AL357" s="160"/>
      <c r="AM357" s="161"/>
      <c r="AN357" s="162"/>
      <c r="AO357" s="163"/>
      <c r="AV357" s="157"/>
      <c r="AW357" s="167"/>
      <c r="AX357" s="168"/>
      <c r="AY357" s="168"/>
      <c r="AZ357" s="168"/>
      <c r="BA357" s="168"/>
      <c r="BB357" s="168"/>
      <c r="BC357" s="169"/>
    </row>
    <row r="358" spans="28:55" ht="15">
      <c r="AB358" s="181"/>
      <c r="AC358" s="170"/>
      <c r="AD358" s="158"/>
      <c r="AE358" s="157"/>
      <c r="AF358" s="157"/>
      <c r="AG358" s="159"/>
      <c r="AL358" s="160"/>
      <c r="AM358" s="161"/>
      <c r="AN358" s="162"/>
      <c r="AO358" s="163"/>
      <c r="AV358" s="157"/>
      <c r="AW358" s="167"/>
      <c r="AX358" s="168"/>
      <c r="AY358" s="168"/>
      <c r="AZ358" s="168"/>
      <c r="BA358" s="168"/>
      <c r="BB358" s="168"/>
      <c r="BC358" s="169"/>
    </row>
    <row r="359" spans="28:55" ht="15">
      <c r="AB359" s="181"/>
      <c r="AC359" s="170"/>
      <c r="AD359" s="158"/>
      <c r="AE359" s="157"/>
      <c r="AF359" s="157"/>
      <c r="AG359" s="159"/>
      <c r="AL359" s="160"/>
      <c r="AM359" s="161"/>
      <c r="AN359" s="162"/>
      <c r="AO359" s="163"/>
      <c r="AV359" s="157"/>
      <c r="AW359" s="167"/>
      <c r="AX359" s="168"/>
      <c r="AY359" s="168"/>
      <c r="AZ359" s="168"/>
      <c r="BA359" s="168"/>
      <c r="BB359" s="168"/>
      <c r="BC359" s="169"/>
    </row>
    <row r="360" spans="28:55" ht="15">
      <c r="AB360" s="181"/>
      <c r="AC360" s="170"/>
      <c r="AD360" s="158"/>
      <c r="AE360" s="157"/>
      <c r="AF360" s="157"/>
      <c r="AG360" s="159"/>
      <c r="AL360" s="160"/>
      <c r="AM360" s="161"/>
      <c r="AN360" s="162"/>
      <c r="AO360" s="163"/>
      <c r="AV360" s="157"/>
      <c r="AW360" s="167"/>
      <c r="AX360" s="168"/>
      <c r="AY360" s="168"/>
      <c r="AZ360" s="168"/>
      <c r="BA360" s="168"/>
      <c r="BB360" s="168"/>
      <c r="BC360" s="169"/>
    </row>
    <row r="361" spans="28:55" ht="15">
      <c r="AB361" s="181"/>
      <c r="AC361" s="170"/>
      <c r="AD361" s="158"/>
      <c r="AE361" s="157"/>
      <c r="AF361" s="157"/>
      <c r="AG361" s="159"/>
      <c r="AL361" s="160"/>
      <c r="AM361" s="161"/>
      <c r="AN361" s="162"/>
      <c r="AO361" s="163"/>
      <c r="AV361" s="157"/>
      <c r="AW361" s="167"/>
      <c r="AX361" s="168"/>
      <c r="AY361" s="168"/>
      <c r="AZ361" s="168"/>
      <c r="BA361" s="168"/>
      <c r="BB361" s="168"/>
      <c r="BC361" s="169"/>
    </row>
    <row r="362" spans="28:55" ht="15">
      <c r="AB362" s="181"/>
      <c r="AC362" s="170"/>
      <c r="AD362" s="158"/>
      <c r="AE362" s="157"/>
      <c r="AF362" s="157"/>
      <c r="AG362" s="159"/>
      <c r="AL362" s="160"/>
      <c r="AM362" s="161"/>
      <c r="AN362" s="162"/>
      <c r="AO362" s="163"/>
      <c r="AV362" s="157"/>
      <c r="AW362" s="167"/>
      <c r="AX362" s="168"/>
      <c r="AY362" s="168"/>
      <c r="AZ362" s="168"/>
      <c r="BA362" s="168"/>
      <c r="BB362" s="168"/>
      <c r="BC362" s="169"/>
    </row>
    <row r="363" spans="28:55" ht="15">
      <c r="AB363" s="181"/>
      <c r="AC363" s="170"/>
      <c r="AD363" s="158"/>
      <c r="AE363" s="157"/>
      <c r="AF363" s="157"/>
      <c r="AG363" s="159"/>
      <c r="AL363" s="160"/>
      <c r="AM363" s="161"/>
      <c r="AN363" s="162"/>
      <c r="AO363" s="163"/>
      <c r="AV363" s="157"/>
      <c r="AW363" s="167"/>
      <c r="AX363" s="168"/>
      <c r="AY363" s="168"/>
      <c r="AZ363" s="168"/>
      <c r="BA363" s="168"/>
      <c r="BB363" s="168"/>
      <c r="BC363" s="169"/>
    </row>
    <row r="364" spans="28:55" ht="15">
      <c r="AB364" s="181"/>
      <c r="AC364" s="170"/>
      <c r="AD364" s="158"/>
      <c r="AE364" s="157"/>
      <c r="AF364" s="157"/>
      <c r="AG364" s="159"/>
      <c r="AL364" s="160"/>
      <c r="AM364" s="161"/>
      <c r="AN364" s="162"/>
      <c r="AO364" s="163"/>
      <c r="AV364" s="157"/>
      <c r="AW364" s="167"/>
      <c r="AX364" s="168"/>
      <c r="AY364" s="168"/>
      <c r="AZ364" s="168"/>
      <c r="BA364" s="168"/>
      <c r="BB364" s="168"/>
      <c r="BC364" s="169"/>
    </row>
    <row r="365" spans="28:55" ht="15">
      <c r="AB365" s="181"/>
      <c r="AC365" s="170"/>
      <c r="AD365" s="158"/>
      <c r="AE365" s="157"/>
      <c r="AF365" s="157"/>
      <c r="AG365" s="159"/>
      <c r="AL365" s="160"/>
      <c r="AM365" s="161"/>
      <c r="AN365" s="162"/>
      <c r="AO365" s="163"/>
      <c r="AV365" s="157"/>
      <c r="AW365" s="167"/>
      <c r="AX365" s="168"/>
      <c r="AY365" s="168"/>
      <c r="AZ365" s="168"/>
      <c r="BA365" s="168"/>
      <c r="BB365" s="168"/>
      <c r="BC365" s="169"/>
    </row>
    <row r="366" spans="28:55" ht="15">
      <c r="AB366" s="181"/>
      <c r="AC366" s="170"/>
      <c r="AD366" s="158"/>
      <c r="AE366" s="157"/>
      <c r="AF366" s="157"/>
      <c r="AG366" s="159"/>
      <c r="AL366" s="160"/>
      <c r="AM366" s="161"/>
      <c r="AN366" s="162"/>
      <c r="AO366" s="163"/>
      <c r="AV366" s="157"/>
      <c r="AW366" s="167"/>
      <c r="AX366" s="168"/>
      <c r="AY366" s="168"/>
      <c r="AZ366" s="168"/>
      <c r="BA366" s="168"/>
      <c r="BB366" s="168"/>
      <c r="BC366" s="169"/>
    </row>
    <row r="367" spans="28:55" ht="15">
      <c r="AB367" s="181"/>
      <c r="AC367" s="170"/>
      <c r="AD367" s="158"/>
      <c r="AE367" s="157"/>
      <c r="AF367" s="157"/>
      <c r="AG367" s="159"/>
      <c r="AL367" s="160"/>
      <c r="AM367" s="161"/>
      <c r="AN367" s="162"/>
      <c r="AO367" s="163"/>
      <c r="AV367" s="157"/>
      <c r="AW367" s="167"/>
      <c r="AX367" s="168"/>
      <c r="AY367" s="168"/>
      <c r="AZ367" s="168"/>
      <c r="BA367" s="168"/>
      <c r="BB367" s="168"/>
      <c r="BC367" s="169"/>
    </row>
    <row r="368" spans="28:55" ht="15">
      <c r="AB368" s="181"/>
      <c r="AC368" s="170"/>
      <c r="AD368" s="158"/>
      <c r="AE368" s="157"/>
      <c r="AF368" s="157"/>
      <c r="AG368" s="159"/>
      <c r="AL368" s="160"/>
      <c r="AM368" s="161"/>
      <c r="AN368" s="162"/>
      <c r="AO368" s="163"/>
      <c r="AV368" s="157"/>
      <c r="AW368" s="167"/>
      <c r="AX368" s="168"/>
      <c r="AY368" s="168"/>
      <c r="AZ368" s="168"/>
      <c r="BA368" s="168"/>
      <c r="BB368" s="168"/>
      <c r="BC368" s="169"/>
    </row>
    <row r="369" spans="28:55" ht="15">
      <c r="AB369" s="181"/>
      <c r="AC369" s="170"/>
      <c r="AD369" s="158"/>
      <c r="AE369" s="157"/>
      <c r="AF369" s="157"/>
      <c r="AG369" s="159"/>
      <c r="AL369" s="160"/>
      <c r="AM369" s="161"/>
      <c r="AN369" s="162"/>
      <c r="AO369" s="163"/>
      <c r="AV369" s="157"/>
      <c r="AW369" s="167"/>
      <c r="AX369" s="168"/>
      <c r="AY369" s="168"/>
      <c r="AZ369" s="168"/>
      <c r="BA369" s="168"/>
      <c r="BB369" s="168"/>
      <c r="BC369" s="169"/>
    </row>
    <row r="370" spans="28:55" ht="15">
      <c r="AB370" s="181"/>
      <c r="AC370" s="170"/>
      <c r="AD370" s="158"/>
      <c r="AE370" s="157"/>
      <c r="AF370" s="157"/>
      <c r="AG370" s="159"/>
      <c r="AL370" s="160"/>
      <c r="AM370" s="161"/>
      <c r="AN370" s="162"/>
      <c r="AO370" s="163"/>
      <c r="AV370" s="157"/>
      <c r="AW370" s="167"/>
      <c r="AX370" s="168"/>
      <c r="AY370" s="168"/>
      <c r="AZ370" s="168"/>
      <c r="BA370" s="168"/>
      <c r="BB370" s="168"/>
      <c r="BC370" s="169"/>
    </row>
    <row r="371" spans="28:55" ht="15">
      <c r="AB371" s="181"/>
      <c r="AC371" s="170"/>
      <c r="AD371" s="158"/>
      <c r="AE371" s="157"/>
      <c r="AF371" s="157"/>
      <c r="AG371" s="159"/>
      <c r="AL371" s="160"/>
      <c r="AM371" s="161"/>
      <c r="AN371" s="162"/>
      <c r="AO371" s="163"/>
      <c r="AV371" s="157"/>
      <c r="AW371" s="167"/>
      <c r="AX371" s="168"/>
      <c r="AY371" s="168"/>
      <c r="AZ371" s="168"/>
      <c r="BA371" s="168"/>
      <c r="BB371" s="168"/>
      <c r="BC371" s="169"/>
    </row>
    <row r="372" spans="28:55" ht="15">
      <c r="AB372" s="181"/>
      <c r="AC372" s="170"/>
      <c r="AD372" s="158"/>
      <c r="AE372" s="157"/>
      <c r="AF372" s="157"/>
      <c r="AG372" s="159"/>
      <c r="AL372" s="160"/>
      <c r="AM372" s="161"/>
      <c r="AN372" s="162"/>
      <c r="AO372" s="163"/>
      <c r="AV372" s="157"/>
      <c r="AW372" s="167"/>
      <c r="AX372" s="168"/>
      <c r="AY372" s="168"/>
      <c r="AZ372" s="168"/>
      <c r="BA372" s="168"/>
      <c r="BB372" s="168"/>
      <c r="BC372" s="169"/>
    </row>
    <row r="373" spans="28:55" ht="15">
      <c r="AB373" s="181"/>
      <c r="AC373" s="170"/>
      <c r="AD373" s="158"/>
      <c r="AE373" s="157"/>
      <c r="AF373" s="157"/>
      <c r="AG373" s="159"/>
      <c r="AL373" s="160"/>
      <c r="AM373" s="161"/>
      <c r="AN373" s="162"/>
      <c r="AO373" s="163"/>
      <c r="AV373" s="157"/>
      <c r="AW373" s="167"/>
      <c r="AX373" s="168"/>
      <c r="AY373" s="168"/>
      <c r="AZ373" s="168"/>
      <c r="BA373" s="168"/>
      <c r="BB373" s="168"/>
      <c r="BC373" s="169"/>
    </row>
    <row r="374" spans="28:55" ht="15">
      <c r="AB374" s="181"/>
      <c r="AC374" s="170"/>
      <c r="AD374" s="158"/>
      <c r="AE374" s="157"/>
      <c r="AF374" s="157"/>
      <c r="AG374" s="159"/>
      <c r="AL374" s="160"/>
      <c r="AM374" s="161"/>
      <c r="AN374" s="162"/>
      <c r="AO374" s="163"/>
      <c r="AV374" s="157"/>
      <c r="AW374" s="167"/>
      <c r="AX374" s="168"/>
      <c r="AY374" s="168"/>
      <c r="AZ374" s="168"/>
      <c r="BA374" s="168"/>
      <c r="BB374" s="168"/>
      <c r="BC374" s="169"/>
    </row>
    <row r="375" spans="28:55" ht="15">
      <c r="AB375" s="181"/>
      <c r="AC375" s="170"/>
      <c r="AD375" s="158"/>
      <c r="AE375" s="157"/>
      <c r="AF375" s="157"/>
      <c r="AG375" s="159"/>
      <c r="AL375" s="160"/>
      <c r="AM375" s="161"/>
      <c r="AN375" s="162"/>
      <c r="AO375" s="163"/>
      <c r="AV375" s="157"/>
      <c r="AW375" s="167"/>
      <c r="AX375" s="168"/>
      <c r="AY375" s="168"/>
      <c r="AZ375" s="168"/>
      <c r="BA375" s="168"/>
      <c r="BB375" s="168"/>
      <c r="BC375" s="169"/>
    </row>
    <row r="376" spans="28:55" ht="15">
      <c r="AB376" s="181"/>
      <c r="AC376" s="170"/>
      <c r="AD376" s="158"/>
      <c r="AE376" s="157"/>
      <c r="AF376" s="157"/>
      <c r="AG376" s="159"/>
      <c r="AL376" s="160"/>
      <c r="AM376" s="161"/>
      <c r="AN376" s="162"/>
      <c r="AO376" s="163"/>
      <c r="AV376" s="157"/>
      <c r="AW376" s="167"/>
      <c r="AX376" s="168"/>
      <c r="AY376" s="168"/>
      <c r="AZ376" s="168"/>
      <c r="BA376" s="168"/>
      <c r="BB376" s="168"/>
      <c r="BC376" s="169"/>
    </row>
    <row r="377" spans="28:55" ht="15">
      <c r="AB377" s="181"/>
      <c r="AC377" s="170"/>
      <c r="AD377" s="158"/>
      <c r="AE377" s="157"/>
      <c r="AF377" s="157"/>
      <c r="AG377" s="159"/>
      <c r="AL377" s="160"/>
      <c r="AM377" s="161"/>
      <c r="AN377" s="162"/>
      <c r="AO377" s="163"/>
      <c r="AV377" s="157"/>
      <c r="AW377" s="167"/>
      <c r="AX377" s="168"/>
      <c r="AY377" s="168"/>
      <c r="AZ377" s="168"/>
      <c r="BA377" s="168"/>
      <c r="BB377" s="168"/>
      <c r="BC377" s="169"/>
    </row>
    <row r="378" spans="28:55" ht="15">
      <c r="AB378" s="181"/>
      <c r="AC378" s="170"/>
      <c r="AD378" s="158"/>
      <c r="AE378" s="157"/>
      <c r="AF378" s="157"/>
      <c r="AG378" s="159"/>
      <c r="AL378" s="160"/>
      <c r="AM378" s="161"/>
      <c r="AN378" s="162"/>
      <c r="AO378" s="163"/>
      <c r="AV378" s="157"/>
      <c r="AW378" s="167"/>
      <c r="AX378" s="168"/>
      <c r="AY378" s="168"/>
      <c r="AZ378" s="168"/>
      <c r="BA378" s="168"/>
      <c r="BB378" s="168"/>
      <c r="BC378" s="169"/>
    </row>
    <row r="379" spans="28:55" ht="15">
      <c r="AB379" s="181"/>
      <c r="AC379" s="170"/>
      <c r="AD379" s="158"/>
      <c r="AE379" s="157"/>
      <c r="AF379" s="157"/>
      <c r="AG379" s="159"/>
      <c r="AL379" s="160"/>
      <c r="AM379" s="161"/>
      <c r="AN379" s="162"/>
      <c r="AO379" s="163"/>
      <c r="AV379" s="157"/>
      <c r="AW379" s="167"/>
      <c r="AX379" s="168"/>
      <c r="AY379" s="168"/>
      <c r="AZ379" s="168"/>
      <c r="BA379" s="168"/>
      <c r="BB379" s="168"/>
      <c r="BC379" s="169"/>
    </row>
    <row r="380" spans="28:55" ht="15">
      <c r="AB380" s="181"/>
      <c r="AC380" s="170"/>
      <c r="AD380" s="158"/>
      <c r="AE380" s="157"/>
      <c r="AF380" s="157"/>
      <c r="AG380" s="159"/>
      <c r="AL380" s="160"/>
      <c r="AM380" s="161"/>
      <c r="AN380" s="162"/>
      <c r="AO380" s="163"/>
      <c r="AV380" s="157"/>
      <c r="AW380" s="167"/>
      <c r="AX380" s="168"/>
      <c r="AY380" s="168"/>
      <c r="AZ380" s="168"/>
      <c r="BA380" s="168"/>
      <c r="BB380" s="168"/>
      <c r="BC380" s="169"/>
    </row>
    <row r="381" spans="28:55" ht="15">
      <c r="AB381" s="181"/>
      <c r="AC381" s="170"/>
      <c r="AD381" s="158"/>
      <c r="AE381" s="157"/>
      <c r="AF381" s="157"/>
      <c r="AG381" s="159"/>
      <c r="AL381" s="160"/>
      <c r="AM381" s="161"/>
      <c r="AN381" s="162"/>
      <c r="AO381" s="163"/>
      <c r="AV381" s="157"/>
      <c r="AW381" s="167"/>
      <c r="AX381" s="168"/>
      <c r="AY381" s="168"/>
      <c r="AZ381" s="168"/>
      <c r="BA381" s="168"/>
      <c r="BB381" s="168"/>
      <c r="BC381" s="169"/>
    </row>
    <row r="382" spans="28:55" ht="15">
      <c r="AB382" s="181"/>
      <c r="AC382" s="170"/>
      <c r="AD382" s="158"/>
      <c r="AE382" s="157"/>
      <c r="AF382" s="157"/>
      <c r="AG382" s="159"/>
      <c r="AL382" s="160"/>
      <c r="AM382" s="161"/>
      <c r="AN382" s="162"/>
      <c r="AO382" s="163"/>
      <c r="AV382" s="157"/>
      <c r="AW382" s="167"/>
      <c r="AX382" s="168"/>
      <c r="AY382" s="168"/>
      <c r="AZ382" s="168"/>
      <c r="BA382" s="168"/>
      <c r="BB382" s="168"/>
      <c r="BC382" s="169"/>
    </row>
    <row r="383" spans="28:55" ht="15">
      <c r="AB383" s="181"/>
      <c r="AC383" s="170"/>
      <c r="AD383" s="158"/>
      <c r="AE383" s="157"/>
      <c r="AF383" s="157"/>
      <c r="AG383" s="159"/>
      <c r="AL383" s="160"/>
      <c r="AM383" s="161"/>
      <c r="AN383" s="162"/>
      <c r="AO383" s="163"/>
      <c r="AV383" s="157"/>
      <c r="AW383" s="167"/>
      <c r="AX383" s="168"/>
      <c r="AY383" s="168"/>
      <c r="AZ383" s="168"/>
      <c r="BA383" s="168"/>
      <c r="BB383" s="168"/>
      <c r="BC383" s="169"/>
    </row>
    <row r="384" spans="28:55" ht="15">
      <c r="AB384" s="181"/>
      <c r="AC384" s="170"/>
      <c r="AD384" s="158"/>
      <c r="AE384" s="157"/>
      <c r="AF384" s="157"/>
      <c r="AG384" s="159"/>
      <c r="AL384" s="160"/>
      <c r="AM384" s="161"/>
      <c r="AN384" s="162"/>
      <c r="AO384" s="163"/>
      <c r="AV384" s="157"/>
      <c r="AW384" s="167"/>
      <c r="AX384" s="168"/>
      <c r="AY384" s="168"/>
      <c r="AZ384" s="168"/>
      <c r="BA384" s="168"/>
      <c r="BB384" s="168"/>
      <c r="BC384" s="169"/>
    </row>
    <row r="385" spans="28:55" ht="15">
      <c r="AB385" s="181"/>
      <c r="AC385" s="170"/>
      <c r="AD385" s="158"/>
      <c r="AE385" s="157"/>
      <c r="AF385" s="157"/>
      <c r="AG385" s="159"/>
      <c r="AL385" s="160"/>
      <c r="AM385" s="161"/>
      <c r="AN385" s="162"/>
      <c r="AO385" s="163"/>
      <c r="AV385" s="157"/>
      <c r="AW385" s="167"/>
      <c r="AX385" s="168"/>
      <c r="AY385" s="168"/>
      <c r="AZ385" s="168"/>
      <c r="BA385" s="168"/>
      <c r="BB385" s="168"/>
      <c r="BC385" s="169"/>
    </row>
    <row r="386" spans="28:55" ht="15">
      <c r="AB386" s="181"/>
      <c r="AC386" s="170"/>
      <c r="AD386" s="158"/>
      <c r="AE386" s="157"/>
      <c r="AF386" s="157"/>
      <c r="AG386" s="159"/>
      <c r="AL386" s="160"/>
      <c r="AM386" s="161"/>
      <c r="AN386" s="162"/>
      <c r="AO386" s="163"/>
      <c r="AV386" s="157"/>
      <c r="AW386" s="167"/>
      <c r="AX386" s="168"/>
      <c r="AY386" s="168"/>
      <c r="AZ386" s="168"/>
      <c r="BA386" s="168"/>
      <c r="BB386" s="168"/>
      <c r="BC386" s="169"/>
    </row>
    <row r="387" spans="28:55" ht="15">
      <c r="AB387" s="181"/>
      <c r="AC387" s="170"/>
      <c r="AD387" s="158"/>
      <c r="AE387" s="157"/>
      <c r="AF387" s="157"/>
      <c r="AG387" s="159"/>
      <c r="AL387" s="160"/>
      <c r="AM387" s="161"/>
      <c r="AN387" s="162"/>
      <c r="AO387" s="163"/>
      <c r="AV387" s="157"/>
      <c r="AW387" s="167"/>
      <c r="AX387" s="168"/>
      <c r="AY387" s="168"/>
      <c r="AZ387" s="168"/>
      <c r="BA387" s="168"/>
      <c r="BB387" s="168"/>
      <c r="BC387" s="169"/>
    </row>
    <row r="388" spans="28:55" ht="15">
      <c r="AB388" s="181"/>
      <c r="AC388" s="170"/>
      <c r="AD388" s="158"/>
      <c r="AE388" s="157"/>
      <c r="AF388" s="157"/>
      <c r="AG388" s="159"/>
      <c r="AL388" s="160"/>
      <c r="AM388" s="161"/>
      <c r="AN388" s="162"/>
      <c r="AO388" s="163"/>
      <c r="AV388" s="157"/>
      <c r="AW388" s="167"/>
      <c r="AX388" s="168"/>
      <c r="AY388" s="168"/>
      <c r="AZ388" s="168"/>
      <c r="BA388" s="168"/>
      <c r="BB388" s="168"/>
      <c r="BC388" s="169"/>
    </row>
    <row r="389" spans="28:55" ht="15">
      <c r="AB389" s="181"/>
      <c r="AC389" s="170"/>
      <c r="AD389" s="158"/>
      <c r="AE389" s="157"/>
      <c r="AF389" s="157"/>
      <c r="AG389" s="159"/>
      <c r="AL389" s="160"/>
      <c r="AM389" s="161"/>
      <c r="AN389" s="162"/>
      <c r="AO389" s="163"/>
      <c r="AV389" s="157"/>
      <c r="AW389" s="167"/>
      <c r="AX389" s="168"/>
      <c r="AY389" s="168"/>
      <c r="AZ389" s="168"/>
      <c r="BA389" s="168"/>
      <c r="BB389" s="168"/>
      <c r="BC389" s="169"/>
    </row>
    <row r="390" spans="28:55" ht="15">
      <c r="AB390" s="181"/>
      <c r="AC390" s="170"/>
      <c r="AD390" s="158"/>
      <c r="AE390" s="157"/>
      <c r="AF390" s="157"/>
      <c r="AG390" s="159"/>
      <c r="AL390" s="160"/>
      <c r="AM390" s="161"/>
      <c r="AN390" s="162"/>
      <c r="AO390" s="163"/>
      <c r="AV390" s="157"/>
      <c r="AW390" s="167"/>
      <c r="AX390" s="168"/>
      <c r="AY390" s="168"/>
      <c r="AZ390" s="168"/>
      <c r="BA390" s="168"/>
      <c r="BB390" s="168"/>
      <c r="BC390" s="169"/>
    </row>
    <row r="391" spans="28:55" ht="15">
      <c r="AB391" s="181"/>
      <c r="AC391" s="170"/>
      <c r="AD391" s="158"/>
      <c r="AE391" s="157"/>
      <c r="AF391" s="157"/>
      <c r="AG391" s="159"/>
      <c r="AL391" s="160"/>
      <c r="AM391" s="161"/>
      <c r="AN391" s="162"/>
      <c r="AO391" s="163"/>
      <c r="AV391" s="157"/>
      <c r="AW391" s="167"/>
      <c r="AX391" s="168"/>
      <c r="AY391" s="168"/>
      <c r="AZ391" s="168"/>
      <c r="BA391" s="168"/>
      <c r="BB391" s="168"/>
      <c r="BC391" s="169"/>
    </row>
    <row r="392" spans="28:55" ht="15">
      <c r="AB392" s="181"/>
      <c r="AC392" s="170"/>
      <c r="AD392" s="158"/>
      <c r="AE392" s="157"/>
      <c r="AF392" s="157"/>
      <c r="AG392" s="159"/>
      <c r="AL392" s="160"/>
      <c r="AM392" s="161"/>
      <c r="AN392" s="162"/>
      <c r="AO392" s="163"/>
      <c r="AV392" s="157"/>
      <c r="AW392" s="167"/>
      <c r="AX392" s="168"/>
      <c r="AY392" s="168"/>
      <c r="AZ392" s="168"/>
      <c r="BA392" s="168"/>
      <c r="BB392" s="168"/>
      <c r="BC392" s="169"/>
    </row>
    <row r="393" spans="28:55" ht="15">
      <c r="AB393" s="181"/>
      <c r="AC393" s="170"/>
      <c r="AD393" s="158"/>
      <c r="AE393" s="157"/>
      <c r="AF393" s="157"/>
      <c r="AG393" s="159"/>
      <c r="AL393" s="160"/>
      <c r="AM393" s="161"/>
      <c r="AN393" s="162"/>
      <c r="AO393" s="163"/>
      <c r="AV393" s="157"/>
      <c r="AW393" s="167"/>
      <c r="AX393" s="168"/>
      <c r="AY393" s="168"/>
      <c r="AZ393" s="168"/>
      <c r="BA393" s="168"/>
      <c r="BB393" s="168"/>
      <c r="BC393" s="169"/>
    </row>
    <row r="394" spans="28:55" ht="15">
      <c r="AB394" s="181"/>
      <c r="AC394" s="170"/>
      <c r="AD394" s="158"/>
      <c r="AE394" s="157"/>
      <c r="AF394" s="157"/>
      <c r="AG394" s="159"/>
      <c r="AL394" s="160"/>
      <c r="AM394" s="161"/>
      <c r="AN394" s="162"/>
      <c r="AO394" s="163"/>
      <c r="AV394" s="157"/>
      <c r="AW394" s="167"/>
      <c r="AX394" s="168"/>
      <c r="AY394" s="168"/>
      <c r="AZ394" s="168"/>
      <c r="BA394" s="168"/>
      <c r="BB394" s="168"/>
      <c r="BC394" s="169"/>
    </row>
    <row r="395" spans="28:55" ht="15">
      <c r="AB395" s="181"/>
      <c r="AC395" s="170"/>
      <c r="AD395" s="158"/>
      <c r="AE395" s="157"/>
      <c r="AF395" s="157"/>
      <c r="AG395" s="159"/>
      <c r="AL395" s="160"/>
      <c r="AM395" s="161"/>
      <c r="AN395" s="162"/>
      <c r="AO395" s="163"/>
      <c r="AV395" s="157"/>
      <c r="AW395" s="167"/>
      <c r="AX395" s="168"/>
      <c r="AY395" s="168"/>
      <c r="AZ395" s="168"/>
      <c r="BA395" s="168"/>
      <c r="BB395" s="168"/>
      <c r="BC395" s="169"/>
    </row>
    <row r="396" spans="28:55" ht="15">
      <c r="AB396" s="181"/>
      <c r="AC396" s="170"/>
      <c r="AD396" s="158"/>
      <c r="AE396" s="157"/>
      <c r="AF396" s="157"/>
      <c r="AG396" s="159"/>
      <c r="AL396" s="160"/>
      <c r="AM396" s="161"/>
      <c r="AN396" s="162"/>
      <c r="AO396" s="163"/>
      <c r="AV396" s="157"/>
      <c r="AW396" s="167"/>
      <c r="AX396" s="168"/>
      <c r="AY396" s="168"/>
      <c r="AZ396" s="168"/>
      <c r="BA396" s="168"/>
      <c r="BB396" s="168"/>
      <c r="BC396" s="169"/>
    </row>
    <row r="397" spans="28:55" ht="15">
      <c r="AB397" s="181"/>
      <c r="AC397" s="170"/>
      <c r="AD397" s="158"/>
      <c r="AE397" s="157"/>
      <c r="AF397" s="157"/>
      <c r="AG397" s="159"/>
      <c r="AL397" s="160"/>
      <c r="AM397" s="161"/>
      <c r="AN397" s="162"/>
      <c r="AO397" s="163"/>
      <c r="AV397" s="157"/>
      <c r="AW397" s="167"/>
      <c r="AX397" s="168"/>
      <c r="AY397" s="168"/>
      <c r="AZ397" s="168"/>
      <c r="BA397" s="168"/>
      <c r="BB397" s="168"/>
      <c r="BC397" s="169"/>
    </row>
    <row r="398" spans="28:55" ht="15">
      <c r="AB398" s="181"/>
      <c r="AC398" s="170"/>
      <c r="AD398" s="158"/>
      <c r="AE398" s="157"/>
      <c r="AF398" s="157"/>
      <c r="AG398" s="159"/>
      <c r="AL398" s="160"/>
      <c r="AM398" s="161"/>
      <c r="AN398" s="162"/>
      <c r="AO398" s="163"/>
      <c r="AV398" s="157"/>
      <c r="AW398" s="167"/>
      <c r="AX398" s="168"/>
      <c r="AY398" s="168"/>
      <c r="AZ398" s="168"/>
      <c r="BA398" s="168"/>
      <c r="BB398" s="168"/>
      <c r="BC398" s="169"/>
    </row>
    <row r="399" spans="28:55" ht="15">
      <c r="AB399" s="181"/>
      <c r="AC399" s="170"/>
      <c r="AD399" s="158"/>
      <c r="AE399" s="157"/>
      <c r="AF399" s="157"/>
      <c r="AG399" s="159"/>
      <c r="AL399" s="160"/>
      <c r="AM399" s="161"/>
      <c r="AN399" s="162"/>
      <c r="AO399" s="163"/>
      <c r="AV399" s="157"/>
      <c r="AW399" s="167"/>
      <c r="AX399" s="168"/>
      <c r="AY399" s="168"/>
      <c r="AZ399" s="168"/>
      <c r="BA399" s="168"/>
      <c r="BB399" s="168"/>
      <c r="BC399" s="169"/>
    </row>
    <row r="400" spans="28:55" ht="15">
      <c r="AB400" s="181"/>
      <c r="AC400" s="170"/>
      <c r="AD400" s="158"/>
      <c r="AE400" s="157"/>
      <c r="AF400" s="157"/>
      <c r="AG400" s="159"/>
      <c r="AL400" s="160"/>
      <c r="AM400" s="161"/>
      <c r="AN400" s="162"/>
      <c r="AO400" s="163"/>
      <c r="AV400" s="157"/>
      <c r="AW400" s="167"/>
      <c r="AX400" s="168"/>
      <c r="AY400" s="168"/>
      <c r="AZ400" s="168"/>
      <c r="BA400" s="168"/>
      <c r="BB400" s="168"/>
      <c r="BC400" s="169"/>
    </row>
    <row r="401" spans="28:55" ht="15">
      <c r="AB401" s="181"/>
      <c r="AC401" s="170"/>
      <c r="AD401" s="158"/>
      <c r="AE401" s="157"/>
      <c r="AF401" s="157"/>
      <c r="AG401" s="159"/>
      <c r="AL401" s="160"/>
      <c r="AM401" s="161"/>
      <c r="AN401" s="162"/>
      <c r="AO401" s="163"/>
      <c r="AV401" s="157"/>
      <c r="AW401" s="167"/>
      <c r="AX401" s="168"/>
      <c r="AY401" s="168"/>
      <c r="AZ401" s="168"/>
      <c r="BA401" s="168"/>
      <c r="BB401" s="168"/>
      <c r="BC401" s="169"/>
    </row>
    <row r="402" spans="28:55" ht="15">
      <c r="AB402" s="181"/>
      <c r="AC402" s="170"/>
      <c r="AD402" s="158"/>
      <c r="AE402" s="157"/>
      <c r="AF402" s="157"/>
      <c r="AG402" s="159"/>
      <c r="AL402" s="160"/>
      <c r="AM402" s="161"/>
      <c r="AN402" s="162"/>
      <c r="AO402" s="163"/>
      <c r="AV402" s="157"/>
      <c r="AW402" s="167"/>
      <c r="AX402" s="168"/>
      <c r="AY402" s="168"/>
      <c r="AZ402" s="168"/>
      <c r="BA402" s="168"/>
      <c r="BB402" s="168"/>
      <c r="BC402" s="169"/>
    </row>
    <row r="403" spans="28:55" ht="15">
      <c r="AB403" s="181"/>
      <c r="AC403" s="170"/>
      <c r="AD403" s="158"/>
      <c r="AE403" s="157"/>
      <c r="AF403" s="157"/>
      <c r="AG403" s="159"/>
      <c r="AL403" s="160"/>
      <c r="AM403" s="161"/>
      <c r="AN403" s="162"/>
      <c r="AO403" s="163"/>
      <c r="AV403" s="157"/>
      <c r="AW403" s="167"/>
      <c r="AX403" s="168"/>
      <c r="AY403" s="168"/>
      <c r="AZ403" s="168"/>
      <c r="BA403" s="168"/>
      <c r="BB403" s="168"/>
      <c r="BC403" s="169"/>
    </row>
    <row r="404" spans="28:55" ht="15">
      <c r="AB404" s="181"/>
      <c r="AC404" s="170"/>
      <c r="AD404" s="158"/>
      <c r="AE404" s="157"/>
      <c r="AF404" s="157"/>
      <c r="AG404" s="159"/>
      <c r="AL404" s="160"/>
      <c r="AM404" s="161"/>
      <c r="AN404" s="162"/>
      <c r="AO404" s="163"/>
      <c r="AV404" s="157"/>
      <c r="AW404" s="167"/>
      <c r="AX404" s="168"/>
      <c r="AY404" s="168"/>
      <c r="AZ404" s="168"/>
      <c r="BA404" s="168"/>
      <c r="BB404" s="168"/>
      <c r="BC404" s="169"/>
    </row>
    <row r="405" spans="28:55" ht="15">
      <c r="AB405" s="181"/>
      <c r="AC405" s="170"/>
      <c r="AD405" s="158"/>
      <c r="AE405" s="157"/>
      <c r="AF405" s="157"/>
      <c r="AG405" s="159"/>
      <c r="AL405" s="160"/>
      <c r="AM405" s="161"/>
      <c r="AN405" s="162"/>
      <c r="AO405" s="163"/>
      <c r="AV405" s="157"/>
      <c r="AW405" s="167"/>
      <c r="AX405" s="168"/>
      <c r="AY405" s="168"/>
      <c r="AZ405" s="168"/>
      <c r="BA405" s="168"/>
      <c r="BB405" s="168"/>
      <c r="BC405" s="169"/>
    </row>
    <row r="406" spans="28:55" ht="15">
      <c r="AB406" s="181"/>
      <c r="AC406" s="170"/>
      <c r="AD406" s="158"/>
      <c r="AE406" s="157"/>
      <c r="AF406" s="157"/>
      <c r="AG406" s="159"/>
      <c r="AL406" s="160"/>
      <c r="AM406" s="161"/>
      <c r="AN406" s="162"/>
      <c r="AO406" s="163"/>
      <c r="AV406" s="157"/>
      <c r="AW406" s="167"/>
      <c r="AX406" s="168"/>
      <c r="AY406" s="168"/>
      <c r="AZ406" s="168"/>
      <c r="BA406" s="168"/>
      <c r="BB406" s="168"/>
      <c r="BC406" s="169"/>
    </row>
    <row r="407" spans="28:55" ht="15">
      <c r="AB407" s="181"/>
      <c r="AC407" s="170"/>
      <c r="AD407" s="158"/>
      <c r="AE407" s="157"/>
      <c r="AF407" s="157"/>
      <c r="AG407" s="159"/>
      <c r="AL407" s="160"/>
      <c r="AM407" s="161"/>
      <c r="AN407" s="162"/>
      <c r="AO407" s="163"/>
      <c r="AV407" s="157"/>
      <c r="AW407" s="167"/>
      <c r="AX407" s="168"/>
      <c r="AY407" s="168"/>
      <c r="AZ407" s="168"/>
      <c r="BA407" s="168"/>
      <c r="BB407" s="168"/>
      <c r="BC407" s="169"/>
    </row>
    <row r="408" spans="28:55" ht="15">
      <c r="AB408" s="181"/>
      <c r="AC408" s="170"/>
      <c r="AD408" s="158"/>
      <c r="AE408" s="157"/>
      <c r="AF408" s="157"/>
      <c r="AG408" s="159"/>
      <c r="AL408" s="160"/>
      <c r="AM408" s="161"/>
      <c r="AN408" s="162"/>
      <c r="AO408" s="163"/>
      <c r="AV408" s="157"/>
      <c r="AW408" s="167"/>
      <c r="AX408" s="168"/>
      <c r="AY408" s="168"/>
      <c r="AZ408" s="168"/>
      <c r="BA408" s="168"/>
      <c r="BB408" s="168"/>
      <c r="BC408" s="169"/>
    </row>
    <row r="409" spans="28:55" ht="15">
      <c r="AB409" s="181"/>
      <c r="AC409" s="170"/>
      <c r="AD409" s="158"/>
      <c r="AE409" s="157"/>
      <c r="AF409" s="157"/>
      <c r="AG409" s="159"/>
      <c r="AL409" s="160"/>
      <c r="AM409" s="161"/>
      <c r="AN409" s="162"/>
      <c r="AO409" s="163"/>
      <c r="AV409" s="157"/>
      <c r="AW409" s="167"/>
      <c r="AX409" s="168"/>
      <c r="AY409" s="168"/>
      <c r="AZ409" s="168"/>
      <c r="BA409" s="168"/>
      <c r="BB409" s="168"/>
      <c r="BC409" s="169"/>
    </row>
    <row r="410" spans="28:55" ht="15">
      <c r="AB410" s="181"/>
      <c r="AC410" s="170"/>
      <c r="AD410" s="158"/>
      <c r="AE410" s="157"/>
      <c r="AF410" s="157"/>
      <c r="AG410" s="159"/>
      <c r="AL410" s="160"/>
      <c r="AM410" s="161"/>
      <c r="AN410" s="162"/>
      <c r="AO410" s="163"/>
      <c r="AV410" s="157"/>
      <c r="AW410" s="167"/>
      <c r="AX410" s="168"/>
      <c r="AY410" s="168"/>
      <c r="AZ410" s="168"/>
      <c r="BA410" s="168"/>
      <c r="BB410" s="168"/>
      <c r="BC410" s="169"/>
    </row>
    <row r="411" spans="28:55" ht="15">
      <c r="AB411" s="181"/>
      <c r="AC411" s="170"/>
      <c r="AD411" s="158"/>
      <c r="AE411" s="157"/>
      <c r="AF411" s="157"/>
      <c r="AG411" s="159"/>
      <c r="AL411" s="160"/>
      <c r="AM411" s="161"/>
      <c r="AN411" s="162"/>
      <c r="AO411" s="163"/>
      <c r="AV411" s="157"/>
      <c r="AW411" s="167"/>
      <c r="AX411" s="168"/>
      <c r="AY411" s="168"/>
      <c r="AZ411" s="168"/>
      <c r="BA411" s="168"/>
      <c r="BB411" s="168"/>
      <c r="BC411" s="169"/>
    </row>
    <row r="412" spans="28:55" ht="15">
      <c r="AB412" s="181"/>
      <c r="AC412" s="170"/>
      <c r="AD412" s="158"/>
      <c r="AE412" s="157"/>
      <c r="AF412" s="157"/>
      <c r="AG412" s="159"/>
      <c r="AL412" s="160"/>
      <c r="AM412" s="161"/>
      <c r="AN412" s="162"/>
      <c r="AO412" s="163"/>
      <c r="AV412" s="157"/>
      <c r="AW412" s="167"/>
      <c r="AX412" s="168"/>
      <c r="AY412" s="168"/>
      <c r="AZ412" s="168"/>
      <c r="BA412" s="168"/>
      <c r="BB412" s="168"/>
      <c r="BC412" s="169"/>
    </row>
    <row r="413" spans="28:55" ht="15">
      <c r="AB413" s="181"/>
      <c r="AC413" s="170"/>
      <c r="AD413" s="158"/>
      <c r="AE413" s="157"/>
      <c r="AF413" s="157"/>
      <c r="AG413" s="159"/>
      <c r="AL413" s="160"/>
      <c r="AM413" s="161"/>
      <c r="AN413" s="162"/>
      <c r="AO413" s="163"/>
      <c r="AV413" s="157"/>
      <c r="AW413" s="167"/>
      <c r="AX413" s="168"/>
      <c r="AY413" s="168"/>
      <c r="AZ413" s="168"/>
      <c r="BA413" s="168"/>
      <c r="BB413" s="168"/>
      <c r="BC413" s="169"/>
    </row>
    <row r="414" spans="28:55" ht="15">
      <c r="AB414" s="181"/>
      <c r="AC414" s="170"/>
      <c r="AD414" s="158"/>
      <c r="AE414" s="157"/>
      <c r="AF414" s="157"/>
      <c r="AG414" s="159"/>
      <c r="AL414" s="160"/>
      <c r="AM414" s="161"/>
      <c r="AN414" s="162"/>
      <c r="AO414" s="163"/>
      <c r="AV414" s="157"/>
      <c r="AW414" s="167"/>
      <c r="AX414" s="168"/>
      <c r="AY414" s="168"/>
      <c r="AZ414" s="168"/>
      <c r="BA414" s="168"/>
      <c r="BB414" s="168"/>
      <c r="BC414" s="169"/>
    </row>
    <row r="415" spans="28:55" ht="15">
      <c r="AB415" s="181"/>
      <c r="AC415" s="170"/>
      <c r="AD415" s="158"/>
      <c r="AE415" s="157"/>
      <c r="AF415" s="157"/>
      <c r="AG415" s="159"/>
      <c r="AL415" s="160"/>
      <c r="AM415" s="161"/>
      <c r="AN415" s="162"/>
      <c r="AO415" s="163"/>
      <c r="AV415" s="157"/>
      <c r="AW415" s="167"/>
      <c r="AX415" s="168"/>
      <c r="AY415" s="168"/>
      <c r="AZ415" s="168"/>
      <c r="BA415" s="168"/>
      <c r="BB415" s="168"/>
      <c r="BC415" s="169"/>
    </row>
    <row r="416" spans="28:55" ht="15">
      <c r="AB416" s="181"/>
      <c r="AC416" s="170"/>
      <c r="AD416" s="158"/>
      <c r="AE416" s="157"/>
      <c r="AF416" s="157"/>
      <c r="AG416" s="159"/>
      <c r="AL416" s="160"/>
      <c r="AM416" s="161"/>
      <c r="AN416" s="162"/>
      <c r="AO416" s="163"/>
      <c r="AV416" s="157"/>
      <c r="AW416" s="167"/>
      <c r="AX416" s="168"/>
      <c r="AY416" s="168"/>
      <c r="AZ416" s="168"/>
      <c r="BA416" s="168"/>
      <c r="BB416" s="168"/>
      <c r="BC416" s="169"/>
    </row>
    <row r="417" spans="28:55" ht="15">
      <c r="AB417" s="181"/>
      <c r="AC417" s="170"/>
      <c r="AD417" s="158"/>
      <c r="AE417" s="157"/>
      <c r="AF417" s="157"/>
      <c r="AG417" s="159"/>
      <c r="AL417" s="160"/>
      <c r="AM417" s="161"/>
      <c r="AN417" s="162"/>
      <c r="AO417" s="163"/>
      <c r="AV417" s="157"/>
      <c r="AW417" s="167"/>
      <c r="AX417" s="168"/>
      <c r="AY417" s="168"/>
      <c r="AZ417" s="168"/>
      <c r="BA417" s="168"/>
      <c r="BB417" s="168"/>
      <c r="BC417" s="169"/>
    </row>
    <row r="418" spans="28:55" ht="15">
      <c r="AB418" s="181"/>
      <c r="AC418" s="170"/>
      <c r="AD418" s="158"/>
      <c r="AE418" s="157"/>
      <c r="AF418" s="157"/>
      <c r="AG418" s="159"/>
      <c r="AL418" s="160"/>
      <c r="AM418" s="161"/>
      <c r="AN418" s="162"/>
      <c r="AO418" s="163"/>
      <c r="AV418" s="157"/>
      <c r="AW418" s="167"/>
      <c r="AX418" s="168"/>
      <c r="AY418" s="168"/>
      <c r="AZ418" s="168"/>
      <c r="BA418" s="168"/>
      <c r="BB418" s="168"/>
      <c r="BC418" s="169"/>
    </row>
    <row r="419" spans="28:55" ht="15">
      <c r="AB419" s="181"/>
      <c r="AC419" s="170"/>
      <c r="AD419" s="158"/>
      <c r="AE419" s="157"/>
      <c r="AF419" s="157"/>
      <c r="AG419" s="159"/>
      <c r="AL419" s="160"/>
      <c r="AM419" s="161"/>
      <c r="AN419" s="162"/>
      <c r="AO419" s="163"/>
      <c r="AV419" s="157"/>
      <c r="AW419" s="167"/>
      <c r="AX419" s="168"/>
      <c r="AY419" s="168"/>
      <c r="AZ419" s="168"/>
      <c r="BA419" s="168"/>
      <c r="BB419" s="168"/>
      <c r="BC419" s="169"/>
    </row>
    <row r="420" spans="28:55" ht="15">
      <c r="AB420" s="181"/>
      <c r="AC420" s="170"/>
      <c r="AD420" s="158"/>
      <c r="AE420" s="157"/>
      <c r="AF420" s="157"/>
      <c r="AG420" s="159"/>
      <c r="AL420" s="160"/>
      <c r="AM420" s="161"/>
      <c r="AN420" s="162"/>
      <c r="AO420" s="163"/>
      <c r="AV420" s="157"/>
      <c r="AW420" s="167"/>
      <c r="AX420" s="168"/>
      <c r="AY420" s="168"/>
      <c r="AZ420" s="168"/>
      <c r="BA420" s="168"/>
      <c r="BB420" s="168"/>
      <c r="BC420" s="169"/>
    </row>
    <row r="421" spans="28:55" ht="15">
      <c r="AB421" s="181"/>
      <c r="AC421" s="170"/>
      <c r="AD421" s="158"/>
      <c r="AE421" s="157"/>
      <c r="AF421" s="157"/>
      <c r="AG421" s="159"/>
      <c r="AL421" s="160"/>
      <c r="AM421" s="161"/>
      <c r="AN421" s="162"/>
      <c r="AO421" s="163"/>
      <c r="AV421" s="157"/>
      <c r="AW421" s="167"/>
      <c r="AX421" s="168"/>
      <c r="AY421" s="168"/>
      <c r="AZ421" s="168"/>
      <c r="BA421" s="168"/>
      <c r="BB421" s="168"/>
      <c r="BC421" s="169"/>
    </row>
    <row r="422" spans="28:55" ht="15">
      <c r="AB422" s="181"/>
      <c r="AC422" s="170"/>
      <c r="AD422" s="158"/>
      <c r="AE422" s="157"/>
      <c r="AF422" s="157"/>
      <c r="AG422" s="159"/>
      <c r="AL422" s="160"/>
      <c r="AM422" s="161"/>
      <c r="AN422" s="162"/>
      <c r="AO422" s="163"/>
      <c r="AV422" s="157"/>
      <c r="AW422" s="167"/>
      <c r="AX422" s="168"/>
      <c r="AY422" s="168"/>
      <c r="AZ422" s="168"/>
      <c r="BA422" s="168"/>
      <c r="BB422" s="168"/>
      <c r="BC422" s="169"/>
    </row>
    <row r="423" spans="28:55" ht="15">
      <c r="AB423" s="181"/>
      <c r="AC423" s="170"/>
      <c r="AD423" s="158"/>
      <c r="AE423" s="157"/>
      <c r="AF423" s="157"/>
      <c r="AG423" s="159"/>
      <c r="AL423" s="160"/>
      <c r="AM423" s="161"/>
      <c r="AN423" s="162"/>
      <c r="AO423" s="163"/>
      <c r="AV423" s="157"/>
      <c r="AW423" s="167"/>
      <c r="AX423" s="168"/>
      <c r="AY423" s="168"/>
      <c r="AZ423" s="168"/>
      <c r="BA423" s="168"/>
      <c r="BB423" s="168"/>
      <c r="BC423" s="169"/>
    </row>
    <row r="424" spans="28:55" ht="15">
      <c r="AB424" s="181"/>
      <c r="AC424" s="170"/>
      <c r="AD424" s="158"/>
      <c r="AE424" s="157"/>
      <c r="AF424" s="157"/>
      <c r="AG424" s="159"/>
      <c r="AL424" s="160"/>
      <c r="AM424" s="161"/>
      <c r="AN424" s="162"/>
      <c r="AO424" s="163"/>
      <c r="AV424" s="157"/>
      <c r="AW424" s="167"/>
      <c r="AX424" s="168"/>
      <c r="AY424" s="168"/>
      <c r="AZ424" s="168"/>
      <c r="BA424" s="168"/>
      <c r="BB424" s="168"/>
      <c r="BC424" s="169"/>
    </row>
    <row r="425" spans="28:55" ht="15">
      <c r="AB425" s="181"/>
      <c r="AC425" s="170"/>
      <c r="AD425" s="158"/>
      <c r="AE425" s="157"/>
      <c r="AF425" s="157"/>
      <c r="AG425" s="159"/>
      <c r="AL425" s="160"/>
      <c r="AM425" s="161"/>
      <c r="AN425" s="162"/>
      <c r="AO425" s="163"/>
      <c r="AV425" s="157"/>
      <c r="AW425" s="167"/>
      <c r="AX425" s="168"/>
      <c r="AY425" s="168"/>
      <c r="AZ425" s="168"/>
      <c r="BA425" s="168"/>
      <c r="BB425" s="168"/>
      <c r="BC425" s="169"/>
    </row>
    <row r="426" spans="28:55" ht="15">
      <c r="AB426" s="181"/>
      <c r="AC426" s="170"/>
      <c r="AD426" s="158"/>
      <c r="AE426" s="157"/>
      <c r="AF426" s="157"/>
      <c r="AG426" s="159"/>
      <c r="AL426" s="160"/>
      <c r="AM426" s="161"/>
      <c r="AN426" s="162"/>
      <c r="AO426" s="163"/>
      <c r="AV426" s="157"/>
      <c r="AW426" s="167"/>
      <c r="AX426" s="168"/>
      <c r="AY426" s="168"/>
      <c r="AZ426" s="168"/>
      <c r="BA426" s="168"/>
      <c r="BB426" s="168"/>
      <c r="BC426" s="169"/>
    </row>
    <row r="427" spans="28:55" ht="15">
      <c r="AB427" s="181"/>
      <c r="AC427" s="170"/>
      <c r="AD427" s="158"/>
      <c r="AE427" s="157"/>
      <c r="AF427" s="157"/>
      <c r="AG427" s="159"/>
      <c r="AL427" s="160"/>
      <c r="AM427" s="161"/>
      <c r="AN427" s="162"/>
      <c r="AO427" s="163"/>
      <c r="AV427" s="157"/>
      <c r="AW427" s="167"/>
      <c r="AX427" s="168"/>
      <c r="AY427" s="168"/>
      <c r="AZ427" s="168"/>
      <c r="BA427" s="168"/>
      <c r="BB427" s="168"/>
      <c r="BC427" s="169"/>
    </row>
    <row r="428" spans="28:55" ht="15">
      <c r="AB428" s="181"/>
      <c r="AC428" s="170"/>
      <c r="AD428" s="158"/>
      <c r="AE428" s="157"/>
      <c r="AF428" s="157"/>
      <c r="AG428" s="159"/>
      <c r="AL428" s="160"/>
      <c r="AM428" s="161"/>
      <c r="AN428" s="162"/>
      <c r="AO428" s="163"/>
      <c r="AV428" s="157"/>
      <c r="AW428" s="167"/>
      <c r="AX428" s="168"/>
      <c r="AY428" s="168"/>
      <c r="AZ428" s="168"/>
      <c r="BA428" s="168"/>
      <c r="BB428" s="168"/>
      <c r="BC428" s="169"/>
    </row>
    <row r="429" spans="28:55" ht="15">
      <c r="AB429" s="181"/>
      <c r="AC429" s="170"/>
      <c r="AD429" s="158"/>
      <c r="AE429" s="157"/>
      <c r="AF429" s="157"/>
      <c r="AG429" s="159"/>
      <c r="AL429" s="160"/>
      <c r="AM429" s="161"/>
      <c r="AN429" s="162"/>
      <c r="AO429" s="163"/>
      <c r="AV429" s="157"/>
      <c r="AW429" s="167"/>
      <c r="AX429" s="168"/>
      <c r="AY429" s="168"/>
      <c r="AZ429" s="168"/>
      <c r="BA429" s="168"/>
      <c r="BB429" s="168"/>
      <c r="BC429" s="169"/>
    </row>
    <row r="430" spans="28:55" ht="15">
      <c r="AB430" s="181"/>
      <c r="AC430" s="170"/>
      <c r="AD430" s="158"/>
      <c r="AE430" s="157"/>
      <c r="AF430" s="157"/>
      <c r="AG430" s="159"/>
      <c r="AL430" s="160"/>
      <c r="AM430" s="161"/>
      <c r="AN430" s="162"/>
      <c r="AO430" s="163"/>
      <c r="AV430" s="157"/>
      <c r="AW430" s="167"/>
      <c r="AX430" s="168"/>
      <c r="AY430" s="168"/>
      <c r="AZ430" s="168"/>
      <c r="BA430" s="168"/>
      <c r="BB430" s="168"/>
      <c r="BC430" s="169"/>
    </row>
    <row r="431" spans="28:55" ht="15">
      <c r="AB431" s="181"/>
      <c r="AC431" s="170"/>
      <c r="AD431" s="158"/>
      <c r="AE431" s="157"/>
      <c r="AF431" s="157"/>
      <c r="AG431" s="159"/>
      <c r="AL431" s="160"/>
      <c r="AM431" s="161"/>
      <c r="AN431" s="162"/>
      <c r="AO431" s="163"/>
      <c r="AV431" s="157"/>
      <c r="AW431" s="167"/>
      <c r="AX431" s="168"/>
      <c r="AY431" s="168"/>
      <c r="AZ431" s="168"/>
      <c r="BA431" s="168"/>
      <c r="BB431" s="168"/>
      <c r="BC431" s="169"/>
    </row>
    <row r="432" spans="28:55" ht="15">
      <c r="AB432" s="181"/>
      <c r="AC432" s="170"/>
      <c r="AD432" s="158"/>
      <c r="AE432" s="157"/>
      <c r="AF432" s="157"/>
      <c r="AG432" s="159"/>
      <c r="AL432" s="160"/>
      <c r="AM432" s="161"/>
      <c r="AN432" s="162"/>
      <c r="AO432" s="163"/>
      <c r="AV432" s="157"/>
      <c r="AW432" s="167"/>
      <c r="AX432" s="168"/>
      <c r="AY432" s="168"/>
      <c r="AZ432" s="168"/>
      <c r="BA432" s="168"/>
      <c r="BB432" s="168"/>
      <c r="BC432" s="169"/>
    </row>
    <row r="433" spans="28:55" ht="15">
      <c r="AB433" s="181"/>
      <c r="AC433" s="170"/>
      <c r="AD433" s="158"/>
      <c r="AE433" s="157"/>
      <c r="AF433" s="157"/>
      <c r="AG433" s="159"/>
      <c r="AL433" s="160"/>
      <c r="AM433" s="161"/>
      <c r="AN433" s="162"/>
      <c r="AO433" s="163"/>
      <c r="AV433" s="157"/>
      <c r="AW433" s="167"/>
      <c r="AX433" s="168"/>
      <c r="AY433" s="168"/>
      <c r="AZ433" s="168"/>
      <c r="BA433" s="168"/>
      <c r="BB433" s="168"/>
      <c r="BC433" s="169"/>
    </row>
    <row r="434" spans="28:55" ht="15">
      <c r="AB434" s="181"/>
      <c r="AC434" s="170"/>
      <c r="AD434" s="158"/>
      <c r="AE434" s="157"/>
      <c r="AF434" s="157"/>
      <c r="AG434" s="159"/>
      <c r="AL434" s="160"/>
      <c r="AM434" s="161"/>
      <c r="AN434" s="162"/>
      <c r="AO434" s="163"/>
      <c r="AV434" s="157"/>
      <c r="AW434" s="167"/>
      <c r="AX434" s="168"/>
      <c r="AY434" s="168"/>
      <c r="AZ434" s="168"/>
      <c r="BA434" s="168"/>
      <c r="BB434" s="168"/>
      <c r="BC434" s="169"/>
    </row>
    <row r="435" spans="28:55" ht="15">
      <c r="AB435" s="181"/>
      <c r="AC435" s="170"/>
      <c r="AD435" s="158"/>
      <c r="AE435" s="157"/>
      <c r="AF435" s="157"/>
      <c r="AG435" s="159"/>
      <c r="AL435" s="160"/>
      <c r="AM435" s="161"/>
      <c r="AN435" s="162"/>
      <c r="AO435" s="163"/>
      <c r="AV435" s="157"/>
      <c r="AW435" s="167"/>
      <c r="AX435" s="168"/>
      <c r="AY435" s="168"/>
      <c r="AZ435" s="168"/>
      <c r="BA435" s="168"/>
      <c r="BB435" s="168"/>
      <c r="BC435" s="169"/>
    </row>
    <row r="436" spans="28:55" ht="15">
      <c r="AB436" s="181"/>
      <c r="AC436" s="170"/>
      <c r="AD436" s="158"/>
      <c r="AE436" s="157"/>
      <c r="AF436" s="157"/>
      <c r="AG436" s="159"/>
      <c r="AL436" s="160"/>
      <c r="AM436" s="161"/>
      <c r="AN436" s="162"/>
      <c r="AO436" s="163"/>
      <c r="AV436" s="157"/>
      <c r="AW436" s="167"/>
      <c r="AX436" s="168"/>
      <c r="AY436" s="168"/>
      <c r="AZ436" s="168"/>
      <c r="BA436" s="168"/>
      <c r="BB436" s="168"/>
      <c r="BC436" s="169"/>
    </row>
    <row r="437" spans="28:55" ht="15">
      <c r="AB437" s="181"/>
      <c r="AC437" s="170"/>
      <c r="AD437" s="158"/>
      <c r="AE437" s="157"/>
      <c r="AF437" s="157"/>
      <c r="AG437" s="159"/>
      <c r="AL437" s="160"/>
      <c r="AM437" s="161"/>
      <c r="AN437" s="162"/>
      <c r="AO437" s="163"/>
      <c r="AV437" s="157"/>
      <c r="AW437" s="167"/>
      <c r="AX437" s="168"/>
      <c r="AY437" s="168"/>
      <c r="AZ437" s="168"/>
      <c r="BA437" s="168"/>
      <c r="BB437" s="168"/>
      <c r="BC437" s="169"/>
    </row>
    <row r="438" spans="28:55" ht="15">
      <c r="AB438" s="181"/>
      <c r="AC438" s="170"/>
      <c r="AD438" s="158"/>
      <c r="AE438" s="157"/>
      <c r="AF438" s="157"/>
      <c r="AG438" s="159"/>
      <c r="AL438" s="160"/>
      <c r="AM438" s="161"/>
      <c r="AN438" s="162"/>
      <c r="AO438" s="163"/>
      <c r="AV438" s="157"/>
      <c r="AW438" s="167"/>
      <c r="AX438" s="168"/>
      <c r="AY438" s="168"/>
      <c r="AZ438" s="168"/>
      <c r="BA438" s="168"/>
      <c r="BB438" s="168"/>
      <c r="BC438" s="169"/>
    </row>
    <row r="439" spans="28:55" ht="15">
      <c r="AB439" s="181"/>
      <c r="AC439" s="170"/>
      <c r="AD439" s="158"/>
      <c r="AE439" s="157"/>
      <c r="AF439" s="157"/>
      <c r="AG439" s="159"/>
      <c r="AL439" s="160"/>
      <c r="AM439" s="161"/>
      <c r="AN439" s="162"/>
      <c r="AO439" s="163"/>
      <c r="AV439" s="157"/>
      <c r="AW439" s="167"/>
      <c r="AX439" s="168"/>
      <c r="AY439" s="168"/>
      <c r="AZ439" s="168"/>
      <c r="BA439" s="168"/>
      <c r="BB439" s="168"/>
      <c r="BC439" s="169"/>
    </row>
    <row r="440" spans="28:55" ht="15">
      <c r="AB440" s="181"/>
      <c r="AC440" s="170"/>
      <c r="AD440" s="158"/>
      <c r="AE440" s="157"/>
      <c r="AF440" s="157"/>
      <c r="AG440" s="159"/>
      <c r="AL440" s="160"/>
      <c r="AM440" s="161"/>
      <c r="AN440" s="162"/>
      <c r="AO440" s="163"/>
      <c r="AV440" s="157"/>
      <c r="AW440" s="167"/>
      <c r="AX440" s="168"/>
      <c r="AY440" s="168"/>
      <c r="AZ440" s="168"/>
      <c r="BA440" s="168"/>
      <c r="BB440" s="168"/>
      <c r="BC440" s="169"/>
    </row>
    <row r="441" spans="28:55" ht="15">
      <c r="AB441" s="181"/>
      <c r="AC441" s="170"/>
      <c r="AD441" s="158"/>
      <c r="AE441" s="157"/>
      <c r="AF441" s="157"/>
      <c r="AG441" s="159"/>
      <c r="AL441" s="160"/>
      <c r="AM441" s="161"/>
      <c r="AN441" s="162"/>
      <c r="AO441" s="163"/>
      <c r="AV441" s="157"/>
      <c r="AW441" s="167"/>
      <c r="AX441" s="168"/>
      <c r="AY441" s="168"/>
      <c r="AZ441" s="168"/>
      <c r="BA441" s="168"/>
      <c r="BB441" s="168"/>
      <c r="BC441" s="169"/>
    </row>
    <row r="442" spans="28:55" ht="15">
      <c r="AB442" s="181"/>
      <c r="AC442" s="170"/>
      <c r="AD442" s="158"/>
      <c r="AE442" s="157"/>
      <c r="AF442" s="157"/>
      <c r="AG442" s="159"/>
      <c r="AL442" s="160"/>
      <c r="AM442" s="161"/>
      <c r="AN442" s="162"/>
      <c r="AO442" s="163"/>
      <c r="AV442" s="157"/>
      <c r="AW442" s="167"/>
      <c r="AX442" s="168"/>
      <c r="AY442" s="168"/>
      <c r="AZ442" s="168"/>
      <c r="BA442" s="168"/>
      <c r="BB442" s="168"/>
      <c r="BC442" s="169"/>
    </row>
    <row r="443" spans="28:55" ht="15">
      <c r="AB443" s="181"/>
      <c r="AC443" s="170"/>
      <c r="AD443" s="158"/>
      <c r="AE443" s="157"/>
      <c r="AF443" s="157"/>
      <c r="AG443" s="159"/>
      <c r="AL443" s="160"/>
      <c r="AM443" s="161"/>
      <c r="AN443" s="162"/>
      <c r="AO443" s="163"/>
      <c r="AV443" s="157"/>
      <c r="AW443" s="167"/>
      <c r="AX443" s="168"/>
      <c r="AY443" s="168"/>
      <c r="AZ443" s="168"/>
      <c r="BA443" s="168"/>
      <c r="BB443" s="168"/>
      <c r="BC443" s="169"/>
    </row>
    <row r="444" spans="28:55" ht="15">
      <c r="AB444" s="181"/>
      <c r="AC444" s="170"/>
      <c r="AD444" s="158"/>
      <c r="AE444" s="157"/>
      <c r="AF444" s="157"/>
      <c r="AG444" s="159"/>
      <c r="AL444" s="160"/>
      <c r="AM444" s="161"/>
      <c r="AN444" s="162"/>
      <c r="AO444" s="163"/>
      <c r="AV444" s="157"/>
      <c r="AW444" s="167"/>
      <c r="AX444" s="168"/>
      <c r="AY444" s="168"/>
      <c r="AZ444" s="168"/>
      <c r="BA444" s="168"/>
      <c r="BB444" s="168"/>
      <c r="BC444" s="169"/>
    </row>
    <row r="445" spans="28:55" ht="15">
      <c r="AB445" s="181"/>
      <c r="AC445" s="170"/>
      <c r="AD445" s="158"/>
      <c r="AE445" s="157"/>
      <c r="AF445" s="157"/>
      <c r="AG445" s="159"/>
      <c r="AL445" s="160"/>
      <c r="AM445" s="161"/>
      <c r="AN445" s="162"/>
      <c r="AO445" s="163"/>
      <c r="AV445" s="157"/>
      <c r="AW445" s="167"/>
      <c r="AX445" s="168"/>
      <c r="AY445" s="168"/>
      <c r="AZ445" s="168"/>
      <c r="BA445" s="168"/>
      <c r="BB445" s="168"/>
      <c r="BC445" s="169"/>
    </row>
    <row r="446" spans="28:55" ht="15">
      <c r="AB446" s="181"/>
      <c r="AC446" s="170"/>
      <c r="AD446" s="158"/>
      <c r="AE446" s="157"/>
      <c r="AF446" s="157"/>
      <c r="AG446" s="159"/>
      <c r="AL446" s="160"/>
      <c r="AM446" s="161"/>
      <c r="AN446" s="162"/>
      <c r="AO446" s="163"/>
      <c r="AV446" s="157"/>
      <c r="AW446" s="167"/>
      <c r="AX446" s="168"/>
      <c r="AY446" s="168"/>
      <c r="AZ446" s="168"/>
      <c r="BA446" s="168"/>
      <c r="BB446" s="168"/>
      <c r="BC446" s="169"/>
    </row>
    <row r="447" spans="28:55" ht="15">
      <c r="AB447" s="181"/>
      <c r="AC447" s="170"/>
      <c r="AD447" s="158"/>
      <c r="AE447" s="157"/>
      <c r="AF447" s="157"/>
      <c r="AG447" s="159"/>
      <c r="AL447" s="160"/>
      <c r="AM447" s="161"/>
      <c r="AN447" s="162"/>
      <c r="AO447" s="163"/>
      <c r="AV447" s="157"/>
      <c r="AW447" s="167"/>
      <c r="AX447" s="168"/>
      <c r="AY447" s="168"/>
      <c r="AZ447" s="168"/>
      <c r="BA447" s="168"/>
      <c r="BB447" s="168"/>
      <c r="BC447" s="169"/>
    </row>
    <row r="448" spans="28:55" ht="15">
      <c r="AB448" s="181"/>
      <c r="AC448" s="170"/>
      <c r="AD448" s="158"/>
      <c r="AE448" s="157"/>
      <c r="AF448" s="157"/>
      <c r="AG448" s="159"/>
      <c r="AL448" s="160"/>
      <c r="AM448" s="161"/>
      <c r="AN448" s="162"/>
      <c r="AO448" s="163"/>
      <c r="AV448" s="157"/>
      <c r="AW448" s="167"/>
      <c r="AX448" s="168"/>
      <c r="AY448" s="168"/>
      <c r="AZ448" s="168"/>
      <c r="BA448" s="168"/>
      <c r="BB448" s="168"/>
      <c r="BC448" s="169"/>
    </row>
    <row r="449" spans="28:55" ht="15">
      <c r="AB449" s="181"/>
      <c r="AC449" s="170"/>
      <c r="AD449" s="158"/>
      <c r="AE449" s="157"/>
      <c r="AF449" s="157"/>
      <c r="AG449" s="159"/>
      <c r="AL449" s="160"/>
      <c r="AM449" s="161"/>
      <c r="AN449" s="162"/>
      <c r="AO449" s="163"/>
      <c r="AV449" s="157"/>
      <c r="AW449" s="167"/>
      <c r="AX449" s="168"/>
      <c r="AY449" s="168"/>
      <c r="AZ449" s="168"/>
      <c r="BA449" s="168"/>
      <c r="BB449" s="168"/>
      <c r="BC449" s="169"/>
    </row>
    <row r="450" spans="28:55" ht="15">
      <c r="AB450" s="181"/>
      <c r="AC450" s="170"/>
      <c r="AD450" s="158"/>
      <c r="AE450" s="157"/>
      <c r="AF450" s="157"/>
      <c r="AG450" s="159"/>
      <c r="AL450" s="160"/>
      <c r="AM450" s="161"/>
      <c r="AN450" s="162"/>
      <c r="AO450" s="163"/>
      <c r="AV450" s="157"/>
      <c r="AW450" s="167"/>
      <c r="AX450" s="168"/>
      <c r="AY450" s="168"/>
      <c r="AZ450" s="168"/>
      <c r="BA450" s="168"/>
      <c r="BB450" s="168"/>
      <c r="BC450" s="169"/>
    </row>
    <row r="451" spans="28:55" ht="15">
      <c r="AB451" s="181"/>
      <c r="AC451" s="170"/>
      <c r="AD451" s="158"/>
      <c r="AE451" s="157"/>
      <c r="AF451" s="157"/>
      <c r="AG451" s="159"/>
      <c r="AL451" s="160"/>
      <c r="AM451" s="161"/>
      <c r="AN451" s="162"/>
      <c r="AO451" s="163"/>
      <c r="AV451" s="157"/>
      <c r="AW451" s="167"/>
      <c r="AX451" s="168"/>
      <c r="AY451" s="168"/>
      <c r="AZ451" s="168"/>
      <c r="BA451" s="168"/>
      <c r="BB451" s="168"/>
      <c r="BC451" s="169"/>
    </row>
    <row r="452" spans="28:55" ht="15">
      <c r="AB452" s="181"/>
      <c r="AC452" s="170"/>
      <c r="AD452" s="158"/>
      <c r="AE452" s="157"/>
      <c r="AF452" s="157"/>
      <c r="AG452" s="159"/>
      <c r="AL452" s="160"/>
      <c r="AM452" s="161"/>
      <c r="AN452" s="162"/>
      <c r="AO452" s="163"/>
      <c r="AV452" s="157"/>
      <c r="AW452" s="167"/>
      <c r="AX452" s="168"/>
      <c r="AY452" s="168"/>
      <c r="AZ452" s="168"/>
      <c r="BA452" s="168"/>
      <c r="BB452" s="168"/>
      <c r="BC452" s="169"/>
    </row>
    <row r="453" spans="28:55" ht="15">
      <c r="AB453" s="181"/>
      <c r="AC453" s="170"/>
      <c r="AD453" s="158"/>
      <c r="AE453" s="157"/>
      <c r="AF453" s="157"/>
      <c r="AG453" s="159"/>
      <c r="AL453" s="160"/>
      <c r="AM453" s="161"/>
      <c r="AN453" s="162"/>
      <c r="AO453" s="163"/>
      <c r="AV453" s="157"/>
      <c r="AW453" s="167"/>
      <c r="AX453" s="168"/>
      <c r="AY453" s="168"/>
      <c r="AZ453" s="168"/>
      <c r="BA453" s="168"/>
      <c r="BB453" s="168"/>
      <c r="BC453" s="169"/>
    </row>
    <row r="454" spans="28:55" ht="15">
      <c r="AB454" s="181"/>
      <c r="AC454" s="170"/>
      <c r="AD454" s="158"/>
      <c r="AE454" s="157"/>
      <c r="AF454" s="157"/>
      <c r="AG454" s="159"/>
      <c r="AL454" s="160"/>
      <c r="AM454" s="161"/>
      <c r="AN454" s="162"/>
      <c r="AO454" s="163"/>
      <c r="AV454" s="157"/>
      <c r="AW454" s="167"/>
      <c r="AX454" s="168"/>
      <c r="AY454" s="168"/>
      <c r="AZ454" s="168"/>
      <c r="BA454" s="168"/>
      <c r="BB454" s="168"/>
      <c r="BC454" s="169"/>
    </row>
    <row r="455" spans="28:55" ht="15">
      <c r="AB455" s="181"/>
      <c r="AC455" s="170"/>
      <c r="AD455" s="158"/>
      <c r="AE455" s="157"/>
      <c r="AF455" s="157"/>
      <c r="AG455" s="159"/>
      <c r="AL455" s="160"/>
      <c r="AM455" s="161"/>
      <c r="AN455" s="162"/>
      <c r="AO455" s="163"/>
      <c r="AV455" s="157"/>
      <c r="AW455" s="167"/>
      <c r="AX455" s="168"/>
      <c r="AY455" s="168"/>
      <c r="AZ455" s="168"/>
      <c r="BA455" s="168"/>
      <c r="BB455" s="168"/>
      <c r="BC455" s="169"/>
    </row>
    <row r="456" spans="28:55" ht="15">
      <c r="AB456" s="181"/>
      <c r="AC456" s="170"/>
      <c r="AD456" s="158"/>
      <c r="AE456" s="157"/>
      <c r="AF456" s="157"/>
      <c r="AG456" s="159"/>
      <c r="AL456" s="160"/>
      <c r="AM456" s="161"/>
      <c r="AN456" s="162"/>
      <c r="AO456" s="163"/>
      <c r="AV456" s="157"/>
      <c r="AW456" s="167"/>
      <c r="AX456" s="168"/>
      <c r="AY456" s="168"/>
      <c r="AZ456" s="168"/>
      <c r="BA456" s="168"/>
      <c r="BB456" s="168"/>
      <c r="BC456" s="169"/>
    </row>
    <row r="457" spans="28:55" ht="15">
      <c r="AB457" s="181"/>
      <c r="AC457" s="170"/>
      <c r="AD457" s="158"/>
      <c r="AE457" s="157"/>
      <c r="AF457" s="157"/>
      <c r="AG457" s="159"/>
      <c r="AL457" s="160"/>
      <c r="AM457" s="161"/>
      <c r="AN457" s="162"/>
      <c r="AO457" s="163"/>
      <c r="AV457" s="157"/>
      <c r="AW457" s="167"/>
      <c r="AX457" s="168"/>
      <c r="AY457" s="168"/>
      <c r="AZ457" s="168"/>
      <c r="BA457" s="168"/>
      <c r="BB457" s="168"/>
      <c r="BC457" s="169"/>
    </row>
    <row r="458" spans="28:55" ht="15">
      <c r="AB458" s="181"/>
      <c r="AC458" s="170"/>
      <c r="AD458" s="158"/>
      <c r="AE458" s="157"/>
      <c r="AF458" s="157"/>
      <c r="AG458" s="159"/>
      <c r="AL458" s="160"/>
      <c r="AM458" s="161"/>
      <c r="AN458" s="162"/>
      <c r="AO458" s="163"/>
      <c r="AV458" s="157"/>
      <c r="AW458" s="167"/>
      <c r="AX458" s="168"/>
      <c r="AY458" s="168"/>
      <c r="AZ458" s="168"/>
      <c r="BA458" s="168"/>
      <c r="BB458" s="168"/>
      <c r="BC458" s="169"/>
    </row>
    <row r="459" spans="28:55" ht="15">
      <c r="AB459" s="181"/>
      <c r="AC459" s="170"/>
      <c r="AD459" s="158"/>
      <c r="AE459" s="157"/>
      <c r="AF459" s="157"/>
      <c r="AG459" s="159"/>
      <c r="AL459" s="160"/>
      <c r="AM459" s="161"/>
      <c r="AN459" s="162"/>
      <c r="AO459" s="163"/>
      <c r="AV459" s="157"/>
      <c r="AW459" s="167"/>
      <c r="AX459" s="168"/>
      <c r="AY459" s="168"/>
      <c r="AZ459" s="168"/>
      <c r="BA459" s="168"/>
      <c r="BB459" s="168"/>
      <c r="BC459" s="169"/>
    </row>
    <row r="460" spans="28:55" ht="15">
      <c r="AB460" s="181"/>
      <c r="AC460" s="170"/>
      <c r="AD460" s="158"/>
      <c r="AE460" s="157"/>
      <c r="AF460" s="157"/>
      <c r="AG460" s="159"/>
      <c r="AL460" s="160"/>
      <c r="AM460" s="161"/>
      <c r="AN460" s="162"/>
      <c r="AO460" s="163"/>
      <c r="AV460" s="157"/>
      <c r="AW460" s="167"/>
      <c r="AX460" s="168"/>
      <c r="AY460" s="168"/>
      <c r="AZ460" s="168"/>
      <c r="BA460" s="168"/>
      <c r="BB460" s="168"/>
      <c r="BC460" s="169"/>
    </row>
    <row r="461" spans="28:55" ht="15">
      <c r="AB461" s="181"/>
      <c r="AC461" s="170"/>
      <c r="AD461" s="158"/>
      <c r="AE461" s="157"/>
      <c r="AF461" s="157"/>
      <c r="AG461" s="159"/>
      <c r="AL461" s="160"/>
      <c r="AM461" s="161"/>
      <c r="AN461" s="162"/>
      <c r="AO461" s="163"/>
      <c r="AV461" s="157"/>
      <c r="AW461" s="167"/>
      <c r="AX461" s="168"/>
      <c r="AY461" s="168"/>
      <c r="AZ461" s="168"/>
      <c r="BA461" s="168"/>
      <c r="BB461" s="168"/>
      <c r="BC461" s="169"/>
    </row>
    <row r="462" spans="28:55" ht="15">
      <c r="AB462" s="181"/>
      <c r="AC462" s="170"/>
      <c r="AD462" s="158"/>
      <c r="AE462" s="157"/>
      <c r="AF462" s="157"/>
      <c r="AG462" s="159"/>
      <c r="AL462" s="160"/>
      <c r="AM462" s="161"/>
      <c r="AN462" s="162"/>
      <c r="AO462" s="163"/>
      <c r="AV462" s="157"/>
      <c r="AW462" s="167"/>
      <c r="AX462" s="168"/>
      <c r="AY462" s="168"/>
      <c r="AZ462" s="168"/>
      <c r="BA462" s="168"/>
      <c r="BB462" s="168"/>
      <c r="BC462" s="169"/>
    </row>
    <row r="463" spans="28:55" ht="15">
      <c r="AB463" s="181"/>
      <c r="AC463" s="170"/>
      <c r="AD463" s="158"/>
      <c r="AE463" s="157"/>
      <c r="AF463" s="157"/>
      <c r="AG463" s="159"/>
      <c r="AL463" s="160"/>
      <c r="AM463" s="161"/>
      <c r="AN463" s="162"/>
      <c r="AO463" s="163"/>
      <c r="AV463" s="157"/>
      <c r="AW463" s="167"/>
      <c r="AX463" s="168"/>
      <c r="AY463" s="168"/>
      <c r="AZ463" s="168"/>
      <c r="BA463" s="168"/>
      <c r="BB463" s="168"/>
      <c r="BC463" s="169"/>
    </row>
    <row r="464" spans="28:55" ht="15">
      <c r="AB464" s="181"/>
      <c r="AC464" s="170"/>
      <c r="AD464" s="158"/>
      <c r="AE464" s="157"/>
      <c r="AF464" s="157"/>
      <c r="AG464" s="159"/>
      <c r="AL464" s="160"/>
      <c r="AM464" s="161"/>
      <c r="AN464" s="162"/>
      <c r="AO464" s="163"/>
      <c r="AV464" s="157"/>
      <c r="AW464" s="167"/>
      <c r="AX464" s="168"/>
      <c r="AY464" s="168"/>
      <c r="AZ464" s="168"/>
      <c r="BA464" s="168"/>
      <c r="BB464" s="168"/>
      <c r="BC464" s="169"/>
    </row>
    <row r="465" spans="28:55" ht="15">
      <c r="AB465" s="181"/>
      <c r="AC465" s="170"/>
      <c r="AD465" s="158"/>
      <c r="AE465" s="157"/>
      <c r="AF465" s="157"/>
      <c r="AG465" s="159"/>
      <c r="AL465" s="160"/>
      <c r="AM465" s="161"/>
      <c r="AN465" s="162"/>
      <c r="AO465" s="163"/>
      <c r="AV465" s="157"/>
      <c r="AW465" s="167"/>
      <c r="AX465" s="168"/>
      <c r="AY465" s="168"/>
      <c r="AZ465" s="168"/>
      <c r="BA465" s="168"/>
      <c r="BB465" s="168"/>
      <c r="BC465" s="169"/>
    </row>
    <row r="466" spans="28:55" ht="15">
      <c r="AB466" s="181"/>
      <c r="AC466" s="170"/>
      <c r="AD466" s="158"/>
      <c r="AE466" s="157"/>
      <c r="AF466" s="157"/>
      <c r="AG466" s="159"/>
      <c r="AL466" s="160"/>
      <c r="AM466" s="161"/>
      <c r="AN466" s="162"/>
      <c r="AO466" s="163"/>
      <c r="AV466" s="157"/>
      <c r="AW466" s="167"/>
      <c r="AX466" s="168"/>
      <c r="AY466" s="168"/>
      <c r="AZ466" s="168"/>
      <c r="BA466" s="168"/>
      <c r="BB466" s="168"/>
      <c r="BC466" s="169"/>
    </row>
    <row r="467" spans="28:55" ht="15">
      <c r="AB467" s="181"/>
      <c r="AC467" s="170"/>
      <c r="AD467" s="158"/>
      <c r="AE467" s="157"/>
      <c r="AF467" s="157"/>
      <c r="AG467" s="159"/>
      <c r="AL467" s="160"/>
      <c r="AM467" s="161"/>
      <c r="AN467" s="162"/>
      <c r="AO467" s="163"/>
      <c r="AV467" s="157"/>
      <c r="AW467" s="167"/>
      <c r="AX467" s="168"/>
      <c r="AY467" s="168"/>
      <c r="AZ467" s="168"/>
      <c r="BA467" s="168"/>
      <c r="BB467" s="168"/>
      <c r="BC467" s="169"/>
    </row>
    <row r="468" spans="28:55" ht="15">
      <c r="AB468" s="181"/>
      <c r="AC468" s="170"/>
      <c r="AD468" s="158"/>
      <c r="AE468" s="157"/>
      <c r="AF468" s="157"/>
      <c r="AG468" s="159"/>
      <c r="AL468" s="160"/>
      <c r="AM468" s="161"/>
      <c r="AN468" s="162"/>
      <c r="AO468" s="163"/>
      <c r="AV468" s="157"/>
      <c r="AW468" s="167"/>
      <c r="AX468" s="168"/>
      <c r="AY468" s="168"/>
      <c r="AZ468" s="168"/>
      <c r="BA468" s="168"/>
      <c r="BB468" s="168"/>
      <c r="BC468" s="169"/>
    </row>
    <row r="469" spans="28:55" ht="15">
      <c r="AB469" s="181"/>
      <c r="AC469" s="170"/>
      <c r="AD469" s="158"/>
      <c r="AE469" s="157"/>
      <c r="AF469" s="157"/>
      <c r="AG469" s="159"/>
      <c r="AL469" s="160"/>
      <c r="AM469" s="161"/>
      <c r="AN469" s="162"/>
      <c r="AO469" s="163"/>
      <c r="AV469" s="157"/>
      <c r="AW469" s="167"/>
      <c r="AX469" s="168"/>
      <c r="AY469" s="168"/>
      <c r="AZ469" s="168"/>
      <c r="BA469" s="168"/>
      <c r="BB469" s="168"/>
      <c r="BC469" s="169"/>
    </row>
    <row r="470" spans="28:55" ht="15">
      <c r="AB470" s="181"/>
      <c r="AC470" s="170"/>
      <c r="AD470" s="158"/>
      <c r="AE470" s="157"/>
      <c r="AF470" s="157"/>
      <c r="AG470" s="159"/>
      <c r="AL470" s="160"/>
      <c r="AM470" s="161"/>
      <c r="AN470" s="162"/>
      <c r="AO470" s="163"/>
      <c r="AV470" s="157"/>
      <c r="AW470" s="167"/>
      <c r="AX470" s="168"/>
      <c r="AY470" s="168"/>
      <c r="AZ470" s="168"/>
      <c r="BA470" s="168"/>
      <c r="BB470" s="168"/>
      <c r="BC470" s="169"/>
    </row>
    <row r="471" spans="28:55" ht="15">
      <c r="AB471" s="181"/>
      <c r="AC471" s="170"/>
      <c r="AD471" s="158"/>
      <c r="AE471" s="157"/>
      <c r="AF471" s="157"/>
      <c r="AG471" s="159"/>
      <c r="AL471" s="160"/>
      <c r="AM471" s="161"/>
      <c r="AN471" s="162"/>
      <c r="AO471" s="163"/>
      <c r="AV471" s="157"/>
      <c r="AW471" s="167"/>
      <c r="AX471" s="168"/>
      <c r="AY471" s="168"/>
      <c r="AZ471" s="168"/>
      <c r="BA471" s="168"/>
      <c r="BB471" s="168"/>
      <c r="BC471" s="169"/>
    </row>
    <row r="472" spans="28:55" ht="15">
      <c r="AB472" s="181"/>
      <c r="AC472" s="170"/>
      <c r="AD472" s="158"/>
      <c r="AE472" s="157"/>
      <c r="AF472" s="157"/>
      <c r="AG472" s="159"/>
      <c r="AL472" s="160"/>
      <c r="AM472" s="161"/>
      <c r="AN472" s="162"/>
      <c r="AO472" s="163"/>
      <c r="AV472" s="157"/>
      <c r="AW472" s="167"/>
      <c r="AX472" s="168"/>
      <c r="AY472" s="168"/>
      <c r="AZ472" s="168"/>
      <c r="BA472" s="168"/>
      <c r="BB472" s="168"/>
      <c r="BC472" s="169"/>
    </row>
    <row r="473" spans="28:55" ht="15">
      <c r="AD473" s="158"/>
      <c r="AE473" s="157"/>
      <c r="AF473" s="157"/>
      <c r="AG473" s="159"/>
      <c r="AL473" s="160"/>
      <c r="AM473" s="161"/>
      <c r="AN473" s="162"/>
      <c r="AO473" s="163"/>
      <c r="AV473" s="172"/>
      <c r="AW473" s="167"/>
      <c r="AX473" s="168"/>
      <c r="AY473" s="168"/>
      <c r="AZ473" s="168"/>
      <c r="BA473" s="168"/>
      <c r="BB473" s="168"/>
      <c r="BC473" s="169"/>
    </row>
    <row r="474" spans="28:55" ht="15">
      <c r="AD474" s="158"/>
      <c r="AE474" s="157"/>
      <c r="AF474" s="157"/>
      <c r="AG474" s="159"/>
      <c r="AL474" s="160"/>
      <c r="AM474" s="161"/>
      <c r="AN474" s="162"/>
      <c r="AO474" s="163"/>
      <c r="AV474" s="172"/>
      <c r="AW474" s="167"/>
      <c r="AX474" s="168"/>
      <c r="AY474" s="168"/>
      <c r="AZ474" s="168"/>
      <c r="BA474" s="168"/>
      <c r="BB474" s="168"/>
      <c r="BC474" s="169"/>
    </row>
    <row r="475" spans="28:55" ht="15">
      <c r="AD475" s="158"/>
      <c r="AE475" s="157"/>
      <c r="AF475" s="157"/>
      <c r="AG475" s="159"/>
      <c r="AL475" s="160"/>
      <c r="AM475" s="161"/>
      <c r="AN475" s="162"/>
      <c r="AO475" s="163"/>
      <c r="AV475" s="172"/>
      <c r="AW475" s="167"/>
      <c r="AX475" s="168"/>
      <c r="AY475" s="168"/>
      <c r="AZ475" s="168"/>
      <c r="BA475" s="168"/>
      <c r="BB475" s="168"/>
      <c r="BC475" s="169"/>
    </row>
    <row r="476" spans="28:55" ht="15">
      <c r="AD476" s="158"/>
      <c r="AE476" s="157"/>
      <c r="AF476" s="157"/>
      <c r="AG476" s="159"/>
      <c r="AL476" s="160"/>
      <c r="AM476" s="161"/>
      <c r="AN476" s="162"/>
      <c r="AO476" s="163"/>
      <c r="AV476" s="172"/>
      <c r="AW476" s="167"/>
      <c r="AX476" s="168"/>
      <c r="AY476" s="168"/>
      <c r="AZ476" s="168"/>
      <c r="BA476" s="168"/>
      <c r="BB476" s="168"/>
      <c r="BC476" s="169"/>
    </row>
    <row r="477" spans="28:55" ht="15">
      <c r="AD477" s="158"/>
      <c r="AE477" s="157"/>
      <c r="AF477" s="157"/>
      <c r="AG477" s="159"/>
      <c r="AL477" s="160"/>
      <c r="AM477" s="161"/>
      <c r="AN477" s="162"/>
      <c r="AO477" s="163"/>
      <c r="AV477" s="172"/>
      <c r="AW477" s="167"/>
      <c r="AX477" s="168"/>
      <c r="AY477" s="168"/>
      <c r="AZ477" s="168"/>
      <c r="BA477" s="168"/>
      <c r="BB477" s="168"/>
      <c r="BC477" s="169"/>
    </row>
    <row r="478" spans="28:55" ht="15">
      <c r="AD478" s="158"/>
      <c r="AE478" s="157"/>
      <c r="AF478" s="157"/>
      <c r="AG478" s="159"/>
      <c r="AL478" s="160"/>
      <c r="AM478" s="161"/>
      <c r="AN478" s="162"/>
      <c r="AO478" s="163"/>
      <c r="AV478" s="172"/>
      <c r="AW478" s="167"/>
      <c r="AX478" s="168"/>
      <c r="AY478" s="168"/>
      <c r="AZ478" s="168"/>
      <c r="BA478" s="168"/>
      <c r="BB478" s="168"/>
      <c r="BC478" s="169"/>
    </row>
    <row r="479" spans="28:55" ht="15">
      <c r="AD479" s="158"/>
      <c r="AE479" s="157"/>
      <c r="AF479" s="157"/>
      <c r="AG479" s="159"/>
      <c r="AL479" s="160"/>
      <c r="AM479" s="161"/>
      <c r="AN479" s="162"/>
      <c r="AO479" s="163"/>
      <c r="AV479" s="172"/>
      <c r="AW479" s="167"/>
      <c r="AX479" s="168"/>
      <c r="AY479" s="168"/>
      <c r="AZ479" s="168"/>
      <c r="BA479" s="168"/>
      <c r="BB479" s="168"/>
      <c r="BC479" s="169"/>
    </row>
    <row r="480" spans="28:55" ht="15">
      <c r="AD480" s="158"/>
      <c r="AE480" s="157"/>
      <c r="AF480" s="157"/>
      <c r="AG480" s="159"/>
      <c r="AL480" s="160"/>
      <c r="AM480" s="161"/>
      <c r="AN480" s="162"/>
      <c r="AO480" s="163"/>
      <c r="AV480" s="172"/>
      <c r="AW480" s="167"/>
      <c r="AX480" s="168"/>
      <c r="AY480" s="168"/>
      <c r="AZ480" s="168"/>
      <c r="BA480" s="168"/>
      <c r="BB480" s="168"/>
      <c r="BC480" s="169"/>
    </row>
    <row r="481" spans="30:55" ht="15">
      <c r="AD481" s="158"/>
      <c r="AE481" s="157"/>
      <c r="AF481" s="157"/>
      <c r="AG481" s="159"/>
      <c r="AL481" s="160"/>
      <c r="AM481" s="161"/>
      <c r="AN481" s="162"/>
      <c r="AO481" s="163"/>
      <c r="AV481" s="172"/>
      <c r="AW481" s="167"/>
      <c r="AX481" s="168"/>
      <c r="AY481" s="168"/>
      <c r="AZ481" s="168"/>
      <c r="BA481" s="168"/>
      <c r="BB481" s="168"/>
      <c r="BC481" s="169"/>
    </row>
    <row r="482" spans="30:55" ht="15">
      <c r="AD482" s="158"/>
      <c r="AE482" s="157"/>
      <c r="AF482" s="157"/>
      <c r="AG482" s="159"/>
      <c r="AL482" s="160"/>
      <c r="AM482" s="161"/>
      <c r="AN482" s="162"/>
      <c r="AO482" s="163"/>
      <c r="AV482" s="172"/>
      <c r="AW482" s="167"/>
      <c r="AX482" s="168"/>
      <c r="AY482" s="168"/>
      <c r="AZ482" s="168"/>
      <c r="BA482" s="168"/>
      <c r="BB482" s="168"/>
      <c r="BC482" s="169"/>
    </row>
    <row r="483" spans="30:55" ht="15">
      <c r="AD483" s="158"/>
      <c r="AE483" s="157"/>
      <c r="AF483" s="157"/>
      <c r="AG483" s="159"/>
      <c r="AL483" s="160"/>
      <c r="AM483" s="161"/>
      <c r="AN483" s="162"/>
      <c r="AO483" s="163"/>
      <c r="AV483" s="172"/>
      <c r="AW483" s="167"/>
      <c r="AX483" s="168"/>
      <c r="AY483" s="168"/>
      <c r="AZ483" s="168"/>
      <c r="BA483" s="168"/>
      <c r="BB483" s="168"/>
      <c r="BC483" s="169"/>
    </row>
    <row r="484" spans="30:55" ht="15">
      <c r="AD484" s="158"/>
      <c r="AE484" s="157"/>
      <c r="AF484" s="157"/>
      <c r="AG484" s="159"/>
      <c r="AL484" s="160"/>
      <c r="AM484" s="161"/>
      <c r="AN484" s="162"/>
      <c r="AO484" s="163"/>
      <c r="AV484" s="172"/>
      <c r="AW484" s="167"/>
      <c r="AX484" s="168"/>
      <c r="AY484" s="168"/>
      <c r="AZ484" s="168"/>
      <c r="BA484" s="168"/>
      <c r="BB484" s="168"/>
      <c r="BC484" s="169"/>
    </row>
    <row r="485" spans="30:55" ht="15">
      <c r="AD485" s="158"/>
      <c r="AE485" s="157"/>
      <c r="AF485" s="157"/>
      <c r="AG485" s="159"/>
      <c r="AL485" s="160"/>
      <c r="AM485" s="161"/>
      <c r="AN485" s="162"/>
      <c r="AO485" s="163"/>
      <c r="AV485" s="172"/>
      <c r="AW485" s="167"/>
      <c r="AX485" s="168"/>
      <c r="AY485" s="168"/>
      <c r="AZ485" s="168"/>
      <c r="BA485" s="168"/>
      <c r="BB485" s="168"/>
      <c r="BC485" s="169"/>
    </row>
    <row r="486" spans="30:55" ht="15">
      <c r="AD486" s="158"/>
      <c r="AE486" s="157"/>
      <c r="AF486" s="157"/>
      <c r="AG486" s="159"/>
      <c r="AL486" s="160"/>
      <c r="AM486" s="161"/>
      <c r="AN486" s="162"/>
      <c r="AO486" s="163"/>
      <c r="AV486" s="172"/>
      <c r="AW486" s="167"/>
      <c r="AX486" s="168"/>
      <c r="AY486" s="168"/>
      <c r="AZ486" s="168"/>
      <c r="BA486" s="168"/>
      <c r="BB486" s="168"/>
      <c r="BC486" s="169"/>
    </row>
    <row r="487" spans="30:55" ht="15">
      <c r="AD487" s="158"/>
      <c r="AE487" s="157"/>
      <c r="AF487" s="157"/>
      <c r="AG487" s="159"/>
      <c r="AL487" s="160"/>
      <c r="AM487" s="161"/>
      <c r="AN487" s="162"/>
      <c r="AO487" s="163"/>
      <c r="AV487" s="172"/>
      <c r="AW487" s="167"/>
      <c r="AX487" s="168"/>
      <c r="AY487" s="168"/>
      <c r="AZ487" s="168"/>
      <c r="BA487" s="168"/>
      <c r="BB487" s="168"/>
      <c r="BC487" s="169"/>
    </row>
    <row r="488" spans="30:55" ht="15">
      <c r="AD488" s="158"/>
      <c r="AE488" s="157"/>
      <c r="AF488" s="157"/>
      <c r="AG488" s="159"/>
      <c r="AL488" s="160"/>
      <c r="AM488" s="161"/>
      <c r="AN488" s="162"/>
      <c r="AO488" s="163"/>
      <c r="AV488" s="172"/>
      <c r="AW488" s="167"/>
      <c r="AX488" s="168"/>
      <c r="AY488" s="168"/>
      <c r="AZ488" s="168"/>
      <c r="BA488" s="168"/>
      <c r="BB488" s="168"/>
      <c r="BC488" s="169"/>
    </row>
    <row r="489" spans="30:55" ht="15">
      <c r="AD489" s="158"/>
      <c r="AE489" s="157"/>
      <c r="AF489" s="157"/>
      <c r="AG489" s="159"/>
      <c r="AL489" s="160"/>
      <c r="AM489" s="161"/>
      <c r="AN489" s="162"/>
      <c r="AO489" s="163"/>
      <c r="AV489" s="172"/>
      <c r="AW489" s="167"/>
      <c r="AX489" s="168"/>
      <c r="AY489" s="168"/>
      <c r="AZ489" s="168"/>
      <c r="BA489" s="168"/>
      <c r="BB489" s="168"/>
      <c r="BC489" s="169"/>
    </row>
    <row r="490" spans="30:55" ht="15">
      <c r="AD490" s="158"/>
      <c r="AE490" s="157"/>
      <c r="AF490" s="157"/>
      <c r="AG490" s="159"/>
      <c r="AL490" s="160"/>
      <c r="AM490" s="161"/>
      <c r="AN490" s="162"/>
      <c r="AO490" s="163"/>
      <c r="AV490" s="172"/>
      <c r="AW490" s="167"/>
      <c r="AX490" s="168"/>
      <c r="AY490" s="168"/>
      <c r="AZ490" s="168"/>
      <c r="BA490" s="168"/>
      <c r="BB490" s="168"/>
      <c r="BC490" s="169"/>
    </row>
    <row r="491" spans="30:55" ht="15">
      <c r="AD491" s="158"/>
      <c r="AE491" s="157"/>
      <c r="AF491" s="157"/>
      <c r="AG491" s="159"/>
      <c r="AL491" s="160"/>
      <c r="AM491" s="161"/>
      <c r="AN491" s="162"/>
      <c r="AO491" s="163"/>
      <c r="AV491" s="172"/>
      <c r="AW491" s="167"/>
      <c r="AX491" s="168"/>
      <c r="AY491" s="168"/>
      <c r="AZ491" s="168"/>
      <c r="BA491" s="168"/>
      <c r="BB491" s="168"/>
      <c r="BC491" s="169"/>
    </row>
    <row r="492" spans="30:55" ht="15">
      <c r="AD492" s="158"/>
      <c r="AE492" s="157"/>
      <c r="AF492" s="157"/>
      <c r="AG492" s="159"/>
      <c r="AL492" s="160"/>
      <c r="AM492" s="161"/>
      <c r="AN492" s="162"/>
      <c r="AO492" s="163"/>
      <c r="AV492" s="172"/>
      <c r="AW492" s="167"/>
      <c r="AX492" s="168"/>
      <c r="AY492" s="168"/>
      <c r="AZ492" s="168"/>
      <c r="BA492" s="168"/>
      <c r="BB492" s="168"/>
      <c r="BC492" s="169"/>
    </row>
    <row r="493" spans="30:55" ht="15">
      <c r="AD493" s="158"/>
      <c r="AE493" s="157"/>
      <c r="AF493" s="157"/>
      <c r="AG493" s="159"/>
      <c r="AL493" s="160"/>
      <c r="AM493" s="161"/>
      <c r="AN493" s="162"/>
      <c r="AO493" s="163"/>
      <c r="AV493" s="172"/>
      <c r="AW493" s="167"/>
      <c r="AX493" s="168"/>
      <c r="AY493" s="168"/>
      <c r="AZ493" s="168"/>
      <c r="BA493" s="168"/>
      <c r="BB493" s="168"/>
      <c r="BC493" s="169"/>
    </row>
    <row r="494" spans="30:55" ht="15">
      <c r="AD494" s="158"/>
      <c r="AE494" s="157"/>
      <c r="AF494" s="157"/>
      <c r="AG494" s="159"/>
      <c r="AL494" s="160"/>
      <c r="AM494" s="161"/>
      <c r="AN494" s="162"/>
      <c r="AO494" s="163"/>
      <c r="AV494" s="172"/>
      <c r="AW494" s="167"/>
      <c r="AX494" s="168"/>
      <c r="AY494" s="168"/>
      <c r="AZ494" s="168"/>
      <c r="BA494" s="168"/>
      <c r="BB494" s="168"/>
      <c r="BC494" s="169"/>
    </row>
    <row r="495" spans="30:55" ht="15">
      <c r="AD495" s="158"/>
      <c r="AE495" s="157"/>
      <c r="AF495" s="157"/>
      <c r="AG495" s="159"/>
      <c r="AL495" s="160"/>
      <c r="AM495" s="161"/>
      <c r="AN495" s="162"/>
      <c r="AO495" s="163"/>
      <c r="AV495" s="172"/>
      <c r="AW495" s="167"/>
      <c r="AX495" s="168"/>
      <c r="AY495" s="168"/>
      <c r="AZ495" s="168"/>
      <c r="BA495" s="168"/>
      <c r="BB495" s="168"/>
      <c r="BC495" s="169"/>
    </row>
    <row r="496" spans="30:55" ht="15">
      <c r="AD496" s="158"/>
      <c r="AE496" s="157"/>
      <c r="AF496" s="157"/>
      <c r="AG496" s="159"/>
      <c r="AL496" s="160"/>
      <c r="AM496" s="161"/>
      <c r="AN496" s="162"/>
      <c r="AO496" s="163"/>
      <c r="AV496" s="172"/>
      <c r="AW496" s="167"/>
      <c r="AX496" s="168"/>
      <c r="AY496" s="168"/>
      <c r="AZ496" s="168"/>
      <c r="BA496" s="168"/>
      <c r="BB496" s="168"/>
      <c r="BC496" s="169"/>
    </row>
    <row r="497" spans="29:55" ht="15">
      <c r="AD497" s="158"/>
      <c r="AE497" s="157"/>
      <c r="AF497" s="157"/>
      <c r="AG497" s="159"/>
      <c r="AL497" s="160"/>
      <c r="AM497" s="161"/>
      <c r="AN497" s="162"/>
      <c r="AO497" s="163"/>
      <c r="AV497" s="172"/>
      <c r="AW497" s="167"/>
      <c r="AX497" s="168"/>
      <c r="AY497" s="168"/>
      <c r="AZ497" s="168"/>
      <c r="BA497" s="168"/>
      <c r="BB497" s="168"/>
      <c r="BC497" s="169"/>
    </row>
    <row r="498" spans="29:55" ht="15">
      <c r="AC498" s="158"/>
      <c r="AD498" s="158"/>
      <c r="AE498" s="157"/>
      <c r="AF498" s="157"/>
      <c r="AG498" s="159"/>
      <c r="AL498" s="160"/>
      <c r="AM498" s="161"/>
      <c r="AN498" s="162"/>
      <c r="AO498" s="163"/>
      <c r="AV498" s="172"/>
      <c r="AW498" s="167"/>
      <c r="AX498" s="168"/>
      <c r="AY498" s="168"/>
      <c r="AZ498" s="168"/>
      <c r="BA498" s="168"/>
      <c r="BB498" s="168"/>
      <c r="BC498" s="169"/>
    </row>
    <row r="499" spans="29:55" ht="15">
      <c r="AC499" s="158"/>
      <c r="AD499" s="158"/>
      <c r="AE499" s="157"/>
      <c r="AF499" s="157"/>
      <c r="AG499" s="159"/>
      <c r="AL499" s="160"/>
      <c r="AM499" s="161"/>
      <c r="AN499" s="162"/>
      <c r="AO499" s="163"/>
      <c r="AV499" s="172"/>
      <c r="AW499" s="167"/>
      <c r="AX499" s="168"/>
      <c r="AY499" s="168"/>
      <c r="AZ499" s="168"/>
      <c r="BA499" s="168"/>
      <c r="BB499" s="168"/>
      <c r="BC499" s="169"/>
    </row>
    <row r="500" spans="29:55" ht="15">
      <c r="AC500" s="158"/>
      <c r="AD500" s="158"/>
      <c r="AE500" s="157"/>
      <c r="AF500" s="157"/>
      <c r="AG500" s="159"/>
      <c r="AL500" s="160"/>
      <c r="AM500" s="161"/>
      <c r="AN500" s="162"/>
      <c r="AO500" s="163"/>
      <c r="AV500" s="172"/>
      <c r="AW500" s="167"/>
      <c r="AX500" s="168"/>
      <c r="AY500" s="168"/>
      <c r="AZ500" s="168"/>
      <c r="BA500" s="168"/>
      <c r="BB500" s="168"/>
      <c r="BC500" s="169"/>
    </row>
    <row r="501" spans="29:55" ht="15">
      <c r="AD501" s="158"/>
      <c r="AE501" s="157"/>
      <c r="AF501" s="157"/>
      <c r="AG501" s="159"/>
      <c r="AL501" s="160"/>
      <c r="AM501" s="161"/>
      <c r="AN501" s="162"/>
      <c r="AO501" s="163"/>
      <c r="AV501" s="172"/>
      <c r="AW501" s="167"/>
      <c r="AX501" s="168"/>
      <c r="AY501" s="168"/>
      <c r="AZ501" s="168"/>
      <c r="BA501" s="168"/>
      <c r="BB501" s="168"/>
      <c r="BC501" s="169"/>
    </row>
    <row r="502" spans="29:55" ht="15">
      <c r="AD502" s="158"/>
      <c r="AE502" s="157"/>
      <c r="AF502" s="157"/>
      <c r="AG502" s="159"/>
      <c r="AL502" s="160"/>
      <c r="AM502" s="161"/>
      <c r="AN502" s="162"/>
      <c r="AO502" s="163"/>
      <c r="AV502" s="172"/>
      <c r="AW502" s="167"/>
      <c r="AX502" s="168"/>
      <c r="AY502" s="168"/>
      <c r="AZ502" s="168"/>
      <c r="BA502" s="168"/>
      <c r="BB502" s="168"/>
      <c r="BC502" s="169"/>
    </row>
    <row r="503" spans="29:55" ht="15">
      <c r="AD503" s="158"/>
      <c r="AE503" s="157"/>
      <c r="AF503" s="157"/>
      <c r="AG503" s="159"/>
      <c r="AL503" s="160"/>
      <c r="AM503" s="161"/>
      <c r="AN503" s="162"/>
      <c r="AO503" s="163"/>
      <c r="AV503" s="172"/>
      <c r="AW503" s="167"/>
      <c r="AX503" s="168"/>
      <c r="AY503" s="168"/>
      <c r="AZ503" s="168"/>
      <c r="BA503" s="168"/>
      <c r="BB503" s="168"/>
      <c r="BC503" s="169"/>
    </row>
    <row r="504" spans="29:55" ht="15">
      <c r="AD504" s="158"/>
      <c r="AE504" s="157"/>
      <c r="AF504" s="157"/>
      <c r="AG504" s="159"/>
      <c r="AL504" s="160"/>
      <c r="AM504" s="161"/>
      <c r="AN504" s="162"/>
      <c r="AO504" s="163"/>
      <c r="AV504" s="172"/>
      <c r="AW504" s="167"/>
      <c r="AX504" s="168"/>
      <c r="AY504" s="168"/>
      <c r="AZ504" s="168"/>
      <c r="BA504" s="168"/>
      <c r="BB504" s="168"/>
      <c r="BC504" s="169"/>
    </row>
    <row r="505" spans="29:55" ht="15">
      <c r="AD505" s="158"/>
      <c r="AE505" s="157"/>
      <c r="AF505" s="157"/>
      <c r="AG505" s="159"/>
      <c r="AL505" s="160"/>
      <c r="AM505" s="161"/>
      <c r="AN505" s="162"/>
      <c r="AO505" s="163"/>
      <c r="AV505" s="172"/>
      <c r="AW505" s="167"/>
      <c r="AX505" s="168"/>
      <c r="AY505" s="168"/>
      <c r="AZ505" s="168"/>
      <c r="BA505" s="168"/>
      <c r="BB505" s="168"/>
      <c r="BC505" s="169"/>
    </row>
    <row r="506" spans="29:55" ht="15">
      <c r="AD506" s="158"/>
      <c r="AE506" s="157"/>
      <c r="AF506" s="157"/>
      <c r="AG506" s="159"/>
      <c r="AL506" s="160"/>
      <c r="AM506" s="161"/>
      <c r="AN506" s="162"/>
      <c r="AO506" s="163"/>
      <c r="AV506" s="172"/>
      <c r="AW506" s="167"/>
      <c r="AX506" s="168"/>
      <c r="AY506" s="168"/>
      <c r="AZ506" s="168"/>
      <c r="BA506" s="168"/>
      <c r="BB506" s="168"/>
      <c r="BC506" s="169"/>
    </row>
    <row r="507" spans="29:55" ht="15">
      <c r="AD507" s="158"/>
      <c r="AE507" s="157"/>
      <c r="AF507" s="157"/>
      <c r="AG507" s="159"/>
      <c r="AL507" s="160"/>
      <c r="AM507" s="161"/>
      <c r="AN507" s="162"/>
      <c r="AO507" s="163"/>
      <c r="AV507" s="172"/>
      <c r="AW507" s="167"/>
      <c r="AX507" s="168"/>
      <c r="AY507" s="168"/>
      <c r="AZ507" s="168"/>
      <c r="BA507" s="168"/>
      <c r="BB507" s="168"/>
      <c r="BC507" s="169"/>
    </row>
    <row r="508" spans="29:55" ht="15">
      <c r="AD508" s="158"/>
      <c r="AE508" s="157"/>
      <c r="AF508" s="157"/>
      <c r="AG508" s="159"/>
      <c r="AL508" s="160"/>
      <c r="AM508" s="161"/>
      <c r="AN508" s="162"/>
      <c r="AO508" s="163"/>
      <c r="AV508" s="172"/>
      <c r="AW508" s="167"/>
      <c r="AX508" s="168"/>
      <c r="AY508" s="168"/>
      <c r="AZ508" s="168"/>
      <c r="BA508" s="168"/>
      <c r="BB508" s="168"/>
      <c r="BC508" s="169"/>
    </row>
    <row r="509" spans="29:55" ht="15">
      <c r="AD509" s="158"/>
      <c r="AE509" s="157"/>
      <c r="AF509" s="157"/>
      <c r="AG509" s="159"/>
      <c r="AL509" s="160"/>
      <c r="AM509" s="161"/>
      <c r="AN509" s="162"/>
      <c r="AO509" s="163"/>
      <c r="AV509" s="172"/>
      <c r="AW509" s="167"/>
      <c r="AX509" s="168"/>
      <c r="AY509" s="168"/>
      <c r="AZ509" s="168"/>
      <c r="BA509" s="168"/>
      <c r="BB509" s="168"/>
      <c r="BC509" s="169"/>
    </row>
    <row r="510" spans="29:55" ht="15">
      <c r="AD510" s="158"/>
      <c r="AE510" s="157"/>
      <c r="AF510" s="157"/>
      <c r="AG510" s="159"/>
      <c r="AL510" s="160"/>
      <c r="AM510" s="161"/>
      <c r="AN510" s="162"/>
      <c r="AO510" s="163"/>
      <c r="AV510" s="172"/>
      <c r="AW510" s="167"/>
      <c r="AX510" s="168"/>
      <c r="AY510" s="168"/>
      <c r="AZ510" s="168"/>
      <c r="BA510" s="168"/>
      <c r="BB510" s="168"/>
      <c r="BC510" s="169"/>
    </row>
    <row r="511" spans="29:55" ht="15">
      <c r="AD511" s="158"/>
      <c r="AE511" s="157"/>
      <c r="AF511" s="157"/>
      <c r="AG511" s="159"/>
      <c r="AL511" s="160"/>
      <c r="AM511" s="161"/>
      <c r="AN511" s="162"/>
      <c r="AO511" s="163"/>
      <c r="AV511" s="172"/>
      <c r="AW511" s="167"/>
      <c r="AX511" s="168"/>
      <c r="AY511" s="168"/>
      <c r="AZ511" s="168"/>
      <c r="BA511" s="168"/>
      <c r="BB511" s="168"/>
      <c r="BC511" s="169"/>
    </row>
    <row r="512" spans="29:55" ht="15">
      <c r="AD512" s="158"/>
      <c r="AE512" s="157"/>
      <c r="AF512" s="157"/>
      <c r="AG512" s="159"/>
      <c r="AL512" s="160"/>
      <c r="AM512" s="161"/>
      <c r="AN512" s="162"/>
      <c r="AO512" s="163"/>
      <c r="AV512" s="172"/>
      <c r="AW512" s="167"/>
      <c r="AX512" s="168"/>
      <c r="AY512" s="168"/>
      <c r="AZ512" s="168"/>
      <c r="BA512" s="168"/>
      <c r="BB512" s="168"/>
      <c r="BC512" s="169"/>
    </row>
    <row r="513" spans="30:55" ht="15">
      <c r="AD513" s="158"/>
      <c r="AE513" s="157"/>
      <c r="AF513" s="157"/>
      <c r="AG513" s="159"/>
      <c r="AL513" s="160"/>
      <c r="AM513" s="161"/>
      <c r="AN513" s="162"/>
      <c r="AO513" s="163"/>
      <c r="AV513" s="172"/>
      <c r="AW513" s="167"/>
      <c r="AX513" s="168"/>
      <c r="AY513" s="168"/>
      <c r="AZ513" s="168"/>
      <c r="BA513" s="168"/>
      <c r="BB513" s="168"/>
      <c r="BC513" s="169"/>
    </row>
    <row r="514" spans="30:55" ht="15">
      <c r="AD514" s="158"/>
      <c r="AE514" s="157"/>
      <c r="AF514" s="157"/>
      <c r="AG514" s="159"/>
      <c r="AL514" s="160"/>
      <c r="AM514" s="161"/>
      <c r="AN514" s="162"/>
      <c r="AO514" s="163"/>
      <c r="AV514" s="172"/>
      <c r="AW514" s="167"/>
      <c r="AX514" s="168"/>
      <c r="AY514" s="168"/>
      <c r="AZ514" s="168"/>
      <c r="BA514" s="168"/>
      <c r="BB514" s="168"/>
      <c r="BC514" s="169"/>
    </row>
    <row r="515" spans="30:55" ht="15">
      <c r="AD515" s="158"/>
      <c r="AE515" s="157"/>
      <c r="AF515" s="157"/>
      <c r="AG515" s="159"/>
      <c r="AL515" s="160"/>
      <c r="AM515" s="161"/>
      <c r="AN515" s="162"/>
      <c r="AO515" s="163"/>
      <c r="AV515" s="172"/>
      <c r="AW515" s="167"/>
      <c r="AX515" s="168"/>
      <c r="AY515" s="168"/>
      <c r="AZ515" s="168"/>
      <c r="BA515" s="168"/>
      <c r="BB515" s="168"/>
      <c r="BC515" s="169"/>
    </row>
    <row r="516" spans="30:55" ht="15">
      <c r="AD516" s="158"/>
      <c r="AE516" s="157"/>
      <c r="AF516" s="157"/>
      <c r="AG516" s="159"/>
      <c r="AL516" s="160"/>
      <c r="AM516" s="161"/>
      <c r="AN516" s="162"/>
      <c r="AO516" s="163"/>
      <c r="AV516" s="172"/>
      <c r="AW516" s="167"/>
      <c r="AX516" s="168"/>
      <c r="AY516" s="168"/>
      <c r="AZ516" s="168"/>
      <c r="BA516" s="168"/>
      <c r="BB516" s="168"/>
      <c r="BC516" s="169"/>
    </row>
    <row r="517" spans="30:55" ht="15">
      <c r="AD517" s="158"/>
      <c r="AE517" s="157"/>
      <c r="AF517" s="157"/>
      <c r="AG517" s="159"/>
      <c r="AL517" s="160"/>
      <c r="AM517" s="161"/>
      <c r="AN517" s="162"/>
      <c r="AO517" s="163"/>
      <c r="AV517" s="172"/>
      <c r="AW517" s="167"/>
      <c r="AX517" s="168"/>
      <c r="AY517" s="168"/>
      <c r="AZ517" s="168"/>
      <c r="BA517" s="168"/>
      <c r="BB517" s="168"/>
      <c r="BC517" s="169"/>
    </row>
    <row r="518" spans="30:55" ht="15">
      <c r="AD518" s="158"/>
      <c r="AE518" s="157"/>
      <c r="AF518" s="157"/>
      <c r="AG518" s="159"/>
      <c r="AL518" s="160"/>
      <c r="AM518" s="161"/>
      <c r="AN518" s="162"/>
      <c r="AO518" s="163"/>
      <c r="AV518" s="172"/>
      <c r="AW518" s="167"/>
      <c r="AX518" s="168"/>
      <c r="AY518" s="168"/>
      <c r="AZ518" s="168"/>
      <c r="BA518" s="168"/>
      <c r="BB518" s="168"/>
      <c r="BC518" s="169"/>
    </row>
    <row r="519" spans="30:55" ht="15">
      <c r="AD519" s="158"/>
      <c r="AE519" s="157"/>
      <c r="AF519" s="157"/>
      <c r="AG519" s="159"/>
      <c r="AL519" s="160"/>
      <c r="AM519" s="161"/>
      <c r="AN519" s="162"/>
      <c r="AO519" s="163"/>
      <c r="AV519" s="172"/>
      <c r="AW519" s="167"/>
      <c r="AX519" s="168"/>
      <c r="AY519" s="168"/>
      <c r="AZ519" s="168"/>
      <c r="BA519" s="168"/>
      <c r="BB519" s="168"/>
      <c r="BC519" s="169"/>
    </row>
    <row r="520" spans="30:55" ht="15">
      <c r="AD520" s="158"/>
      <c r="AE520" s="157"/>
      <c r="AF520" s="157"/>
      <c r="AG520" s="159"/>
      <c r="AL520" s="160"/>
      <c r="AM520" s="161"/>
      <c r="AN520" s="162"/>
      <c r="AO520" s="163"/>
      <c r="AV520" s="172"/>
      <c r="AW520" s="167"/>
      <c r="AX520" s="168"/>
      <c r="AY520" s="168"/>
      <c r="AZ520" s="168"/>
      <c r="BA520" s="168"/>
      <c r="BB520" s="168"/>
      <c r="BC520" s="169"/>
    </row>
    <row r="521" spans="30:55" ht="15">
      <c r="AD521" s="158"/>
      <c r="AE521" s="157"/>
      <c r="AF521" s="157"/>
      <c r="AG521" s="159"/>
      <c r="AL521" s="160"/>
      <c r="AM521" s="161"/>
      <c r="AN521" s="162"/>
      <c r="AO521" s="163"/>
      <c r="AV521" s="172"/>
      <c r="AW521" s="167"/>
      <c r="AX521" s="168"/>
      <c r="AY521" s="168"/>
      <c r="AZ521" s="168"/>
      <c r="BA521" s="168"/>
      <c r="BB521" s="168"/>
      <c r="BC521" s="169"/>
    </row>
    <row r="522" spans="30:55" ht="15">
      <c r="AD522" s="158"/>
      <c r="AE522" s="157"/>
      <c r="AF522" s="157"/>
      <c r="AG522" s="159"/>
      <c r="AL522" s="160"/>
      <c r="AM522" s="161"/>
      <c r="AN522" s="162"/>
      <c r="AO522" s="163"/>
      <c r="AV522" s="172"/>
      <c r="AW522" s="167"/>
      <c r="AX522" s="168"/>
      <c r="AY522" s="168"/>
      <c r="AZ522" s="168"/>
      <c r="BA522" s="168"/>
      <c r="BB522" s="168"/>
      <c r="BC522" s="169"/>
    </row>
    <row r="523" spans="30:55" ht="15">
      <c r="AD523" s="158"/>
      <c r="AE523" s="157"/>
      <c r="AF523" s="157"/>
      <c r="AG523" s="159"/>
      <c r="AL523" s="160"/>
      <c r="AM523" s="161"/>
      <c r="AN523" s="162"/>
      <c r="AO523" s="163"/>
      <c r="AV523" s="172"/>
      <c r="AW523" s="167"/>
      <c r="AX523" s="168"/>
      <c r="AY523" s="168"/>
      <c r="AZ523" s="168"/>
      <c r="BA523" s="168"/>
      <c r="BB523" s="168"/>
      <c r="BC523" s="169"/>
    </row>
    <row r="524" spans="30:55" ht="15">
      <c r="AD524" s="158"/>
      <c r="AE524" s="157"/>
      <c r="AF524" s="157"/>
      <c r="AG524" s="159"/>
      <c r="AL524" s="160"/>
      <c r="AM524" s="161"/>
      <c r="AN524" s="162"/>
      <c r="AO524" s="163"/>
      <c r="AV524" s="172"/>
      <c r="AW524" s="167"/>
      <c r="AX524" s="168"/>
      <c r="AY524" s="168"/>
      <c r="AZ524" s="168"/>
      <c r="BA524" s="168"/>
      <c r="BB524" s="168"/>
      <c r="BC524" s="169"/>
    </row>
    <row r="525" spans="30:55" ht="15">
      <c r="AD525" s="158"/>
      <c r="AE525" s="157"/>
      <c r="AF525" s="157"/>
      <c r="AG525" s="159"/>
      <c r="AL525" s="160"/>
      <c r="AM525" s="161"/>
      <c r="AN525" s="162"/>
      <c r="AO525" s="163"/>
      <c r="AV525" s="172"/>
      <c r="AW525" s="167"/>
      <c r="AX525" s="168"/>
      <c r="AY525" s="168"/>
      <c r="AZ525" s="168"/>
      <c r="BA525" s="168"/>
      <c r="BB525" s="168"/>
      <c r="BC525" s="169"/>
    </row>
    <row r="526" spans="30:55" ht="15">
      <c r="AD526" s="158"/>
      <c r="AE526" s="157"/>
      <c r="AF526" s="157"/>
      <c r="AG526" s="159"/>
      <c r="AL526" s="160"/>
      <c r="AM526" s="161"/>
      <c r="AN526" s="162"/>
      <c r="AO526" s="163"/>
      <c r="AV526" s="172"/>
      <c r="AW526" s="167"/>
      <c r="AX526" s="168"/>
      <c r="AY526" s="168"/>
      <c r="AZ526" s="168"/>
      <c r="BA526" s="168"/>
      <c r="BB526" s="168"/>
      <c r="BC526" s="169"/>
    </row>
    <row r="527" spans="30:55" ht="15">
      <c r="AD527" s="158"/>
      <c r="AE527" s="157"/>
      <c r="AF527" s="157"/>
      <c r="AG527" s="159"/>
      <c r="AL527" s="160"/>
      <c r="AM527" s="161"/>
      <c r="AN527" s="162"/>
      <c r="AO527" s="163"/>
      <c r="AV527" s="172"/>
      <c r="AW527" s="167"/>
      <c r="AX527" s="168"/>
      <c r="AY527" s="168"/>
      <c r="AZ527" s="168"/>
      <c r="BA527" s="168"/>
      <c r="BB527" s="168"/>
      <c r="BC527" s="169"/>
    </row>
    <row r="528" spans="30:55" ht="15">
      <c r="AD528" s="158"/>
      <c r="AE528" s="157"/>
      <c r="AF528" s="157"/>
      <c r="AG528" s="159"/>
      <c r="AL528" s="160"/>
      <c r="AM528" s="161"/>
      <c r="AN528" s="162"/>
      <c r="AO528" s="163"/>
      <c r="AV528" s="172"/>
      <c r="AW528" s="167"/>
      <c r="AX528" s="168"/>
      <c r="AY528" s="168"/>
      <c r="AZ528" s="168"/>
      <c r="BA528" s="168"/>
      <c r="BB528" s="168"/>
      <c r="BC528" s="169"/>
    </row>
    <row r="529" spans="29:55" ht="15">
      <c r="AD529" s="158"/>
      <c r="AE529" s="157"/>
      <c r="AF529" s="157"/>
      <c r="AG529" s="159"/>
      <c r="AL529" s="160"/>
      <c r="AM529" s="161"/>
      <c r="AN529" s="162"/>
      <c r="AO529" s="163"/>
      <c r="AV529" s="172"/>
      <c r="AW529" s="167"/>
      <c r="AX529" s="168"/>
      <c r="AY529" s="168"/>
      <c r="AZ529" s="168"/>
      <c r="BA529" s="168"/>
      <c r="BB529" s="168"/>
      <c r="BC529" s="169"/>
    </row>
    <row r="530" spans="29:55" ht="15">
      <c r="AC530" s="173"/>
      <c r="AD530" s="158"/>
      <c r="AE530" s="157"/>
      <c r="AF530" s="157"/>
      <c r="AG530" s="159"/>
      <c r="AL530" s="160"/>
      <c r="AM530" s="161"/>
      <c r="AN530" s="162"/>
      <c r="AO530" s="163"/>
      <c r="AV530" s="172"/>
      <c r="AW530" s="167"/>
      <c r="AX530" s="168"/>
      <c r="AY530" s="168"/>
      <c r="AZ530" s="168"/>
      <c r="BA530" s="168"/>
      <c r="BB530" s="168"/>
      <c r="BC530" s="169"/>
    </row>
    <row r="531" spans="29:55" ht="15">
      <c r="AD531" s="158"/>
      <c r="AE531" s="157"/>
      <c r="AF531" s="157"/>
      <c r="AG531" s="159"/>
      <c r="AL531" s="160"/>
      <c r="AM531" s="161"/>
      <c r="AN531" s="162"/>
      <c r="AO531" s="163"/>
      <c r="AV531" s="172"/>
      <c r="AW531" s="167"/>
      <c r="AX531" s="168"/>
      <c r="AY531" s="168"/>
      <c r="AZ531" s="168"/>
      <c r="BA531" s="168"/>
      <c r="BB531" s="168"/>
      <c r="BC531" s="169"/>
    </row>
    <row r="532" spans="29:55" ht="15">
      <c r="AD532" s="158"/>
      <c r="AE532" s="157"/>
      <c r="AF532" s="157"/>
      <c r="AG532" s="159"/>
      <c r="AL532" s="160"/>
      <c r="AM532" s="161"/>
      <c r="AN532" s="162"/>
      <c r="AO532" s="163"/>
      <c r="AV532" s="172"/>
      <c r="AW532" s="167"/>
      <c r="AX532" s="168"/>
      <c r="AY532" s="168"/>
      <c r="AZ532" s="168"/>
      <c r="BA532" s="168"/>
      <c r="BB532" s="168"/>
      <c r="BC532" s="169"/>
    </row>
    <row r="533" spans="29:55" ht="15">
      <c r="AD533" s="158"/>
      <c r="AE533" s="157"/>
      <c r="AF533" s="157"/>
      <c r="AG533" s="159"/>
      <c r="AL533" s="160"/>
      <c r="AM533" s="161"/>
      <c r="AN533" s="162"/>
      <c r="AO533" s="163"/>
      <c r="AV533" s="172"/>
      <c r="AW533" s="167"/>
      <c r="AX533" s="168"/>
      <c r="AY533" s="168"/>
      <c r="AZ533" s="168"/>
      <c r="BA533" s="168"/>
      <c r="BB533" s="168"/>
      <c r="BC533" s="169"/>
    </row>
    <row r="534" spans="29:55" ht="15">
      <c r="AD534" s="158"/>
      <c r="AE534" s="157"/>
      <c r="AF534" s="157"/>
      <c r="AG534" s="159"/>
      <c r="AL534" s="160"/>
      <c r="AM534" s="161"/>
      <c r="AN534" s="162"/>
      <c r="AO534" s="163"/>
      <c r="AV534" s="172"/>
      <c r="AW534" s="167"/>
      <c r="AX534" s="168"/>
      <c r="AY534" s="168"/>
      <c r="AZ534" s="168"/>
      <c r="BA534" s="168"/>
      <c r="BB534" s="168"/>
      <c r="BC534" s="169"/>
    </row>
    <row r="535" spans="29:55" ht="15">
      <c r="AD535" s="158"/>
      <c r="AE535" s="157"/>
      <c r="AF535" s="157"/>
      <c r="AG535" s="159"/>
      <c r="AL535" s="160"/>
      <c r="AM535" s="161"/>
      <c r="AN535" s="162"/>
      <c r="AO535" s="163"/>
      <c r="AV535" s="172"/>
      <c r="AW535" s="167"/>
      <c r="AX535" s="168"/>
      <c r="AY535" s="168"/>
      <c r="AZ535" s="168"/>
      <c r="BA535" s="168"/>
      <c r="BB535" s="168"/>
      <c r="BC535" s="169"/>
    </row>
    <row r="536" spans="29:55" ht="15">
      <c r="AD536" s="158"/>
      <c r="AE536" s="157"/>
      <c r="AF536" s="157"/>
      <c r="AG536" s="159"/>
      <c r="AL536" s="160"/>
      <c r="AM536" s="161"/>
      <c r="AN536" s="162"/>
      <c r="AO536" s="163"/>
      <c r="AV536" s="172"/>
      <c r="AW536" s="167"/>
      <c r="AX536" s="168"/>
      <c r="AY536" s="168"/>
      <c r="AZ536" s="168"/>
      <c r="BA536" s="168"/>
      <c r="BB536" s="168"/>
      <c r="BC536" s="169"/>
    </row>
    <row r="537" spans="29:55" ht="15">
      <c r="AD537" s="158"/>
      <c r="AE537" s="157"/>
      <c r="AF537" s="157"/>
      <c r="AG537" s="159"/>
      <c r="AL537" s="160"/>
      <c r="AM537" s="161"/>
      <c r="AN537" s="162"/>
      <c r="AO537" s="163"/>
      <c r="AV537" s="172"/>
      <c r="AW537" s="167"/>
      <c r="AX537" s="168"/>
      <c r="AY537" s="168"/>
      <c r="AZ537" s="168"/>
      <c r="BA537" s="168"/>
      <c r="BB537" s="168"/>
      <c r="BC537" s="169"/>
    </row>
    <row r="538" spans="29:55" ht="15">
      <c r="AD538" s="158"/>
      <c r="AE538" s="157"/>
      <c r="AF538" s="157"/>
      <c r="AG538" s="159"/>
      <c r="AL538" s="160"/>
      <c r="AM538" s="161"/>
      <c r="AN538" s="162"/>
      <c r="AO538" s="163"/>
      <c r="AV538" s="172"/>
      <c r="AW538" s="167"/>
      <c r="AX538" s="168"/>
      <c r="AY538" s="168"/>
      <c r="AZ538" s="168"/>
      <c r="BA538" s="168"/>
      <c r="BB538" s="168"/>
      <c r="BC538" s="169"/>
    </row>
    <row r="539" spans="29:55" ht="15">
      <c r="AD539" s="158"/>
      <c r="AE539" s="157"/>
      <c r="AF539" s="157"/>
      <c r="AG539" s="159"/>
      <c r="AL539" s="160"/>
      <c r="AM539" s="161"/>
      <c r="AN539" s="162"/>
      <c r="AO539" s="163"/>
      <c r="AV539" s="172"/>
      <c r="AW539" s="167"/>
      <c r="AX539" s="168"/>
      <c r="AY539" s="168"/>
      <c r="AZ539" s="168"/>
      <c r="BA539" s="168"/>
      <c r="BB539" s="168"/>
      <c r="BC539" s="169"/>
    </row>
    <row r="540" spans="29:55" ht="15">
      <c r="AD540" s="158"/>
      <c r="AE540" s="157"/>
      <c r="AF540" s="157"/>
      <c r="AG540" s="159"/>
      <c r="AL540" s="160"/>
      <c r="AM540" s="161"/>
      <c r="AN540" s="162"/>
      <c r="AO540" s="163"/>
      <c r="AV540" s="172"/>
      <c r="AW540" s="167"/>
      <c r="AX540" s="168"/>
      <c r="AY540" s="168"/>
      <c r="AZ540" s="168"/>
      <c r="BA540" s="168"/>
      <c r="BB540" s="168"/>
      <c r="BC540" s="169"/>
    </row>
    <row r="541" spans="29:55" ht="15">
      <c r="AD541" s="158"/>
      <c r="AE541" s="157"/>
      <c r="AF541" s="157"/>
      <c r="AG541" s="159"/>
      <c r="AL541" s="160"/>
      <c r="AM541" s="161"/>
      <c r="AN541" s="162"/>
      <c r="AO541" s="163"/>
      <c r="AV541" s="172"/>
      <c r="AW541" s="167"/>
      <c r="AX541" s="168"/>
      <c r="AY541" s="168"/>
      <c r="AZ541" s="168"/>
      <c r="BA541" s="168"/>
      <c r="BB541" s="168"/>
      <c r="BC541" s="169"/>
    </row>
    <row r="542" spans="29:55" ht="15">
      <c r="AD542" s="158"/>
      <c r="AE542" s="157"/>
      <c r="AF542" s="157"/>
      <c r="AG542" s="159"/>
      <c r="AL542" s="160"/>
      <c r="AM542" s="161"/>
      <c r="AN542" s="162"/>
      <c r="AO542" s="163"/>
      <c r="AV542" s="172"/>
      <c r="AW542" s="167"/>
      <c r="AX542" s="168"/>
      <c r="AY542" s="168"/>
      <c r="AZ542" s="168"/>
      <c r="BA542" s="168"/>
      <c r="BB542" s="168"/>
      <c r="BC542" s="169"/>
    </row>
    <row r="543" spans="29:55" ht="15">
      <c r="AD543" s="158"/>
      <c r="AE543" s="157"/>
      <c r="AF543" s="157"/>
      <c r="AG543" s="159"/>
      <c r="AL543" s="160"/>
      <c r="AM543" s="161"/>
      <c r="AN543" s="162"/>
      <c r="AO543" s="163"/>
      <c r="AV543" s="172"/>
      <c r="AW543" s="167"/>
      <c r="AX543" s="168"/>
      <c r="AY543" s="168"/>
      <c r="AZ543" s="168"/>
      <c r="BA543" s="168"/>
      <c r="BB543" s="168"/>
      <c r="BC543" s="169"/>
    </row>
    <row r="544" spans="29:55" ht="15">
      <c r="AD544" s="158"/>
      <c r="AE544" s="157"/>
      <c r="AF544" s="157"/>
      <c r="AG544" s="159"/>
      <c r="AL544" s="160"/>
      <c r="AM544" s="161"/>
      <c r="AN544" s="162"/>
      <c r="AO544" s="163"/>
      <c r="AV544" s="172"/>
      <c r="AW544" s="167"/>
      <c r="AX544" s="168"/>
      <c r="AY544" s="168"/>
      <c r="AZ544" s="168"/>
      <c r="BA544" s="168"/>
      <c r="BB544" s="168"/>
      <c r="BC544" s="169"/>
    </row>
    <row r="545" spans="30:55" ht="15">
      <c r="AD545" s="158"/>
      <c r="AE545" s="157"/>
      <c r="AF545" s="157"/>
      <c r="AG545" s="159"/>
      <c r="AL545" s="160"/>
      <c r="AM545" s="161"/>
      <c r="AN545" s="162"/>
      <c r="AO545" s="163"/>
      <c r="AV545" s="172"/>
      <c r="AW545" s="167"/>
      <c r="AX545" s="168"/>
      <c r="AY545" s="168"/>
      <c r="AZ545" s="168"/>
      <c r="BA545" s="168"/>
      <c r="BB545" s="168"/>
      <c r="BC545" s="169"/>
    </row>
    <row r="546" spans="30:55" ht="15">
      <c r="AD546" s="158"/>
      <c r="AE546" s="157"/>
      <c r="AF546" s="157"/>
      <c r="AG546" s="159"/>
      <c r="AL546" s="160"/>
      <c r="AM546" s="161"/>
      <c r="AN546" s="162"/>
      <c r="AO546" s="163"/>
      <c r="AV546" s="172"/>
      <c r="AW546" s="167"/>
      <c r="AX546" s="168"/>
      <c r="AY546" s="168"/>
      <c r="AZ546" s="168"/>
      <c r="BA546" s="168"/>
      <c r="BB546" s="168"/>
      <c r="BC546" s="169"/>
    </row>
    <row r="547" spans="30:55" ht="15">
      <c r="AD547" s="158"/>
      <c r="AE547" s="157"/>
      <c r="AF547" s="157"/>
      <c r="AG547" s="159"/>
      <c r="AL547" s="160"/>
      <c r="AM547" s="161"/>
      <c r="AN547" s="162"/>
      <c r="AO547" s="163"/>
      <c r="AV547" s="172"/>
      <c r="AW547" s="167"/>
      <c r="AX547" s="168"/>
      <c r="AY547" s="168"/>
      <c r="AZ547" s="168"/>
      <c r="BA547" s="168"/>
      <c r="BB547" s="168"/>
      <c r="BC547" s="169"/>
    </row>
    <row r="548" spans="30:55" ht="15">
      <c r="AD548" s="158"/>
      <c r="AE548" s="157"/>
      <c r="AF548" s="157"/>
      <c r="AG548" s="159"/>
      <c r="AL548" s="160"/>
      <c r="AM548" s="161"/>
      <c r="AN548" s="162"/>
      <c r="AO548" s="163"/>
      <c r="AV548" s="172"/>
      <c r="AW548" s="167"/>
      <c r="AX548" s="168"/>
      <c r="AY548" s="168"/>
      <c r="AZ548" s="168"/>
      <c r="BA548" s="168"/>
      <c r="BB548" s="168"/>
      <c r="BC548" s="169"/>
    </row>
    <row r="549" spans="30:55" ht="15">
      <c r="AD549" s="158"/>
      <c r="AE549" s="157"/>
      <c r="AF549" s="157"/>
      <c r="AG549" s="159"/>
      <c r="AL549" s="160"/>
      <c r="AM549" s="161"/>
      <c r="AN549" s="162"/>
      <c r="AO549" s="163"/>
      <c r="AV549" s="172"/>
      <c r="AW549" s="167"/>
      <c r="AX549" s="168"/>
      <c r="AY549" s="168"/>
      <c r="AZ549" s="168"/>
      <c r="BA549" s="168"/>
      <c r="BB549" s="168"/>
      <c r="BC549" s="169"/>
    </row>
    <row r="550" spans="30:55" ht="15">
      <c r="AD550" s="158"/>
      <c r="AE550" s="157"/>
      <c r="AF550" s="157"/>
      <c r="AG550" s="159"/>
      <c r="AL550" s="160"/>
      <c r="AM550" s="161"/>
      <c r="AN550" s="162"/>
      <c r="AO550" s="163"/>
      <c r="AV550" s="172"/>
      <c r="AW550" s="167"/>
      <c r="AX550" s="168"/>
      <c r="AY550" s="168"/>
      <c r="AZ550" s="168"/>
      <c r="BA550" s="168"/>
      <c r="BB550" s="168"/>
      <c r="BC550" s="169"/>
    </row>
    <row r="551" spans="30:55" ht="15">
      <c r="AD551" s="158"/>
      <c r="AE551" s="157"/>
      <c r="AF551" s="157"/>
      <c r="AG551" s="159"/>
      <c r="AL551" s="160"/>
      <c r="AM551" s="161"/>
      <c r="AN551" s="162"/>
      <c r="AO551" s="163"/>
      <c r="AV551" s="172"/>
      <c r="AW551" s="167"/>
      <c r="AX551" s="168"/>
      <c r="AY551" s="168"/>
      <c r="AZ551" s="168"/>
      <c r="BA551" s="168"/>
      <c r="BB551" s="168"/>
      <c r="BC551" s="169"/>
    </row>
    <row r="552" spans="30:55" ht="15">
      <c r="AD552" s="158"/>
      <c r="AE552" s="157"/>
      <c r="AF552" s="157"/>
      <c r="AG552" s="159"/>
      <c r="AL552" s="160"/>
      <c r="AM552" s="161"/>
      <c r="AN552" s="162"/>
      <c r="AO552" s="163"/>
      <c r="AV552" s="172"/>
      <c r="AW552" s="167"/>
      <c r="AX552" s="168"/>
      <c r="AY552" s="168"/>
      <c r="AZ552" s="168"/>
      <c r="BA552" s="168"/>
      <c r="BB552" s="168"/>
      <c r="BC552" s="169"/>
    </row>
    <row r="553" spans="30:55" ht="15">
      <c r="AD553" s="158"/>
      <c r="AE553" s="157"/>
      <c r="AF553" s="157"/>
      <c r="AG553" s="159"/>
      <c r="AL553" s="160"/>
      <c r="AM553" s="161"/>
      <c r="AN553" s="162"/>
      <c r="AO553" s="163"/>
      <c r="AV553" s="172"/>
      <c r="AW553" s="167"/>
      <c r="AX553" s="168"/>
      <c r="AY553" s="168"/>
      <c r="AZ553" s="168"/>
      <c r="BA553" s="168"/>
      <c r="BB553" s="168"/>
      <c r="BC553" s="169"/>
    </row>
    <row r="554" spans="30:55" ht="15">
      <c r="AD554" s="158"/>
      <c r="AE554" s="157"/>
      <c r="AF554" s="157"/>
      <c r="AG554" s="159"/>
      <c r="AL554" s="160"/>
      <c r="AM554" s="161"/>
      <c r="AN554" s="162"/>
      <c r="AO554" s="163"/>
      <c r="AV554" s="172"/>
      <c r="AW554" s="167"/>
      <c r="AX554" s="168"/>
      <c r="AY554" s="168"/>
      <c r="AZ554" s="168"/>
      <c r="BA554" s="168"/>
      <c r="BB554" s="168"/>
      <c r="BC554" s="169"/>
    </row>
    <row r="555" spans="30:55" ht="15">
      <c r="AD555" s="158"/>
      <c r="AE555" s="157"/>
      <c r="AF555" s="157"/>
      <c r="AG555" s="159"/>
      <c r="AL555" s="160"/>
      <c r="AM555" s="161"/>
      <c r="AN555" s="162"/>
      <c r="AO555" s="163"/>
      <c r="AV555" s="172"/>
      <c r="AW555" s="167"/>
      <c r="AX555" s="168"/>
      <c r="AY555" s="168"/>
      <c r="AZ555" s="168"/>
      <c r="BA555" s="168"/>
      <c r="BB555" s="168"/>
      <c r="BC555" s="169"/>
    </row>
    <row r="556" spans="30:55" ht="15">
      <c r="AD556" s="158"/>
      <c r="AE556" s="157"/>
      <c r="AF556" s="157"/>
      <c r="AG556" s="159"/>
      <c r="AL556" s="160"/>
      <c r="AM556" s="161"/>
      <c r="AN556" s="162"/>
      <c r="AO556" s="163"/>
      <c r="AV556" s="172"/>
      <c r="AW556" s="167"/>
      <c r="AX556" s="168"/>
      <c r="AY556" s="168"/>
      <c r="AZ556" s="168"/>
      <c r="BA556" s="168"/>
      <c r="BB556" s="168"/>
      <c r="BC556" s="169"/>
    </row>
    <row r="557" spans="30:55" ht="15">
      <c r="AD557" s="158"/>
      <c r="AE557" s="157"/>
      <c r="AF557" s="157"/>
      <c r="AG557" s="159"/>
      <c r="AL557" s="160"/>
      <c r="AM557" s="161"/>
      <c r="AN557" s="162"/>
      <c r="AO557" s="163"/>
      <c r="AV557" s="172"/>
      <c r="AW557" s="167"/>
      <c r="AX557" s="168"/>
      <c r="AY557" s="168"/>
      <c r="AZ557" s="168"/>
      <c r="BA557" s="168"/>
      <c r="BB557" s="168"/>
      <c r="BC557" s="169"/>
    </row>
    <row r="558" spans="30:55" ht="15">
      <c r="AD558" s="158"/>
      <c r="AE558" s="157"/>
      <c r="AF558" s="157"/>
      <c r="AG558" s="159"/>
      <c r="AL558" s="160"/>
      <c r="AM558" s="161"/>
      <c r="AN558" s="162"/>
      <c r="AO558" s="163"/>
      <c r="AV558" s="172"/>
      <c r="AW558" s="167"/>
      <c r="AX558" s="168"/>
      <c r="AY558" s="168"/>
      <c r="AZ558" s="168"/>
      <c r="BA558" s="168"/>
      <c r="BB558" s="168"/>
      <c r="BC558" s="169"/>
    </row>
    <row r="559" spans="30:55" ht="15">
      <c r="AD559" s="158"/>
      <c r="AE559" s="157"/>
      <c r="AF559" s="157"/>
      <c r="AG559" s="159"/>
      <c r="AL559" s="160"/>
      <c r="AM559" s="161"/>
      <c r="AN559" s="162"/>
      <c r="AO559" s="163"/>
      <c r="AV559" s="172"/>
      <c r="AW559" s="167"/>
      <c r="AX559" s="168"/>
      <c r="AY559" s="168"/>
      <c r="AZ559" s="168"/>
      <c r="BA559" s="168"/>
      <c r="BB559" s="168"/>
      <c r="BC559" s="169"/>
    </row>
    <row r="560" spans="30:55" ht="15">
      <c r="AD560" s="158"/>
      <c r="AE560" s="157"/>
      <c r="AF560" s="157"/>
      <c r="AG560" s="159"/>
      <c r="AL560" s="160"/>
      <c r="AM560" s="161"/>
      <c r="AN560" s="162"/>
      <c r="AO560" s="163"/>
      <c r="AV560" s="172"/>
      <c r="AW560" s="167"/>
      <c r="AX560" s="168"/>
      <c r="AY560" s="168"/>
      <c r="AZ560" s="168"/>
      <c r="BA560" s="168"/>
      <c r="BB560" s="168"/>
      <c r="BC560" s="169"/>
    </row>
    <row r="561" spans="30:55" ht="15">
      <c r="AD561" s="158"/>
      <c r="AE561" s="157"/>
      <c r="AF561" s="157"/>
      <c r="AG561" s="159"/>
      <c r="AL561" s="160"/>
      <c r="AM561" s="161"/>
      <c r="AN561" s="162"/>
      <c r="AO561" s="163"/>
      <c r="AV561" s="172"/>
      <c r="AW561" s="167"/>
      <c r="AX561" s="168"/>
      <c r="AY561" s="168"/>
      <c r="AZ561" s="168"/>
      <c r="BA561" s="168"/>
      <c r="BB561" s="168"/>
      <c r="BC561" s="169"/>
    </row>
    <row r="562" spans="30:55" ht="15">
      <c r="AD562" s="158"/>
      <c r="AE562" s="157"/>
      <c r="AF562" s="157"/>
      <c r="AG562" s="159"/>
      <c r="AL562" s="160"/>
      <c r="AM562" s="161"/>
      <c r="AN562" s="162"/>
      <c r="AO562" s="163"/>
      <c r="AV562" s="172"/>
      <c r="AW562" s="167"/>
      <c r="AX562" s="168"/>
      <c r="AY562" s="168"/>
      <c r="AZ562" s="168"/>
      <c r="BA562" s="168"/>
      <c r="BB562" s="168"/>
      <c r="BC562" s="169"/>
    </row>
    <row r="563" spans="30:55" ht="15">
      <c r="AD563" s="158"/>
      <c r="AE563" s="157"/>
      <c r="AF563" s="157"/>
      <c r="AG563" s="159"/>
      <c r="AL563" s="160"/>
      <c r="AM563" s="161"/>
      <c r="AN563" s="162"/>
      <c r="AO563" s="163"/>
      <c r="AV563" s="172"/>
      <c r="AW563" s="167"/>
      <c r="AX563" s="168"/>
      <c r="AY563" s="168"/>
      <c r="AZ563" s="168"/>
      <c r="BA563" s="168"/>
      <c r="BB563" s="168"/>
      <c r="BC563" s="169"/>
    </row>
    <row r="564" spans="30:55" ht="15">
      <c r="AD564" s="158"/>
      <c r="AE564" s="157"/>
      <c r="AF564" s="157"/>
      <c r="AG564" s="159"/>
      <c r="AL564" s="160"/>
      <c r="AM564" s="161"/>
      <c r="AN564" s="162"/>
      <c r="AO564" s="163"/>
      <c r="AV564" s="172"/>
      <c r="AW564" s="167"/>
      <c r="AX564" s="168"/>
      <c r="AY564" s="168"/>
      <c r="AZ564" s="168"/>
      <c r="BA564" s="168"/>
      <c r="BB564" s="168"/>
      <c r="BC564" s="169"/>
    </row>
    <row r="565" spans="30:55" ht="15">
      <c r="AD565" s="158"/>
      <c r="AE565" s="157"/>
      <c r="AF565" s="157"/>
      <c r="AG565" s="159"/>
      <c r="AL565" s="160"/>
      <c r="AM565" s="161"/>
      <c r="AN565" s="162"/>
      <c r="AO565" s="163"/>
      <c r="AV565" s="172"/>
      <c r="AW565" s="167"/>
      <c r="AX565" s="168"/>
      <c r="AY565" s="168"/>
      <c r="AZ565" s="168"/>
      <c r="BA565" s="168"/>
      <c r="BB565" s="168"/>
      <c r="BC565" s="169"/>
    </row>
    <row r="566" spans="30:55" ht="15">
      <c r="AD566" s="158"/>
      <c r="AE566" s="157"/>
      <c r="AF566" s="157"/>
      <c r="AG566" s="159"/>
      <c r="AL566" s="160"/>
      <c r="AM566" s="161"/>
      <c r="AN566" s="162"/>
      <c r="AO566" s="163"/>
      <c r="AV566" s="172"/>
      <c r="AW566" s="167"/>
      <c r="AX566" s="168"/>
      <c r="AY566" s="168"/>
      <c r="AZ566" s="168"/>
      <c r="BA566" s="168"/>
      <c r="BB566" s="168"/>
      <c r="BC566" s="169"/>
    </row>
    <row r="567" spans="30:55" ht="15">
      <c r="AD567" s="158"/>
      <c r="AE567" s="157"/>
      <c r="AF567" s="157"/>
      <c r="AG567" s="159"/>
      <c r="AL567" s="160"/>
      <c r="AM567" s="161"/>
      <c r="AN567" s="162"/>
      <c r="AO567" s="163"/>
      <c r="AV567" s="172"/>
      <c r="AW567" s="167"/>
      <c r="AX567" s="168"/>
      <c r="AY567" s="168"/>
      <c r="AZ567" s="168"/>
      <c r="BA567" s="168"/>
      <c r="BB567" s="168"/>
      <c r="BC567" s="169"/>
    </row>
    <row r="568" spans="30:55" ht="15">
      <c r="AD568" s="158"/>
      <c r="AE568" s="157"/>
      <c r="AF568" s="157"/>
      <c r="AG568" s="159"/>
      <c r="AL568" s="160"/>
      <c r="AM568" s="161"/>
      <c r="AN568" s="162"/>
      <c r="AO568" s="163"/>
      <c r="AV568" s="172"/>
      <c r="AW568" s="167"/>
      <c r="AX568" s="168"/>
      <c r="AY568" s="168"/>
      <c r="AZ568" s="168"/>
      <c r="BA568" s="168"/>
      <c r="BB568" s="168"/>
      <c r="BC568" s="169"/>
    </row>
    <row r="569" spans="30:55" ht="15">
      <c r="AD569" s="158"/>
      <c r="AE569" s="157"/>
      <c r="AF569" s="157"/>
      <c r="AG569" s="159"/>
      <c r="AL569" s="160"/>
      <c r="AM569" s="161"/>
      <c r="AN569" s="162"/>
      <c r="AO569" s="163"/>
      <c r="AV569" s="172"/>
      <c r="AW569" s="167"/>
      <c r="AX569" s="168"/>
      <c r="AY569" s="168"/>
      <c r="AZ569" s="168"/>
      <c r="BA569" s="168"/>
      <c r="BB569" s="168"/>
      <c r="BC569" s="169"/>
    </row>
    <row r="570" spans="30:55" ht="15">
      <c r="AD570" s="158"/>
      <c r="AE570" s="157"/>
      <c r="AF570" s="157"/>
      <c r="AG570" s="159"/>
      <c r="AL570" s="160"/>
      <c r="AM570" s="161"/>
      <c r="AN570" s="162"/>
      <c r="AO570" s="163"/>
      <c r="AV570" s="172"/>
      <c r="AW570" s="167"/>
      <c r="AX570" s="168"/>
      <c r="AY570" s="168"/>
      <c r="AZ570" s="168"/>
      <c r="BA570" s="168"/>
      <c r="BB570" s="168"/>
      <c r="BC570" s="169"/>
    </row>
    <row r="571" spans="30:55" ht="15">
      <c r="AD571" s="158"/>
      <c r="AE571" s="157"/>
      <c r="AF571" s="157"/>
      <c r="AG571" s="159"/>
      <c r="AL571" s="160"/>
      <c r="AM571" s="161"/>
      <c r="AN571" s="162"/>
      <c r="AO571" s="163"/>
      <c r="AV571" s="172"/>
      <c r="AW571" s="167"/>
      <c r="AX571" s="168"/>
      <c r="AY571" s="168"/>
      <c r="AZ571" s="168"/>
      <c r="BA571" s="168"/>
      <c r="BB571" s="168"/>
      <c r="BC571" s="169"/>
    </row>
    <row r="572" spans="30:55" ht="15">
      <c r="AD572" s="158"/>
      <c r="AE572" s="157"/>
      <c r="AF572" s="157"/>
      <c r="AG572" s="159"/>
      <c r="AL572" s="160"/>
      <c r="AM572" s="161"/>
      <c r="AN572" s="162"/>
      <c r="AO572" s="163"/>
      <c r="AV572" s="172"/>
      <c r="AW572" s="167"/>
      <c r="AX572" s="168"/>
      <c r="AY572" s="168"/>
      <c r="AZ572" s="168"/>
      <c r="BA572" s="168"/>
      <c r="BB572" s="168"/>
      <c r="BC572" s="169"/>
    </row>
    <row r="573" spans="30:55" ht="15">
      <c r="AD573" s="158"/>
      <c r="AE573" s="157"/>
      <c r="AF573" s="157"/>
      <c r="AG573" s="159"/>
      <c r="AL573" s="160"/>
      <c r="AM573" s="161"/>
      <c r="AN573" s="162"/>
      <c r="AO573" s="163"/>
      <c r="AV573" s="172"/>
      <c r="AW573" s="167"/>
      <c r="AX573" s="168"/>
      <c r="AY573" s="168"/>
      <c r="AZ573" s="168"/>
      <c r="BA573" s="168"/>
      <c r="BB573" s="168"/>
      <c r="BC573" s="169"/>
    </row>
    <row r="574" spans="30:55" ht="15">
      <c r="AD574" s="158"/>
      <c r="AE574" s="157"/>
      <c r="AF574" s="157"/>
      <c r="AG574" s="159"/>
      <c r="AL574" s="160"/>
      <c r="AM574" s="161"/>
      <c r="AN574" s="162"/>
      <c r="AO574" s="163"/>
      <c r="AV574" s="172"/>
      <c r="AW574" s="167"/>
      <c r="AX574" s="168"/>
      <c r="AY574" s="168"/>
      <c r="AZ574" s="168"/>
      <c r="BA574" s="168"/>
      <c r="BB574" s="168"/>
      <c r="BC574" s="169"/>
    </row>
    <row r="575" spans="30:55" ht="15">
      <c r="AD575" s="158"/>
      <c r="AE575" s="157"/>
      <c r="AF575" s="157"/>
      <c r="AG575" s="159"/>
      <c r="AL575" s="160"/>
      <c r="AM575" s="161"/>
      <c r="AN575" s="162"/>
      <c r="AO575" s="163"/>
      <c r="AV575" s="172"/>
      <c r="AW575" s="167"/>
      <c r="AX575" s="168"/>
      <c r="AY575" s="168"/>
      <c r="AZ575" s="168"/>
      <c r="BA575" s="168"/>
      <c r="BB575" s="168"/>
      <c r="BC575" s="169"/>
    </row>
    <row r="576" spans="30:55" ht="15">
      <c r="AD576" s="158"/>
      <c r="AE576" s="157"/>
      <c r="AF576" s="157"/>
      <c r="AG576" s="159"/>
      <c r="AL576" s="160"/>
      <c r="AM576" s="161"/>
      <c r="AN576" s="162"/>
      <c r="AO576" s="163"/>
      <c r="AV576" s="172"/>
      <c r="AW576" s="167"/>
      <c r="AX576" s="168"/>
      <c r="AY576" s="168"/>
      <c r="AZ576" s="168"/>
      <c r="BA576" s="168"/>
      <c r="BB576" s="168"/>
      <c r="BC576" s="169"/>
    </row>
    <row r="577" spans="30:55" ht="15">
      <c r="AD577" s="158"/>
      <c r="AE577" s="157"/>
      <c r="AF577" s="157"/>
      <c r="AG577" s="159"/>
      <c r="AL577" s="160"/>
      <c r="AM577" s="161"/>
      <c r="AN577" s="162"/>
      <c r="AO577" s="163"/>
      <c r="AV577" s="172"/>
      <c r="AW577" s="167"/>
      <c r="AX577" s="168"/>
      <c r="AY577" s="168"/>
      <c r="AZ577" s="168"/>
      <c r="BA577" s="168"/>
      <c r="BB577" s="168"/>
      <c r="BC577" s="169"/>
    </row>
    <row r="578" spans="30:55" ht="15">
      <c r="AD578" s="158"/>
      <c r="AE578" s="157"/>
      <c r="AF578" s="157"/>
      <c r="AG578" s="159"/>
      <c r="AL578" s="160"/>
      <c r="AM578" s="161"/>
      <c r="AN578" s="162"/>
      <c r="AO578" s="163"/>
      <c r="AV578" s="172"/>
      <c r="AW578" s="167"/>
      <c r="AX578" s="168"/>
      <c r="AY578" s="168"/>
      <c r="AZ578" s="168"/>
      <c r="BA578" s="168"/>
      <c r="BB578" s="168"/>
      <c r="BC578" s="169"/>
    </row>
    <row r="579" spans="30:55" ht="15">
      <c r="AD579" s="158"/>
      <c r="AE579" s="157"/>
      <c r="AF579" s="157"/>
      <c r="AG579" s="159"/>
      <c r="AL579" s="160"/>
      <c r="AM579" s="161"/>
      <c r="AN579" s="162"/>
      <c r="AO579" s="163"/>
      <c r="AV579" s="172"/>
      <c r="AW579" s="167"/>
      <c r="AX579" s="168"/>
      <c r="AY579" s="168"/>
      <c r="AZ579" s="168"/>
      <c r="BA579" s="168"/>
      <c r="BB579" s="168"/>
      <c r="BC579" s="169"/>
    </row>
    <row r="580" spans="30:55" ht="15">
      <c r="AD580" s="158"/>
      <c r="AE580" s="157"/>
      <c r="AF580" s="157"/>
      <c r="AG580" s="159"/>
      <c r="AL580" s="160"/>
      <c r="AM580" s="161"/>
      <c r="AN580" s="162"/>
      <c r="AO580" s="163"/>
      <c r="AV580" s="172"/>
      <c r="AW580" s="167"/>
      <c r="AX580" s="168"/>
      <c r="AY580" s="168"/>
      <c r="AZ580" s="168"/>
      <c r="BA580" s="168"/>
      <c r="BB580" s="168"/>
      <c r="BC580" s="169"/>
    </row>
    <row r="581" spans="30:55" ht="15">
      <c r="AD581" s="158"/>
      <c r="AE581" s="157"/>
      <c r="AF581" s="157"/>
      <c r="AG581" s="159"/>
      <c r="AL581" s="160"/>
      <c r="AM581" s="161"/>
      <c r="AN581" s="162"/>
      <c r="AO581" s="163"/>
      <c r="AV581" s="172"/>
      <c r="AW581" s="167"/>
      <c r="AX581" s="168"/>
      <c r="AY581" s="168"/>
      <c r="AZ581" s="168"/>
      <c r="BA581" s="168"/>
      <c r="BB581" s="168"/>
      <c r="BC581" s="169"/>
    </row>
    <row r="582" spans="30:55" ht="15">
      <c r="AD582" s="158"/>
      <c r="AE582" s="157"/>
      <c r="AF582" s="157"/>
      <c r="AG582" s="159"/>
      <c r="AL582" s="160"/>
      <c r="AM582" s="161"/>
      <c r="AN582" s="162"/>
      <c r="AO582" s="163"/>
      <c r="AV582" s="172"/>
      <c r="AW582" s="167"/>
      <c r="AX582" s="168"/>
      <c r="AY582" s="168"/>
      <c r="AZ582" s="168"/>
      <c r="BA582" s="168"/>
      <c r="BB582" s="168"/>
      <c r="BC582" s="169"/>
    </row>
    <row r="583" spans="30:55" ht="15">
      <c r="AD583" s="158"/>
      <c r="AE583" s="157"/>
      <c r="AF583" s="157"/>
      <c r="AG583" s="159"/>
      <c r="AL583" s="160"/>
      <c r="AM583" s="161"/>
      <c r="AN583" s="162"/>
      <c r="AO583" s="163"/>
      <c r="AV583" s="172"/>
      <c r="AW583" s="167"/>
      <c r="AX583" s="168"/>
      <c r="AY583" s="168"/>
      <c r="AZ583" s="168"/>
      <c r="BA583" s="168"/>
      <c r="BB583" s="168"/>
      <c r="BC583" s="169"/>
    </row>
    <row r="584" spans="30:55" ht="15">
      <c r="AD584" s="158"/>
      <c r="AE584" s="157"/>
      <c r="AF584" s="157"/>
      <c r="AG584" s="159"/>
      <c r="AL584" s="160"/>
      <c r="AM584" s="161"/>
      <c r="AN584" s="162"/>
      <c r="AO584" s="163"/>
      <c r="AV584" s="172"/>
      <c r="AW584" s="167"/>
      <c r="AX584" s="168"/>
      <c r="AY584" s="168"/>
      <c r="AZ584" s="168"/>
      <c r="BA584" s="168"/>
      <c r="BB584" s="168"/>
      <c r="BC584" s="169"/>
    </row>
    <row r="585" spans="30:55" ht="15">
      <c r="AD585" s="158"/>
      <c r="AE585" s="157"/>
      <c r="AF585" s="157"/>
      <c r="AG585" s="159"/>
      <c r="AL585" s="160"/>
      <c r="AM585" s="161"/>
      <c r="AN585" s="162"/>
      <c r="AO585" s="163"/>
      <c r="AV585" s="172"/>
      <c r="AW585" s="167"/>
      <c r="AX585" s="168"/>
      <c r="AY585" s="168"/>
      <c r="AZ585" s="168"/>
      <c r="BA585" s="168"/>
      <c r="BB585" s="168"/>
      <c r="BC585" s="169"/>
    </row>
    <row r="586" spans="30:55" ht="15">
      <c r="AD586" s="158"/>
      <c r="AE586" s="157"/>
      <c r="AF586" s="157"/>
      <c r="AG586" s="159"/>
      <c r="AL586" s="160"/>
      <c r="AM586" s="161"/>
      <c r="AN586" s="162"/>
      <c r="AO586" s="163"/>
      <c r="AV586" s="172"/>
      <c r="AW586" s="167"/>
      <c r="AX586" s="168"/>
      <c r="AY586" s="168"/>
      <c r="AZ586" s="168"/>
      <c r="BA586" s="168"/>
      <c r="BB586" s="168"/>
      <c r="BC586" s="169"/>
    </row>
    <row r="587" spans="30:55" ht="15">
      <c r="AD587" s="158"/>
      <c r="AE587" s="157"/>
      <c r="AF587" s="157"/>
      <c r="AG587" s="159"/>
      <c r="AL587" s="160"/>
      <c r="AM587" s="161"/>
      <c r="AN587" s="162"/>
      <c r="AO587" s="163"/>
      <c r="AV587" s="172"/>
      <c r="AW587" s="167"/>
      <c r="AX587" s="168"/>
      <c r="AY587" s="168"/>
      <c r="AZ587" s="168"/>
      <c r="BA587" s="168"/>
      <c r="BB587" s="168"/>
      <c r="BC587" s="169"/>
    </row>
    <row r="588" spans="30:55" ht="15">
      <c r="AD588" s="158"/>
      <c r="AE588" s="157"/>
      <c r="AF588" s="157"/>
      <c r="AG588" s="159"/>
      <c r="AL588" s="160"/>
      <c r="AM588" s="161"/>
      <c r="AN588" s="162"/>
      <c r="AO588" s="163"/>
      <c r="AV588" s="172"/>
      <c r="AW588" s="167"/>
      <c r="AX588" s="168"/>
      <c r="AY588" s="168"/>
      <c r="AZ588" s="168"/>
      <c r="BA588" s="168"/>
      <c r="BB588" s="168"/>
      <c r="BC588" s="169"/>
    </row>
    <row r="589" spans="30:55" ht="15">
      <c r="AD589" s="158"/>
      <c r="AE589" s="157"/>
      <c r="AF589" s="157"/>
      <c r="AG589" s="159"/>
      <c r="AL589" s="160"/>
      <c r="AM589" s="161"/>
      <c r="AN589" s="162"/>
      <c r="AO589" s="163"/>
      <c r="AV589" s="172"/>
      <c r="AW589" s="167"/>
      <c r="AX589" s="168"/>
      <c r="AY589" s="168"/>
      <c r="AZ589" s="168"/>
      <c r="BA589" s="168"/>
      <c r="BB589" s="168"/>
      <c r="BC589" s="169"/>
    </row>
    <row r="590" spans="30:55" ht="15">
      <c r="AD590" s="158"/>
      <c r="AE590" s="157"/>
      <c r="AF590" s="157"/>
      <c r="AG590" s="159"/>
      <c r="AL590" s="160"/>
      <c r="AM590" s="161"/>
      <c r="AN590" s="162"/>
      <c r="AO590" s="163"/>
      <c r="AV590" s="172"/>
      <c r="AW590" s="167"/>
      <c r="AX590" s="168"/>
      <c r="AY590" s="168"/>
      <c r="AZ590" s="168"/>
      <c r="BA590" s="168"/>
      <c r="BB590" s="168"/>
      <c r="BC590" s="169"/>
    </row>
    <row r="591" spans="30:55" ht="15">
      <c r="AD591" s="158"/>
      <c r="AE591" s="157"/>
      <c r="AF591" s="157"/>
      <c r="AG591" s="159"/>
      <c r="AL591" s="160"/>
      <c r="AM591" s="161"/>
      <c r="AN591" s="162"/>
      <c r="AO591" s="163"/>
      <c r="AV591" s="172"/>
      <c r="AW591" s="167"/>
      <c r="AX591" s="168"/>
      <c r="AY591" s="168"/>
      <c r="AZ591" s="168"/>
      <c r="BA591" s="168"/>
      <c r="BB591" s="168"/>
      <c r="BC591" s="169"/>
    </row>
    <row r="592" spans="30:55" ht="15">
      <c r="AD592" s="158"/>
      <c r="AE592" s="157"/>
      <c r="AF592" s="157"/>
      <c r="AG592" s="159"/>
      <c r="AL592" s="160"/>
      <c r="AM592" s="161"/>
      <c r="AN592" s="162"/>
      <c r="AO592" s="163"/>
      <c r="AV592" s="172"/>
      <c r="AW592" s="167"/>
      <c r="AX592" s="168"/>
      <c r="AY592" s="168"/>
      <c r="AZ592" s="168"/>
      <c r="BA592" s="168"/>
      <c r="BB592" s="168"/>
      <c r="BC592" s="169"/>
    </row>
    <row r="593" spans="29:55" ht="15">
      <c r="AD593" s="158"/>
      <c r="AE593" s="157"/>
      <c r="AF593" s="157"/>
      <c r="AG593" s="159"/>
      <c r="AL593" s="160"/>
      <c r="AM593" s="161"/>
      <c r="AN593" s="162"/>
      <c r="AO593" s="163"/>
      <c r="AV593" s="172"/>
      <c r="AW593" s="167"/>
      <c r="AX593" s="168"/>
      <c r="AY593" s="168"/>
      <c r="AZ593" s="168"/>
      <c r="BA593" s="168"/>
      <c r="BB593" s="168"/>
      <c r="BC593" s="169"/>
    </row>
    <row r="594" spans="29:55" ht="15">
      <c r="AD594" s="158"/>
      <c r="AE594" s="157"/>
      <c r="AF594" s="157"/>
      <c r="AG594" s="159"/>
      <c r="AL594" s="160"/>
      <c r="AM594" s="161"/>
      <c r="AN594" s="162"/>
      <c r="AO594" s="163"/>
      <c r="AV594" s="172"/>
      <c r="AW594" s="167"/>
      <c r="AX594" s="168"/>
      <c r="AY594" s="168"/>
      <c r="AZ594" s="168"/>
      <c r="BA594" s="168"/>
      <c r="BB594" s="168"/>
      <c r="BC594" s="169"/>
    </row>
    <row r="595" spans="29:55" ht="15">
      <c r="AD595" s="158"/>
      <c r="AE595" s="157"/>
      <c r="AF595" s="157"/>
      <c r="AG595" s="159"/>
      <c r="AL595" s="160"/>
      <c r="AM595" s="161"/>
      <c r="AN595" s="162"/>
      <c r="AO595" s="163"/>
      <c r="AV595" s="172"/>
      <c r="AW595" s="167"/>
      <c r="AX595" s="168"/>
      <c r="AY595" s="168"/>
      <c r="AZ595" s="168"/>
      <c r="BA595" s="168"/>
      <c r="BB595" s="168"/>
      <c r="BC595" s="169"/>
    </row>
    <row r="596" spans="29:55" ht="15">
      <c r="AD596" s="158"/>
      <c r="AE596" s="157"/>
      <c r="AF596" s="157"/>
      <c r="AG596" s="159"/>
      <c r="AL596" s="160"/>
      <c r="AM596" s="161"/>
      <c r="AN596" s="162"/>
      <c r="AO596" s="163"/>
      <c r="AV596" s="172"/>
      <c r="AW596" s="167"/>
      <c r="AX596" s="168"/>
      <c r="AY596" s="168"/>
      <c r="AZ596" s="168"/>
      <c r="BA596" s="168"/>
      <c r="BB596" s="168"/>
      <c r="BC596" s="169"/>
    </row>
    <row r="597" spans="29:55" ht="15">
      <c r="AD597" s="158"/>
      <c r="AE597" s="157"/>
      <c r="AF597" s="157"/>
      <c r="AG597" s="159"/>
      <c r="AL597" s="160"/>
      <c r="AM597" s="161"/>
      <c r="AN597" s="162"/>
      <c r="AO597" s="163"/>
      <c r="AV597" s="172"/>
      <c r="AW597" s="167"/>
      <c r="AX597" s="168"/>
      <c r="AY597" s="168"/>
      <c r="AZ597" s="168"/>
      <c r="BA597" s="168"/>
      <c r="BB597" s="168"/>
      <c r="BC597" s="169"/>
    </row>
    <row r="598" spans="29:55" ht="15">
      <c r="AD598" s="158"/>
      <c r="AE598" s="157"/>
      <c r="AF598" s="157"/>
      <c r="AG598" s="159"/>
      <c r="AL598" s="160"/>
      <c r="AM598" s="161"/>
      <c r="AN598" s="162"/>
      <c r="AO598" s="163"/>
      <c r="AV598" s="172"/>
      <c r="AW598" s="167"/>
      <c r="AX598" s="168"/>
      <c r="AY598" s="168"/>
      <c r="AZ598" s="168"/>
      <c r="BA598" s="168"/>
      <c r="BB598" s="168"/>
      <c r="BC598" s="169"/>
    </row>
    <row r="599" spans="29:55" ht="15">
      <c r="AD599" s="158"/>
      <c r="AE599" s="157"/>
      <c r="AF599" s="157"/>
      <c r="AG599" s="159"/>
      <c r="AL599" s="160"/>
      <c r="AM599" s="161"/>
      <c r="AN599" s="162"/>
      <c r="AO599" s="163"/>
      <c r="AV599" s="172"/>
      <c r="AW599" s="167"/>
      <c r="AX599" s="168"/>
      <c r="AY599" s="168"/>
      <c r="AZ599" s="168"/>
      <c r="BA599" s="168"/>
      <c r="BB599" s="168"/>
      <c r="BC599" s="169"/>
    </row>
    <row r="600" spans="29:55" ht="15">
      <c r="AD600" s="158"/>
      <c r="AE600" s="157"/>
      <c r="AF600" s="157"/>
      <c r="AG600" s="159"/>
      <c r="AL600" s="160"/>
      <c r="AM600" s="161"/>
      <c r="AN600" s="162"/>
      <c r="AO600" s="163"/>
      <c r="AV600" s="172"/>
      <c r="AW600" s="167"/>
      <c r="AX600" s="168"/>
      <c r="AY600" s="168"/>
      <c r="AZ600" s="168"/>
      <c r="BA600" s="168"/>
      <c r="BB600" s="168"/>
      <c r="BC600" s="169"/>
    </row>
    <row r="601" spans="29:55" ht="15">
      <c r="AD601" s="158"/>
      <c r="AE601" s="157"/>
      <c r="AF601" s="157"/>
      <c r="AG601" s="159"/>
      <c r="AL601" s="160"/>
      <c r="AM601" s="161"/>
      <c r="AN601" s="162"/>
      <c r="AO601" s="163"/>
      <c r="AV601" s="172"/>
      <c r="AW601" s="167"/>
      <c r="AX601" s="168"/>
      <c r="AY601" s="168"/>
      <c r="AZ601" s="168"/>
      <c r="BA601" s="168"/>
      <c r="BB601" s="168"/>
      <c r="BC601" s="169"/>
    </row>
    <row r="602" spans="29:55" ht="15">
      <c r="AD602" s="158"/>
      <c r="AE602" s="157"/>
      <c r="AF602" s="157"/>
      <c r="AG602" s="159"/>
      <c r="AL602" s="160"/>
      <c r="AM602" s="161"/>
      <c r="AN602" s="162"/>
      <c r="AO602" s="163"/>
      <c r="AV602" s="172"/>
      <c r="AW602" s="167"/>
      <c r="AX602" s="168"/>
      <c r="AY602" s="168"/>
      <c r="AZ602" s="168"/>
      <c r="BA602" s="168"/>
      <c r="BB602" s="168"/>
      <c r="BC602" s="169"/>
    </row>
    <row r="603" spans="29:55" ht="15">
      <c r="AD603" s="158"/>
      <c r="AE603" s="157"/>
      <c r="AF603" s="157"/>
      <c r="AG603" s="159"/>
      <c r="AL603" s="160"/>
      <c r="AM603" s="161"/>
      <c r="AN603" s="162"/>
      <c r="AO603" s="163"/>
      <c r="AV603" s="172"/>
      <c r="AW603" s="167"/>
      <c r="AX603" s="168"/>
      <c r="AY603" s="168"/>
      <c r="AZ603" s="168"/>
      <c r="BA603" s="168"/>
      <c r="BB603" s="168"/>
      <c r="BC603" s="169"/>
    </row>
    <row r="604" spans="29:55" ht="15">
      <c r="AD604" s="158"/>
      <c r="AE604" s="157"/>
      <c r="AF604" s="157"/>
      <c r="AG604" s="159"/>
      <c r="AL604" s="160"/>
      <c r="AM604" s="161"/>
      <c r="AN604" s="162"/>
      <c r="AO604" s="163"/>
      <c r="AV604" s="172"/>
      <c r="AW604" s="167"/>
      <c r="AX604" s="168"/>
      <c r="AY604" s="168"/>
      <c r="AZ604" s="168"/>
      <c r="BA604" s="168"/>
      <c r="BB604" s="168"/>
      <c r="BC604" s="169"/>
    </row>
    <row r="605" spans="29:55" ht="15">
      <c r="AD605" s="158"/>
      <c r="AE605" s="157"/>
      <c r="AF605" s="157"/>
      <c r="AG605" s="159"/>
      <c r="AL605" s="160"/>
      <c r="AM605" s="161"/>
      <c r="AN605" s="162"/>
      <c r="AO605" s="163"/>
      <c r="AV605" s="172"/>
      <c r="AW605" s="167"/>
      <c r="AX605" s="168"/>
      <c r="AY605" s="168"/>
      <c r="AZ605" s="168"/>
      <c r="BA605" s="168"/>
      <c r="BB605" s="168"/>
      <c r="BC605" s="169"/>
    </row>
    <row r="606" spans="29:55" ht="15">
      <c r="AD606" s="158"/>
      <c r="AE606" s="157"/>
      <c r="AF606" s="157"/>
      <c r="AG606" s="159"/>
      <c r="AL606" s="160"/>
      <c r="AM606" s="161"/>
      <c r="AN606" s="162"/>
      <c r="AO606" s="163"/>
      <c r="AV606" s="172"/>
      <c r="AW606" s="167"/>
      <c r="AX606" s="168"/>
      <c r="AY606" s="168"/>
      <c r="AZ606" s="168"/>
      <c r="BA606" s="168"/>
      <c r="BB606" s="168"/>
      <c r="BC606" s="169"/>
    </row>
    <row r="607" spans="29:55" ht="15">
      <c r="AC607" s="157"/>
      <c r="AD607" s="158"/>
      <c r="AE607" s="157"/>
      <c r="AF607" s="157"/>
      <c r="AG607" s="159"/>
      <c r="AL607" s="160"/>
      <c r="AM607" s="161"/>
      <c r="AN607" s="162"/>
      <c r="AO607" s="163"/>
      <c r="AV607" s="172"/>
      <c r="AW607" s="167"/>
      <c r="AX607" s="168"/>
      <c r="AY607" s="168"/>
      <c r="AZ607" s="168"/>
      <c r="BA607" s="168"/>
      <c r="BB607" s="168"/>
      <c r="BC607" s="169"/>
    </row>
    <row r="608" spans="29:55" ht="15">
      <c r="AC608" s="157"/>
      <c r="AD608" s="158"/>
      <c r="AE608" s="157"/>
      <c r="AF608" s="157"/>
      <c r="AG608" s="159"/>
      <c r="AL608" s="160"/>
      <c r="AM608" s="161"/>
      <c r="AN608" s="162"/>
      <c r="AO608" s="163"/>
      <c r="AV608" s="172"/>
      <c r="AW608" s="167"/>
      <c r="AX608" s="168"/>
      <c r="AY608" s="168"/>
      <c r="AZ608" s="168"/>
      <c r="BA608" s="168"/>
      <c r="BB608" s="168"/>
      <c r="BC608" s="169"/>
    </row>
    <row r="609" spans="29:55" ht="15">
      <c r="AC609" s="157"/>
      <c r="AD609" s="158"/>
      <c r="AE609" s="157"/>
      <c r="AF609" s="157"/>
      <c r="AG609" s="159"/>
      <c r="AL609" s="160"/>
      <c r="AM609" s="161"/>
      <c r="AN609" s="162"/>
      <c r="AO609" s="163"/>
      <c r="AV609" s="172"/>
      <c r="AW609" s="167"/>
      <c r="AX609" s="168"/>
      <c r="AY609" s="168"/>
      <c r="AZ609" s="168"/>
      <c r="BA609" s="168"/>
      <c r="BB609" s="168"/>
      <c r="BC609" s="169"/>
    </row>
    <row r="610" spans="29:55" ht="15">
      <c r="AC610" s="157"/>
      <c r="AD610" s="158"/>
      <c r="AE610" s="157"/>
      <c r="AF610" s="157"/>
      <c r="AG610" s="159"/>
      <c r="AL610" s="160"/>
      <c r="AM610" s="161"/>
      <c r="AN610" s="162"/>
      <c r="AO610" s="163"/>
      <c r="AV610" s="172"/>
      <c r="AW610" s="167"/>
      <c r="AX610" s="168"/>
      <c r="AY610" s="168"/>
      <c r="AZ610" s="168"/>
      <c r="BA610" s="168"/>
      <c r="BB610" s="168"/>
      <c r="BC610" s="169"/>
    </row>
    <row r="611" spans="29:55" ht="15">
      <c r="AD611" s="158"/>
      <c r="AE611" s="157"/>
      <c r="AF611" s="157"/>
      <c r="AG611" s="159"/>
      <c r="AL611" s="160"/>
      <c r="AM611" s="161"/>
      <c r="AN611" s="162"/>
      <c r="AO611" s="163"/>
      <c r="AV611" s="172"/>
      <c r="AW611" s="167"/>
      <c r="AX611" s="168"/>
      <c r="AY611" s="168"/>
      <c r="AZ611" s="168"/>
      <c r="BA611" s="168"/>
      <c r="BB611" s="168"/>
      <c r="BC611" s="169"/>
    </row>
    <row r="612" spans="29:55" ht="15">
      <c r="AD612" s="158"/>
      <c r="AE612" s="157"/>
      <c r="AF612" s="157"/>
      <c r="AG612" s="159"/>
      <c r="AL612" s="160"/>
      <c r="AM612" s="161"/>
      <c r="AN612" s="162"/>
      <c r="AO612" s="163"/>
      <c r="AV612" s="172"/>
      <c r="AW612" s="167"/>
      <c r="AX612" s="168"/>
      <c r="AY612" s="168"/>
      <c r="AZ612" s="168"/>
      <c r="BA612" s="168"/>
      <c r="BB612" s="168"/>
      <c r="BC612" s="169"/>
    </row>
    <row r="613" spans="29:55" ht="15">
      <c r="AL613" s="160"/>
      <c r="AM613" s="161"/>
      <c r="AN613" s="162"/>
      <c r="AO613" s="163"/>
      <c r="AV613" s="172"/>
      <c r="AW613" s="167"/>
      <c r="AX613" s="168"/>
      <c r="AY613" s="168"/>
      <c r="AZ613" s="168"/>
      <c r="BA613" s="168"/>
      <c r="BB613" s="168"/>
      <c r="BC613" s="169"/>
    </row>
    <row r="614" spans="29:55" ht="15">
      <c r="AL614" s="160"/>
      <c r="AM614" s="161"/>
      <c r="AN614" s="162"/>
      <c r="AO614" s="163"/>
      <c r="AV614" s="172"/>
      <c r="AW614" s="167"/>
      <c r="AX614" s="168"/>
      <c r="AY614" s="168"/>
      <c r="AZ614" s="168"/>
      <c r="BA614" s="168"/>
      <c r="BB614" s="168"/>
      <c r="BC614" s="169"/>
    </row>
    <row r="615" spans="29:55" ht="15">
      <c r="AL615" s="160"/>
      <c r="AM615" s="161"/>
      <c r="AN615" s="162"/>
      <c r="AO615" s="163"/>
      <c r="AV615" s="172"/>
      <c r="AW615" s="167"/>
      <c r="AX615" s="168"/>
      <c r="AY615" s="168"/>
      <c r="AZ615" s="168"/>
      <c r="BA615" s="168"/>
      <c r="BB615" s="168"/>
      <c r="BC615" s="169"/>
    </row>
    <row r="616" spans="29:55" ht="15">
      <c r="AL616" s="160"/>
      <c r="AM616" s="161"/>
      <c r="AN616" s="162"/>
      <c r="AO616" s="163"/>
      <c r="AV616" s="172"/>
      <c r="AW616" s="167"/>
      <c r="AX616" s="168"/>
      <c r="AY616" s="168"/>
      <c r="AZ616" s="168"/>
      <c r="BA616" s="168"/>
      <c r="BB616" s="168"/>
      <c r="BC616" s="169"/>
    </row>
    <row r="617" spans="29:55" ht="15">
      <c r="AL617" s="160"/>
      <c r="AM617" s="161"/>
      <c r="AN617" s="162"/>
      <c r="AO617" s="163"/>
      <c r="AV617" s="172"/>
      <c r="AW617" s="167"/>
      <c r="AX617" s="168"/>
      <c r="AY617" s="168"/>
      <c r="AZ617" s="168"/>
      <c r="BA617" s="168"/>
      <c r="BB617" s="168"/>
      <c r="BC617" s="169"/>
    </row>
    <row r="618" spans="29:55" ht="15">
      <c r="AL618" s="160"/>
      <c r="AM618" s="161"/>
      <c r="AN618" s="162"/>
      <c r="AO618" s="163"/>
      <c r="AV618" s="172"/>
      <c r="AW618" s="167"/>
      <c r="AX618" s="168"/>
      <c r="AY618" s="168"/>
      <c r="AZ618" s="168"/>
      <c r="BA618" s="168"/>
      <c r="BB618" s="168"/>
      <c r="BC618" s="169"/>
    </row>
    <row r="619" spans="29:55" ht="15">
      <c r="AL619" s="160"/>
      <c r="AM619" s="161"/>
      <c r="AN619" s="162"/>
      <c r="AO619" s="163"/>
      <c r="AV619" s="172"/>
      <c r="AW619" s="167"/>
      <c r="AX619" s="168"/>
      <c r="AY619" s="168"/>
      <c r="AZ619" s="168"/>
      <c r="BA619" s="168"/>
      <c r="BB619" s="168"/>
      <c r="BC619" s="169"/>
    </row>
    <row r="620" spans="29:55" ht="15">
      <c r="AL620" s="160"/>
      <c r="AM620" s="161"/>
      <c r="AN620" s="162"/>
      <c r="AO620" s="163"/>
      <c r="AV620" s="172"/>
      <c r="AW620" s="167"/>
      <c r="AX620" s="168"/>
      <c r="AY620" s="168"/>
      <c r="AZ620" s="168"/>
      <c r="BA620" s="168"/>
      <c r="BB620" s="168"/>
      <c r="BC620" s="169"/>
    </row>
    <row r="621" spans="29:55" ht="15">
      <c r="AL621" s="160"/>
      <c r="AM621" s="161"/>
      <c r="AN621" s="162"/>
      <c r="AO621" s="163"/>
      <c r="AV621" s="172"/>
      <c r="AW621" s="167"/>
      <c r="AX621" s="168"/>
      <c r="AY621" s="168"/>
      <c r="AZ621" s="168"/>
      <c r="BA621" s="168"/>
      <c r="BB621" s="168"/>
      <c r="BC621" s="169"/>
    </row>
    <row r="622" spans="29:55" ht="15">
      <c r="AL622" s="160"/>
      <c r="AM622" s="161"/>
      <c r="AN622" s="162"/>
      <c r="AO622" s="163"/>
      <c r="AV622" s="172"/>
      <c r="AW622" s="167"/>
      <c r="AX622" s="168"/>
      <c r="AY622" s="168"/>
      <c r="AZ622" s="168"/>
      <c r="BA622" s="168"/>
      <c r="BB622" s="168"/>
      <c r="BC622" s="169"/>
    </row>
    <row r="623" spans="29:55" ht="15">
      <c r="AL623" s="160"/>
      <c r="AM623" s="161"/>
      <c r="AN623" s="162"/>
      <c r="AO623" s="163"/>
      <c r="AV623" s="172"/>
      <c r="AW623" s="167"/>
      <c r="AX623" s="168"/>
      <c r="AY623" s="168"/>
      <c r="AZ623" s="168"/>
      <c r="BA623" s="168"/>
      <c r="BB623" s="168"/>
      <c r="BC623" s="169"/>
    </row>
    <row r="624" spans="29:55" ht="15">
      <c r="AL624" s="160"/>
      <c r="AM624" s="161"/>
      <c r="AN624" s="162"/>
      <c r="AO624" s="163"/>
      <c r="AV624" s="172"/>
      <c r="AW624" s="167"/>
      <c r="AX624" s="168"/>
      <c r="AY624" s="168"/>
      <c r="AZ624" s="168"/>
      <c r="BA624" s="168"/>
      <c r="BB624" s="168"/>
      <c r="BC624" s="169"/>
    </row>
    <row r="625" spans="38:55" ht="15">
      <c r="AL625" s="160"/>
      <c r="AM625" s="161"/>
      <c r="AN625" s="162"/>
      <c r="AO625" s="163"/>
      <c r="AV625" s="172"/>
      <c r="AW625" s="167"/>
      <c r="AX625" s="168"/>
      <c r="AY625" s="168"/>
      <c r="AZ625" s="168"/>
      <c r="BA625" s="168"/>
      <c r="BB625" s="168"/>
      <c r="BC625" s="169"/>
    </row>
    <row r="626" spans="38:55" ht="15">
      <c r="AL626" s="160"/>
      <c r="AM626" s="161"/>
      <c r="AN626" s="162"/>
      <c r="AO626" s="163"/>
      <c r="AV626" s="172"/>
      <c r="AW626" s="167"/>
      <c r="AX626" s="168"/>
      <c r="AY626" s="168"/>
      <c r="AZ626" s="168"/>
      <c r="BA626" s="168"/>
      <c r="BB626" s="168"/>
      <c r="BC626" s="169"/>
    </row>
    <row r="627" spans="38:55" ht="15">
      <c r="AL627" s="160"/>
      <c r="AM627" s="161"/>
      <c r="AN627" s="162"/>
      <c r="AO627" s="163"/>
      <c r="AV627" s="172"/>
      <c r="AW627" s="167"/>
      <c r="AX627" s="168"/>
      <c r="AY627" s="168"/>
      <c r="AZ627" s="168"/>
      <c r="BA627" s="168"/>
      <c r="BB627" s="168"/>
      <c r="BC627" s="169"/>
    </row>
    <row r="628" spans="38:55" ht="15">
      <c r="AL628" s="160"/>
      <c r="AM628" s="161"/>
      <c r="AN628" s="162"/>
      <c r="AO628" s="163"/>
      <c r="AV628" s="172"/>
      <c r="AW628" s="167"/>
      <c r="AX628" s="168"/>
      <c r="AY628" s="168"/>
      <c r="AZ628" s="168"/>
      <c r="BA628" s="168"/>
      <c r="BB628" s="168"/>
      <c r="BC628" s="169"/>
    </row>
    <row r="629" spans="38:55" ht="15">
      <c r="AL629" s="160"/>
      <c r="AM629" s="161"/>
      <c r="AN629" s="162"/>
      <c r="AO629" s="163"/>
      <c r="AV629" s="172"/>
      <c r="AW629" s="167"/>
      <c r="AX629" s="168"/>
      <c r="AY629" s="168"/>
      <c r="AZ629" s="168"/>
      <c r="BA629" s="168"/>
      <c r="BB629" s="168"/>
      <c r="BC629" s="169"/>
    </row>
    <row r="630" spans="38:55" ht="15">
      <c r="AL630" s="160"/>
      <c r="AM630" s="161"/>
      <c r="AN630" s="162"/>
      <c r="AO630" s="163"/>
      <c r="AV630" s="172"/>
      <c r="AW630" s="167"/>
      <c r="AX630" s="168"/>
      <c r="AY630" s="168"/>
      <c r="AZ630" s="168"/>
      <c r="BA630" s="168"/>
      <c r="BB630" s="168"/>
      <c r="BC630" s="169"/>
    </row>
    <row r="631" spans="38:55" ht="15">
      <c r="AL631" s="160"/>
      <c r="AM631" s="161"/>
      <c r="AN631" s="162"/>
      <c r="AO631" s="163"/>
      <c r="AV631" s="172"/>
      <c r="AW631" s="167"/>
      <c r="AX631" s="168"/>
      <c r="AY631" s="168"/>
      <c r="AZ631" s="168"/>
      <c r="BA631" s="168"/>
      <c r="BB631" s="168"/>
      <c r="BC631" s="169"/>
    </row>
    <row r="632" spans="38:55" ht="15">
      <c r="AL632" s="160"/>
      <c r="AM632" s="161"/>
      <c r="AN632" s="162"/>
      <c r="AO632" s="163"/>
      <c r="AV632" s="172"/>
      <c r="AW632" s="167"/>
      <c r="AX632" s="168"/>
      <c r="AY632" s="168"/>
      <c r="AZ632" s="168"/>
      <c r="BA632" s="168"/>
      <c r="BB632" s="168"/>
      <c r="BC632" s="169"/>
    </row>
    <row r="633" spans="38:55" ht="15">
      <c r="AL633" s="160"/>
      <c r="AM633" s="161"/>
      <c r="AN633" s="162"/>
      <c r="AO633" s="163"/>
      <c r="AV633" s="172"/>
      <c r="AW633" s="167"/>
      <c r="AX633" s="168"/>
      <c r="AY633" s="168"/>
      <c r="AZ633" s="168"/>
      <c r="BA633" s="168"/>
      <c r="BB633" s="168"/>
      <c r="BC633" s="169"/>
    </row>
    <row r="634" spans="38:55" ht="15">
      <c r="AL634" s="160"/>
      <c r="AM634" s="161"/>
      <c r="AN634" s="162"/>
      <c r="AO634" s="163"/>
      <c r="AV634" s="172"/>
      <c r="AW634" s="167"/>
      <c r="AX634" s="168"/>
      <c r="AY634" s="168"/>
      <c r="AZ634" s="168"/>
      <c r="BA634" s="168"/>
      <c r="BB634" s="168"/>
      <c r="BC634" s="169"/>
    </row>
    <row r="635" spans="38:55" ht="15">
      <c r="AL635" s="160"/>
      <c r="AM635" s="161"/>
      <c r="AN635" s="162"/>
      <c r="AO635" s="163"/>
      <c r="AV635" s="172"/>
      <c r="AW635" s="167"/>
      <c r="AX635" s="168"/>
      <c r="AY635" s="168"/>
      <c r="AZ635" s="168"/>
      <c r="BA635" s="168"/>
      <c r="BB635" s="168"/>
      <c r="BC635" s="169"/>
    </row>
    <row r="636" spans="38:55" ht="15">
      <c r="AL636" s="160"/>
      <c r="AM636" s="161"/>
      <c r="AN636" s="162"/>
      <c r="AO636" s="163"/>
      <c r="AV636" s="172"/>
      <c r="AW636" s="167"/>
      <c r="AX636" s="168"/>
      <c r="AY636" s="168"/>
      <c r="AZ636" s="168"/>
      <c r="BA636" s="168"/>
      <c r="BB636" s="168"/>
      <c r="BC636" s="169"/>
    </row>
    <row r="637" spans="38:55" ht="15">
      <c r="AL637" s="160"/>
      <c r="AM637" s="161"/>
      <c r="AN637" s="162"/>
      <c r="AO637" s="163"/>
      <c r="AV637" s="172"/>
      <c r="AW637" s="167"/>
      <c r="AX637" s="168"/>
      <c r="AY637" s="168"/>
      <c r="AZ637" s="168"/>
      <c r="BA637" s="168"/>
      <c r="BB637" s="168"/>
      <c r="BC637" s="169"/>
    </row>
    <row r="638" spans="38:55" ht="15">
      <c r="AL638" s="160"/>
      <c r="AM638" s="161"/>
      <c r="AN638" s="162"/>
      <c r="AO638" s="163"/>
      <c r="AV638" s="172"/>
      <c r="AW638" s="167"/>
      <c r="AX638" s="168"/>
      <c r="AY638" s="168"/>
      <c r="AZ638" s="168"/>
      <c r="BA638" s="168"/>
      <c r="BB638" s="168"/>
      <c r="BC638" s="169"/>
    </row>
    <row r="639" spans="38:55" ht="15">
      <c r="AL639" s="160"/>
      <c r="AM639" s="161"/>
      <c r="AN639" s="162"/>
      <c r="AO639" s="163"/>
      <c r="AV639" s="172"/>
      <c r="AW639" s="167"/>
      <c r="AX639" s="168"/>
      <c r="AY639" s="168"/>
      <c r="AZ639" s="168"/>
      <c r="BA639" s="168"/>
      <c r="BB639" s="168"/>
      <c r="BC639" s="169"/>
    </row>
    <row r="640" spans="38:55" ht="15">
      <c r="AL640" s="160"/>
      <c r="AM640" s="161"/>
      <c r="AN640" s="162"/>
      <c r="AO640" s="163"/>
      <c r="AV640" s="172"/>
      <c r="AW640" s="167"/>
      <c r="AX640" s="168"/>
      <c r="AY640" s="168"/>
      <c r="AZ640" s="168"/>
      <c r="BA640" s="168"/>
      <c r="BB640" s="168"/>
      <c r="BC640" s="169"/>
    </row>
    <row r="641" spans="38:55" ht="15">
      <c r="AL641" s="160"/>
      <c r="AM641" s="161"/>
      <c r="AN641" s="162"/>
      <c r="AO641" s="163"/>
      <c r="AV641" s="172"/>
      <c r="AW641" s="167"/>
      <c r="AX641" s="168"/>
      <c r="AY641" s="168"/>
      <c r="AZ641" s="168"/>
      <c r="BA641" s="168"/>
      <c r="BB641" s="168"/>
      <c r="BC641" s="169"/>
    </row>
    <row r="642" spans="38:55" ht="15">
      <c r="AL642" s="160"/>
      <c r="AM642" s="161"/>
      <c r="AN642" s="162"/>
      <c r="AO642" s="163"/>
      <c r="AV642" s="172"/>
      <c r="AW642" s="167"/>
      <c r="AX642" s="168"/>
      <c r="AY642" s="168"/>
      <c r="AZ642" s="168"/>
      <c r="BA642" s="168"/>
      <c r="BB642" s="168"/>
      <c r="BC642" s="169"/>
    </row>
    <row r="643" spans="38:55" ht="15">
      <c r="AL643" s="160"/>
      <c r="AM643" s="161"/>
      <c r="AN643" s="162"/>
      <c r="AO643" s="163"/>
      <c r="AV643" s="172"/>
      <c r="AW643" s="167"/>
      <c r="AX643" s="168"/>
      <c r="AY643" s="168"/>
      <c r="AZ643" s="168"/>
      <c r="BA643" s="168"/>
      <c r="BB643" s="168"/>
      <c r="BC643" s="169"/>
    </row>
    <row r="644" spans="38:55" ht="15">
      <c r="AL644" s="160"/>
      <c r="AM644" s="161"/>
      <c r="AN644" s="162"/>
      <c r="AO644" s="163"/>
      <c r="AV644" s="172"/>
      <c r="AW644" s="167"/>
      <c r="AX644" s="168"/>
      <c r="AY644" s="168"/>
      <c r="AZ644" s="168"/>
      <c r="BA644" s="168"/>
      <c r="BB644" s="168"/>
      <c r="BC644" s="169"/>
    </row>
    <row r="645" spans="38:55" ht="15">
      <c r="AL645" s="160"/>
      <c r="AM645" s="161"/>
      <c r="AN645" s="162"/>
      <c r="AO645" s="163"/>
      <c r="AV645" s="172"/>
      <c r="AW645" s="167"/>
      <c r="AX645" s="168"/>
      <c r="AY645" s="168"/>
      <c r="AZ645" s="168"/>
      <c r="BA645" s="168"/>
      <c r="BB645" s="168"/>
      <c r="BC645" s="169"/>
    </row>
    <row r="646" spans="38:55" ht="15">
      <c r="AL646" s="160"/>
      <c r="AM646" s="161"/>
      <c r="AN646" s="162"/>
      <c r="AO646" s="163"/>
      <c r="AV646" s="172"/>
      <c r="AW646" s="167"/>
      <c r="AX646" s="168"/>
      <c r="AY646" s="168"/>
      <c r="AZ646" s="168"/>
      <c r="BA646" s="168"/>
      <c r="BB646" s="168"/>
      <c r="BC646" s="169"/>
    </row>
    <row r="647" spans="38:55" ht="15">
      <c r="AL647" s="160"/>
      <c r="AM647" s="161"/>
      <c r="AN647" s="162"/>
      <c r="AO647" s="163"/>
      <c r="AV647" s="172"/>
      <c r="AW647" s="167"/>
      <c r="AX647" s="168"/>
      <c r="AY647" s="168"/>
      <c r="AZ647" s="168"/>
      <c r="BA647" s="168"/>
      <c r="BB647" s="168"/>
      <c r="BC647" s="169"/>
    </row>
    <row r="648" spans="38:55" ht="15">
      <c r="AL648" s="160"/>
      <c r="AM648" s="161"/>
      <c r="AN648" s="162"/>
      <c r="AO648" s="163"/>
      <c r="AV648" s="172"/>
      <c r="AW648" s="167"/>
      <c r="AX648" s="168"/>
      <c r="AY648" s="168"/>
      <c r="AZ648" s="168"/>
      <c r="BA648" s="168"/>
      <c r="BB648" s="168"/>
      <c r="BC648" s="169"/>
    </row>
    <row r="649" spans="38:55" ht="15">
      <c r="AL649" s="160"/>
      <c r="AM649" s="161"/>
      <c r="AN649" s="162"/>
      <c r="AO649" s="163"/>
      <c r="AV649" s="172"/>
      <c r="AW649" s="167"/>
      <c r="AX649" s="168"/>
      <c r="AY649" s="168"/>
      <c r="AZ649" s="168"/>
      <c r="BA649" s="168"/>
      <c r="BB649" s="168"/>
      <c r="BC649" s="169"/>
    </row>
    <row r="650" spans="38:55" ht="15">
      <c r="AL650" s="160"/>
      <c r="AM650" s="161"/>
      <c r="AN650" s="162"/>
      <c r="AO650" s="163"/>
      <c r="AV650" s="172"/>
      <c r="AW650" s="167"/>
      <c r="AX650" s="168"/>
      <c r="AY650" s="168"/>
      <c r="AZ650" s="168"/>
      <c r="BA650" s="168"/>
      <c r="BB650" s="168"/>
      <c r="BC650" s="169"/>
    </row>
    <row r="651" spans="38:55" ht="15">
      <c r="AL651" s="160"/>
      <c r="AM651" s="161"/>
      <c r="AN651" s="162"/>
      <c r="AO651" s="163"/>
      <c r="AV651" s="172"/>
      <c r="AW651" s="167"/>
      <c r="AX651" s="168"/>
      <c r="AY651" s="168"/>
      <c r="AZ651" s="168"/>
      <c r="BA651" s="168"/>
      <c r="BB651" s="168"/>
      <c r="BC651" s="169"/>
    </row>
    <row r="652" spans="38:55" ht="15">
      <c r="AL652" s="160"/>
      <c r="AM652" s="161"/>
      <c r="AN652" s="162"/>
      <c r="AO652" s="163"/>
      <c r="AV652" s="172"/>
      <c r="AW652" s="167"/>
      <c r="AX652" s="168"/>
      <c r="AY652" s="168"/>
      <c r="AZ652" s="168"/>
      <c r="BA652" s="168"/>
      <c r="BB652" s="168"/>
      <c r="BC652" s="169"/>
    </row>
    <row r="653" spans="38:55" ht="15">
      <c r="AL653" s="160"/>
      <c r="AM653" s="161"/>
      <c r="AN653" s="162"/>
      <c r="AO653" s="163"/>
      <c r="AV653" s="172"/>
      <c r="AW653" s="167"/>
      <c r="AX653" s="168"/>
      <c r="AY653" s="168"/>
      <c r="AZ653" s="168"/>
      <c r="BA653" s="168"/>
      <c r="BB653" s="168"/>
      <c r="BC653" s="169"/>
    </row>
    <row r="654" spans="38:55" ht="15">
      <c r="AL654" s="160"/>
      <c r="AM654" s="161"/>
      <c r="AN654" s="162"/>
      <c r="AO654" s="163"/>
      <c r="AV654" s="172"/>
      <c r="AW654" s="167"/>
      <c r="AX654" s="168"/>
      <c r="AY654" s="168"/>
      <c r="AZ654" s="168"/>
      <c r="BA654" s="168"/>
      <c r="BB654" s="168"/>
      <c r="BC654" s="169"/>
    </row>
    <row r="655" spans="38:55" ht="15">
      <c r="AL655" s="160"/>
      <c r="AM655" s="161"/>
      <c r="AN655" s="162"/>
      <c r="AO655" s="163"/>
      <c r="AV655" s="172"/>
      <c r="AW655" s="167"/>
      <c r="AX655" s="168"/>
      <c r="AY655" s="168"/>
      <c r="AZ655" s="168"/>
      <c r="BA655" s="168"/>
      <c r="BB655" s="168"/>
      <c r="BC655" s="169"/>
    </row>
    <row r="656" spans="38:55" ht="15">
      <c r="AL656" s="160"/>
      <c r="AM656" s="161"/>
      <c r="AN656" s="162"/>
      <c r="AO656" s="163"/>
      <c r="AV656" s="172"/>
      <c r="AW656" s="167"/>
      <c r="AX656" s="168"/>
      <c r="AY656" s="168"/>
      <c r="AZ656" s="168"/>
      <c r="BA656" s="168"/>
      <c r="BB656" s="168"/>
      <c r="BC656" s="169"/>
    </row>
    <row r="657" spans="29:55" ht="15">
      <c r="AD657" s="158"/>
      <c r="AE657" s="168"/>
      <c r="AF657" s="168"/>
      <c r="AG657" s="169"/>
      <c r="AL657" s="160"/>
      <c r="AM657" s="161"/>
      <c r="AN657" s="162"/>
      <c r="AO657" s="163"/>
      <c r="AV657" s="172"/>
      <c r="AW657" s="167"/>
      <c r="AX657" s="168"/>
      <c r="AY657" s="168"/>
      <c r="AZ657" s="168"/>
      <c r="BA657" s="168"/>
      <c r="BB657" s="168"/>
      <c r="BC657" s="169"/>
    </row>
    <row r="658" spans="29:55" ht="15">
      <c r="AD658" s="158"/>
      <c r="AE658" s="168"/>
      <c r="AF658" s="168"/>
      <c r="AG658" s="169"/>
      <c r="AL658" s="160"/>
      <c r="AM658" s="161"/>
      <c r="AN658" s="162"/>
      <c r="AO658" s="163"/>
      <c r="AV658" s="172"/>
      <c r="AW658" s="167"/>
      <c r="AX658" s="168"/>
      <c r="AY658" s="168"/>
      <c r="AZ658" s="168"/>
      <c r="BA658" s="168"/>
      <c r="BB658" s="168"/>
      <c r="BC658" s="169"/>
    </row>
    <row r="659" spans="29:55" ht="15">
      <c r="AD659" s="158"/>
      <c r="AE659" s="168"/>
      <c r="AF659" s="168"/>
      <c r="AG659" s="169"/>
      <c r="AL659" s="160"/>
      <c r="AM659" s="161"/>
      <c r="AN659" s="162"/>
      <c r="AO659" s="163"/>
      <c r="AV659" s="172"/>
      <c r="AW659" s="167"/>
      <c r="AX659" s="168"/>
      <c r="AY659" s="168"/>
      <c r="AZ659" s="168"/>
      <c r="BA659" s="168"/>
      <c r="BB659" s="168"/>
      <c r="BC659" s="169"/>
    </row>
    <row r="660" spans="29:55" ht="15">
      <c r="AC660" s="157"/>
      <c r="AD660" s="158"/>
      <c r="AE660" s="168"/>
      <c r="AF660" s="168"/>
      <c r="AG660" s="169"/>
      <c r="AL660" s="160"/>
      <c r="AM660" s="161"/>
      <c r="AN660" s="162"/>
      <c r="AO660" s="163"/>
      <c r="AV660" s="172"/>
      <c r="AW660" s="167"/>
      <c r="AX660" s="168"/>
      <c r="AY660" s="168"/>
      <c r="AZ660" s="168"/>
      <c r="BA660" s="168"/>
      <c r="BB660" s="168"/>
      <c r="BC660" s="169"/>
    </row>
    <row r="661" spans="29:55" ht="15">
      <c r="AL661" s="160"/>
      <c r="AM661" s="161"/>
      <c r="AN661" s="162"/>
      <c r="AO661" s="163"/>
      <c r="AV661" s="172"/>
      <c r="AW661" s="167"/>
      <c r="AX661" s="168"/>
      <c r="AY661" s="168"/>
      <c r="AZ661" s="168"/>
      <c r="BA661" s="168"/>
      <c r="BB661" s="168"/>
      <c r="BC661" s="169"/>
    </row>
    <row r="662" spans="29:55" ht="15">
      <c r="AL662" s="160"/>
      <c r="AM662" s="161"/>
      <c r="AN662" s="162"/>
      <c r="AO662" s="163"/>
      <c r="AV662" s="172"/>
      <c r="AW662" s="167"/>
      <c r="AX662" s="168"/>
      <c r="AY662" s="168"/>
      <c r="AZ662" s="168"/>
      <c r="BA662" s="168"/>
      <c r="BB662" s="168"/>
      <c r="BC662" s="169"/>
    </row>
    <row r="663" spans="29:55" ht="15">
      <c r="AL663" s="160"/>
      <c r="AM663" s="161"/>
      <c r="AN663" s="162"/>
      <c r="AO663" s="163"/>
      <c r="AV663" s="172"/>
      <c r="AW663" s="167"/>
      <c r="AX663" s="168"/>
      <c r="AY663" s="168"/>
      <c r="AZ663" s="168"/>
      <c r="BA663" s="168"/>
      <c r="BB663" s="168"/>
      <c r="BC663" s="169"/>
    </row>
    <row r="664" spans="29:55" ht="15">
      <c r="AL664" s="160"/>
      <c r="AM664" s="161"/>
      <c r="AN664" s="162"/>
      <c r="AO664" s="163"/>
      <c r="AV664" s="172"/>
      <c r="AW664" s="167"/>
      <c r="AX664" s="168"/>
      <c r="AY664" s="168"/>
      <c r="AZ664" s="168"/>
      <c r="BA664" s="168"/>
      <c r="BB664" s="168"/>
      <c r="BC664" s="169"/>
    </row>
    <row r="665" spans="29:55" ht="15">
      <c r="AL665" s="160"/>
      <c r="AM665" s="161"/>
      <c r="AN665" s="162"/>
      <c r="AO665" s="163"/>
      <c r="AV665" s="172"/>
      <c r="AW665" s="167"/>
      <c r="AX665" s="168"/>
      <c r="AY665" s="168"/>
      <c r="AZ665" s="168"/>
      <c r="BA665" s="168"/>
      <c r="BB665" s="168"/>
      <c r="BC665" s="169"/>
    </row>
    <row r="666" spans="29:55" ht="15">
      <c r="AL666" s="160"/>
      <c r="AM666" s="161"/>
      <c r="AN666" s="162"/>
      <c r="AO666" s="163"/>
      <c r="AV666" s="172"/>
      <c r="AW666" s="167"/>
      <c r="AX666" s="168"/>
      <c r="AY666" s="168"/>
      <c r="AZ666" s="168"/>
      <c r="BA666" s="168"/>
      <c r="BB666" s="168"/>
      <c r="BC666" s="169"/>
    </row>
    <row r="667" spans="29:55" ht="15">
      <c r="AC667" s="157"/>
      <c r="AL667" s="160"/>
      <c r="AM667" s="161"/>
      <c r="AN667" s="162"/>
      <c r="AO667" s="163"/>
      <c r="AV667" s="172"/>
      <c r="AW667" s="167"/>
      <c r="AX667" s="168"/>
      <c r="AY667" s="168"/>
      <c r="AZ667" s="168"/>
      <c r="BA667" s="168"/>
      <c r="BB667" s="168"/>
      <c r="BC667" s="169"/>
    </row>
    <row r="668" spans="29:55" ht="15">
      <c r="AL668" s="160"/>
      <c r="AM668" s="161"/>
      <c r="AN668" s="162"/>
      <c r="AO668" s="163"/>
      <c r="AV668" s="172"/>
      <c r="AW668" s="167"/>
      <c r="AX668" s="168"/>
      <c r="AY668" s="168"/>
      <c r="AZ668" s="168"/>
      <c r="BA668" s="168"/>
      <c r="BB668" s="168"/>
      <c r="BC668" s="169"/>
    </row>
    <row r="669" spans="29:55" ht="15">
      <c r="AJ669" s="120"/>
      <c r="AL669" s="160"/>
      <c r="AM669" s="161"/>
      <c r="AN669" s="162"/>
      <c r="AO669" s="163"/>
      <c r="AV669" s="172"/>
      <c r="AW669" s="167"/>
      <c r="AX669" s="168"/>
      <c r="AY669" s="168"/>
      <c r="AZ669" s="168"/>
      <c r="BA669" s="168"/>
      <c r="BB669" s="168"/>
      <c r="BC669" s="169"/>
    </row>
    <row r="670" spans="29:55" ht="15">
      <c r="AL670" s="160"/>
      <c r="AM670" s="161"/>
      <c r="AN670" s="162"/>
      <c r="AO670" s="163"/>
      <c r="AV670" s="172"/>
      <c r="AW670" s="167"/>
      <c r="AX670" s="168"/>
      <c r="AY670" s="168"/>
      <c r="AZ670" s="168"/>
      <c r="BA670" s="168"/>
      <c r="BB670" s="168"/>
      <c r="BC670" s="169"/>
    </row>
    <row r="671" spans="29:55" ht="15">
      <c r="AL671" s="160"/>
      <c r="AM671" s="161"/>
      <c r="AN671" s="162"/>
      <c r="AO671" s="163"/>
      <c r="AV671" s="172"/>
      <c r="AW671" s="167"/>
      <c r="AX671" s="168"/>
      <c r="AY671" s="168"/>
      <c r="AZ671" s="168"/>
      <c r="BA671" s="168"/>
      <c r="BB671" s="168"/>
      <c r="BC671" s="169"/>
    </row>
    <row r="672" spans="29:55" ht="15">
      <c r="AL672" s="160"/>
      <c r="AM672" s="161"/>
      <c r="AN672" s="162"/>
      <c r="AO672" s="163"/>
      <c r="AV672" s="172"/>
      <c r="AW672" s="167"/>
      <c r="AX672" s="168"/>
      <c r="AY672" s="168"/>
      <c r="AZ672" s="168"/>
      <c r="BA672" s="168"/>
      <c r="BB672" s="168"/>
      <c r="BC672" s="169"/>
    </row>
    <row r="673" spans="29:55" ht="15">
      <c r="AL673" s="160"/>
      <c r="AM673" s="161"/>
      <c r="AN673" s="162"/>
      <c r="AO673" s="163"/>
      <c r="AV673" s="172"/>
      <c r="AW673" s="167"/>
      <c r="AX673" s="168"/>
      <c r="AY673" s="168"/>
      <c r="AZ673" s="168"/>
      <c r="BA673" s="168"/>
      <c r="BB673" s="168"/>
      <c r="BC673" s="169"/>
    </row>
    <row r="674" spans="29:55" ht="15">
      <c r="AL674" s="160"/>
      <c r="AM674" s="161"/>
      <c r="AN674" s="162"/>
      <c r="AO674" s="163"/>
      <c r="AV674" s="172"/>
      <c r="AW674" s="167"/>
      <c r="AX674" s="168"/>
      <c r="AY674" s="168"/>
      <c r="AZ674" s="168"/>
      <c r="BA674" s="168"/>
      <c r="BB674" s="168"/>
      <c r="BC674" s="169"/>
    </row>
    <row r="675" spans="29:55" ht="15">
      <c r="AL675" s="160"/>
      <c r="AM675" s="161"/>
      <c r="AN675" s="162"/>
      <c r="AO675" s="163"/>
      <c r="AV675" s="172"/>
      <c r="AW675" s="167"/>
      <c r="AX675" s="168"/>
      <c r="AY675" s="168"/>
      <c r="AZ675" s="168"/>
      <c r="BA675" s="168"/>
      <c r="BB675" s="168"/>
      <c r="BC675" s="169"/>
    </row>
    <row r="676" spans="29:55" ht="15">
      <c r="AL676" s="160"/>
      <c r="AM676" s="161"/>
      <c r="AN676" s="162"/>
      <c r="AO676" s="163"/>
      <c r="AV676" s="172"/>
      <c r="AW676" s="167"/>
      <c r="AX676" s="168"/>
      <c r="AY676" s="168"/>
      <c r="AZ676" s="168"/>
      <c r="BA676" s="168"/>
      <c r="BB676" s="168"/>
      <c r="BC676" s="169"/>
    </row>
    <row r="677" spans="29:55" ht="15">
      <c r="AC677" s="157"/>
      <c r="AE677" s="174"/>
      <c r="AF677" s="174"/>
      <c r="AG677" s="174"/>
      <c r="AL677" s="160"/>
      <c r="AM677" s="161"/>
      <c r="AN677" s="162"/>
      <c r="AO677" s="163"/>
      <c r="AV677" s="172"/>
      <c r="AW677" s="167"/>
      <c r="AX677" s="168"/>
      <c r="AY677" s="168"/>
      <c r="AZ677" s="168"/>
      <c r="BA677" s="168"/>
      <c r="BB677" s="168"/>
      <c r="BC677" s="169"/>
    </row>
    <row r="678" spans="29:55" ht="15">
      <c r="AC678" s="157"/>
      <c r="AE678" s="174"/>
      <c r="AF678" s="174"/>
      <c r="AG678" s="174"/>
      <c r="AL678" s="160"/>
      <c r="AM678" s="161"/>
      <c r="AN678" s="162"/>
      <c r="AO678" s="163"/>
      <c r="AV678" s="172"/>
      <c r="AW678" s="167"/>
      <c r="AX678" s="168"/>
      <c r="AY678" s="168"/>
      <c r="AZ678" s="168"/>
      <c r="BA678" s="168"/>
      <c r="BB678" s="168"/>
      <c r="BC678" s="169"/>
    </row>
    <row r="679" spans="29:55" ht="15">
      <c r="AC679" s="170"/>
      <c r="AE679" s="174"/>
      <c r="AF679" s="174"/>
      <c r="AG679" s="174"/>
      <c r="AL679" s="160"/>
      <c r="AM679" s="161"/>
      <c r="AN679" s="162"/>
      <c r="AO679" s="163"/>
      <c r="AV679" s="172"/>
      <c r="AW679" s="167"/>
      <c r="AX679" s="168"/>
      <c r="AY679" s="168"/>
      <c r="AZ679" s="168"/>
      <c r="BA679" s="168"/>
      <c r="BB679" s="168"/>
      <c r="BC679" s="169"/>
    </row>
    <row r="680" spans="29:55" ht="15">
      <c r="AC680" s="157"/>
      <c r="AE680" s="174"/>
      <c r="AF680" s="174"/>
      <c r="AG680" s="174"/>
      <c r="AL680" s="160"/>
      <c r="AM680" s="161"/>
      <c r="AN680" s="162"/>
      <c r="AO680" s="163"/>
      <c r="AV680" s="172"/>
      <c r="AW680" s="167"/>
      <c r="AX680" s="168"/>
      <c r="AY680" s="168"/>
      <c r="AZ680" s="168"/>
      <c r="BA680" s="168"/>
      <c r="BB680" s="168"/>
      <c r="BC680" s="169"/>
    </row>
    <row r="681" spans="29:55" ht="15">
      <c r="AC681" s="157"/>
      <c r="AE681" s="174"/>
      <c r="AF681" s="174"/>
      <c r="AG681" s="174"/>
      <c r="AL681" s="160"/>
      <c r="AM681" s="161"/>
      <c r="AN681" s="162"/>
      <c r="AO681" s="163"/>
      <c r="AV681" s="172"/>
      <c r="AW681" s="167"/>
      <c r="AX681" s="168"/>
      <c r="AY681" s="168"/>
      <c r="AZ681" s="168"/>
      <c r="BA681" s="168"/>
      <c r="BB681" s="168"/>
      <c r="BC681" s="169"/>
    </row>
    <row r="682" spans="29:55" ht="15">
      <c r="AC682" s="157"/>
      <c r="AE682" s="174"/>
      <c r="AF682" s="174"/>
      <c r="AG682" s="174"/>
      <c r="AL682" s="160"/>
      <c r="AM682" s="161"/>
      <c r="AN682" s="162"/>
      <c r="AO682" s="163"/>
      <c r="AV682" s="172"/>
      <c r="AW682" s="167"/>
      <c r="AX682" s="168"/>
      <c r="AY682" s="168"/>
      <c r="AZ682" s="168"/>
      <c r="BA682" s="168"/>
      <c r="BB682" s="168"/>
      <c r="BC682" s="169"/>
    </row>
    <row r="683" spans="29:55" ht="15">
      <c r="AC683" s="157"/>
      <c r="AE683" s="174"/>
      <c r="AF683" s="174"/>
      <c r="AG683" s="174"/>
      <c r="AL683" s="160"/>
      <c r="AM683" s="161"/>
      <c r="AN683" s="162"/>
      <c r="AO683" s="163"/>
      <c r="AV683" s="172"/>
      <c r="AW683" s="167"/>
      <c r="AX683" s="168"/>
      <c r="AY683" s="168"/>
      <c r="AZ683" s="168"/>
      <c r="BA683" s="168"/>
      <c r="BB683" s="168"/>
      <c r="BC683" s="169"/>
    </row>
    <row r="684" spans="29:55" ht="15">
      <c r="AC684" s="157"/>
      <c r="AE684" s="174"/>
      <c r="AF684" s="174"/>
      <c r="AG684" s="174"/>
      <c r="AL684" s="160"/>
      <c r="AM684" s="161"/>
      <c r="AN684" s="162"/>
      <c r="AO684" s="163"/>
      <c r="AV684" s="172"/>
      <c r="AW684" s="167"/>
      <c r="AX684" s="168"/>
      <c r="AY684" s="168"/>
      <c r="AZ684" s="168"/>
      <c r="BA684" s="168"/>
      <c r="BB684" s="168"/>
      <c r="BC684" s="169"/>
    </row>
    <row r="685" spans="29:55" ht="15">
      <c r="AC685" s="157"/>
      <c r="AE685" s="174"/>
      <c r="AF685" s="174"/>
      <c r="AG685" s="174"/>
      <c r="AL685" s="160"/>
      <c r="AM685" s="161"/>
      <c r="AN685" s="162"/>
      <c r="AO685" s="163"/>
      <c r="AV685" s="172"/>
      <c r="AW685" s="167"/>
      <c r="AX685" s="168"/>
      <c r="AY685" s="168"/>
      <c r="AZ685" s="168"/>
      <c r="BA685" s="168"/>
      <c r="BB685" s="168"/>
      <c r="BC685" s="169"/>
    </row>
    <row r="686" spans="29:55" ht="15">
      <c r="AC686" s="157"/>
      <c r="AE686" s="174"/>
      <c r="AF686" s="174"/>
      <c r="AG686" s="174"/>
      <c r="AL686" s="160"/>
      <c r="AM686" s="161"/>
      <c r="AN686" s="162"/>
      <c r="AO686" s="163"/>
      <c r="AV686" s="172"/>
      <c r="AW686" s="167"/>
      <c r="AX686" s="168"/>
      <c r="AY686" s="168"/>
      <c r="AZ686" s="168"/>
      <c r="BA686" s="168"/>
      <c r="BB686" s="168"/>
      <c r="BC686" s="169"/>
    </row>
    <row r="687" spans="29:55" ht="15">
      <c r="AC687" s="157"/>
      <c r="AE687" s="174"/>
      <c r="AF687" s="174"/>
      <c r="AG687" s="174"/>
      <c r="AL687" s="160"/>
      <c r="AM687" s="161"/>
      <c r="AN687" s="162"/>
      <c r="AO687" s="163"/>
      <c r="AV687" s="172"/>
      <c r="AW687" s="167"/>
      <c r="AX687" s="168"/>
      <c r="AY687" s="168"/>
      <c r="AZ687" s="168"/>
      <c r="BA687" s="168"/>
      <c r="BB687" s="168"/>
      <c r="BC687" s="169"/>
    </row>
    <row r="688" spans="29:55" ht="15">
      <c r="AC688" s="157"/>
      <c r="AE688" s="174"/>
      <c r="AF688" s="174"/>
      <c r="AG688" s="174"/>
      <c r="AL688" s="160"/>
      <c r="AM688" s="161"/>
      <c r="AN688" s="162"/>
      <c r="AO688" s="163"/>
      <c r="AV688" s="172"/>
      <c r="AW688" s="167"/>
      <c r="AX688" s="168"/>
      <c r="AY688" s="168"/>
      <c r="AZ688" s="168"/>
      <c r="BA688" s="168"/>
      <c r="BB688" s="168"/>
      <c r="BC688" s="169"/>
    </row>
    <row r="689" spans="29:55" ht="15">
      <c r="AC689" s="157"/>
      <c r="AE689" s="174"/>
      <c r="AF689" s="174"/>
      <c r="AG689" s="174"/>
      <c r="AL689" s="160"/>
      <c r="AM689" s="161"/>
      <c r="AN689" s="162"/>
      <c r="AO689" s="163"/>
      <c r="AV689" s="172"/>
      <c r="AW689" s="167"/>
      <c r="AX689" s="168"/>
      <c r="AY689" s="168"/>
      <c r="AZ689" s="168"/>
      <c r="BA689" s="168"/>
      <c r="BB689" s="168"/>
      <c r="BC689" s="169"/>
    </row>
    <row r="690" spans="29:55" ht="15">
      <c r="AC690" s="157"/>
      <c r="AE690" s="174"/>
      <c r="AF690" s="174"/>
      <c r="AG690" s="174"/>
      <c r="AL690" s="160"/>
      <c r="AM690" s="161"/>
      <c r="AN690" s="162"/>
      <c r="AO690" s="163"/>
      <c r="AV690" s="172"/>
      <c r="AW690" s="167"/>
      <c r="AX690" s="168"/>
      <c r="AY690" s="168"/>
      <c r="AZ690" s="168"/>
      <c r="BA690" s="168"/>
      <c r="BB690" s="168"/>
      <c r="BC690" s="169"/>
    </row>
    <row r="691" spans="29:55" ht="15">
      <c r="AC691" s="157"/>
      <c r="AE691" s="174"/>
      <c r="AF691" s="174"/>
      <c r="AG691" s="174"/>
      <c r="AL691" s="160"/>
      <c r="AM691" s="161"/>
      <c r="AN691" s="162"/>
      <c r="AO691" s="163"/>
      <c r="AV691" s="172"/>
      <c r="AW691" s="167"/>
      <c r="AX691" s="168"/>
      <c r="AY691" s="168"/>
      <c r="AZ691" s="168"/>
      <c r="BA691" s="168"/>
      <c r="BB691" s="168"/>
      <c r="BC691" s="169"/>
    </row>
    <row r="692" spans="29:55" ht="15">
      <c r="AC692" s="157"/>
      <c r="AE692" s="174"/>
      <c r="AF692" s="174"/>
      <c r="AG692" s="174"/>
      <c r="AL692" s="160"/>
      <c r="AM692" s="161"/>
      <c r="AN692" s="162"/>
      <c r="AO692" s="163"/>
      <c r="AV692" s="172"/>
      <c r="AW692" s="167"/>
      <c r="AX692" s="168"/>
      <c r="AY692" s="168"/>
      <c r="AZ692" s="168"/>
      <c r="BA692" s="168"/>
      <c r="BB692" s="168"/>
      <c r="BC692" s="169"/>
    </row>
    <row r="693" spans="29:55" ht="15">
      <c r="AC693" s="157"/>
      <c r="AE693" s="174"/>
      <c r="AF693" s="174"/>
      <c r="AG693" s="174"/>
      <c r="AL693" s="160"/>
      <c r="AM693" s="161"/>
      <c r="AN693" s="162"/>
      <c r="AO693" s="163"/>
      <c r="AV693" s="172"/>
      <c r="AW693" s="167"/>
      <c r="AX693" s="168"/>
      <c r="AY693" s="168"/>
      <c r="AZ693" s="168"/>
      <c r="BA693" s="168"/>
      <c r="BB693" s="168"/>
      <c r="BC693" s="169"/>
    </row>
    <row r="694" spans="29:55" ht="15">
      <c r="AC694"/>
      <c r="AL694" s="160"/>
      <c r="AM694" s="161"/>
      <c r="AN694" s="162"/>
      <c r="AO694" s="163"/>
      <c r="AV694" s="172"/>
      <c r="AW694" s="167"/>
      <c r="AX694" s="168"/>
      <c r="AY694" s="168"/>
      <c r="AZ694" s="168"/>
      <c r="BA694" s="168"/>
      <c r="BB694" s="168"/>
      <c r="BC694" s="169"/>
    </row>
    <row r="695" spans="29:55" ht="15">
      <c r="AC695"/>
      <c r="AL695" s="160"/>
      <c r="AM695" s="161"/>
      <c r="AN695" s="162"/>
      <c r="AO695" s="163"/>
      <c r="AV695" s="172"/>
      <c r="AW695" s="167"/>
      <c r="AX695" s="168"/>
      <c r="AY695" s="168"/>
      <c r="AZ695" s="168"/>
      <c r="BA695" s="168"/>
      <c r="BB695" s="168"/>
      <c r="BC695" s="169"/>
    </row>
    <row r="696" spans="29:55" ht="15">
      <c r="AC696"/>
      <c r="AL696" s="160"/>
      <c r="AM696" s="161"/>
      <c r="AN696" s="162"/>
      <c r="AO696" s="163"/>
      <c r="AV696" s="172"/>
      <c r="AW696" s="167"/>
      <c r="AX696" s="168"/>
      <c r="AY696" s="168"/>
      <c r="AZ696" s="168"/>
      <c r="BA696" s="168"/>
      <c r="BB696" s="168"/>
      <c r="BC696" s="169"/>
    </row>
    <row r="697" spans="29:55" ht="15">
      <c r="AC697"/>
      <c r="AL697" s="160"/>
      <c r="AM697" s="161"/>
      <c r="AN697" s="162"/>
      <c r="AO697" s="163"/>
      <c r="AV697" s="172"/>
      <c r="AW697" s="167"/>
      <c r="AX697" s="168"/>
      <c r="AY697" s="168"/>
      <c r="AZ697" s="168"/>
      <c r="BA697" s="168"/>
      <c r="BB697" s="168"/>
      <c r="BC697" s="169"/>
    </row>
    <row r="698" spans="29:55" ht="15">
      <c r="AC698"/>
      <c r="AL698" s="160"/>
      <c r="AM698" s="161"/>
      <c r="AN698" s="162"/>
      <c r="AO698" s="163"/>
      <c r="AV698" s="172"/>
      <c r="AW698" s="167"/>
      <c r="AX698" s="168"/>
      <c r="AY698" s="168"/>
      <c r="AZ698" s="168"/>
      <c r="BA698" s="168"/>
      <c r="BB698" s="168"/>
      <c r="BC698" s="169"/>
    </row>
    <row r="699" spans="29:55" ht="15">
      <c r="AC699"/>
      <c r="AL699" s="160"/>
      <c r="AM699" s="161"/>
      <c r="AN699" s="162"/>
      <c r="AO699" s="163"/>
      <c r="AV699" s="172"/>
      <c r="AW699" s="167"/>
      <c r="AX699" s="168"/>
      <c r="AY699" s="168"/>
      <c r="AZ699" s="168"/>
      <c r="BA699" s="168"/>
      <c r="BB699" s="168"/>
      <c r="BC699" s="169"/>
    </row>
    <row r="700" spans="29:55" ht="15">
      <c r="AC700"/>
      <c r="AL700" s="160"/>
      <c r="AM700" s="161"/>
      <c r="AN700" s="162"/>
      <c r="AO700" s="163"/>
      <c r="AV700" s="172"/>
      <c r="AW700" s="167"/>
      <c r="AX700" s="168"/>
      <c r="AY700" s="168"/>
      <c r="AZ700" s="168"/>
      <c r="BA700" s="168"/>
      <c r="BB700" s="168"/>
      <c r="BC700" s="169"/>
    </row>
    <row r="701" spans="29:55" ht="15">
      <c r="AC701"/>
      <c r="AL701" s="160"/>
      <c r="AM701" s="161"/>
      <c r="AN701" s="162"/>
      <c r="AO701" s="163"/>
      <c r="AV701" s="172"/>
      <c r="AW701" s="167"/>
      <c r="AX701" s="168"/>
      <c r="AY701" s="168"/>
      <c r="AZ701" s="168"/>
      <c r="BA701" s="168"/>
      <c r="BB701" s="168"/>
      <c r="BC701" s="169"/>
    </row>
    <row r="702" spans="29:55" ht="15">
      <c r="AC702"/>
      <c r="AL702" s="160"/>
      <c r="AM702" s="161"/>
      <c r="AN702" s="162"/>
      <c r="AO702" s="163"/>
      <c r="AV702" s="172"/>
      <c r="AW702" s="167"/>
      <c r="AX702" s="168"/>
      <c r="AY702" s="168"/>
      <c r="AZ702" s="168"/>
      <c r="BA702" s="168"/>
      <c r="BB702" s="168"/>
      <c r="BC702" s="169"/>
    </row>
    <row r="703" spans="29:55" ht="15">
      <c r="AC703"/>
      <c r="AL703" s="160"/>
      <c r="AM703" s="161"/>
      <c r="AN703" s="162"/>
      <c r="AO703" s="163"/>
      <c r="AV703" s="172"/>
      <c r="AW703" s="167"/>
      <c r="AX703" s="168"/>
      <c r="AY703" s="168"/>
      <c r="AZ703" s="168"/>
      <c r="BA703" s="168"/>
      <c r="BB703" s="168"/>
      <c r="BC703" s="169"/>
    </row>
    <row r="704" spans="29:55" ht="15">
      <c r="AC704"/>
      <c r="AL704" s="160"/>
      <c r="AM704" s="161"/>
      <c r="AN704" s="162"/>
      <c r="AO704" s="163"/>
      <c r="AV704" s="172"/>
      <c r="AW704" s="167"/>
      <c r="AX704" s="168"/>
      <c r="AY704" s="168"/>
      <c r="AZ704" s="168"/>
      <c r="BA704" s="168"/>
      <c r="BB704" s="168"/>
      <c r="BC704" s="169"/>
    </row>
    <row r="705" spans="29:55" ht="15">
      <c r="AC705"/>
      <c r="AL705" s="160"/>
      <c r="AM705" s="161"/>
      <c r="AN705" s="162"/>
      <c r="AO705" s="163"/>
      <c r="AV705" s="172"/>
      <c r="AW705" s="167"/>
      <c r="AX705" s="168"/>
      <c r="AY705" s="168"/>
      <c r="AZ705" s="168"/>
      <c r="BA705" s="168"/>
      <c r="BB705" s="168"/>
      <c r="BC705" s="169"/>
    </row>
    <row r="706" spans="29:55" ht="15">
      <c r="AC706"/>
      <c r="AL706" s="160"/>
      <c r="AM706" s="161"/>
      <c r="AN706" s="162"/>
      <c r="AO706" s="163"/>
      <c r="AV706" s="172"/>
      <c r="AW706" s="167"/>
      <c r="AX706" s="168"/>
      <c r="AY706" s="168"/>
      <c r="AZ706" s="168"/>
      <c r="BA706" s="168"/>
      <c r="BB706" s="168"/>
      <c r="BC706" s="169"/>
    </row>
    <row r="707" spans="29:55" ht="15">
      <c r="AC707"/>
      <c r="AL707" s="160"/>
      <c r="AM707" s="161"/>
      <c r="AN707" s="162"/>
      <c r="AO707" s="163"/>
      <c r="AV707" s="172"/>
      <c r="AW707" s="167"/>
      <c r="AX707" s="168"/>
      <c r="AY707" s="168"/>
      <c r="AZ707" s="168"/>
      <c r="BA707" s="168"/>
      <c r="BB707" s="168"/>
      <c r="BC707" s="169"/>
    </row>
    <row r="708" spans="29:55" ht="15">
      <c r="AC708"/>
      <c r="AL708" s="160"/>
      <c r="AM708" s="161"/>
      <c r="AN708" s="162"/>
      <c r="AO708" s="163"/>
      <c r="AV708" s="172"/>
      <c r="AW708" s="167"/>
      <c r="AX708" s="168"/>
      <c r="AY708" s="168"/>
      <c r="AZ708" s="168"/>
      <c r="BA708" s="168"/>
      <c r="BB708" s="168"/>
      <c r="BC708" s="169"/>
    </row>
    <row r="709" spans="29:55" ht="15">
      <c r="AC709"/>
      <c r="AL709" s="160"/>
      <c r="AM709" s="161"/>
      <c r="AN709" s="162"/>
      <c r="AO709" s="163"/>
      <c r="AV709" s="172"/>
      <c r="AW709" s="167"/>
      <c r="AX709" s="168"/>
      <c r="AY709" s="168"/>
      <c r="AZ709" s="168"/>
      <c r="BA709" s="168"/>
      <c r="BB709" s="168"/>
      <c r="BC709" s="169"/>
    </row>
    <row r="710" spans="29:55" ht="15">
      <c r="AC710" s="157"/>
      <c r="AL710" s="160"/>
      <c r="AM710" s="161"/>
      <c r="AN710" s="162"/>
      <c r="AO710" s="163"/>
      <c r="AV710" s="172"/>
      <c r="AW710" s="167"/>
      <c r="AX710" s="168"/>
      <c r="AY710" s="168"/>
      <c r="AZ710" s="168"/>
      <c r="BA710" s="168"/>
      <c r="BB710" s="168"/>
      <c r="BC710" s="169"/>
    </row>
    <row r="711" spans="29:55" ht="15">
      <c r="AC711" s="157"/>
      <c r="AL711" s="160"/>
      <c r="AM711" s="161"/>
      <c r="AN711" s="162"/>
      <c r="AO711" s="163"/>
      <c r="AV711" s="172"/>
      <c r="AW711" s="167"/>
      <c r="AX711" s="168"/>
      <c r="AY711" s="168"/>
      <c r="AZ711" s="168"/>
      <c r="BA711" s="168"/>
      <c r="BB711" s="168"/>
      <c r="BC711" s="169"/>
    </row>
    <row r="712" spans="29:55" ht="15">
      <c r="AC712" s="157"/>
      <c r="AL712" s="160"/>
      <c r="AM712" s="161"/>
      <c r="AN712" s="162"/>
      <c r="AO712" s="163"/>
      <c r="AV712" s="172"/>
      <c r="AW712" s="167"/>
      <c r="AX712" s="168"/>
      <c r="AY712" s="168"/>
      <c r="AZ712" s="168"/>
      <c r="BA712" s="168"/>
      <c r="BB712" s="168"/>
      <c r="BC712" s="169"/>
    </row>
    <row r="713" spans="29:55" ht="15">
      <c r="AC713" s="157"/>
      <c r="AL713" s="160"/>
      <c r="AM713" s="161"/>
      <c r="AN713" s="162"/>
      <c r="AO713" s="163"/>
      <c r="AV713" s="172"/>
      <c r="AW713" s="167"/>
      <c r="AX713" s="168"/>
      <c r="AY713" s="168"/>
      <c r="AZ713" s="168"/>
      <c r="BA713" s="168"/>
      <c r="BB713" s="168"/>
      <c r="BC713" s="169"/>
    </row>
    <row r="714" spans="29:55" ht="15">
      <c r="AC714" s="157"/>
      <c r="AL714" s="160"/>
      <c r="AM714" s="161"/>
      <c r="AN714" s="162"/>
      <c r="AO714" s="163"/>
      <c r="AV714" s="172"/>
      <c r="AW714" s="167"/>
      <c r="AX714" s="168"/>
      <c r="AY714" s="168"/>
      <c r="AZ714" s="168"/>
      <c r="BA714" s="168"/>
      <c r="BB714" s="168"/>
      <c r="BC714" s="169"/>
    </row>
    <row r="715" spans="29:55" ht="15">
      <c r="AC715"/>
      <c r="AL715" s="160"/>
      <c r="AM715" s="161"/>
      <c r="AN715" s="162"/>
      <c r="AO715" s="163"/>
      <c r="AV715" s="172"/>
      <c r="AW715" s="167"/>
      <c r="AX715" s="168"/>
      <c r="AY715" s="168"/>
      <c r="AZ715" s="168"/>
      <c r="BA715" s="168"/>
      <c r="BB715" s="168"/>
      <c r="BC715" s="169"/>
    </row>
    <row r="716" spans="29:55" ht="15">
      <c r="AC716" s="157"/>
      <c r="AL716" s="160"/>
      <c r="AM716" s="161"/>
      <c r="AN716" s="162"/>
      <c r="AO716" s="163"/>
      <c r="AV716" s="172"/>
      <c r="AW716" s="167"/>
      <c r="AX716" s="168"/>
      <c r="AY716" s="168"/>
      <c r="AZ716" s="168"/>
      <c r="BA716" s="168"/>
      <c r="BB716" s="168"/>
      <c r="BC716" s="169"/>
    </row>
    <row r="717" spans="29:55" ht="15">
      <c r="AC717" s="157"/>
      <c r="AL717" s="160"/>
      <c r="AM717" s="161"/>
      <c r="AN717" s="162"/>
      <c r="AO717" s="163"/>
      <c r="AV717" s="172"/>
      <c r="AW717" s="167"/>
      <c r="AX717" s="168"/>
      <c r="AY717" s="168"/>
      <c r="AZ717" s="168"/>
      <c r="BA717" s="168"/>
      <c r="BB717" s="168"/>
      <c r="BC717" s="169"/>
    </row>
    <row r="718" spans="29:55" ht="15">
      <c r="AC718" s="157"/>
      <c r="AL718" s="160"/>
      <c r="AM718" s="161"/>
      <c r="AN718" s="162"/>
      <c r="AO718" s="163"/>
      <c r="AV718" s="172"/>
      <c r="AW718" s="167"/>
      <c r="AX718" s="168"/>
      <c r="AY718" s="168"/>
      <c r="AZ718" s="168"/>
      <c r="BA718" s="168"/>
      <c r="BB718" s="168"/>
      <c r="BC718" s="169"/>
    </row>
    <row r="719" spans="29:55" ht="15">
      <c r="AC719" s="157"/>
      <c r="AL719" s="160"/>
      <c r="AM719" s="161"/>
      <c r="AN719" s="162"/>
      <c r="AO719" s="163"/>
      <c r="AV719" s="172"/>
      <c r="AW719" s="167"/>
      <c r="AX719" s="168"/>
      <c r="AY719" s="168"/>
      <c r="AZ719" s="168"/>
      <c r="BA719" s="168"/>
      <c r="BB719" s="168"/>
      <c r="BC719" s="169"/>
    </row>
    <row r="720" spans="29:55" ht="15">
      <c r="AC720" s="157"/>
      <c r="AL720" s="160"/>
      <c r="AM720" s="161"/>
      <c r="AN720" s="162"/>
      <c r="AO720" s="163"/>
      <c r="AV720" s="172"/>
      <c r="AW720" s="167"/>
      <c r="AX720" s="168"/>
      <c r="AY720" s="168"/>
      <c r="AZ720" s="168"/>
      <c r="BA720" s="168"/>
      <c r="BB720" s="168"/>
      <c r="BC720" s="169"/>
    </row>
    <row r="721" spans="29:55" ht="15">
      <c r="AL721" s="160"/>
      <c r="AM721" s="161"/>
      <c r="AN721" s="162"/>
      <c r="AO721" s="163"/>
      <c r="AV721" s="172"/>
      <c r="AW721" s="167"/>
      <c r="AX721" s="168"/>
      <c r="AY721" s="168"/>
      <c r="AZ721" s="168"/>
      <c r="BA721" s="168"/>
      <c r="BB721" s="168"/>
      <c r="BC721" s="169"/>
    </row>
    <row r="722" spans="29:55" ht="15">
      <c r="AC722"/>
      <c r="AL722" s="160"/>
      <c r="AM722" s="161"/>
      <c r="AN722" s="162"/>
      <c r="AO722" s="163"/>
      <c r="AV722" s="172"/>
      <c r="AW722" s="167"/>
      <c r="AX722" s="168"/>
      <c r="AY722" s="168"/>
      <c r="AZ722" s="168"/>
      <c r="BA722" s="168"/>
      <c r="BB722" s="168"/>
      <c r="BC722" s="169"/>
    </row>
    <row r="723" spans="29:55" ht="15">
      <c r="AC723" s="175"/>
      <c r="AD723" s="175"/>
      <c r="AE723" s="175"/>
      <c r="AF723" s="175"/>
      <c r="AG723" s="175"/>
      <c r="AL723" s="160"/>
      <c r="AM723" s="161"/>
      <c r="AN723" s="162"/>
      <c r="AO723" s="163"/>
      <c r="AV723" s="172"/>
      <c r="AW723" s="167"/>
      <c r="AX723" s="168"/>
      <c r="AY723" s="168"/>
      <c r="AZ723" s="168"/>
      <c r="BA723" s="168"/>
      <c r="BB723" s="168"/>
      <c r="BC723" s="169"/>
    </row>
    <row r="724" spans="29:55" ht="15">
      <c r="AC724" s="175"/>
      <c r="AD724" s="175"/>
      <c r="AE724" s="175"/>
      <c r="AF724" s="175"/>
      <c r="AG724" s="175"/>
      <c r="AL724" s="160"/>
      <c r="AM724" s="161"/>
      <c r="AN724" s="162"/>
      <c r="AO724" s="163"/>
      <c r="AV724" s="172"/>
      <c r="AW724" s="167"/>
      <c r="AX724" s="168"/>
      <c r="AY724" s="168"/>
      <c r="AZ724" s="168"/>
      <c r="BA724" s="168"/>
      <c r="BB724" s="168"/>
      <c r="BC724" s="169"/>
    </row>
    <row r="725" spans="29:55" ht="15">
      <c r="AC725" s="175"/>
      <c r="AD725" s="175"/>
      <c r="AE725" s="175"/>
      <c r="AF725" s="175"/>
      <c r="AG725" s="175"/>
      <c r="AL725" s="160"/>
      <c r="AM725" s="161"/>
      <c r="AN725" s="162"/>
      <c r="AO725" s="163"/>
      <c r="AV725" s="172"/>
      <c r="AW725" s="167"/>
      <c r="AX725" s="168"/>
      <c r="AY725" s="168"/>
      <c r="AZ725" s="168"/>
      <c r="BA725" s="168"/>
      <c r="BB725" s="168"/>
      <c r="BC725" s="169"/>
    </row>
    <row r="726" spans="29:55" ht="15">
      <c r="AC726" s="175"/>
      <c r="AD726" s="175"/>
      <c r="AE726" s="175"/>
      <c r="AF726" s="175"/>
      <c r="AG726" s="175"/>
      <c r="AL726" s="160"/>
      <c r="AM726" s="161"/>
      <c r="AN726" s="162"/>
      <c r="AO726" s="163"/>
      <c r="AV726" s="172"/>
      <c r="AW726" s="167"/>
      <c r="AX726" s="168"/>
      <c r="AY726" s="168"/>
      <c r="AZ726" s="168"/>
      <c r="BA726" s="168"/>
      <c r="BB726" s="168"/>
      <c r="BC726" s="169"/>
    </row>
    <row r="727" spans="29:55" ht="15">
      <c r="AC727" s="175"/>
      <c r="AD727" s="175"/>
      <c r="AE727" s="175"/>
      <c r="AF727" s="175"/>
      <c r="AG727" s="175"/>
      <c r="AL727" s="160"/>
      <c r="AM727" s="161"/>
      <c r="AN727" s="162"/>
      <c r="AO727" s="163"/>
      <c r="AV727" s="172"/>
      <c r="AW727" s="167"/>
      <c r="AX727" s="168"/>
      <c r="AY727" s="168"/>
      <c r="AZ727" s="168"/>
      <c r="BA727" s="168"/>
      <c r="BB727" s="168"/>
      <c r="BC727" s="169"/>
    </row>
    <row r="728" spans="29:55" ht="15">
      <c r="AC728" s="175"/>
      <c r="AD728" s="175"/>
      <c r="AE728" s="175"/>
      <c r="AF728" s="175"/>
      <c r="AG728" s="175"/>
      <c r="AL728" s="160"/>
      <c r="AM728" s="161"/>
      <c r="AN728" s="162"/>
      <c r="AO728" s="163"/>
      <c r="AV728" s="172"/>
      <c r="AW728" s="167"/>
      <c r="AX728" s="168"/>
      <c r="AY728" s="168"/>
      <c r="AZ728" s="168"/>
      <c r="BA728" s="168"/>
      <c r="BB728" s="168"/>
      <c r="BC728" s="169"/>
    </row>
    <row r="729" spans="29:55" ht="15">
      <c r="AC729" s="175"/>
      <c r="AD729" s="175"/>
      <c r="AE729" s="175"/>
      <c r="AF729" s="175"/>
      <c r="AG729" s="175"/>
      <c r="AL729" s="160"/>
      <c r="AM729" s="161"/>
      <c r="AN729" s="162"/>
      <c r="AO729" s="163"/>
      <c r="AV729" s="172"/>
      <c r="AW729" s="167"/>
      <c r="AX729" s="168"/>
      <c r="AY729" s="168"/>
      <c r="AZ729" s="168"/>
      <c r="BA729" s="168"/>
      <c r="BB729" s="168"/>
      <c r="BC729" s="169"/>
    </row>
    <row r="730" spans="29:55" ht="15">
      <c r="AC730" s="175"/>
      <c r="AD730" s="175"/>
      <c r="AE730" s="175"/>
      <c r="AF730" s="175"/>
      <c r="AG730" s="175"/>
      <c r="AL730" s="160"/>
      <c r="AM730" s="161"/>
      <c r="AN730" s="162"/>
      <c r="AO730" s="163"/>
      <c r="AV730" s="172"/>
      <c r="AW730" s="167"/>
      <c r="AX730" s="168"/>
      <c r="AY730" s="168"/>
      <c r="AZ730" s="168"/>
      <c r="BA730" s="168"/>
      <c r="BB730" s="168"/>
      <c r="BC730" s="169"/>
    </row>
    <row r="731" spans="29:55" ht="15">
      <c r="AC731" s="175"/>
      <c r="AD731" s="175"/>
      <c r="AE731" s="175"/>
      <c r="AF731" s="175"/>
      <c r="AG731" s="175"/>
      <c r="AL731" s="160"/>
      <c r="AM731" s="161"/>
      <c r="AN731" s="162"/>
      <c r="AO731" s="163"/>
      <c r="AV731" s="172"/>
      <c r="AW731" s="167"/>
      <c r="AX731" s="168"/>
      <c r="AY731" s="168"/>
      <c r="AZ731" s="168"/>
      <c r="BA731" s="168"/>
      <c r="BB731" s="168"/>
      <c r="BC731" s="169"/>
    </row>
    <row r="732" spans="29:55" ht="15">
      <c r="AC732" s="175"/>
      <c r="AD732" s="175"/>
      <c r="AE732" s="175"/>
      <c r="AF732" s="175"/>
      <c r="AG732" s="175"/>
      <c r="AL732" s="160"/>
      <c r="AM732" s="161"/>
      <c r="AN732" s="162"/>
      <c r="AO732" s="163"/>
      <c r="AV732" s="172"/>
      <c r="AW732" s="167"/>
      <c r="AX732" s="168"/>
      <c r="AY732" s="168"/>
      <c r="AZ732" s="168"/>
      <c r="BA732" s="168"/>
      <c r="BB732" s="168"/>
      <c r="BC732" s="169"/>
    </row>
    <row r="733" spans="29:55" ht="15">
      <c r="AC733" s="175"/>
      <c r="AD733" s="175"/>
      <c r="AE733" s="175"/>
      <c r="AF733" s="175"/>
      <c r="AG733" s="175"/>
      <c r="AL733" s="160"/>
      <c r="AM733" s="161"/>
      <c r="AN733" s="162"/>
      <c r="AO733" s="163"/>
      <c r="AV733" s="172"/>
      <c r="AW733" s="167"/>
      <c r="AX733" s="168"/>
      <c r="AY733" s="168"/>
      <c r="AZ733" s="168"/>
      <c r="BA733" s="168"/>
      <c r="BB733" s="168"/>
      <c r="BC733" s="169"/>
    </row>
    <row r="734" spans="29:55" ht="15">
      <c r="AC734" s="175"/>
      <c r="AD734" s="175"/>
      <c r="AE734" s="175"/>
      <c r="AF734" s="175"/>
      <c r="AG734" s="175"/>
      <c r="AL734" s="160"/>
      <c r="AM734" s="161"/>
      <c r="AN734" s="162"/>
      <c r="AO734" s="163"/>
      <c r="AV734" s="172"/>
      <c r="AW734" s="167"/>
      <c r="AX734" s="168"/>
      <c r="AY734" s="168"/>
      <c r="AZ734" s="168"/>
      <c r="BA734" s="168"/>
      <c r="BB734" s="168"/>
      <c r="BC734" s="169"/>
    </row>
    <row r="735" spans="29:55" ht="15">
      <c r="AC735" s="175"/>
      <c r="AD735" s="175"/>
      <c r="AE735" s="175"/>
      <c r="AF735" s="175"/>
      <c r="AG735" s="175"/>
      <c r="AL735" s="160"/>
      <c r="AM735" s="161"/>
      <c r="AN735" s="162"/>
      <c r="AO735" s="163"/>
      <c r="AV735" s="172"/>
      <c r="AW735" s="167"/>
      <c r="AX735" s="168"/>
      <c r="AY735" s="168"/>
      <c r="AZ735" s="168"/>
      <c r="BA735" s="168"/>
      <c r="BB735" s="168"/>
      <c r="BC735" s="169"/>
    </row>
    <row r="736" spans="29:55" ht="15">
      <c r="AC736" s="175"/>
      <c r="AD736" s="175"/>
      <c r="AE736" s="175"/>
      <c r="AF736" s="175"/>
      <c r="AG736" s="175"/>
      <c r="AL736" s="160"/>
      <c r="AM736" s="161"/>
      <c r="AN736" s="162"/>
      <c r="AO736" s="163"/>
      <c r="AV736" s="172"/>
      <c r="AW736" s="167"/>
      <c r="AX736" s="168"/>
      <c r="AY736" s="168"/>
      <c r="AZ736" s="168"/>
      <c r="BA736" s="168"/>
      <c r="BB736" s="168"/>
      <c r="BC736" s="169"/>
    </row>
    <row r="737" spans="29:55" ht="15">
      <c r="AC737" s="175"/>
      <c r="AD737" s="175"/>
      <c r="AE737" s="175"/>
      <c r="AF737" s="175"/>
      <c r="AG737" s="175"/>
      <c r="AL737" s="160"/>
      <c r="AM737" s="161"/>
      <c r="AN737" s="162"/>
      <c r="AO737" s="163"/>
      <c r="AV737" s="172"/>
      <c r="AW737" s="167"/>
      <c r="AX737" s="168"/>
      <c r="AY737" s="168"/>
      <c r="AZ737" s="168"/>
      <c r="BA737" s="168"/>
      <c r="BB737" s="168"/>
      <c r="BC737" s="169"/>
    </row>
    <row r="738" spans="29:55" ht="15">
      <c r="AC738" s="175"/>
      <c r="AD738" s="175"/>
      <c r="AE738" s="175"/>
      <c r="AF738" s="175"/>
      <c r="AG738" s="175"/>
      <c r="AL738" s="160"/>
      <c r="AM738" s="161"/>
      <c r="AN738" s="162"/>
      <c r="AO738" s="163"/>
      <c r="AV738" s="172"/>
      <c r="AW738" s="167"/>
      <c r="AX738" s="168"/>
      <c r="AY738" s="168"/>
      <c r="AZ738" s="168"/>
      <c r="BA738" s="168"/>
      <c r="BB738" s="168"/>
      <c r="BC738" s="169"/>
    </row>
    <row r="739" spans="29:55" ht="15">
      <c r="AC739" s="157"/>
      <c r="AL739" s="160"/>
      <c r="AM739" s="161"/>
      <c r="AN739" s="162"/>
      <c r="AO739" s="163"/>
      <c r="AV739" s="172"/>
      <c r="AW739" s="167"/>
      <c r="AX739" s="168"/>
      <c r="AY739" s="168"/>
      <c r="AZ739" s="168"/>
      <c r="BA739" s="168"/>
      <c r="BB739" s="168"/>
      <c r="BC739" s="169"/>
    </row>
    <row r="740" spans="29:55" ht="15">
      <c r="AC740" s="157"/>
      <c r="AL740" s="160"/>
      <c r="AM740" s="161"/>
      <c r="AN740" s="162"/>
      <c r="AO740" s="163"/>
      <c r="AV740" s="172"/>
      <c r="AW740" s="167"/>
      <c r="AX740" s="168"/>
      <c r="AY740" s="168"/>
      <c r="AZ740" s="168"/>
      <c r="BA740" s="168"/>
      <c r="BB740" s="168"/>
      <c r="BC740" s="169"/>
    </row>
    <row r="741" spans="29:55" ht="15">
      <c r="AC741" s="157"/>
      <c r="AL741" s="160"/>
      <c r="AM741" s="161"/>
      <c r="AN741" s="162"/>
      <c r="AO741" s="163"/>
      <c r="AV741" s="172"/>
      <c r="AW741" s="167"/>
      <c r="AX741" s="168"/>
      <c r="AY741" s="168"/>
      <c r="AZ741" s="168"/>
      <c r="BA741" s="168"/>
      <c r="BB741" s="168"/>
      <c r="BC741" s="169"/>
    </row>
    <row r="742" spans="29:55" ht="15">
      <c r="AC742" s="157"/>
      <c r="AL742" s="160"/>
      <c r="AM742" s="161"/>
      <c r="AN742" s="162"/>
      <c r="AO742" s="163"/>
      <c r="AV742" s="172"/>
      <c r="AW742" s="167"/>
      <c r="AX742" s="168"/>
      <c r="AY742" s="168"/>
      <c r="AZ742" s="168"/>
      <c r="BA742" s="168"/>
      <c r="BB742" s="168"/>
      <c r="BC742" s="169"/>
    </row>
    <row r="743" spans="29:55" ht="15">
      <c r="AC743" s="157"/>
      <c r="AL743" s="160"/>
      <c r="AM743" s="161"/>
      <c r="AN743" s="162"/>
      <c r="AO743" s="163"/>
      <c r="AV743" s="172"/>
      <c r="AW743" s="167"/>
      <c r="AX743" s="168"/>
      <c r="AY743" s="168"/>
      <c r="AZ743" s="168"/>
      <c r="BA743" s="168"/>
      <c r="BB743" s="168"/>
      <c r="BC743" s="169"/>
    </row>
    <row r="744" spans="29:55" ht="15">
      <c r="AC744" s="157"/>
      <c r="AL744" s="160"/>
      <c r="AM744" s="161"/>
      <c r="AN744" s="162"/>
      <c r="AO744" s="163"/>
      <c r="AV744" s="172"/>
      <c r="AW744" s="167"/>
      <c r="AX744" s="168"/>
      <c r="AY744" s="168"/>
      <c r="AZ744" s="168"/>
      <c r="BA744" s="168"/>
      <c r="BB744" s="168"/>
      <c r="BC744" s="169"/>
    </row>
    <row r="745" spans="29:55" ht="15">
      <c r="AC745" s="157"/>
      <c r="AL745" s="160"/>
      <c r="AM745" s="161"/>
      <c r="AN745" s="162"/>
      <c r="AO745" s="163"/>
      <c r="AV745" s="172"/>
      <c r="AW745" s="167"/>
      <c r="AX745" s="168"/>
      <c r="AY745" s="168"/>
      <c r="AZ745" s="168"/>
      <c r="BA745" s="168"/>
      <c r="BB745" s="168"/>
      <c r="BC745" s="169"/>
    </row>
    <row r="746" spans="29:55" ht="15">
      <c r="AC746" s="157"/>
      <c r="AL746" s="160"/>
      <c r="AM746" s="161"/>
      <c r="AN746" s="162"/>
      <c r="AO746" s="163"/>
      <c r="AV746" s="172"/>
      <c r="AW746" s="167"/>
      <c r="AX746" s="168"/>
      <c r="AY746" s="168"/>
      <c r="AZ746" s="168"/>
      <c r="BA746" s="168"/>
      <c r="BB746" s="168"/>
      <c r="BC746" s="169"/>
    </row>
    <row r="747" spans="29:55" ht="15">
      <c r="AC747" s="157"/>
      <c r="AL747" s="160"/>
      <c r="AM747" s="161"/>
      <c r="AN747" s="162"/>
      <c r="AO747" s="163"/>
      <c r="AV747" s="172"/>
      <c r="AW747" s="167"/>
      <c r="AX747" s="168"/>
      <c r="AY747" s="168"/>
      <c r="AZ747" s="168"/>
      <c r="BA747" s="168"/>
      <c r="BB747" s="168"/>
      <c r="BC747" s="169"/>
    </row>
    <row r="748" spans="29:55" ht="15">
      <c r="AC748" s="157"/>
      <c r="AL748" s="160"/>
      <c r="AM748" s="161"/>
      <c r="AN748" s="162"/>
      <c r="AO748" s="163"/>
      <c r="AV748" s="172"/>
      <c r="AW748" s="167"/>
      <c r="AX748" s="168"/>
      <c r="AY748" s="168"/>
      <c r="AZ748" s="168"/>
      <c r="BA748" s="168"/>
      <c r="BB748" s="168"/>
      <c r="BC748" s="169"/>
    </row>
    <row r="749" spans="29:55" ht="15">
      <c r="AC749" s="157"/>
      <c r="AL749" s="160"/>
      <c r="AM749" s="161"/>
      <c r="AN749" s="162"/>
      <c r="AO749" s="163"/>
      <c r="AV749" s="172"/>
      <c r="AW749" s="167"/>
      <c r="AX749" s="168"/>
      <c r="AY749" s="168"/>
      <c r="AZ749" s="168"/>
      <c r="BA749" s="168"/>
      <c r="BB749" s="168"/>
      <c r="BC749" s="169"/>
    </row>
    <row r="750" spans="29:55" ht="15">
      <c r="AC750" s="157"/>
      <c r="AL750" s="160"/>
      <c r="AM750" s="161"/>
      <c r="AN750" s="162"/>
      <c r="AO750" s="163"/>
      <c r="AV750" s="172"/>
      <c r="AW750" s="167"/>
      <c r="AX750" s="168"/>
      <c r="AY750" s="168"/>
      <c r="AZ750" s="168"/>
      <c r="BA750" s="168"/>
      <c r="BB750" s="168"/>
      <c r="BC750" s="169"/>
    </row>
    <row r="751" spans="29:55" ht="15">
      <c r="AC751" s="157"/>
      <c r="AL751" s="160"/>
      <c r="AM751" s="161"/>
      <c r="AN751" s="162"/>
      <c r="AO751" s="163"/>
      <c r="AV751" s="172"/>
      <c r="AW751" s="167"/>
      <c r="AX751" s="168"/>
      <c r="AY751" s="168"/>
      <c r="AZ751" s="168"/>
      <c r="BA751" s="168"/>
      <c r="BB751" s="168"/>
      <c r="BC751" s="169"/>
    </row>
    <row r="752" spans="29:55" ht="15">
      <c r="AC752" s="157"/>
      <c r="AL752" s="160"/>
      <c r="AM752" s="161"/>
      <c r="AN752" s="162"/>
      <c r="AO752" s="163"/>
      <c r="AV752" s="172"/>
      <c r="AW752" s="167"/>
      <c r="AX752" s="168"/>
      <c r="AY752" s="168"/>
      <c r="AZ752" s="168"/>
      <c r="BA752" s="168"/>
      <c r="BB752" s="168"/>
      <c r="BC752" s="169"/>
    </row>
    <row r="753" spans="29:55" ht="15">
      <c r="AC753" s="157"/>
      <c r="AL753" s="160"/>
      <c r="AM753" s="161"/>
      <c r="AN753" s="162"/>
      <c r="AO753" s="163"/>
      <c r="AV753" s="172"/>
      <c r="AW753" s="167"/>
      <c r="AX753" s="168"/>
      <c r="AY753" s="168"/>
      <c r="AZ753" s="168"/>
      <c r="BA753" s="168"/>
      <c r="BB753" s="168"/>
      <c r="BC753" s="169"/>
    </row>
    <row r="754" spans="29:55" ht="15">
      <c r="AC754" s="157"/>
      <c r="AL754" s="160"/>
      <c r="AM754" s="161"/>
      <c r="AN754" s="162"/>
      <c r="AO754" s="163"/>
      <c r="AV754" s="172"/>
      <c r="AW754" s="167"/>
      <c r="AX754" s="168"/>
      <c r="AY754" s="168"/>
      <c r="AZ754" s="168"/>
      <c r="BA754" s="168"/>
      <c r="BB754" s="168"/>
      <c r="BC754" s="169"/>
    </row>
    <row r="755" spans="29:55" ht="15">
      <c r="AC755" s="157"/>
      <c r="AL755" s="160"/>
      <c r="AM755" s="161"/>
      <c r="AN755" s="162"/>
      <c r="AO755" s="163"/>
      <c r="AV755" s="172"/>
      <c r="AW755" s="167"/>
      <c r="AX755" s="168"/>
      <c r="AY755" s="168"/>
      <c r="AZ755" s="168"/>
      <c r="BA755" s="168"/>
      <c r="BB755" s="168"/>
      <c r="BC755" s="169"/>
    </row>
    <row r="756" spans="29:55" ht="15">
      <c r="AC756" s="157"/>
      <c r="AL756" s="160"/>
      <c r="AM756" s="161"/>
      <c r="AN756" s="162"/>
      <c r="AO756" s="163"/>
      <c r="AV756" s="172"/>
      <c r="AW756" s="167"/>
      <c r="AX756" s="168"/>
      <c r="AY756" s="168"/>
      <c r="AZ756" s="168"/>
      <c r="BA756" s="168"/>
      <c r="BB756" s="168"/>
      <c r="BC756" s="169"/>
    </row>
    <row r="757" spans="29:55" ht="15">
      <c r="AC757" s="157"/>
      <c r="AL757" s="160"/>
      <c r="AM757" s="161"/>
      <c r="AN757" s="162"/>
      <c r="AO757" s="163"/>
      <c r="AV757" s="172"/>
      <c r="AW757" s="167"/>
      <c r="AX757" s="168"/>
      <c r="AY757" s="168"/>
      <c r="AZ757" s="168"/>
      <c r="BA757" s="168"/>
      <c r="BB757" s="168"/>
      <c r="BC757" s="169"/>
    </row>
    <row r="758" spans="29:55" ht="15">
      <c r="AC758" s="157"/>
      <c r="AL758" s="160"/>
      <c r="AM758" s="161"/>
      <c r="AN758" s="162"/>
      <c r="AO758" s="163"/>
      <c r="AV758" s="172"/>
      <c r="AW758" s="167"/>
      <c r="AX758" s="168"/>
      <c r="AY758" s="168"/>
      <c r="AZ758" s="168"/>
      <c r="BA758" s="168"/>
      <c r="BB758" s="168"/>
      <c r="BC758" s="169"/>
    </row>
    <row r="759" spans="29:55" ht="15">
      <c r="AC759" s="157"/>
      <c r="AL759" s="160"/>
      <c r="AM759" s="161"/>
      <c r="AN759" s="162"/>
      <c r="AO759" s="163"/>
      <c r="AV759" s="172"/>
      <c r="AW759" s="167"/>
      <c r="AX759" s="168"/>
      <c r="AY759" s="168"/>
      <c r="AZ759" s="168"/>
      <c r="BA759" s="168"/>
      <c r="BB759" s="168"/>
      <c r="BC759" s="169"/>
    </row>
    <row r="760" spans="29:55" ht="15">
      <c r="AL760" s="160"/>
      <c r="AM760" s="161"/>
      <c r="AN760" s="162"/>
      <c r="AO760" s="163"/>
      <c r="AV760" s="172"/>
      <c r="AW760" s="167"/>
      <c r="AX760" s="168"/>
      <c r="AY760" s="168"/>
      <c r="AZ760" s="168"/>
      <c r="BA760" s="168"/>
      <c r="BB760" s="168"/>
      <c r="BC760" s="169"/>
    </row>
    <row r="761" spans="29:55" ht="15">
      <c r="AL761" s="160"/>
      <c r="AM761" s="161"/>
      <c r="AN761" s="162"/>
      <c r="AO761" s="163"/>
      <c r="AV761" s="172"/>
      <c r="AW761" s="167"/>
      <c r="AX761" s="168"/>
      <c r="AY761" s="168"/>
      <c r="AZ761" s="168"/>
      <c r="BA761" s="168"/>
      <c r="BB761" s="168"/>
      <c r="BC761" s="169"/>
    </row>
    <row r="762" spans="29:55" ht="15">
      <c r="AL762" s="160"/>
      <c r="AM762" s="161"/>
      <c r="AN762" s="162"/>
      <c r="AO762" s="163"/>
      <c r="AV762" s="172"/>
      <c r="AW762" s="167"/>
      <c r="AX762" s="168"/>
      <c r="AY762" s="168"/>
      <c r="AZ762" s="168"/>
      <c r="BA762" s="168"/>
      <c r="BB762" s="168"/>
      <c r="BC762" s="169"/>
    </row>
    <row r="763" spans="29:55" ht="15">
      <c r="AL763" s="160"/>
      <c r="AM763" s="161"/>
      <c r="AN763" s="162"/>
      <c r="AO763" s="163"/>
      <c r="AV763" s="172"/>
      <c r="AW763" s="167"/>
      <c r="AX763" s="168"/>
      <c r="AY763" s="168"/>
      <c r="AZ763" s="168"/>
      <c r="BA763" s="168"/>
      <c r="BB763" s="168"/>
      <c r="BC763" s="169"/>
    </row>
    <row r="764" spans="29:55" ht="15">
      <c r="AL764" s="160"/>
      <c r="AM764" s="161"/>
      <c r="AN764" s="162"/>
      <c r="AO764" s="163"/>
      <c r="AV764" s="172"/>
      <c r="AW764" s="167"/>
      <c r="AX764" s="168"/>
      <c r="AY764" s="168"/>
      <c r="AZ764" s="168"/>
      <c r="BA764" s="168"/>
      <c r="BB764" s="168"/>
      <c r="BC764" s="169"/>
    </row>
    <row r="765" spans="29:55" ht="15">
      <c r="AL765" s="160"/>
      <c r="AM765" s="161"/>
      <c r="AN765" s="162"/>
      <c r="AO765" s="163"/>
      <c r="AV765" s="172"/>
      <c r="AW765" s="167"/>
      <c r="AX765" s="168"/>
      <c r="AY765" s="168"/>
      <c r="AZ765" s="168"/>
      <c r="BA765" s="168"/>
      <c r="BB765" s="168"/>
      <c r="BC765" s="169"/>
    </row>
    <row r="766" spans="29:55" ht="15">
      <c r="AL766" s="160"/>
      <c r="AM766" s="161"/>
      <c r="AN766" s="162"/>
      <c r="AO766" s="163"/>
      <c r="AV766" s="172"/>
      <c r="AW766" s="167"/>
      <c r="AX766" s="168"/>
      <c r="AY766" s="168"/>
      <c r="AZ766" s="168"/>
      <c r="BA766" s="168"/>
      <c r="BB766" s="168"/>
      <c r="BC766" s="169"/>
    </row>
    <row r="767" spans="29:55" ht="15">
      <c r="AL767" s="160"/>
      <c r="AM767" s="161"/>
      <c r="AN767" s="162"/>
      <c r="AO767" s="163"/>
      <c r="AV767" s="172"/>
      <c r="AW767" s="167"/>
      <c r="AX767" s="168"/>
      <c r="AY767" s="168"/>
      <c r="AZ767" s="168"/>
      <c r="BA767" s="168"/>
      <c r="BB767" s="168"/>
      <c r="BC767" s="169"/>
    </row>
    <row r="768" spans="29:55" ht="15">
      <c r="AL768" s="160"/>
      <c r="AM768" s="161"/>
      <c r="AN768" s="162"/>
      <c r="AO768" s="163"/>
      <c r="AV768" s="172"/>
      <c r="AW768" s="167"/>
      <c r="AX768" s="168"/>
      <c r="AY768" s="168"/>
      <c r="AZ768" s="168"/>
      <c r="BA768" s="168"/>
      <c r="BB768" s="168"/>
      <c r="BC768" s="169"/>
    </row>
    <row r="769" spans="38:55" ht="15">
      <c r="AL769" s="160"/>
      <c r="AM769" s="161"/>
      <c r="AN769" s="162"/>
      <c r="AO769" s="163"/>
      <c r="AV769" s="172"/>
      <c r="AW769" s="167"/>
      <c r="AX769" s="168"/>
      <c r="AY769" s="168"/>
      <c r="AZ769" s="168"/>
      <c r="BA769" s="168"/>
      <c r="BB769" s="168"/>
      <c r="BC769" s="169"/>
    </row>
    <row r="770" spans="38:55" ht="15">
      <c r="AL770" s="160"/>
      <c r="AM770" s="161"/>
      <c r="AN770" s="162"/>
      <c r="AO770" s="163"/>
      <c r="AV770" s="172"/>
      <c r="AW770" s="167"/>
      <c r="AX770" s="168"/>
      <c r="AY770" s="168"/>
      <c r="AZ770" s="168"/>
      <c r="BA770" s="168"/>
      <c r="BB770" s="168"/>
      <c r="BC770" s="169"/>
    </row>
    <row r="771" spans="38:55" ht="15">
      <c r="AL771" s="160"/>
      <c r="AM771" s="161"/>
      <c r="AN771" s="162"/>
      <c r="AO771" s="163"/>
      <c r="AV771" s="172"/>
      <c r="AW771" s="167"/>
      <c r="AX771" s="168"/>
      <c r="AY771" s="168"/>
      <c r="AZ771" s="168"/>
      <c r="BA771" s="168"/>
      <c r="BB771" s="168"/>
      <c r="BC771" s="169"/>
    </row>
    <row r="772" spans="38:55" ht="15">
      <c r="AL772" s="160"/>
      <c r="AM772" s="161"/>
      <c r="AN772" s="162"/>
      <c r="AO772" s="163"/>
      <c r="AV772" s="172"/>
      <c r="AW772" s="167"/>
      <c r="AX772" s="168"/>
      <c r="AY772" s="168"/>
      <c r="AZ772" s="168"/>
      <c r="BA772" s="168"/>
      <c r="BB772" s="168"/>
      <c r="BC772" s="169"/>
    </row>
    <row r="773" spans="38:55" ht="15">
      <c r="AL773" s="160"/>
      <c r="AM773" s="161"/>
      <c r="AN773" s="162"/>
      <c r="AO773" s="163"/>
      <c r="AV773" s="172"/>
      <c r="AW773" s="167"/>
      <c r="AX773" s="168"/>
      <c r="AY773" s="168"/>
      <c r="AZ773" s="168"/>
      <c r="BA773" s="168"/>
      <c r="BB773" s="168"/>
      <c r="BC773" s="169"/>
    </row>
    <row r="774" spans="38:55" ht="15">
      <c r="AL774" s="160"/>
      <c r="AM774" s="161"/>
      <c r="AN774" s="162"/>
      <c r="AO774" s="163"/>
      <c r="AV774" s="172"/>
      <c r="AW774" s="167"/>
      <c r="AX774" s="168"/>
      <c r="AY774" s="168"/>
      <c r="AZ774" s="168"/>
      <c r="BA774" s="168"/>
      <c r="BB774" s="168"/>
      <c r="BC774" s="169"/>
    </row>
    <row r="775" spans="38:55" ht="15">
      <c r="AL775" s="160"/>
      <c r="AM775" s="161"/>
      <c r="AN775" s="162"/>
      <c r="AO775" s="163"/>
      <c r="AV775" s="172"/>
      <c r="AW775" s="167"/>
      <c r="AX775" s="168"/>
      <c r="AY775" s="168"/>
      <c r="AZ775" s="168"/>
      <c r="BA775" s="168"/>
      <c r="BB775" s="168"/>
      <c r="BC775" s="169"/>
    </row>
    <row r="776" spans="38:55" ht="15">
      <c r="AL776" s="160"/>
      <c r="AM776" s="161"/>
      <c r="AN776" s="162"/>
      <c r="AO776" s="163"/>
      <c r="AV776" s="172"/>
      <c r="AW776" s="167"/>
      <c r="AX776" s="168"/>
      <c r="AY776" s="168"/>
      <c r="AZ776" s="168"/>
      <c r="BA776" s="168"/>
      <c r="BB776" s="168"/>
      <c r="BC776" s="169"/>
    </row>
    <row r="777" spans="38:55" ht="15">
      <c r="AL777" s="160"/>
      <c r="AM777" s="161"/>
      <c r="AN777" s="162"/>
      <c r="AO777" s="163"/>
      <c r="AV777" s="172"/>
      <c r="AW777" s="167"/>
      <c r="AX777" s="168"/>
      <c r="AY777" s="168"/>
      <c r="AZ777" s="168"/>
      <c r="BA777" s="168"/>
      <c r="BB777" s="168"/>
      <c r="BC777" s="169"/>
    </row>
    <row r="778" spans="38:55" ht="15">
      <c r="AL778" s="160"/>
      <c r="AM778" s="161"/>
      <c r="AN778" s="162"/>
      <c r="AO778" s="163"/>
      <c r="AV778" s="172"/>
      <c r="AW778" s="167"/>
      <c r="AX778" s="168"/>
      <c r="AY778" s="168"/>
      <c r="AZ778" s="168"/>
      <c r="BA778" s="168"/>
      <c r="BB778" s="168"/>
      <c r="BC778" s="169"/>
    </row>
    <row r="779" spans="38:55" ht="15">
      <c r="AL779" s="160"/>
      <c r="AM779" s="161"/>
      <c r="AN779" s="162"/>
      <c r="AO779" s="163"/>
      <c r="AV779" s="172"/>
      <c r="AW779" s="167"/>
      <c r="AX779" s="168"/>
      <c r="AY779" s="168"/>
      <c r="AZ779" s="168"/>
      <c r="BA779" s="168"/>
      <c r="BB779" s="168"/>
      <c r="BC779" s="169"/>
    </row>
    <row r="780" spans="38:55" ht="15">
      <c r="AL780" s="160"/>
      <c r="AM780" s="161"/>
      <c r="AN780" s="162"/>
      <c r="AO780" s="163"/>
      <c r="AV780" s="172"/>
      <c r="AW780" s="167"/>
      <c r="AX780" s="168"/>
      <c r="AY780" s="168"/>
      <c r="AZ780" s="168"/>
      <c r="BA780" s="168"/>
      <c r="BB780" s="168"/>
      <c r="BC780" s="169"/>
    </row>
    <row r="781" spans="38:55" ht="15">
      <c r="AL781" s="160"/>
      <c r="AM781" s="161"/>
      <c r="AN781" s="162"/>
      <c r="AO781" s="163"/>
      <c r="AV781" s="172"/>
      <c r="AW781" s="167"/>
      <c r="AX781" s="168"/>
      <c r="AY781" s="168"/>
      <c r="AZ781" s="168"/>
      <c r="BA781" s="168"/>
      <c r="BB781" s="168"/>
      <c r="BC781" s="169"/>
    </row>
    <row r="782" spans="38:55" ht="15">
      <c r="AL782" s="160"/>
      <c r="AM782" s="161"/>
      <c r="AN782" s="162"/>
      <c r="AO782" s="163"/>
      <c r="AV782" s="172"/>
      <c r="AW782" s="167"/>
      <c r="AX782" s="168"/>
      <c r="AY782" s="168"/>
      <c r="AZ782" s="168"/>
      <c r="BA782" s="168"/>
      <c r="BB782" s="168"/>
      <c r="BC782" s="169"/>
    </row>
    <row r="783" spans="38:55" ht="15">
      <c r="AL783" s="160"/>
      <c r="AM783" s="161"/>
      <c r="AN783" s="162"/>
      <c r="AO783" s="163"/>
      <c r="AV783" s="172"/>
      <c r="AW783" s="167"/>
      <c r="AX783" s="168"/>
      <c r="AY783" s="168"/>
      <c r="AZ783" s="168"/>
      <c r="BA783" s="168"/>
      <c r="BB783" s="168"/>
      <c r="BC783" s="169"/>
    </row>
    <row r="784" spans="38:55" ht="15">
      <c r="AL784" s="160"/>
      <c r="AM784" s="161"/>
      <c r="AN784" s="162"/>
      <c r="AO784" s="163"/>
      <c r="AV784" s="172"/>
      <c r="AW784" s="167"/>
      <c r="AX784" s="168"/>
      <c r="AY784" s="168"/>
      <c r="AZ784" s="168"/>
      <c r="BA784" s="168"/>
      <c r="BB784" s="168"/>
      <c r="BC784" s="169"/>
    </row>
    <row r="785" spans="38:55" ht="15">
      <c r="AL785" s="160"/>
      <c r="AM785" s="161"/>
      <c r="AN785" s="162"/>
      <c r="AO785" s="163"/>
      <c r="AV785" s="172"/>
      <c r="AW785" s="167"/>
      <c r="AX785" s="168"/>
      <c r="AY785" s="168"/>
      <c r="AZ785" s="168"/>
      <c r="BA785" s="168"/>
      <c r="BB785" s="168"/>
      <c r="BC785" s="169"/>
    </row>
    <row r="786" spans="38:55" ht="15">
      <c r="AL786" s="160"/>
      <c r="AM786" s="161"/>
      <c r="AN786" s="162"/>
      <c r="AO786" s="163"/>
      <c r="AV786" s="172"/>
      <c r="AW786" s="167"/>
      <c r="AX786" s="168"/>
      <c r="AY786" s="168"/>
      <c r="AZ786" s="168"/>
      <c r="BA786" s="168"/>
      <c r="BB786" s="168"/>
      <c r="BC786" s="169"/>
    </row>
    <row r="787" spans="38:55" ht="15">
      <c r="AL787" s="160"/>
      <c r="AM787" s="161"/>
      <c r="AN787" s="162"/>
      <c r="AO787" s="163"/>
      <c r="AV787" s="172"/>
      <c r="AW787" s="167"/>
      <c r="AX787" s="168"/>
      <c r="AY787" s="168"/>
      <c r="AZ787" s="168"/>
      <c r="BA787" s="168"/>
      <c r="BB787" s="168"/>
      <c r="BC787" s="169"/>
    </row>
    <row r="788" spans="38:55" ht="15">
      <c r="AL788" s="160"/>
      <c r="AM788" s="161"/>
      <c r="AN788" s="162"/>
      <c r="AO788" s="163"/>
      <c r="AV788" s="172"/>
      <c r="AW788" s="167"/>
      <c r="AX788" s="168"/>
      <c r="AY788" s="168"/>
      <c r="AZ788" s="168"/>
      <c r="BA788" s="168"/>
      <c r="BB788" s="168"/>
      <c r="BC788" s="169"/>
    </row>
    <row r="789" spans="38:55" ht="15">
      <c r="AL789" s="160"/>
      <c r="AM789" s="161"/>
      <c r="AN789" s="162"/>
      <c r="AO789" s="163"/>
      <c r="AV789" s="172"/>
      <c r="AW789" s="167"/>
      <c r="AX789" s="168"/>
      <c r="AY789" s="168"/>
      <c r="AZ789" s="168"/>
      <c r="BA789" s="168"/>
      <c r="BB789" s="168"/>
      <c r="BC789" s="169"/>
    </row>
    <row r="790" spans="38:55" ht="15">
      <c r="AL790" s="160"/>
      <c r="AM790" s="161"/>
      <c r="AN790" s="162"/>
      <c r="AO790" s="163"/>
      <c r="AV790" s="172"/>
      <c r="AW790" s="167"/>
      <c r="AX790" s="168"/>
      <c r="AY790" s="168"/>
      <c r="AZ790" s="168"/>
      <c r="BA790" s="168"/>
      <c r="BB790" s="168"/>
      <c r="BC790" s="169"/>
    </row>
    <row r="791" spans="38:55" ht="15">
      <c r="AL791" s="160"/>
      <c r="AM791" s="161"/>
      <c r="AN791" s="162"/>
      <c r="AO791" s="163"/>
      <c r="AV791" s="172"/>
      <c r="AW791" s="167"/>
      <c r="AX791" s="168"/>
      <c r="AY791" s="168"/>
      <c r="AZ791" s="168"/>
      <c r="BA791" s="168"/>
      <c r="BB791" s="168"/>
      <c r="BC791" s="169"/>
    </row>
    <row r="792" spans="38:55" ht="15">
      <c r="AL792" s="160"/>
      <c r="AM792" s="161"/>
      <c r="AN792" s="162"/>
      <c r="AO792" s="163"/>
      <c r="AV792" s="172"/>
      <c r="AW792" s="167"/>
      <c r="AX792" s="168"/>
      <c r="AY792" s="168"/>
      <c r="AZ792" s="168"/>
      <c r="BA792" s="168"/>
      <c r="BB792" s="168"/>
      <c r="BC792" s="169"/>
    </row>
    <row r="793" spans="38:55" ht="15">
      <c r="AL793" s="160"/>
      <c r="AM793" s="161"/>
      <c r="AN793" s="162"/>
      <c r="AO793" s="163"/>
      <c r="AV793" s="172"/>
      <c r="AW793" s="167"/>
      <c r="AX793" s="168"/>
      <c r="AY793" s="168"/>
      <c r="AZ793" s="168"/>
      <c r="BA793" s="168"/>
      <c r="BB793" s="168"/>
      <c r="BC793" s="169"/>
    </row>
    <row r="794" spans="38:55" ht="15">
      <c r="AL794" s="160"/>
      <c r="AM794" s="161"/>
      <c r="AN794" s="162"/>
      <c r="AO794" s="163"/>
      <c r="AV794" s="172"/>
      <c r="AW794" s="167"/>
      <c r="AX794" s="168"/>
      <c r="AY794" s="168"/>
      <c r="AZ794" s="168"/>
      <c r="BA794" s="168"/>
      <c r="BB794" s="168"/>
      <c r="BC794" s="169"/>
    </row>
    <row r="795" spans="38:55" ht="15">
      <c r="AL795" s="160"/>
      <c r="AM795" s="161"/>
      <c r="AN795" s="162"/>
      <c r="AO795" s="163"/>
      <c r="AV795" s="172"/>
      <c r="AW795" s="167"/>
      <c r="AX795" s="168"/>
      <c r="AY795" s="168"/>
      <c r="AZ795" s="168"/>
      <c r="BA795" s="168"/>
      <c r="BB795" s="168"/>
      <c r="BC795" s="169"/>
    </row>
    <row r="796" spans="38:55" ht="15">
      <c r="AL796" s="160"/>
      <c r="AM796" s="161"/>
      <c r="AN796" s="162"/>
      <c r="AO796" s="163"/>
      <c r="AV796" s="172"/>
      <c r="AW796" s="167"/>
      <c r="AX796" s="168"/>
      <c r="AY796" s="168"/>
      <c r="AZ796" s="168"/>
      <c r="BA796" s="168"/>
      <c r="BB796" s="168"/>
      <c r="BC796" s="169"/>
    </row>
    <row r="797" spans="38:55" ht="15">
      <c r="AL797" s="160"/>
      <c r="AM797" s="161"/>
      <c r="AN797" s="162"/>
      <c r="AO797" s="163"/>
      <c r="AV797" s="172"/>
      <c r="AW797" s="167"/>
      <c r="AX797" s="168"/>
      <c r="AY797" s="168"/>
      <c r="AZ797" s="168"/>
      <c r="BA797" s="168"/>
      <c r="BB797" s="168"/>
      <c r="BC797" s="169"/>
    </row>
    <row r="798" spans="38:55" ht="15">
      <c r="AL798" s="160"/>
      <c r="AM798" s="161"/>
      <c r="AN798" s="162"/>
      <c r="AO798" s="163"/>
      <c r="AV798" s="172"/>
      <c r="AW798" s="167"/>
      <c r="AX798" s="168"/>
      <c r="AY798" s="168"/>
      <c r="AZ798" s="168"/>
      <c r="BA798" s="168"/>
      <c r="BB798" s="168"/>
      <c r="BC798" s="169"/>
    </row>
    <row r="799" spans="38:55" ht="15">
      <c r="AL799" s="160"/>
      <c r="AM799" s="161"/>
      <c r="AN799" s="162"/>
      <c r="AO799" s="163"/>
      <c r="AV799" s="172"/>
      <c r="AW799" s="167"/>
      <c r="AX799" s="168"/>
      <c r="AY799" s="168"/>
      <c r="AZ799" s="168"/>
      <c r="BA799" s="168"/>
      <c r="BB799" s="168"/>
      <c r="BC799" s="169"/>
    </row>
    <row r="800" spans="38:55" ht="15">
      <c r="AL800" s="160"/>
      <c r="AM800" s="161"/>
      <c r="AN800" s="162"/>
      <c r="AO800" s="163"/>
      <c r="AV800" s="172"/>
      <c r="AW800" s="167"/>
      <c r="AX800" s="168"/>
      <c r="AY800" s="168"/>
      <c r="AZ800" s="168"/>
      <c r="BA800" s="168"/>
      <c r="BB800" s="168"/>
      <c r="BC800" s="169"/>
    </row>
    <row r="801" spans="38:55" ht="15">
      <c r="AL801" s="160"/>
      <c r="AM801" s="161"/>
      <c r="AN801" s="162"/>
      <c r="AO801" s="163"/>
      <c r="AV801" s="172"/>
      <c r="AW801" s="167"/>
      <c r="AX801" s="168"/>
      <c r="AY801" s="168"/>
      <c r="AZ801" s="168"/>
      <c r="BA801" s="168"/>
      <c r="BB801" s="168"/>
      <c r="BC801" s="169"/>
    </row>
    <row r="802" spans="38:55" ht="15">
      <c r="AL802" s="160"/>
      <c r="AM802" s="161"/>
      <c r="AN802" s="162"/>
      <c r="AO802" s="163"/>
      <c r="AV802" s="172"/>
      <c r="AW802" s="167"/>
      <c r="AX802" s="168"/>
      <c r="AY802" s="168"/>
      <c r="AZ802" s="168"/>
      <c r="BA802" s="168"/>
      <c r="BB802" s="168"/>
      <c r="BC802" s="169"/>
    </row>
    <row r="803" spans="38:55" ht="15">
      <c r="AL803" s="160"/>
      <c r="AM803" s="161"/>
      <c r="AN803" s="162"/>
      <c r="AO803" s="163"/>
      <c r="AV803" s="172"/>
      <c r="AW803" s="167"/>
      <c r="AX803" s="168"/>
      <c r="AY803" s="168"/>
      <c r="AZ803" s="168"/>
      <c r="BA803" s="168"/>
      <c r="BB803" s="168"/>
      <c r="BC803" s="169"/>
    </row>
    <row r="804" spans="38:55" ht="15">
      <c r="AL804" s="160"/>
      <c r="AM804" s="161"/>
      <c r="AN804" s="162"/>
      <c r="AO804" s="163"/>
      <c r="AV804" s="172"/>
      <c r="AW804" s="167"/>
      <c r="AX804" s="168"/>
      <c r="AY804" s="168"/>
      <c r="AZ804" s="168"/>
      <c r="BA804" s="168"/>
      <c r="BB804" s="168"/>
      <c r="BC804" s="169"/>
    </row>
    <row r="805" spans="38:55" ht="15">
      <c r="AL805" s="160"/>
      <c r="AM805" s="161"/>
      <c r="AN805" s="162"/>
      <c r="AO805" s="163"/>
      <c r="AV805" s="172"/>
      <c r="AW805" s="167"/>
      <c r="AX805" s="168"/>
      <c r="AY805" s="168"/>
      <c r="AZ805" s="168"/>
      <c r="BA805" s="168"/>
      <c r="BB805" s="168"/>
      <c r="BC805" s="169"/>
    </row>
    <row r="806" spans="38:55" ht="15">
      <c r="AL806" s="160"/>
      <c r="AM806" s="161"/>
      <c r="AN806" s="162"/>
      <c r="AO806" s="163"/>
      <c r="AV806" s="172"/>
      <c r="AW806" s="167"/>
      <c r="AX806" s="168"/>
      <c r="AY806" s="168"/>
      <c r="AZ806" s="168"/>
      <c r="BA806" s="168"/>
      <c r="BB806" s="168"/>
      <c r="BC806" s="169"/>
    </row>
    <row r="807" spans="38:55" ht="15">
      <c r="AL807" s="160"/>
      <c r="AM807" s="161"/>
      <c r="AN807" s="162"/>
      <c r="AO807" s="163"/>
      <c r="AV807" s="172"/>
      <c r="AW807" s="167"/>
      <c r="AX807" s="168"/>
      <c r="AY807" s="168"/>
      <c r="AZ807" s="168"/>
      <c r="BA807" s="168"/>
      <c r="BB807" s="168"/>
      <c r="BC807" s="169"/>
    </row>
    <row r="808" spans="38:55" ht="15">
      <c r="AL808" s="160"/>
      <c r="AM808" s="161"/>
      <c r="AN808" s="162"/>
      <c r="AO808" s="163"/>
      <c r="AV808" s="172"/>
      <c r="AW808" s="167"/>
      <c r="AX808" s="168"/>
      <c r="AY808" s="168"/>
      <c r="AZ808" s="168"/>
      <c r="BA808" s="168"/>
      <c r="BB808" s="168"/>
      <c r="BC808" s="169"/>
    </row>
    <row r="809" spans="38:55" ht="15">
      <c r="AL809" s="160"/>
      <c r="AM809" s="161"/>
      <c r="AN809" s="162"/>
      <c r="AO809" s="163"/>
      <c r="AV809" s="172"/>
      <c r="AW809" s="167"/>
      <c r="AX809" s="168"/>
      <c r="AY809" s="168"/>
      <c r="AZ809" s="168"/>
      <c r="BA809" s="168"/>
      <c r="BB809" s="168"/>
      <c r="BC809" s="169"/>
    </row>
    <row r="810" spans="38:55" ht="15">
      <c r="AL810" s="160"/>
      <c r="AM810" s="161"/>
      <c r="AN810" s="162"/>
      <c r="AO810" s="163"/>
      <c r="AV810" s="172"/>
      <c r="AW810" s="167"/>
      <c r="AX810" s="168"/>
      <c r="AY810" s="168"/>
      <c r="AZ810" s="168"/>
      <c r="BA810" s="168"/>
      <c r="BB810" s="168"/>
      <c r="BC810" s="169"/>
    </row>
    <row r="811" spans="38:55" ht="15">
      <c r="AL811" s="160"/>
      <c r="AM811" s="161"/>
      <c r="AN811" s="162"/>
      <c r="AO811" s="163"/>
      <c r="AV811" s="172"/>
      <c r="AW811" s="167"/>
      <c r="AX811" s="168"/>
      <c r="AY811" s="168"/>
      <c r="AZ811" s="168"/>
      <c r="BA811" s="168"/>
      <c r="BB811" s="168"/>
      <c r="BC811" s="169"/>
    </row>
    <row r="812" spans="38:55" ht="15">
      <c r="AL812" s="160"/>
      <c r="AM812" s="161"/>
      <c r="AN812" s="162"/>
      <c r="AO812" s="163"/>
      <c r="AV812" s="172"/>
      <c r="AW812" s="167"/>
      <c r="AX812" s="168"/>
      <c r="AY812" s="168"/>
      <c r="AZ812" s="168"/>
      <c r="BA812" s="168"/>
      <c r="BB812" s="168"/>
      <c r="BC812" s="169"/>
    </row>
    <row r="813" spans="38:55" ht="15">
      <c r="AL813" s="160"/>
      <c r="AM813" s="161"/>
      <c r="AN813" s="162"/>
      <c r="AO813" s="163"/>
      <c r="AV813" s="172"/>
      <c r="AW813" s="167"/>
      <c r="AX813" s="168"/>
      <c r="AY813" s="168"/>
      <c r="AZ813" s="168"/>
      <c r="BA813" s="168"/>
      <c r="BB813" s="168"/>
      <c r="BC813" s="169"/>
    </row>
    <row r="814" spans="38:55" ht="15">
      <c r="AL814" s="160"/>
      <c r="AM814" s="161"/>
      <c r="AN814" s="162"/>
      <c r="AO814" s="163"/>
      <c r="AV814" s="172"/>
      <c r="AW814" s="167"/>
      <c r="AX814" s="168"/>
      <c r="AY814" s="168"/>
      <c r="AZ814" s="168"/>
      <c r="BA814" s="168"/>
      <c r="BB814" s="168"/>
      <c r="BC814" s="169"/>
    </row>
    <row r="815" spans="38:55" ht="15">
      <c r="AL815" s="160"/>
      <c r="AM815" s="161"/>
      <c r="AN815" s="162"/>
      <c r="AO815" s="163"/>
      <c r="AV815" s="172"/>
      <c r="AW815" s="167"/>
      <c r="AX815" s="168"/>
      <c r="AY815" s="168"/>
      <c r="AZ815" s="168"/>
      <c r="BA815" s="168"/>
      <c r="BB815" s="168"/>
      <c r="BC815" s="169"/>
    </row>
    <row r="816" spans="38:55" ht="15">
      <c r="AL816" s="160"/>
      <c r="AM816" s="161"/>
      <c r="AN816" s="162"/>
      <c r="AO816" s="163"/>
      <c r="AV816" s="172"/>
      <c r="AW816" s="167"/>
      <c r="AX816" s="168"/>
      <c r="AY816" s="168"/>
      <c r="AZ816" s="168"/>
      <c r="BA816" s="168"/>
      <c r="BB816" s="168"/>
      <c r="BC816" s="169"/>
    </row>
    <row r="817" spans="29:55" ht="15">
      <c r="AL817" s="160"/>
      <c r="AM817" s="161"/>
      <c r="AN817" s="162"/>
      <c r="AO817" s="163"/>
      <c r="AV817" s="172"/>
      <c r="AW817" s="167"/>
      <c r="AX817" s="168"/>
      <c r="AY817" s="168"/>
      <c r="AZ817" s="168"/>
      <c r="BA817" s="168"/>
      <c r="BB817" s="168"/>
      <c r="BC817" s="169"/>
    </row>
    <row r="818" spans="29:55" ht="15">
      <c r="AL818" s="160"/>
      <c r="AM818" s="161"/>
      <c r="AN818" s="162"/>
      <c r="AO818" s="163"/>
      <c r="AV818" s="172"/>
      <c r="AW818" s="167"/>
      <c r="AX818" s="168"/>
      <c r="AY818" s="168"/>
      <c r="AZ818" s="168"/>
      <c r="BA818" s="168"/>
      <c r="BB818" s="168"/>
      <c r="BC818" s="169"/>
    </row>
    <row r="819" spans="29:55" ht="15">
      <c r="AL819" s="160"/>
      <c r="AM819" s="161"/>
      <c r="AN819" s="162"/>
      <c r="AO819" s="163"/>
      <c r="AV819" s="172"/>
      <c r="AW819" s="167"/>
      <c r="AX819" s="168"/>
      <c r="AY819" s="168"/>
      <c r="AZ819" s="168"/>
      <c r="BA819" s="168"/>
      <c r="BB819" s="168"/>
      <c r="BC819" s="169"/>
    </row>
    <row r="820" spans="29:55" ht="15">
      <c r="AL820" s="160"/>
      <c r="AM820" s="161"/>
      <c r="AN820" s="162"/>
      <c r="AO820" s="163"/>
      <c r="AV820" s="172"/>
      <c r="AW820" s="167"/>
      <c r="AX820" s="168"/>
      <c r="AY820" s="168"/>
      <c r="AZ820" s="168"/>
      <c r="BA820" s="168"/>
      <c r="BB820" s="168"/>
      <c r="BC820" s="169"/>
    </row>
    <row r="821" spans="29:55" ht="15">
      <c r="AL821" s="160"/>
      <c r="AM821" s="161"/>
      <c r="AN821" s="162"/>
      <c r="AO821" s="163"/>
      <c r="AV821" s="172"/>
      <c r="AW821" s="167"/>
      <c r="AX821" s="168"/>
      <c r="AY821" s="168"/>
      <c r="AZ821" s="168"/>
      <c r="BA821" s="168"/>
      <c r="BB821" s="168"/>
      <c r="BC821" s="169"/>
    </row>
    <row r="822" spans="29:55" ht="15">
      <c r="AL822" s="160"/>
      <c r="AM822" s="161"/>
      <c r="AN822" s="162"/>
      <c r="AO822" s="163"/>
      <c r="AV822" s="172"/>
      <c r="AW822" s="167"/>
      <c r="AX822" s="168"/>
      <c r="AY822" s="168"/>
      <c r="AZ822" s="168"/>
      <c r="BA822" s="168"/>
      <c r="BB822" s="168"/>
      <c r="BC822" s="169"/>
    </row>
    <row r="823" spans="29:55" ht="15">
      <c r="AL823" s="160"/>
      <c r="AM823" s="161"/>
      <c r="AN823" s="162"/>
      <c r="AO823" s="163"/>
      <c r="AV823" s="172"/>
      <c r="AW823" s="167"/>
      <c r="AX823" s="168"/>
      <c r="AY823" s="168"/>
      <c r="AZ823" s="168"/>
      <c r="BA823" s="168"/>
      <c r="BB823" s="168"/>
      <c r="BC823" s="169"/>
    </row>
    <row r="824" spans="29:55" ht="15">
      <c r="AL824" s="160"/>
      <c r="AM824" s="161"/>
      <c r="AN824" s="162"/>
      <c r="AO824" s="163"/>
      <c r="AV824" s="172"/>
      <c r="AW824" s="167"/>
      <c r="AX824" s="168"/>
      <c r="AY824" s="168"/>
      <c r="AZ824" s="168"/>
      <c r="BA824" s="168"/>
      <c r="BB824" s="168"/>
      <c r="BC824" s="169"/>
    </row>
    <row r="825" spans="29:55" ht="15">
      <c r="AC825" s="173"/>
      <c r="AL825" s="160"/>
      <c r="AM825" s="161"/>
      <c r="AN825" s="162"/>
      <c r="AO825" s="163"/>
      <c r="AV825" s="172"/>
      <c r="AW825" s="167"/>
      <c r="AX825" s="168"/>
      <c r="AY825" s="168"/>
      <c r="AZ825" s="168"/>
      <c r="BA825" s="168"/>
      <c r="BB825" s="168"/>
      <c r="BC825" s="169"/>
    </row>
    <row r="826" spans="29:55" ht="15">
      <c r="AL826" s="160"/>
      <c r="AM826" s="161"/>
      <c r="AN826" s="162"/>
      <c r="AO826" s="163"/>
    </row>
    <row r="827" spans="29:55" ht="15">
      <c r="AL827" s="160"/>
      <c r="AM827" s="161"/>
      <c r="AN827" s="162"/>
      <c r="AO827" s="163"/>
    </row>
    <row r="828" spans="29:55" ht="15">
      <c r="AL828" s="160"/>
      <c r="AM828" s="161"/>
      <c r="AN828" s="162"/>
      <c r="AO828" s="163"/>
    </row>
    <row r="829" spans="29:55" ht="15">
      <c r="AL829" s="160"/>
      <c r="AM829" s="161"/>
      <c r="AN829" s="162"/>
      <c r="AO829" s="163"/>
    </row>
    <row r="830" spans="29:55" ht="15">
      <c r="AL830" s="160"/>
      <c r="AM830" s="161"/>
      <c r="AN830" s="162"/>
      <c r="AO830" s="163"/>
    </row>
    <row r="831" spans="29:55" ht="15">
      <c r="AL831" s="160"/>
      <c r="AM831" s="161"/>
      <c r="AN831" s="162"/>
      <c r="AO831" s="163"/>
    </row>
    <row r="832" spans="29:55" ht="15">
      <c r="AL832" s="160"/>
      <c r="AM832" s="161"/>
      <c r="AN832" s="162"/>
      <c r="AO832" s="163"/>
    </row>
    <row r="833" spans="38:41" ht="15">
      <c r="AL833" s="160"/>
      <c r="AM833" s="161"/>
      <c r="AN833" s="162"/>
      <c r="AO833" s="163"/>
    </row>
    <row r="834" spans="38:41" ht="15">
      <c r="AL834" s="160"/>
      <c r="AM834" s="161"/>
      <c r="AN834" s="162"/>
      <c r="AO834" s="163"/>
    </row>
    <row r="835" spans="38:41" ht="15">
      <c r="AL835" s="160"/>
      <c r="AM835" s="161"/>
      <c r="AN835" s="162"/>
      <c r="AO835" s="163"/>
    </row>
    <row r="836" spans="38:41" ht="15">
      <c r="AL836" s="160"/>
      <c r="AM836" s="161"/>
      <c r="AN836" s="162"/>
      <c r="AO836" s="163"/>
    </row>
    <row r="837" spans="38:41" ht="15">
      <c r="AL837" s="160"/>
      <c r="AM837" s="161"/>
      <c r="AN837" s="162"/>
      <c r="AO837" s="163"/>
    </row>
    <row r="838" spans="38:41" ht="15">
      <c r="AL838" s="160"/>
      <c r="AM838" s="161"/>
      <c r="AN838" s="162"/>
      <c r="AO838" s="163"/>
    </row>
    <row r="839" spans="38:41" ht="15">
      <c r="AL839" s="160"/>
      <c r="AM839" s="161"/>
      <c r="AN839" s="162"/>
      <c r="AO839" s="163"/>
    </row>
    <row r="840" spans="38:41" ht="15">
      <c r="AL840" s="160"/>
      <c r="AM840" s="161"/>
      <c r="AN840" s="162"/>
      <c r="AO840" s="163"/>
    </row>
    <row r="841" spans="38:41" ht="15">
      <c r="AL841" s="160"/>
      <c r="AM841" s="161"/>
      <c r="AN841" s="162"/>
      <c r="AO841" s="163"/>
    </row>
    <row r="842" spans="38:41" ht="15">
      <c r="AL842" s="160"/>
      <c r="AM842" s="161"/>
      <c r="AN842" s="162"/>
      <c r="AO842" s="163"/>
    </row>
    <row r="843" spans="38:41" ht="15">
      <c r="AL843" s="160"/>
      <c r="AM843" s="161"/>
      <c r="AN843" s="162"/>
      <c r="AO843" s="163"/>
    </row>
    <row r="844" spans="38:41" ht="15">
      <c r="AL844" s="160"/>
      <c r="AM844" s="161"/>
      <c r="AN844" s="162"/>
      <c r="AO844" s="163"/>
    </row>
    <row r="845" spans="38:41" ht="15">
      <c r="AL845" s="160"/>
      <c r="AM845" s="161"/>
      <c r="AN845" s="162"/>
      <c r="AO845" s="163"/>
    </row>
    <row r="846" spans="38:41" ht="15">
      <c r="AL846" s="160"/>
      <c r="AM846" s="161"/>
      <c r="AN846" s="162"/>
      <c r="AO846" s="163"/>
    </row>
    <row r="851" spans="38:41" ht="15">
      <c r="AL851" s="176"/>
      <c r="AM851" s="177"/>
      <c r="AN851" s="178"/>
      <c r="AO851" s="179"/>
    </row>
    <row r="852" spans="38:41" ht="15">
      <c r="AL852" s="176"/>
      <c r="AM852" s="177"/>
      <c r="AN852" s="178"/>
      <c r="AO852" s="179"/>
    </row>
    <row r="853" spans="38:41" ht="15">
      <c r="AL853" s="176"/>
      <c r="AM853" s="177"/>
      <c r="AN853" s="178"/>
      <c r="AO853" s="179"/>
    </row>
    <row r="854" spans="38:41" ht="15">
      <c r="AL854" s="176"/>
      <c r="AM854" s="177"/>
      <c r="AN854" s="178"/>
      <c r="AO854" s="179"/>
    </row>
    <row r="855" spans="38:41" ht="15">
      <c r="AL855" s="176"/>
      <c r="AM855" s="177"/>
      <c r="AN855" s="178"/>
      <c r="AO855" s="179"/>
    </row>
    <row r="859" spans="38:41" ht="15">
      <c r="AL859" s="176"/>
      <c r="AM859" s="177"/>
      <c r="AN859" s="178"/>
    </row>
    <row r="861" spans="38:41" ht="15">
      <c r="AL861" s="176"/>
      <c r="AM861" s="177"/>
      <c r="AN861" s="178"/>
    </row>
    <row r="862" spans="38:41" ht="15">
      <c r="AL862" s="176"/>
      <c r="AM862" s="177"/>
      <c r="AN862" s="178"/>
    </row>
    <row r="863" spans="38:41" ht="15">
      <c r="AL863" s="176"/>
      <c r="AM863" s="177"/>
      <c r="AN863" s="178"/>
    </row>
    <row r="864" spans="38:41" ht="15">
      <c r="AL864" s="176"/>
      <c r="AM864" s="177"/>
      <c r="AN864" s="178"/>
    </row>
    <row r="865" spans="38:40" ht="15">
      <c r="AL865" s="176"/>
      <c r="AM865" s="177"/>
      <c r="AN865" s="178"/>
    </row>
    <row r="866" spans="38:40" ht="15">
      <c r="AL866" s="176"/>
      <c r="AM866" s="177"/>
      <c r="AN866" s="178"/>
    </row>
    <row r="868" spans="38:40" ht="15">
      <c r="AL868" s="176"/>
      <c r="AM868" s="177"/>
      <c r="AN868" s="178"/>
    </row>
    <row r="869" spans="38:40" ht="15">
      <c r="AL869" s="176"/>
      <c r="AM869" s="177"/>
      <c r="AN869" s="178"/>
    </row>
    <row r="873" spans="38:40" ht="15">
      <c r="AL873" s="176"/>
      <c r="AM873" s="177"/>
      <c r="AN873" s="178"/>
    </row>
    <row r="874" spans="38:40" ht="15">
      <c r="AL874" s="176"/>
      <c r="AM874" s="177"/>
      <c r="AN874" s="178"/>
    </row>
    <row r="875" spans="38:40" ht="15">
      <c r="AL875" s="176"/>
      <c r="AM875" s="177"/>
      <c r="AN875" s="178"/>
    </row>
  </sheetData>
  <sortState xmlns:xlrd2="http://schemas.microsoft.com/office/spreadsheetml/2017/richdata2" ref="AD156:AG159">
    <sortCondition ref="AD156:AD159"/>
  </sortState>
  <mergeCells count="3">
    <mergeCell ref="AB1:AK7"/>
    <mergeCell ref="AV1:AW1"/>
    <mergeCell ref="AD9:AG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opierDerniereLigne">
                <anchor moveWithCells="1" sizeWithCells="1">
                  <from>
                    <xdr:col>34</xdr:col>
                    <xdr:colOff>161925</xdr:colOff>
                    <xdr:row>7</xdr:row>
                    <xdr:rowOff>152400</xdr:rowOff>
                  </from>
                  <to>
                    <xdr:col>35</xdr:col>
                    <xdr:colOff>533400</xdr:colOff>
                    <xdr:row>10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T57"/>
  <sheetViews>
    <sheetView zoomScaleNormal="100" workbookViewId="0">
      <pane ySplit="9" topLeftCell="A40" activePane="bottomLeft" state="frozenSplit"/>
      <selection activeCell="Q47" sqref="Q47"/>
      <selection pane="bottomLeft" activeCell="K44" sqref="K44"/>
    </sheetView>
  </sheetViews>
  <sheetFormatPr baseColWidth="10" defaultColWidth="11.42578125" defaultRowHeight="12.75"/>
  <cols>
    <col min="1" max="1" width="7.140625" style="2" customWidth="1"/>
    <col min="2" max="2" width="10.42578125" style="17" bestFit="1" customWidth="1"/>
    <col min="3" max="6" width="8.42578125" style="2" customWidth="1"/>
    <col min="7" max="7" width="7.42578125" style="2" customWidth="1"/>
    <col min="8" max="8" width="8.140625" style="2" customWidth="1"/>
    <col min="9" max="9" width="8.28515625" style="2" customWidth="1"/>
    <col min="10" max="10" width="8.42578125" style="2" customWidth="1"/>
    <col min="11" max="11" width="9.85546875" style="2" bestFit="1" customWidth="1"/>
    <col min="12" max="13" width="8.42578125" style="2" customWidth="1"/>
    <col min="14" max="14" width="7.140625" style="2" customWidth="1"/>
    <col min="15" max="17" width="8.42578125" style="13" customWidth="1"/>
    <col min="18" max="18" width="7.5703125" style="13" customWidth="1"/>
    <col min="19" max="19" width="7.28515625" style="13" customWidth="1"/>
    <col min="20" max="20" width="8.7109375" style="13" customWidth="1"/>
    <col min="21" max="16384" width="11.42578125" style="2"/>
  </cols>
  <sheetData>
    <row r="1" spans="1:20" ht="15.75">
      <c r="Q1" s="214" t="s">
        <v>4</v>
      </c>
      <c r="R1" s="214"/>
      <c r="S1" s="214"/>
      <c r="T1" s="214"/>
    </row>
    <row r="2" spans="1:20" ht="15.75">
      <c r="Q2" s="214" t="s">
        <v>26</v>
      </c>
      <c r="R2" s="214"/>
      <c r="S2" s="214"/>
      <c r="T2" s="214"/>
    </row>
    <row r="3" spans="1:20" ht="15" customHeight="1">
      <c r="Q3" s="10"/>
      <c r="R3" s="10"/>
      <c r="S3" s="10"/>
      <c r="T3" s="10"/>
    </row>
    <row r="4" spans="1:20" ht="15" customHeight="1">
      <c r="H4" s="26"/>
      <c r="I4" s="26"/>
      <c r="J4" s="26"/>
      <c r="K4" s="26"/>
      <c r="L4" s="26"/>
      <c r="Q4" s="27"/>
      <c r="R4" s="27"/>
      <c r="S4" s="27"/>
      <c r="T4" s="27"/>
    </row>
    <row r="5" spans="1:20" ht="20.25">
      <c r="A5" s="215" t="s">
        <v>87</v>
      </c>
      <c r="B5" s="215"/>
      <c r="C5" s="215"/>
      <c r="D5" s="215"/>
      <c r="E5" s="215"/>
      <c r="F5" s="215"/>
      <c r="G5" s="215"/>
      <c r="H5" s="215"/>
      <c r="I5" s="215"/>
      <c r="J5" s="215"/>
      <c r="K5" s="215"/>
      <c r="L5" s="215"/>
      <c r="M5" s="215"/>
      <c r="N5" s="215"/>
      <c r="O5" s="215"/>
      <c r="P5" s="215"/>
      <c r="Q5" s="215"/>
      <c r="R5" s="215"/>
      <c r="S5" s="215"/>
      <c r="T5" s="215"/>
    </row>
    <row r="6" spans="1:20" ht="15" customHeight="1">
      <c r="H6" s="26"/>
      <c r="I6" s="26"/>
      <c r="J6" s="26"/>
      <c r="K6" s="26"/>
      <c r="L6" s="26"/>
      <c r="Q6" s="27"/>
      <c r="R6" s="27"/>
      <c r="S6" s="27"/>
      <c r="T6" s="27"/>
    </row>
    <row r="7" spans="1:20" ht="15" customHeight="1" thickBot="1">
      <c r="H7" s="26"/>
      <c r="I7" s="26"/>
      <c r="J7" s="26"/>
      <c r="K7" s="26"/>
      <c r="L7" s="26"/>
      <c r="Q7" s="27"/>
      <c r="R7" s="27"/>
      <c r="S7" s="27"/>
      <c r="T7" s="27"/>
    </row>
    <row r="8" spans="1:20" ht="16.5" thickBot="1">
      <c r="A8" s="8"/>
      <c r="B8" s="18"/>
      <c r="C8" s="19"/>
      <c r="D8" s="211" t="s">
        <v>27</v>
      </c>
      <c r="E8" s="212"/>
      <c r="F8" s="212"/>
      <c r="G8" s="212"/>
      <c r="H8" s="212"/>
      <c r="I8" s="213"/>
      <c r="J8" s="6"/>
      <c r="O8" s="211" t="s">
        <v>28</v>
      </c>
      <c r="P8" s="212"/>
      <c r="Q8" s="212"/>
      <c r="R8" s="212"/>
      <c r="S8" s="212"/>
      <c r="T8" s="213"/>
    </row>
    <row r="9" spans="1:20" ht="42.75" customHeight="1">
      <c r="A9" s="43" t="s">
        <v>5</v>
      </c>
      <c r="B9" s="48" t="s">
        <v>6</v>
      </c>
      <c r="C9" s="43" t="s">
        <v>20</v>
      </c>
      <c r="D9" s="50" t="s">
        <v>32</v>
      </c>
      <c r="E9" s="47" t="s">
        <v>10</v>
      </c>
      <c r="F9" s="47" t="s">
        <v>11</v>
      </c>
      <c r="G9" s="50" t="s">
        <v>33</v>
      </c>
      <c r="H9" s="47" t="s">
        <v>12</v>
      </c>
      <c r="I9" s="50" t="s">
        <v>34</v>
      </c>
      <c r="O9" s="50" t="str">
        <f>D9</f>
        <v>BG</v>
      </c>
      <c r="P9" s="50" t="str">
        <f t="shared" ref="P9:T9" si="0">E9</f>
        <v>HG</v>
      </c>
      <c r="Q9" s="50" t="str">
        <f t="shared" si="0"/>
        <v>HD</v>
      </c>
      <c r="R9" s="50" t="str">
        <f t="shared" si="0"/>
        <v>BD</v>
      </c>
      <c r="S9" s="50" t="str">
        <f t="shared" si="0"/>
        <v>LH</v>
      </c>
      <c r="T9" s="50" t="str">
        <f t="shared" si="0"/>
        <v>LB</v>
      </c>
    </row>
    <row r="10" spans="1:20" ht="20.100000000000001" customHeight="1">
      <c r="A10" s="44">
        <f t="shared" ref="A10:A57" si="1">jours</f>
        <v>0</v>
      </c>
      <c r="B10" s="45">
        <f t="shared" ref="B10:B57" si="2">date</f>
        <v>45324</v>
      </c>
      <c r="C10" s="46">
        <f>'Résultats observations'!D10</f>
        <v>4.3000000000000007</v>
      </c>
      <c r="D10" s="41">
        <f t="shared" ref="D10:D57" si="3">Ecart_IG</f>
        <v>0</v>
      </c>
      <c r="E10" s="41">
        <f t="shared" ref="E10:E57" si="4">Ecart_HG</f>
        <v>0</v>
      </c>
      <c r="F10" s="41">
        <f t="shared" ref="F10:F32" si="5">Ecart_HD</f>
        <v>0</v>
      </c>
      <c r="G10" s="41">
        <f t="shared" ref="G10:G57" si="6">Ecart_ID</f>
        <v>0</v>
      </c>
      <c r="H10" s="41">
        <f t="shared" ref="H10:H32" si="7">Ecart_LH</f>
        <v>0</v>
      </c>
      <c r="I10" s="41">
        <f t="shared" ref="I10:I57" si="8">Ecart_LI</f>
        <v>0</v>
      </c>
      <c r="O10" s="42">
        <v>0</v>
      </c>
      <c r="P10" s="42">
        <v>0</v>
      </c>
      <c r="Q10" s="42">
        <v>0</v>
      </c>
      <c r="R10" s="42">
        <v>0</v>
      </c>
      <c r="S10" s="42">
        <v>0</v>
      </c>
      <c r="T10" s="42">
        <v>0</v>
      </c>
    </row>
    <row r="11" spans="1:20" ht="18.75" customHeight="1">
      <c r="A11" s="44">
        <f t="shared" si="1"/>
        <v>3</v>
      </c>
      <c r="B11" s="45">
        <f t="shared" si="2"/>
        <v>45327</v>
      </c>
      <c r="C11" s="46">
        <f>'Résultats observations'!D11</f>
        <v>4.3000000000000007</v>
      </c>
      <c r="D11" s="41">
        <f t="shared" si="3"/>
        <v>-1.0198291823373395</v>
      </c>
      <c r="E11" s="41">
        <f t="shared" si="4"/>
        <v>-0.58524815068450309</v>
      </c>
      <c r="F11" s="41">
        <f t="shared" si="5"/>
        <v>-0.46740537586242858</v>
      </c>
      <c r="G11" s="41">
        <f t="shared" si="6"/>
        <v>-1.401986805518618</v>
      </c>
      <c r="H11" s="41">
        <f t="shared" si="7"/>
        <v>-0.95321322646313433</v>
      </c>
      <c r="I11" s="41">
        <f t="shared" si="8"/>
        <v>-1.0549852207635269</v>
      </c>
      <c r="O11" s="110">
        <f t="shared" ref="O11:T11" si="9">IF(AND(D11&lt;&gt;"",D10&lt;&gt;""),(D11-D10)/($B11-$B10),"")</f>
        <v>-0.33994306077911318</v>
      </c>
      <c r="P11" s="110">
        <f t="shared" si="9"/>
        <v>-0.19508271689483436</v>
      </c>
      <c r="Q11" s="110">
        <f t="shared" si="9"/>
        <v>-0.15580179195414287</v>
      </c>
      <c r="R11" s="110">
        <f t="shared" si="9"/>
        <v>-0.46732893517287266</v>
      </c>
      <c r="S11" s="110">
        <f t="shared" si="9"/>
        <v>-0.31773774215437811</v>
      </c>
      <c r="T11" s="110">
        <f t="shared" si="9"/>
        <v>-0.35166174025450897</v>
      </c>
    </row>
    <row r="12" spans="1:20" ht="18.75" customHeight="1">
      <c r="A12" s="44">
        <f t="shared" si="1"/>
        <v>5</v>
      </c>
      <c r="B12" s="45">
        <f t="shared" si="2"/>
        <v>45329</v>
      </c>
      <c r="C12" s="46">
        <f>'Résultats observations'!D12</f>
        <v>6.41</v>
      </c>
      <c r="D12" s="41" t="str">
        <f t="shared" si="3"/>
        <v/>
      </c>
      <c r="E12" s="41" t="str">
        <f t="shared" si="4"/>
        <v/>
      </c>
      <c r="F12" s="41" t="str">
        <f t="shared" si="5"/>
        <v/>
      </c>
      <c r="G12" s="41" t="str">
        <f t="shared" si="6"/>
        <v/>
      </c>
      <c r="H12" s="41" t="str">
        <f t="shared" si="7"/>
        <v/>
      </c>
      <c r="I12" s="41" t="str">
        <f t="shared" si="8"/>
        <v/>
      </c>
      <c r="O12" s="110" t="str">
        <f t="shared" ref="O12" si="10">IF(AND(D12&lt;&gt;"",D11&lt;&gt;""),(D12-D11)/($B12-$B11),"")</f>
        <v/>
      </c>
      <c r="P12" s="110" t="str">
        <f t="shared" ref="P12" si="11">IF(AND(E12&lt;&gt;"",E11&lt;&gt;""),(E12-E11)/($B12-$B11),"")</f>
        <v/>
      </c>
      <c r="Q12" s="110" t="str">
        <f t="shared" ref="Q12" si="12">IF(AND(F12&lt;&gt;"",F11&lt;&gt;""),(F12-F11)/($B12-$B11),"")</f>
        <v/>
      </c>
      <c r="R12" s="110" t="str">
        <f t="shared" ref="R12" si="13">IF(AND(G12&lt;&gt;"",G11&lt;&gt;""),(G12-G11)/($B12-$B11),"")</f>
        <v/>
      </c>
      <c r="S12" s="110" t="str">
        <f t="shared" ref="S12" si="14">IF(AND(H12&lt;&gt;"",H11&lt;&gt;""),(H12-H11)/($B12-$B11),"")</f>
        <v/>
      </c>
      <c r="T12" s="110" t="str">
        <f t="shared" ref="T12" si="15">IF(AND(I12&lt;&gt;"",I11&lt;&gt;""),(I12-I11)/($B12-$B11),"")</f>
        <v/>
      </c>
    </row>
    <row r="13" spans="1:20" ht="18.75" customHeight="1">
      <c r="A13" s="44">
        <f t="shared" si="1"/>
        <v>7</v>
      </c>
      <c r="B13" s="45">
        <f t="shared" si="2"/>
        <v>45331</v>
      </c>
      <c r="C13" s="46">
        <f>'Résultats observations'!D13</f>
        <v>6.41</v>
      </c>
      <c r="D13" s="41">
        <f t="shared" si="3"/>
        <v>-0.75778666059278521</v>
      </c>
      <c r="E13" s="41">
        <f t="shared" si="4"/>
        <v>0.79387237141093081</v>
      </c>
      <c r="F13" s="41">
        <f t="shared" si="5"/>
        <v>-5.6248608949049927</v>
      </c>
      <c r="G13" s="41">
        <f t="shared" si="6"/>
        <v>-6.0050012240848716</v>
      </c>
      <c r="H13" s="41">
        <f t="shared" si="7"/>
        <v>-4.9362159839549946</v>
      </c>
      <c r="I13" s="41">
        <f t="shared" si="8"/>
        <v>-4.2722105865875548</v>
      </c>
      <c r="O13" s="110" t="str">
        <f t="shared" ref="O13" si="16">IF(AND(D13&lt;&gt;"",D12&lt;&gt;""),(D13-D12)/($B13-$B12),"")</f>
        <v/>
      </c>
      <c r="P13" s="110" t="str">
        <f t="shared" ref="P13" si="17">IF(AND(E13&lt;&gt;"",E12&lt;&gt;""),(E13-E12)/($B13-$B12),"")</f>
        <v/>
      </c>
      <c r="Q13" s="110" t="str">
        <f t="shared" ref="Q13" si="18">IF(AND(F13&lt;&gt;"",F12&lt;&gt;""),(F13-F12)/($B13-$B12),"")</f>
        <v/>
      </c>
      <c r="R13" s="110" t="str">
        <f t="shared" ref="R13" si="19">IF(AND(G13&lt;&gt;"",G12&lt;&gt;""),(G13-G12)/($B13-$B12),"")</f>
        <v/>
      </c>
      <c r="S13" s="110" t="str">
        <f t="shared" ref="S13" si="20">IF(AND(H13&lt;&gt;"",H12&lt;&gt;""),(H13-H12)/($B13-$B12),"")</f>
        <v/>
      </c>
      <c r="T13" s="110" t="str">
        <f t="shared" ref="T13" si="21">IF(AND(I13&lt;&gt;"",I12&lt;&gt;""),(I13-I12)/($B13-$B12),"")</f>
        <v/>
      </c>
    </row>
    <row r="14" spans="1:20" ht="18.75" customHeight="1">
      <c r="A14" s="44">
        <f t="shared" si="1"/>
        <v>10</v>
      </c>
      <c r="B14" s="45">
        <f t="shared" si="2"/>
        <v>45334</v>
      </c>
      <c r="C14" s="46">
        <f>'Résultats observations'!D14</f>
        <v>6.41</v>
      </c>
      <c r="D14" s="41">
        <f t="shared" si="3"/>
        <v>-1.2895055902388819</v>
      </c>
      <c r="E14" s="41">
        <f t="shared" si="4"/>
        <v>0.86233178911454544</v>
      </c>
      <c r="F14" s="41">
        <f t="shared" si="5"/>
        <v>-6.8331583894654102</v>
      </c>
      <c r="G14" s="41">
        <f t="shared" si="6"/>
        <v>-6.9971782981657071</v>
      </c>
      <c r="H14" s="41">
        <f t="shared" si="7"/>
        <v>-6.1264217735601534</v>
      </c>
      <c r="I14" s="41">
        <f t="shared" si="8"/>
        <v>-5.0348597655736071</v>
      </c>
      <c r="O14" s="110">
        <f t="shared" ref="O14" si="22">IF(AND(D14&lt;&gt;"",D13&lt;&gt;""),(D14-D13)/($B14-$B13),"")</f>
        <v>-0.17723964321536556</v>
      </c>
      <c r="P14" s="110">
        <f t="shared" ref="P14" si="23">IF(AND(E14&lt;&gt;"",E13&lt;&gt;""),(E14-E13)/($B14-$B13),"")</f>
        <v>2.2819805901204877E-2</v>
      </c>
      <c r="Q14" s="110">
        <f t="shared" ref="Q14" si="24">IF(AND(F14&lt;&gt;"",F13&lt;&gt;""),(F14-F13)/($B14-$B13),"")</f>
        <v>-0.40276583152013917</v>
      </c>
      <c r="R14" s="110">
        <f t="shared" ref="R14" si="25">IF(AND(G14&lt;&gt;"",G13&lt;&gt;""),(G14-G13)/($B14-$B13),"")</f>
        <v>-0.33072569136027852</v>
      </c>
      <c r="S14" s="110">
        <f t="shared" ref="S14" si="26">IF(AND(H14&lt;&gt;"",H13&lt;&gt;""),(H14-H13)/($B14-$B13),"")</f>
        <v>-0.39673526320171959</v>
      </c>
      <c r="T14" s="110">
        <f t="shared" ref="T14" si="27">IF(AND(I14&lt;&gt;"",I13&lt;&gt;""),(I14-I13)/($B14-$B13),"")</f>
        <v>-0.25421639299535076</v>
      </c>
    </row>
    <row r="15" spans="1:20" ht="18.75" customHeight="1">
      <c r="A15" s="44">
        <f t="shared" si="1"/>
        <v>11</v>
      </c>
      <c r="B15" s="45">
        <f t="shared" si="2"/>
        <v>45335</v>
      </c>
      <c r="C15" s="46">
        <f>'Résultats observations'!D15</f>
        <v>6.41</v>
      </c>
      <c r="D15" s="41">
        <f t="shared" si="3"/>
        <v>-1.3564881585992339</v>
      </c>
      <c r="E15" s="41">
        <f t="shared" si="4"/>
        <v>0.87626770996918069</v>
      </c>
      <c r="F15" s="41">
        <f t="shared" si="5"/>
        <v>-6.9924661847353686</v>
      </c>
      <c r="G15" s="41">
        <f t="shared" si="6"/>
        <v>-7.4295125853778288</v>
      </c>
      <c r="H15" s="41">
        <f t="shared" si="7"/>
        <v>-6.4279006312464304</v>
      </c>
      <c r="I15" s="41">
        <f t="shared" si="8"/>
        <v>-5.0249937653150667</v>
      </c>
      <c r="O15" s="110">
        <f t="shared" ref="O15" si="28">IF(AND(D15&lt;&gt;"",D14&lt;&gt;""),(D15-D14)/($B15-$B14),"")</f>
        <v>-6.6982568360351991E-2</v>
      </c>
      <c r="P15" s="110">
        <f t="shared" ref="P15" si="29">IF(AND(E15&lt;&gt;"",E14&lt;&gt;""),(E15-E14)/($B15-$B14),"")</f>
        <v>1.3935920854635242E-2</v>
      </c>
      <c r="Q15" s="110">
        <f t="shared" ref="Q15" si="30">IF(AND(F15&lt;&gt;"",F14&lt;&gt;""),(F15-F14)/($B15-$B14),"")</f>
        <v>-0.15930779526995842</v>
      </c>
      <c r="R15" s="110">
        <f t="shared" ref="R15" si="31">IF(AND(G15&lt;&gt;"",G14&lt;&gt;""),(G15-G14)/($B15-$B14),"")</f>
        <v>-0.43233428721212164</v>
      </c>
      <c r="S15" s="110">
        <f t="shared" ref="S15" si="32">IF(AND(H15&lt;&gt;"",H14&lt;&gt;""),(H15-H14)/($B15-$B14),"")</f>
        <v>-0.30147885768627702</v>
      </c>
      <c r="T15" s="110">
        <f t="shared" ref="T15" si="33">IF(AND(I15&lt;&gt;"",I14&lt;&gt;""),(I15-I14)/($B15-$B14),"")</f>
        <v>9.8660002585404527E-3</v>
      </c>
    </row>
    <row r="16" spans="1:20" ht="18.75" customHeight="1">
      <c r="A16" s="44">
        <f t="shared" si="1"/>
        <v>13</v>
      </c>
      <c r="B16" s="45">
        <f t="shared" si="2"/>
        <v>45337</v>
      </c>
      <c r="C16" s="46">
        <f>'Résultats observations'!D16</f>
        <v>6.41</v>
      </c>
      <c r="D16" s="41">
        <f t="shared" si="3"/>
        <v>-1.5618565760275871</v>
      </c>
      <c r="E16" s="41">
        <f t="shared" si="4"/>
        <v>0.51774158193529374</v>
      </c>
      <c r="F16" s="41">
        <f t="shared" si="5"/>
        <v>-6.7510748112522556</v>
      </c>
      <c r="G16" s="41">
        <f t="shared" si="6"/>
        <v>-6.5557055159652933</v>
      </c>
      <c r="H16" s="41">
        <f t="shared" si="7"/>
        <v>-6.5179015837717458</v>
      </c>
      <c r="I16" s="41">
        <f t="shared" si="8"/>
        <v>-5.3132818038958973</v>
      </c>
      <c r="O16" s="110">
        <f t="shared" ref="O16" si="34">IF(AND(D16&lt;&gt;"",D15&lt;&gt;""),(D16-D15)/($B16-$B15),"")</f>
        <v>-0.10268420871417661</v>
      </c>
      <c r="P16" s="110">
        <f t="shared" ref="P16" si="35">IF(AND(E16&lt;&gt;"",E15&lt;&gt;""),(E16-E15)/($B16-$B15),"")</f>
        <v>-0.17926306401694347</v>
      </c>
      <c r="Q16" s="110">
        <f t="shared" ref="Q16" si="36">IF(AND(F16&lt;&gt;"",F15&lt;&gt;""),(F16-F15)/($B16-$B15),"")</f>
        <v>0.12069568674155651</v>
      </c>
      <c r="R16" s="110">
        <f t="shared" ref="R16" si="37">IF(AND(G16&lt;&gt;"",G15&lt;&gt;""),(G16-G15)/($B16-$B15),"")</f>
        <v>0.43690353470626775</v>
      </c>
      <c r="S16" s="110">
        <f t="shared" ref="S16" si="38">IF(AND(H16&lt;&gt;"",H15&lt;&gt;""),(H16-H15)/($B16-$B15),"")</f>
        <v>-4.5000476262657685E-2</v>
      </c>
      <c r="T16" s="110">
        <f t="shared" ref="T16" si="39">IF(AND(I16&lt;&gt;"",I15&lt;&gt;""),(I16-I15)/($B16-$B15),"")</f>
        <v>-0.14414401929041532</v>
      </c>
    </row>
    <row r="17" spans="1:20" ht="18.75" customHeight="1">
      <c r="A17" s="44">
        <f t="shared" si="1"/>
        <v>14</v>
      </c>
      <c r="B17" s="45">
        <f t="shared" si="2"/>
        <v>45338</v>
      </c>
      <c r="C17" s="46">
        <f>'Résultats observations'!D17</f>
        <v>6.41</v>
      </c>
      <c r="D17" s="41">
        <f t="shared" si="3"/>
        <v>-1.2377026443814998</v>
      </c>
      <c r="E17" s="41">
        <f t="shared" si="4"/>
        <v>0.6744950474053546</v>
      </c>
      <c r="F17" s="41"/>
      <c r="G17" s="41">
        <f t="shared" si="6"/>
        <v>-6.5677425051493543</v>
      </c>
      <c r="H17" s="41">
        <f t="shared" si="7"/>
        <v>-6.1309107140701258</v>
      </c>
      <c r="I17" s="41">
        <f t="shared" si="8"/>
        <v>-4.9281776933653987</v>
      </c>
      <c r="O17" s="110">
        <f t="shared" ref="O17" si="40">IF(AND(D17&lt;&gt;"",D16&lt;&gt;""),(D17-D16)/($B17-$B16),"")</f>
        <v>0.3241539316460873</v>
      </c>
      <c r="P17" s="110">
        <f t="shared" ref="P17" si="41">IF(AND(E17&lt;&gt;"",E16&lt;&gt;""),(E17-E16)/($B17-$B16),"")</f>
        <v>0.15675346547006086</v>
      </c>
      <c r="Q17" s="110" t="str">
        <f t="shared" ref="Q17" si="42">IF(AND(F17&lt;&gt;"",F16&lt;&gt;""),(F17-F16)/($B17-$B16),"")</f>
        <v/>
      </c>
      <c r="R17" s="110">
        <f t="shared" ref="R17" si="43">IF(AND(G17&lt;&gt;"",G16&lt;&gt;""),(G17-G16)/($B17-$B16),"")</f>
        <v>-1.2036989184061042E-2</v>
      </c>
      <c r="S17" s="110">
        <f t="shared" ref="S17" si="44">IF(AND(H17&lt;&gt;"",H16&lt;&gt;""),(H17-H16)/($B17-$B16),"")</f>
        <v>0.38699086970162</v>
      </c>
      <c r="T17" s="110">
        <f t="shared" ref="T17" si="45">IF(AND(I17&lt;&gt;"",I16&lt;&gt;""),(I17-I16)/($B17-$B16),"")</f>
        <v>0.38510411053049864</v>
      </c>
    </row>
    <row r="18" spans="1:20" ht="19.5" customHeight="1">
      <c r="A18" s="44">
        <f t="shared" si="1"/>
        <v>17</v>
      </c>
      <c r="B18" s="45">
        <f t="shared" si="2"/>
        <v>45341</v>
      </c>
      <c r="C18" s="46">
        <f>'Résultats observations'!D18</f>
        <v>6.41</v>
      </c>
      <c r="D18" s="41">
        <f t="shared" si="3"/>
        <v>-1.0427145260081261</v>
      </c>
      <c r="E18" s="41">
        <f t="shared" si="4"/>
        <v>1.157177661003761</v>
      </c>
      <c r="F18" s="41">
        <f t="shared" si="5"/>
        <v>-7.1642831153819753</v>
      </c>
      <c r="G18" s="41">
        <f t="shared" si="6"/>
        <v>-6.8420014613161939</v>
      </c>
      <c r="H18" s="41">
        <f t="shared" si="7"/>
        <v>-6.468513230201367</v>
      </c>
      <c r="I18" s="41">
        <f t="shared" si="8"/>
        <v>-5.5702309828191687</v>
      </c>
      <c r="O18" s="110">
        <f t="shared" ref="O18" si="46">IF(AND(D18&lt;&gt;"",D17&lt;&gt;""),(D18-D17)/($B18-$B17),"")</f>
        <v>6.4996039457791241E-2</v>
      </c>
      <c r="P18" s="110">
        <f t="shared" ref="P18" si="47">IF(AND(E18&lt;&gt;"",E17&lt;&gt;""),(E18-E17)/($B18-$B17),"")</f>
        <v>0.16089420453280212</v>
      </c>
      <c r="Q18" s="110" t="str">
        <f t="shared" ref="Q18" si="48">IF(AND(F18&lt;&gt;"",F17&lt;&gt;""),(F18-F17)/($B18-$B17),"")</f>
        <v/>
      </c>
      <c r="R18" s="110">
        <f t="shared" ref="R18" si="49">IF(AND(G18&lt;&gt;"",G17&lt;&gt;""),(G18-G17)/($B18-$B17),"")</f>
        <v>-9.1419652055613199E-2</v>
      </c>
      <c r="S18" s="110">
        <f t="shared" ref="S18" si="50">IF(AND(H18&lt;&gt;"",H17&lt;&gt;""),(H18-H17)/($B18-$B17),"")</f>
        <v>-0.11253417204374709</v>
      </c>
      <c r="T18" s="110">
        <f t="shared" ref="T18" si="51">IF(AND(I18&lt;&gt;"",I17&lt;&gt;""),(I18-I17)/($B18-$B17),"")</f>
        <v>-0.21401776315125667</v>
      </c>
    </row>
    <row r="19" spans="1:20" ht="19.5" customHeight="1">
      <c r="A19" s="44">
        <f t="shared" si="1"/>
        <v>19</v>
      </c>
      <c r="B19" s="45">
        <f t="shared" si="2"/>
        <v>45343</v>
      </c>
      <c r="C19" s="46">
        <f>'Résultats observations'!D19</f>
        <v>6.41</v>
      </c>
      <c r="D19" s="41">
        <f t="shared" si="3"/>
        <v>-1.7330650113205337</v>
      </c>
      <c r="E19" s="41">
        <f t="shared" si="4"/>
        <v>0.47547008104142918</v>
      </c>
      <c r="F19" s="41">
        <f t="shared" si="5"/>
        <v>-7.1646578336492794</v>
      </c>
      <c r="G19" s="41">
        <f t="shared" si="6"/>
        <v>-7.0685051104248942</v>
      </c>
      <c r="H19" s="41">
        <f t="shared" si="7"/>
        <v>-7.3040050940464951</v>
      </c>
      <c r="I19" s="41">
        <f t="shared" si="8"/>
        <v>-6.1121043587597512</v>
      </c>
      <c r="O19" s="110">
        <f t="shared" ref="O19" si="52">IF(AND(D19&lt;&gt;"",D18&lt;&gt;""),(D19-D18)/($B19-$B18),"")</f>
        <v>-0.34517524265620381</v>
      </c>
      <c r="P19" s="110">
        <f t="shared" ref="P19" si="53">IF(AND(E19&lt;&gt;"",E18&lt;&gt;""),(E19-E18)/($B19-$B18),"")</f>
        <v>-0.34085378998116589</v>
      </c>
      <c r="Q19" s="110">
        <f t="shared" ref="Q19" si="54">IF(AND(F19&lt;&gt;"",F18&lt;&gt;""),(F19-F18)/($B19-$B18),"")</f>
        <v>-1.8735913365208745E-4</v>
      </c>
      <c r="R19" s="110">
        <f t="shared" ref="R19" si="55">IF(AND(G19&lt;&gt;"",G18&lt;&gt;""),(G19-G18)/($B19-$B18),"")</f>
        <v>-0.11325182455435012</v>
      </c>
      <c r="S19" s="110">
        <f t="shared" ref="S19" si="56">IF(AND(H19&lt;&gt;"",H18&lt;&gt;""),(H19-H18)/($B19-$B18),"")</f>
        <v>-0.41774593192256404</v>
      </c>
      <c r="T19" s="110">
        <f t="shared" ref="T19" si="57">IF(AND(I19&lt;&gt;"",I18&lt;&gt;""),(I19-I18)/($B19-$B18),"")</f>
        <v>-0.27093668797029125</v>
      </c>
    </row>
    <row r="20" spans="1:20" ht="19.5" customHeight="1">
      <c r="A20" s="44">
        <f t="shared" si="1"/>
        <v>24</v>
      </c>
      <c r="B20" s="45">
        <f t="shared" si="2"/>
        <v>45348</v>
      </c>
      <c r="C20" s="46">
        <f>'Résultats observations'!D20</f>
        <v>6.41</v>
      </c>
      <c r="D20" s="41">
        <f t="shared" si="3"/>
        <v>-0.29973736509880666</v>
      </c>
      <c r="E20" s="41">
        <f t="shared" si="4"/>
        <v>2.5694418605906044</v>
      </c>
      <c r="F20" s="41">
        <f t="shared" si="5"/>
        <v>-10.129404324134006</v>
      </c>
      <c r="G20" s="41">
        <f t="shared" si="6"/>
        <v>-8.9588702832870126</v>
      </c>
      <c r="H20" s="41">
        <f t="shared" si="7"/>
        <v>-7.4878705644874088</v>
      </c>
      <c r="I20" s="41">
        <f t="shared" si="8"/>
        <v>-6.6017299236689198</v>
      </c>
      <c r="O20" s="110">
        <f t="shared" ref="O20" si="58">IF(AND(D20&lt;&gt;"",D19&lt;&gt;""),(D20-D19)/($B20-$B19),"")</f>
        <v>0.28666552924434541</v>
      </c>
      <c r="P20" s="110">
        <f t="shared" ref="P20" si="59">IF(AND(E20&lt;&gt;"",E19&lt;&gt;""),(E20-E19)/($B20-$B19),"")</f>
        <v>0.41879435590983505</v>
      </c>
      <c r="Q20" s="110">
        <f t="shared" ref="Q20" si="60">IF(AND(F20&lt;&gt;"",F19&lt;&gt;""),(F20-F19)/($B20-$B19),"")</f>
        <v>-0.5929492980969453</v>
      </c>
      <c r="R20" s="110">
        <f t="shared" ref="R20" si="61">IF(AND(G20&lt;&gt;"",G19&lt;&gt;""),(G20-G19)/($B20-$B19),"")</f>
        <v>-0.37807303457242369</v>
      </c>
      <c r="S20" s="110">
        <f t="shared" ref="S20" si="62">IF(AND(H20&lt;&gt;"",H19&lt;&gt;""),(H20-H19)/($B20-$B19),"")</f>
        <v>-3.6773094088182745E-2</v>
      </c>
      <c r="T20" s="110">
        <f t="shared" ref="T20" si="63">IF(AND(I20&lt;&gt;"",I19&lt;&gt;""),(I20-I19)/($B20-$B19),"")</f>
        <v>-9.7925112981833706E-2</v>
      </c>
    </row>
    <row r="21" spans="1:20" ht="19.5" customHeight="1">
      <c r="A21" s="44">
        <f t="shared" si="1"/>
        <v>26</v>
      </c>
      <c r="B21" s="45">
        <f t="shared" si="2"/>
        <v>45350</v>
      </c>
      <c r="C21" s="46">
        <f>'Résultats observations'!D21</f>
        <v>6.41</v>
      </c>
      <c r="D21" s="41">
        <f t="shared" si="3"/>
        <v>-0.26562763320647775</v>
      </c>
      <c r="E21" s="41">
        <f t="shared" si="4"/>
        <v>2.7476705056059814</v>
      </c>
      <c r="F21" s="41">
        <f t="shared" si="5"/>
        <v>-9.9650146458134525</v>
      </c>
      <c r="G21" s="41">
        <f t="shared" si="6"/>
        <v>-8.8480396801013939</v>
      </c>
      <c r="H21" s="41">
        <f t="shared" si="7"/>
        <v>-7.2839904030308489</v>
      </c>
      <c r="I21" s="41">
        <f t="shared" si="8"/>
        <v>-6.3728435148204809</v>
      </c>
      <c r="O21" s="110">
        <f t="shared" ref="O21" si="64">IF(AND(D21&lt;&gt;"",D20&lt;&gt;""),(D21-D20)/($B21-$B20),"")</f>
        <v>1.7054865946164455E-2</v>
      </c>
      <c r="P21" s="110">
        <f t="shared" ref="P21" si="65">IF(AND(E21&lt;&gt;"",E20&lt;&gt;""),(E21-E20)/($B21-$B20),"")</f>
        <v>8.911432250768847E-2</v>
      </c>
      <c r="Q21" s="110">
        <f t="shared" ref="Q21" si="66">IF(AND(F21&lt;&gt;"",F20&lt;&gt;""),(F21-F20)/($B21-$B20),"")</f>
        <v>8.21948391602767E-2</v>
      </c>
      <c r="R21" s="110">
        <f t="shared" ref="R21" si="67">IF(AND(G21&lt;&gt;"",G20&lt;&gt;""),(G21-G20)/($B21-$B20),"")</f>
        <v>5.5415301592809385E-2</v>
      </c>
      <c r="S21" s="110">
        <f t="shared" ref="S21" si="68">IF(AND(H21&lt;&gt;"",H20&lt;&gt;""),(H21-H20)/($B21-$B20),"")</f>
        <v>0.10194008072827998</v>
      </c>
      <c r="T21" s="110">
        <f t="shared" ref="T21" si="69">IF(AND(I21&lt;&gt;"",I20&lt;&gt;""),(I21-I20)/($B21-$B20),"")</f>
        <v>0.1144432044242194</v>
      </c>
    </row>
    <row r="22" spans="1:20" ht="19.5" customHeight="1">
      <c r="A22" s="44">
        <f t="shared" si="1"/>
        <v>40</v>
      </c>
      <c r="B22" s="45">
        <f t="shared" si="2"/>
        <v>45364</v>
      </c>
      <c r="C22" s="46">
        <f>'Résultats observations'!D22</f>
        <v>6.41</v>
      </c>
      <c r="D22" s="41">
        <f t="shared" si="3"/>
        <v>-0.47047721922144348</v>
      </c>
      <c r="E22" s="41">
        <f t="shared" si="4"/>
        <v>2.1503194211875964</v>
      </c>
      <c r="F22" s="41">
        <f t="shared" si="5"/>
        <v>-10.369962576478375</v>
      </c>
      <c r="G22" s="41">
        <f t="shared" si="6"/>
        <v>-9.074375897783149</v>
      </c>
      <c r="H22" s="41">
        <f t="shared" si="7"/>
        <v>-8.1513278329206074</v>
      </c>
      <c r="I22" s="41">
        <f t="shared" si="8"/>
        <v>-7.0806219622117084</v>
      </c>
      <c r="O22" s="110">
        <f t="shared" ref="O22" si="70">IF(AND(D22&lt;&gt;"",D21&lt;&gt;""),(D22-D21)/($B22-$B21),"")</f>
        <v>-1.4632113286783266E-2</v>
      </c>
      <c r="P22" s="110">
        <f t="shared" ref="P22" si="71">IF(AND(E22&lt;&gt;"",E21&lt;&gt;""),(E22-E21)/($B22-$B21),"")</f>
        <v>-4.2667934601313205E-2</v>
      </c>
      <c r="Q22" s="110">
        <f t="shared" ref="Q22" si="72">IF(AND(F22&lt;&gt;"",F21&lt;&gt;""),(F22-F21)/($B22-$B21),"")</f>
        <v>-2.8924852190351631E-2</v>
      </c>
      <c r="R22" s="110">
        <f t="shared" ref="R22" si="73">IF(AND(G22&lt;&gt;"",G21&lt;&gt;""),(G22-G21)/($B22-$B21),"")</f>
        <v>-1.6166872691553941E-2</v>
      </c>
      <c r="S22" s="110">
        <f t="shared" ref="S22" si="74">IF(AND(H22&lt;&gt;"",H21&lt;&gt;""),(H22-H21)/($B22-$B21),"")</f>
        <v>-6.1952673563554175E-2</v>
      </c>
      <c r="T22" s="110">
        <f t="shared" ref="T22" si="75">IF(AND(I22&lt;&gt;"",I21&lt;&gt;""),(I22-I21)/($B22-$B21),"")</f>
        <v>-5.0555603385087675E-2</v>
      </c>
    </row>
    <row r="23" spans="1:20" ht="19.5" customHeight="1">
      <c r="A23" s="44">
        <f t="shared" si="1"/>
        <v>66</v>
      </c>
      <c r="B23" s="45">
        <f t="shared" si="2"/>
        <v>45390</v>
      </c>
      <c r="C23" s="46">
        <f>'Résultats observations'!D23</f>
        <v>6.41</v>
      </c>
      <c r="D23" s="41">
        <f t="shared" si="3"/>
        <v>-1.0959588970660405</v>
      </c>
      <c r="E23" s="41">
        <f t="shared" si="4"/>
        <v>1.5857621122079557</v>
      </c>
      <c r="F23" s="41">
        <f t="shared" si="5"/>
        <v>-9.4753988562237268</v>
      </c>
      <c r="G23" s="41">
        <f t="shared" si="6"/>
        <v>-8.8366273568452058</v>
      </c>
      <c r="H23" s="41">
        <f t="shared" si="7"/>
        <v>-7.8755742358040948</v>
      </c>
      <c r="I23" s="41">
        <f t="shared" si="8"/>
        <v>-7.6235358613141457</v>
      </c>
      <c r="O23" s="110">
        <f t="shared" ref="O23" si="76">IF(AND(D23&lt;&gt;"",D22&lt;&gt;""),(D23-D22)/($B23-$B22),"")</f>
        <v>-2.4056987609407578E-2</v>
      </c>
      <c r="P23" s="110">
        <f t="shared" ref="P23" si="77">IF(AND(E23&lt;&gt;"",E22&lt;&gt;""),(E23-E22)/($B23-$B22),"")</f>
        <v>-2.1713742653063105E-2</v>
      </c>
      <c r="Q23" s="110">
        <f t="shared" ref="Q23" si="78">IF(AND(F23&lt;&gt;"",F22&lt;&gt;""),(F23-F22)/($B23-$B22),"")</f>
        <v>3.4406296932871103E-2</v>
      </c>
      <c r="R23" s="110">
        <f t="shared" ref="R23" si="79">IF(AND(G23&lt;&gt;"",G22&lt;&gt;""),(G23-G22)/($B23-$B22),"")</f>
        <v>9.1441746514593532E-3</v>
      </c>
      <c r="S23" s="110">
        <f t="shared" ref="S23" si="80">IF(AND(H23&lt;&gt;"",H22&lt;&gt;""),(H23-H22)/($B23-$B22),"")</f>
        <v>1.060590758140433E-2</v>
      </c>
      <c r="T23" s="110">
        <f t="shared" ref="T23" si="81">IF(AND(I23&lt;&gt;"",I22&lt;&gt;""),(I23-I22)/($B23-$B22),"")</f>
        <v>-2.0881303811632206E-2</v>
      </c>
    </row>
    <row r="24" spans="1:20" ht="16.5" customHeight="1">
      <c r="A24" s="44">
        <f t="shared" si="1"/>
        <v>80</v>
      </c>
      <c r="B24" s="45">
        <f t="shared" si="2"/>
        <v>45404</v>
      </c>
      <c r="C24" s="46">
        <f>'Résultats observations'!D24</f>
        <v>6.41</v>
      </c>
      <c r="D24" s="41">
        <f t="shared" si="3"/>
        <v>-2.3527622302532691</v>
      </c>
      <c r="E24" s="41">
        <f t="shared" si="4"/>
        <v>1.5191979127626709</v>
      </c>
      <c r="F24" s="41">
        <f t="shared" si="5"/>
        <v>-9.580985787380536</v>
      </c>
      <c r="G24" s="41">
        <f t="shared" si="6"/>
        <v>-9.2711922409129954</v>
      </c>
      <c r="H24" s="41">
        <f t="shared" si="7"/>
        <v>-8.3695378940733534</v>
      </c>
      <c r="I24" s="41">
        <f t="shared" si="8"/>
        <v>-8.2814827761819032</v>
      </c>
      <c r="O24" s="110">
        <f t="shared" ref="O24" si="82">IF(AND(D24&lt;&gt;"",D23&lt;&gt;""),(D24-D23)/($B24-$B23),"")</f>
        <v>-8.9771666656230611E-2</v>
      </c>
      <c r="P24" s="110">
        <f t="shared" ref="P24" si="83">IF(AND(E24&lt;&gt;"",E23&lt;&gt;""),(E24-E23)/($B24-$B23),"")</f>
        <v>-4.7545856746631998E-3</v>
      </c>
      <c r="Q24" s="110">
        <f t="shared" ref="Q24" si="84">IF(AND(F24&lt;&gt;"",F23&lt;&gt;""),(F24-F23)/($B24-$B23),"")</f>
        <v>-7.5419236540577982E-3</v>
      </c>
      <c r="R24" s="110">
        <f t="shared" ref="R24" si="85">IF(AND(G24&lt;&gt;"",G23&lt;&gt;""),(G24-G23)/($B24-$B23),"")</f>
        <v>-3.1040348861984972E-2</v>
      </c>
      <c r="S24" s="110">
        <f t="shared" ref="S24" si="86">IF(AND(H24&lt;&gt;"",H23&lt;&gt;""),(H24-H23)/($B24-$B23),"")</f>
        <v>-3.5283118447804185E-2</v>
      </c>
      <c r="T24" s="110">
        <f t="shared" ref="T24" si="87">IF(AND(I24&lt;&gt;"",I23&lt;&gt;""),(I24-I23)/($B24-$B23),"")</f>
        <v>-4.6996208204839816E-2</v>
      </c>
    </row>
    <row r="25" spans="1:20" ht="16.5" customHeight="1">
      <c r="A25" s="44">
        <f t="shared" si="1"/>
        <v>87</v>
      </c>
      <c r="B25" s="45">
        <f t="shared" si="2"/>
        <v>45411</v>
      </c>
      <c r="C25" s="46">
        <f>'Résultats observations'!D25</f>
        <v>6.41</v>
      </c>
      <c r="D25" s="41">
        <f t="shared" si="3"/>
        <v>-2.3527622567733886</v>
      </c>
      <c r="E25" s="41"/>
      <c r="F25" s="41">
        <f t="shared" si="5"/>
        <v>-9.3960218854740596</v>
      </c>
      <c r="G25" s="41">
        <f t="shared" si="6"/>
        <v>-9.5305988852194545</v>
      </c>
      <c r="H25" s="41"/>
      <c r="I25" s="41">
        <f t="shared" si="8"/>
        <v>-8.3910463354959219</v>
      </c>
      <c r="O25" s="110">
        <f t="shared" ref="O25" si="88">IF(AND(D25&lt;&gt;"",D24&lt;&gt;""),(D25-D24)/($B25-$B24),"")</f>
        <v>-3.7885884905465767E-9</v>
      </c>
      <c r="P25" s="110" t="str">
        <f t="shared" ref="P25" si="89">IF(AND(E25&lt;&gt;"",E24&lt;&gt;""),(E25-E24)/($B25-$B24),"")</f>
        <v/>
      </c>
      <c r="Q25" s="110">
        <f t="shared" ref="Q25" si="90">IF(AND(F25&lt;&gt;"",F24&lt;&gt;""),(F25-F24)/($B25-$B24),"")</f>
        <v>2.6423414558068053E-2</v>
      </c>
      <c r="R25" s="110">
        <f t="shared" ref="R25" si="91">IF(AND(G25&lt;&gt;"",G24&lt;&gt;""),(G25-G24)/($B25-$B24),"")</f>
        <v>-3.7058092043779869E-2</v>
      </c>
      <c r="S25" s="110" t="str">
        <f t="shared" ref="S25" si="92">IF(AND(H25&lt;&gt;"",H24&lt;&gt;""),(H25-H24)/($B25-$B24),"")</f>
        <v/>
      </c>
      <c r="T25" s="110">
        <f t="shared" ref="T25" si="93">IF(AND(I25&lt;&gt;"",I24&lt;&gt;""),(I25-I24)/($B25-$B24),"")</f>
        <v>-1.5651937044859818E-2</v>
      </c>
    </row>
    <row r="26" spans="1:20" ht="16.5" customHeight="1">
      <c r="A26" s="44">
        <f t="shared" si="1"/>
        <v>102</v>
      </c>
      <c r="B26" s="45">
        <f t="shared" si="2"/>
        <v>45426</v>
      </c>
      <c r="C26" s="46">
        <f>'Résultats observations'!D26</f>
        <v>6.41</v>
      </c>
      <c r="D26" s="41">
        <f t="shared" si="3"/>
        <v>-2.3527622302532691</v>
      </c>
      <c r="E26" s="41">
        <f t="shared" si="4"/>
        <v>1.5191979127626709</v>
      </c>
      <c r="F26" s="41">
        <f t="shared" si="5"/>
        <v>-9.580985787380536</v>
      </c>
      <c r="G26" s="41">
        <f t="shared" si="6"/>
        <v>-9.2711922409129954</v>
      </c>
      <c r="H26" s="41">
        <f t="shared" si="7"/>
        <v>-8.3695378940733534</v>
      </c>
      <c r="I26" s="41">
        <f t="shared" si="8"/>
        <v>-8.2814827761819032</v>
      </c>
      <c r="O26" s="110">
        <f t="shared" ref="O26" si="94">IF(AND(D26&lt;&gt;"",D25&lt;&gt;""),(D26-D25)/($B26-$B25),"")</f>
        <v>1.7680079622550693E-9</v>
      </c>
      <c r="P26" s="110" t="str">
        <f t="shared" ref="P26" si="95">IF(AND(E26&lt;&gt;"",E25&lt;&gt;""),(E26-E25)/($B26-$B25),"")</f>
        <v/>
      </c>
      <c r="Q26" s="110">
        <f t="shared" ref="Q26" si="96">IF(AND(F26&lt;&gt;"",F25&lt;&gt;""),(F26-F25)/($B26-$B25),"")</f>
        <v>-1.2330926793765093E-2</v>
      </c>
      <c r="R26" s="110">
        <f t="shared" ref="R26" si="97">IF(AND(G26&lt;&gt;"",G25&lt;&gt;""),(G26-G25)/($B26-$B25),"")</f>
        <v>1.7293776287097273E-2</v>
      </c>
      <c r="S26" s="110" t="str">
        <f t="shared" ref="S26" si="98">IF(AND(H26&lt;&gt;"",H25&lt;&gt;""),(H26-H25)/($B26-$B25),"")</f>
        <v/>
      </c>
      <c r="T26" s="110">
        <f t="shared" ref="T26" si="99">IF(AND(I26&lt;&gt;"",I25&lt;&gt;""),(I26-I25)/($B26-$B25),"")</f>
        <v>7.3042372876012491E-3</v>
      </c>
    </row>
    <row r="27" spans="1:20" ht="16.5" customHeight="1">
      <c r="A27" s="44">
        <f t="shared" si="1"/>
        <v>129</v>
      </c>
      <c r="B27" s="45">
        <f t="shared" si="2"/>
        <v>45453</v>
      </c>
      <c r="C27" s="46">
        <f>'Résultats observations'!D27</f>
        <v>6.41</v>
      </c>
      <c r="D27" s="41">
        <f t="shared" si="3"/>
        <v>-2.6110035034800916</v>
      </c>
      <c r="E27" s="41">
        <f t="shared" si="4"/>
        <v>1.3178517474741192</v>
      </c>
      <c r="F27" s="41">
        <f t="shared" si="5"/>
        <v>-9.6255925549115773</v>
      </c>
      <c r="G27" s="41">
        <f t="shared" si="6"/>
        <v>-9.8859072404486881</v>
      </c>
      <c r="H27" s="41">
        <f t="shared" si="7"/>
        <v>-8.7937516063743004</v>
      </c>
      <c r="I27" s="41">
        <f t="shared" si="8"/>
        <v>-8.9969258404725139</v>
      </c>
      <c r="O27" s="110">
        <f t="shared" ref="O27" si="100">IF(AND(D27&lt;&gt;"",D26&lt;&gt;""),(D27-D26)/($B27-$B26),"")</f>
        <v>-9.564491600993423E-3</v>
      </c>
      <c r="P27" s="110">
        <f t="shared" ref="P27" si="101">IF(AND(E27&lt;&gt;"",E26&lt;&gt;""),(E27-E26)/($B27-$B26),"")</f>
        <v>-7.4572653810574723E-3</v>
      </c>
      <c r="Q27" s="110">
        <f t="shared" ref="Q27" si="102">IF(AND(F27&lt;&gt;"",F26&lt;&gt;""),(F27-F26)/($B27-$B26),"")</f>
        <v>-1.6521025011496783E-3</v>
      </c>
      <c r="R27" s="110">
        <f t="shared" ref="R27" si="103">IF(AND(G27&lt;&gt;"",G26&lt;&gt;""),(G27-G26)/($B27-$B26),"")</f>
        <v>-2.2767222205025653E-2</v>
      </c>
      <c r="S27" s="110">
        <f t="shared" ref="S27" si="104">IF(AND(H27&lt;&gt;"",H26&lt;&gt;""),(H27-H26)/($B27-$B26),"")</f>
        <v>-1.5711618974109151E-2</v>
      </c>
      <c r="T27" s="110">
        <f t="shared" ref="T27" si="105">IF(AND(I27&lt;&gt;"",I26&lt;&gt;""),(I27-I26)/($B27-$B26),"")</f>
        <v>-2.6497891270022618E-2</v>
      </c>
    </row>
    <row r="28" spans="1:20" ht="16.5" customHeight="1">
      <c r="A28" s="44">
        <f t="shared" si="1"/>
        <v>157</v>
      </c>
      <c r="B28" s="45">
        <f t="shared" si="2"/>
        <v>45481</v>
      </c>
      <c r="C28" s="46">
        <f>'Résultats observations'!D28</f>
        <v>6.41</v>
      </c>
      <c r="D28" s="41">
        <f t="shared" si="3"/>
        <v>-2.7279751038085109</v>
      </c>
      <c r="E28" s="41">
        <f t="shared" si="4"/>
        <v>0.95351371152263553</v>
      </c>
      <c r="F28" s="41">
        <f t="shared" si="5"/>
        <v>-10.122622638021994</v>
      </c>
      <c r="G28" s="41">
        <f t="shared" si="6"/>
        <v>-9.9976816631341947</v>
      </c>
      <c r="H28" s="41">
        <f t="shared" si="7"/>
        <v>-9.5329278863713895</v>
      </c>
      <c r="I28" s="41">
        <f t="shared" si="8"/>
        <v>-9.4693161413061944</v>
      </c>
      <c r="O28" s="110">
        <f t="shared" ref="O28" si="106">IF(AND(D28&lt;&gt;"",D27&lt;&gt;""),(D28-D27)/($B28-$B27),"")</f>
        <v>-4.1775571545864055E-3</v>
      </c>
      <c r="P28" s="110">
        <f t="shared" ref="P28" si="107">IF(AND(E28&lt;&gt;"",E27&lt;&gt;""),(E28-E27)/($B28-$B27),"")</f>
        <v>-1.3012072712552987E-2</v>
      </c>
      <c r="Q28" s="110">
        <f t="shared" ref="Q28" si="108">IF(AND(F28&lt;&gt;"",F27&lt;&gt;""),(F28-F27)/($B28-$B27),"")</f>
        <v>-1.7751074396800601E-2</v>
      </c>
      <c r="R28" s="110">
        <f t="shared" ref="R28" si="109">IF(AND(G28&lt;&gt;"",G27&lt;&gt;""),(G28-G27)/($B28-$B27),"")</f>
        <v>-3.9919436673395226E-3</v>
      </c>
      <c r="S28" s="110">
        <f t="shared" ref="S28" si="110">IF(AND(H28&lt;&gt;"",H27&lt;&gt;""),(H28-H27)/($B28-$B27),"")</f>
        <v>-2.6399152857038897E-2</v>
      </c>
      <c r="T28" s="110">
        <f t="shared" ref="T28" si="111">IF(AND(I28&lt;&gt;"",I27&lt;&gt;""),(I28-I27)/($B28-$B27),"")</f>
        <v>-1.6871082172631446E-2</v>
      </c>
    </row>
    <row r="29" spans="1:20" ht="16.5" customHeight="1">
      <c r="A29" s="44">
        <f t="shared" si="1"/>
        <v>220</v>
      </c>
      <c r="B29" s="45">
        <f t="shared" si="2"/>
        <v>45544</v>
      </c>
      <c r="C29" s="46">
        <f>'Résultats observations'!D29</f>
        <v>6.41</v>
      </c>
      <c r="D29" s="41">
        <f t="shared" si="3"/>
        <v>-1.6644982628104543</v>
      </c>
      <c r="E29" s="41">
        <f t="shared" si="4"/>
        <v>1.295811569526073</v>
      </c>
      <c r="F29" s="41">
        <f t="shared" si="5"/>
        <v>-9.4983223343905188</v>
      </c>
      <c r="G29" s="41">
        <f t="shared" si="6"/>
        <v>-8.6910995064188867</v>
      </c>
      <c r="H29" s="41">
        <f t="shared" si="7"/>
        <v>-8.4697730467260257</v>
      </c>
      <c r="I29" s="41">
        <f t="shared" si="8"/>
        <v>-8.3101768157529676</v>
      </c>
      <c r="O29" s="110">
        <f t="shared" ref="O29" si="112">IF(AND(D29&lt;&gt;"",D28&lt;&gt;""),(D29-D28)/($B29-$B28),"")</f>
        <v>1.688058477774693E-2</v>
      </c>
      <c r="P29" s="110">
        <f t="shared" ref="P29" si="113">IF(AND(E29&lt;&gt;"",E28&lt;&gt;""),(E29-E28)/($B29-$B28),"")</f>
        <v>5.4332993333878962E-3</v>
      </c>
      <c r="Q29" s="110">
        <f t="shared" ref="Q29" si="114">IF(AND(F29&lt;&gt;"",F28&lt;&gt;""),(F29-F28)/($B29-$B28),"")</f>
        <v>9.9095286290710374E-3</v>
      </c>
      <c r="R29" s="110">
        <f t="shared" ref="R29" si="115">IF(AND(G29&lt;&gt;"",G28&lt;&gt;""),(G29-G28)/($B29-$B28),"")</f>
        <v>2.0739399312941397E-2</v>
      </c>
      <c r="S29" s="110">
        <f t="shared" ref="S29" si="116">IF(AND(H29&lt;&gt;"",H28&lt;&gt;""),(H29-H28)/($B29-$B28),"")</f>
        <v>1.6875473645164504E-2</v>
      </c>
      <c r="T29" s="110">
        <f t="shared" ref="T29" si="117">IF(AND(I29&lt;&gt;"",I28&lt;&gt;""),(I29-I28)/($B29-$B28),"")</f>
        <v>1.8399036913543283E-2</v>
      </c>
    </row>
    <row r="30" spans="1:20" ht="16.5" customHeight="1">
      <c r="A30" s="44">
        <f t="shared" si="1"/>
        <v>277</v>
      </c>
      <c r="B30" s="45">
        <f t="shared" si="2"/>
        <v>45601</v>
      </c>
      <c r="C30" s="46">
        <f>'Résultats observations'!D30</f>
        <v>6.41</v>
      </c>
      <c r="D30" s="41">
        <f t="shared" si="3"/>
        <v>-2.2968966341707642</v>
      </c>
      <c r="E30" s="41">
        <f t="shared" si="4"/>
        <v>1.295811569526073</v>
      </c>
      <c r="F30" s="41">
        <f t="shared" si="5"/>
        <v>-9.3761367900890846</v>
      </c>
      <c r="G30" s="41">
        <f t="shared" si="6"/>
        <v>-9.2344536375899011</v>
      </c>
      <c r="H30" s="41">
        <f t="shared" si="7"/>
        <v>-8.3822633474994745</v>
      </c>
      <c r="I30" s="41">
        <f t="shared" si="8"/>
        <v>-8.3112556817521721</v>
      </c>
      <c r="O30" s="110">
        <f t="shared" ref="O30" si="118">IF(AND(D30&lt;&gt;"",D29&lt;&gt;""),(D30-D29)/($B30-$B29),"")</f>
        <v>-1.109470826947912E-2</v>
      </c>
      <c r="P30" s="110">
        <f t="shared" ref="P30" si="119">IF(AND(E30&lt;&gt;"",E29&lt;&gt;""),(E30-E29)/($B30-$B29),"")</f>
        <v>0</v>
      </c>
      <c r="Q30" s="110">
        <f t="shared" ref="Q30" si="120">IF(AND(F30&lt;&gt;"",F29&lt;&gt;""),(F30-F29)/($B30-$B29),"")</f>
        <v>2.1436060403760373E-3</v>
      </c>
      <c r="R30" s="110">
        <f t="shared" ref="R30" si="121">IF(AND(G30&lt;&gt;"",G29&lt;&gt;""),(G30-G29)/($B30-$B29),"")</f>
        <v>-9.5325286170353397E-3</v>
      </c>
      <c r="S30" s="110">
        <f t="shared" ref="S30" si="122">IF(AND(H30&lt;&gt;"",H29&lt;&gt;""),(H30-H29)/($B30-$B29),"")</f>
        <v>1.5352578811675642E-3</v>
      </c>
      <c r="T30" s="110">
        <f t="shared" ref="T30" si="123">IF(AND(I30&lt;&gt;"",I29&lt;&gt;""),(I30-I29)/($B30-$B29),"")</f>
        <v>-1.8927473670254058E-5</v>
      </c>
    </row>
    <row r="31" spans="1:20" ht="16.5" customHeight="1">
      <c r="A31" s="44">
        <f t="shared" si="1"/>
        <v>347</v>
      </c>
      <c r="B31" s="45">
        <f t="shared" si="2"/>
        <v>45671</v>
      </c>
      <c r="C31" s="46">
        <f>'Résultats observations'!D31</f>
        <v>6.41</v>
      </c>
      <c r="D31" s="41">
        <f t="shared" si="3"/>
        <v>-5.1637277646472413</v>
      </c>
      <c r="E31" s="41">
        <f t="shared" si="4"/>
        <v>-0.16260504784426644</v>
      </c>
      <c r="F31" s="41">
        <f t="shared" si="5"/>
        <v>-10.419793455767046</v>
      </c>
      <c r="G31" s="41">
        <f t="shared" si="6"/>
        <v>-11.708429409598153</v>
      </c>
      <c r="H31" s="41">
        <f t="shared" si="7"/>
        <v>-11.095356908983334</v>
      </c>
      <c r="I31" s="41">
        <f t="shared" si="8"/>
        <v>-12.098385771984965</v>
      </c>
      <c r="O31" s="110">
        <f t="shared" ref="O31" si="124">IF(AND(D31&lt;&gt;"",D30&lt;&gt;""),(D31-D30)/($B31-$B30),"")</f>
        <v>-4.0954730435378242E-2</v>
      </c>
      <c r="P31" s="110">
        <f t="shared" ref="P31" si="125">IF(AND(E31&lt;&gt;"",E30&lt;&gt;""),(E31-E30)/($B31-$B30),"")</f>
        <v>-2.0834523105290565E-2</v>
      </c>
      <c r="Q31" s="110">
        <f t="shared" ref="Q31" si="126">IF(AND(F31&lt;&gt;"",F30&lt;&gt;""),(F31-F30)/($B31-$B30),"")</f>
        <v>-1.4909380938256587E-2</v>
      </c>
      <c r="R31" s="110">
        <f t="shared" ref="R31" si="127">IF(AND(G31&lt;&gt;"",G30&lt;&gt;""),(G31-G30)/($B31-$B30),"")</f>
        <v>-3.5342511028689315E-2</v>
      </c>
      <c r="S31" s="110">
        <f t="shared" ref="S31" si="128">IF(AND(H31&lt;&gt;"",H30&lt;&gt;""),(H31-H30)/($B31-$B30),"")</f>
        <v>-3.8758479449769415E-2</v>
      </c>
      <c r="T31" s="110">
        <f t="shared" ref="T31" si="129">IF(AND(I31&lt;&gt;"",I30&lt;&gt;""),(I31-I30)/($B31-$B30),"")</f>
        <v>-5.4101858431897042E-2</v>
      </c>
    </row>
    <row r="32" spans="1:20" ht="16.5" customHeight="1">
      <c r="A32" s="44">
        <f t="shared" si="1"/>
        <v>388</v>
      </c>
      <c r="B32" s="45">
        <f t="shared" si="2"/>
        <v>45712</v>
      </c>
      <c r="C32" s="46">
        <f>'Résultats observations'!D32</f>
        <v>6.41</v>
      </c>
      <c r="D32" s="41">
        <f t="shared" si="3"/>
        <v>-5.0286971250708135</v>
      </c>
      <c r="E32" s="41">
        <f t="shared" si="4"/>
        <v>-0.27482086104724246</v>
      </c>
      <c r="F32" s="41">
        <f t="shared" si="5"/>
        <v>-9.7180005803276792</v>
      </c>
      <c r="G32" s="41">
        <f t="shared" si="6"/>
        <v>-10.949832111083246</v>
      </c>
      <c r="H32" s="41">
        <f t="shared" si="7"/>
        <v>-10.644048571512243</v>
      </c>
      <c r="I32" s="41">
        <f t="shared" si="8"/>
        <v>-11.456653962357954</v>
      </c>
      <c r="O32" s="110">
        <f t="shared" ref="O32" si="130">IF(AND(D32&lt;&gt;"",D31&lt;&gt;""),(D32-D31)/($B32-$B31),"")</f>
        <v>3.29343023357141E-3</v>
      </c>
      <c r="P32" s="110">
        <f t="shared" ref="P32" si="131">IF(AND(E32&lt;&gt;"",E31&lt;&gt;""),(E32-E31)/($B32-$B31),"")</f>
        <v>-2.7369710537311224E-3</v>
      </c>
      <c r="Q32" s="110">
        <f t="shared" ref="Q32" si="132">IF(AND(F32&lt;&gt;"",F31&lt;&gt;""),(F32-F31)/($B32-$B31),"")</f>
        <v>1.7116899400960159E-2</v>
      </c>
      <c r="R32" s="110">
        <f t="shared" ref="R32" si="133">IF(AND(G32&lt;&gt;"",G31&lt;&gt;""),(G32-G31)/($B32-$B31),"")</f>
        <v>1.8502373134509927E-2</v>
      </c>
      <c r="S32" s="110">
        <f t="shared" ref="S32" si="134">IF(AND(H32&lt;&gt;"",H31&lt;&gt;""),(H32-H31)/($B32-$B31),"")</f>
        <v>1.1007520426124151E-2</v>
      </c>
      <c r="T32" s="110">
        <f t="shared" ref="T32" si="135">IF(AND(I32&lt;&gt;"",I31&lt;&gt;""),(I32-I31)/($B32-$B31),"")</f>
        <v>1.5651995356756362E-2</v>
      </c>
    </row>
    <row r="33" spans="1:20" ht="16.5" customHeight="1">
      <c r="A33" s="44">
        <f t="shared" si="1"/>
        <v>398</v>
      </c>
      <c r="B33" s="45">
        <f t="shared" si="2"/>
        <v>45722</v>
      </c>
      <c r="C33" s="46">
        <f>'Résultats observations'!D33</f>
        <v>7.91</v>
      </c>
      <c r="D33" s="41">
        <f t="shared" si="3"/>
        <v>-5.7972657169775843</v>
      </c>
      <c r="E33" s="41"/>
      <c r="F33" s="41"/>
      <c r="G33" s="41">
        <f t="shared" si="6"/>
        <v>-11.794167233700747</v>
      </c>
      <c r="H33" s="41"/>
      <c r="I33" s="41">
        <f t="shared" si="8"/>
        <v>-12.226253763563122</v>
      </c>
      <c r="O33" s="110">
        <f t="shared" ref="O33" si="136">IF(AND(D33&lt;&gt;"",D32&lt;&gt;""),(D33-D32)/($B33-$B32),"")</f>
        <v>-7.6856859190677085E-2</v>
      </c>
      <c r="P33" s="110" t="str">
        <f t="shared" ref="P33" si="137">IF(AND(E33&lt;&gt;"",E32&lt;&gt;""),(E33-E32)/($B33-$B32),"")</f>
        <v/>
      </c>
      <c r="Q33" s="110" t="str">
        <f t="shared" ref="Q33" si="138">IF(AND(F33&lt;&gt;"",F32&lt;&gt;""),(F33-F32)/($B33-$B32),"")</f>
        <v/>
      </c>
      <c r="R33" s="110">
        <f t="shared" ref="R33" si="139">IF(AND(G33&lt;&gt;"",G32&lt;&gt;""),(G33-G32)/($B33-$B32),"")</f>
        <v>-8.443351226175011E-2</v>
      </c>
      <c r="S33" s="110" t="str">
        <f t="shared" ref="S33" si="140">IF(AND(H33&lt;&gt;"",H32&lt;&gt;""),(H33-H32)/($B33-$B32),"")</f>
        <v/>
      </c>
      <c r="T33" s="110">
        <f t="shared" ref="T33" si="141">IF(AND(I33&lt;&gt;"",I32&lt;&gt;""),(I33-I32)/($B33-$B32),"")</f>
        <v>-7.6959980120516747E-2</v>
      </c>
    </row>
    <row r="34" spans="1:20" ht="16.5" customHeight="1">
      <c r="A34" s="44">
        <f t="shared" si="1"/>
        <v>402</v>
      </c>
      <c r="B34" s="45">
        <f t="shared" si="2"/>
        <v>45726</v>
      </c>
      <c r="C34" s="46">
        <f>'Résultats observations'!D34</f>
        <v>7.91</v>
      </c>
      <c r="D34" s="41">
        <f t="shared" si="3"/>
        <v>-6.081245872671559</v>
      </c>
      <c r="E34" s="41">
        <f t="shared" si="4"/>
        <v>-0.67918941105027386</v>
      </c>
      <c r="F34" s="41"/>
      <c r="G34" s="41">
        <f t="shared" si="6"/>
        <v>-12.009241220713562</v>
      </c>
      <c r="H34" s="41"/>
      <c r="I34" s="41">
        <f t="shared" si="8"/>
        <v>-12.939431810383262</v>
      </c>
      <c r="O34" s="110">
        <f t="shared" ref="O34" si="142">IF(AND(D34&lt;&gt;"",D33&lt;&gt;""),(D34-D33)/($B34-$B33),"")</f>
        <v>-7.0995038923493681E-2</v>
      </c>
      <c r="P34" s="110" t="str">
        <f t="shared" ref="P34" si="143">IF(AND(E34&lt;&gt;"",E33&lt;&gt;""),(E34-E33)/($B34-$B33),"")</f>
        <v/>
      </c>
      <c r="Q34" s="110" t="str">
        <f t="shared" ref="Q34" si="144">IF(AND(F34&lt;&gt;"",F33&lt;&gt;""),(F34-F33)/($B34-$B33),"")</f>
        <v/>
      </c>
      <c r="R34" s="110">
        <f t="shared" ref="R34" si="145">IF(AND(G34&lt;&gt;"",G33&lt;&gt;""),(G34-G33)/($B34-$B33),"")</f>
        <v>-5.3768496753203721E-2</v>
      </c>
      <c r="S34" s="110" t="str">
        <f t="shared" ref="S34" si="146">IF(AND(H34&lt;&gt;"",H33&lt;&gt;""),(H34-H33)/($B34-$B33),"")</f>
        <v/>
      </c>
      <c r="T34" s="110">
        <f t="shared" ref="T34" si="147">IF(AND(I34&lt;&gt;"",I33&lt;&gt;""),(I34-I33)/($B34-$B33),"")</f>
        <v>-0.17829451170503496</v>
      </c>
    </row>
    <row r="35" spans="1:20" ht="16.5" customHeight="1">
      <c r="A35" s="44">
        <f t="shared" si="1"/>
        <v>406</v>
      </c>
      <c r="B35" s="45">
        <f t="shared" si="2"/>
        <v>45730</v>
      </c>
      <c r="C35" s="46">
        <f>'Résultats observations'!D35</f>
        <v>9.11</v>
      </c>
      <c r="D35" s="41">
        <f t="shared" si="3"/>
        <v>-6.0477644521208518</v>
      </c>
      <c r="E35" s="41">
        <f t="shared" si="4"/>
        <v>-1.2640127871694773</v>
      </c>
      <c r="F35" s="41"/>
      <c r="G35" s="41">
        <f t="shared" si="6"/>
        <v>-11.91441310636332</v>
      </c>
      <c r="H35" s="41"/>
      <c r="I35" s="41">
        <f t="shared" si="8"/>
        <v>-12.901069762094153</v>
      </c>
      <c r="O35" s="110">
        <f t="shared" ref="O35" si="148">IF(AND(D35&lt;&gt;"",D34&lt;&gt;""),(D35-D34)/($B35-$B34),"")</f>
        <v>8.3703551376768104E-3</v>
      </c>
      <c r="P35" s="110">
        <f t="shared" ref="P35" si="149">IF(AND(E35&lt;&gt;"",E34&lt;&gt;""),(E35-E34)/($B35-$B34),"")</f>
        <v>-0.14620584402980086</v>
      </c>
      <c r="Q35" s="110" t="str">
        <f t="shared" ref="Q35" si="150">IF(AND(F35&lt;&gt;"",F34&lt;&gt;""),(F35-F34)/($B35-$B34),"")</f>
        <v/>
      </c>
      <c r="R35" s="110">
        <f t="shared" ref="R35" si="151">IF(AND(G35&lt;&gt;"",G34&lt;&gt;""),(G35-G34)/($B35-$B34),"")</f>
        <v>2.3707028587560686E-2</v>
      </c>
      <c r="S35" s="110" t="str">
        <f t="shared" ref="S35" si="152">IF(AND(H35&lt;&gt;"",H34&lt;&gt;""),(H35-H34)/($B35-$B34),"")</f>
        <v/>
      </c>
      <c r="T35" s="110">
        <f t="shared" ref="T35" si="153">IF(AND(I35&lt;&gt;"",I34&lt;&gt;""),(I35-I34)/($B35-$B34),"")</f>
        <v>9.5905120722772352E-3</v>
      </c>
    </row>
    <row r="36" spans="1:20" ht="16.5" customHeight="1">
      <c r="A36" s="44">
        <f t="shared" si="1"/>
        <v>412</v>
      </c>
      <c r="B36" s="45">
        <f t="shared" si="2"/>
        <v>45736</v>
      </c>
      <c r="C36" s="46">
        <f>'Résultats observations'!D36</f>
        <v>9.11</v>
      </c>
      <c r="D36" s="41">
        <f t="shared" si="3"/>
        <v>-6.647498544621655</v>
      </c>
      <c r="E36" s="41">
        <f t="shared" si="4"/>
        <v>-1.5244458468863797</v>
      </c>
      <c r="F36" s="41"/>
      <c r="G36" s="41">
        <f t="shared" si="6"/>
        <v>-12.505325485924423</v>
      </c>
      <c r="H36" s="41"/>
      <c r="I36" s="41">
        <f t="shared" si="8"/>
        <v>-13.535432216134069</v>
      </c>
      <c r="O36" s="110">
        <f t="shared" ref="O36" si="154">IF(AND(D36&lt;&gt;"",D35&lt;&gt;""),(D36-D35)/($B36-$B35),"")</f>
        <v>-9.9955682083467209E-2</v>
      </c>
      <c r="P36" s="110">
        <f t="shared" ref="P36" si="155">IF(AND(E36&lt;&gt;"",E35&lt;&gt;""),(E36-E35)/($B36-$B35),"")</f>
        <v>-4.3405509952817077E-2</v>
      </c>
      <c r="Q36" s="110" t="str">
        <f t="shared" ref="Q36" si="156">IF(AND(F36&lt;&gt;"",F35&lt;&gt;""),(F36-F35)/($B36-$B35),"")</f>
        <v/>
      </c>
      <c r="R36" s="110">
        <f t="shared" ref="R36" si="157">IF(AND(G36&lt;&gt;"",G35&lt;&gt;""),(G36-G35)/($B36-$B35),"")</f>
        <v>-9.8485396593517294E-2</v>
      </c>
      <c r="S36" s="110" t="str">
        <f t="shared" ref="S36" si="158">IF(AND(H36&lt;&gt;"",H35&lt;&gt;""),(H36-H35)/($B36-$B35),"")</f>
        <v/>
      </c>
      <c r="T36" s="110">
        <f t="shared" ref="T36" si="159">IF(AND(I36&lt;&gt;"",I35&lt;&gt;""),(I36-I35)/($B36-$B35),"")</f>
        <v>-0.10572707567331936</v>
      </c>
    </row>
    <row r="37" spans="1:20" ht="16.5" customHeight="1">
      <c r="A37" s="44">
        <f t="shared" si="1"/>
        <v>420</v>
      </c>
      <c r="B37" s="45">
        <f t="shared" si="2"/>
        <v>45744</v>
      </c>
      <c r="C37" s="46">
        <f>'Résultats observations'!D37</f>
        <v>10.71</v>
      </c>
      <c r="D37" s="41">
        <f t="shared" si="3"/>
        <v>-9.6512029498976304</v>
      </c>
      <c r="E37" s="41">
        <f t="shared" si="4"/>
        <v>-4.6253578328121492</v>
      </c>
      <c r="F37" s="41"/>
      <c r="G37" s="41">
        <f t="shared" si="6"/>
        <v>-12.403344444091857</v>
      </c>
      <c r="H37" s="41"/>
      <c r="I37" s="41">
        <f t="shared" si="8"/>
        <v>-13.934619243910262</v>
      </c>
      <c r="O37" s="110">
        <f t="shared" ref="O37" si="160">IF(AND(D37&lt;&gt;"",D36&lt;&gt;""),(D37-D36)/($B37-$B36),"")</f>
        <v>-0.37546305065949692</v>
      </c>
      <c r="P37" s="110">
        <f t="shared" ref="P37" si="161">IF(AND(E37&lt;&gt;"",E36&lt;&gt;""),(E37-E36)/($B37-$B36),"")</f>
        <v>-0.38761399824072118</v>
      </c>
      <c r="Q37" s="110" t="str">
        <f t="shared" ref="Q37" si="162">IF(AND(F37&lt;&gt;"",F36&lt;&gt;""),(F37-F36)/($B37-$B36),"")</f>
        <v/>
      </c>
      <c r="R37" s="110">
        <f t="shared" ref="R37" si="163">IF(AND(G37&lt;&gt;"",G36&lt;&gt;""),(G37-G36)/($B37-$B36),"")</f>
        <v>1.2747630229070772E-2</v>
      </c>
      <c r="S37" s="110" t="str">
        <f t="shared" ref="S37" si="164">IF(AND(H37&lt;&gt;"",H36&lt;&gt;""),(H37-H36)/($B37-$B36),"")</f>
        <v/>
      </c>
      <c r="T37" s="110">
        <f t="shared" ref="T37" si="165">IF(AND(I37&lt;&gt;"",I36&lt;&gt;""),(I37-I36)/($B37-$B36),"")</f>
        <v>-4.9898378472024163E-2</v>
      </c>
    </row>
    <row r="38" spans="1:20" ht="16.5" customHeight="1">
      <c r="A38" s="44">
        <f t="shared" si="1"/>
        <v>424</v>
      </c>
      <c r="B38" s="45">
        <f t="shared" si="2"/>
        <v>45748</v>
      </c>
      <c r="C38" s="46">
        <f>'Résultats observations'!D38</f>
        <v>10.71</v>
      </c>
      <c r="D38" s="41">
        <f t="shared" si="3"/>
        <v>-12.820670753272978</v>
      </c>
      <c r="E38" s="41">
        <f t="shared" si="4"/>
        <v>-7.9850498162974404</v>
      </c>
      <c r="F38" s="41"/>
      <c r="G38" s="41">
        <f t="shared" si="6"/>
        <v>-12.363001570567356</v>
      </c>
      <c r="H38" s="41"/>
      <c r="I38" s="41">
        <f t="shared" si="8"/>
        <v>-15.487591978330606</v>
      </c>
      <c r="O38" s="110">
        <f t="shared" ref="O38" si="166">IF(AND(D38&lt;&gt;"",D37&lt;&gt;""),(D38-D37)/($B38-$B37),"")</f>
        <v>-0.7923669508438369</v>
      </c>
      <c r="P38" s="110">
        <f t="shared" ref="P38" si="167">IF(AND(E38&lt;&gt;"",E37&lt;&gt;""),(E38-E37)/($B38-$B37),"")</f>
        <v>-0.8399229958713228</v>
      </c>
      <c r="Q38" s="110" t="str">
        <f t="shared" ref="Q38" si="168">IF(AND(F38&lt;&gt;"",F37&lt;&gt;""),(F38-F37)/($B38-$B37),"")</f>
        <v/>
      </c>
      <c r="R38" s="110">
        <f t="shared" ref="R38" si="169">IF(AND(G38&lt;&gt;"",G37&lt;&gt;""),(G38-G37)/($B38-$B37),"")</f>
        <v>1.0085718381125375E-2</v>
      </c>
      <c r="S38" s="110" t="str">
        <f t="shared" ref="S38" si="170">IF(AND(H38&lt;&gt;"",H37&lt;&gt;""),(H38-H37)/($B38-$B37),"")</f>
        <v/>
      </c>
      <c r="T38" s="110">
        <f t="shared" ref="T38" si="171">IF(AND(I38&lt;&gt;"",I37&lt;&gt;""),(I38-I37)/($B38-$B37),"")</f>
        <v>-0.38824318360508592</v>
      </c>
    </row>
    <row r="39" spans="1:20" ht="16.5" customHeight="1">
      <c r="A39" s="44">
        <f t="shared" si="1"/>
        <v>427</v>
      </c>
      <c r="B39" s="45">
        <f t="shared" si="2"/>
        <v>45751</v>
      </c>
      <c r="C39" s="46">
        <f>'Résultats observations'!D39</f>
        <v>12.36</v>
      </c>
      <c r="D39" s="41">
        <f t="shared" si="3"/>
        <v>-15.15049832497084</v>
      </c>
      <c r="E39" s="41">
        <f t="shared" si="4"/>
        <v>-11.240067614308291</v>
      </c>
      <c r="F39" s="41"/>
      <c r="G39" s="41">
        <f t="shared" si="6"/>
        <v>-11.286580172634508</v>
      </c>
      <c r="H39" s="41"/>
      <c r="I39" s="41">
        <f t="shared" si="8"/>
        <v>-15.656916914288388</v>
      </c>
      <c r="O39" s="110">
        <f t="shared" ref="O39" si="172">IF(AND(D39&lt;&gt;"",D38&lt;&gt;""),(D39-D38)/($B39-$B38),"")</f>
        <v>-0.77660919056595412</v>
      </c>
      <c r="P39" s="110">
        <f t="shared" ref="P39" si="173">IF(AND(E39&lt;&gt;"",E38&lt;&gt;""),(E39-E38)/($B39-$B38),"")</f>
        <v>-1.0850059326702837</v>
      </c>
      <c r="Q39" s="110" t="str">
        <f t="shared" ref="Q39" si="174">IF(AND(F39&lt;&gt;"",F38&lt;&gt;""),(F39-F38)/($B39-$B38),"")</f>
        <v/>
      </c>
      <c r="R39" s="110">
        <f t="shared" ref="R39" si="175">IF(AND(G39&lt;&gt;"",G38&lt;&gt;""),(G39-G38)/($B39-$B38),"")</f>
        <v>0.35880713264428249</v>
      </c>
      <c r="S39" s="110" t="str">
        <f t="shared" ref="S39" si="176">IF(AND(H39&lt;&gt;"",H38&lt;&gt;""),(H39-H38)/($B39-$B38),"")</f>
        <v/>
      </c>
      <c r="T39" s="110">
        <f t="shared" ref="T39" si="177">IF(AND(I39&lt;&gt;"",I38&lt;&gt;""),(I39-I38)/($B39-$B38),"")</f>
        <v>-5.6441645319260658E-2</v>
      </c>
    </row>
    <row r="40" spans="1:20" ht="16.5" customHeight="1">
      <c r="A40" s="44">
        <f t="shared" si="1"/>
        <v>430</v>
      </c>
      <c r="B40" s="45">
        <f t="shared" si="2"/>
        <v>45754</v>
      </c>
      <c r="C40" s="46">
        <f>'Résultats observations'!D40</f>
        <v>13.21</v>
      </c>
      <c r="D40" s="41">
        <f t="shared" si="3"/>
        <v>-16.726192940041074</v>
      </c>
      <c r="E40" s="41">
        <f t="shared" si="4"/>
        <v>-12.592681250370497</v>
      </c>
      <c r="F40" s="41"/>
      <c r="G40" s="41">
        <f t="shared" si="6"/>
        <v>-11.326587948942368</v>
      </c>
      <c r="H40" s="41"/>
      <c r="I40" s="41">
        <f t="shared" si="8"/>
        <v>-16.602089568467093</v>
      </c>
      <c r="O40" s="110">
        <f t="shared" ref="O40" si="178">IF(AND(D40&lt;&gt;"",D39&lt;&gt;""),(D40-D39)/($B40-$B39),"")</f>
        <v>-0.52523153835674441</v>
      </c>
      <c r="P40" s="110">
        <f t="shared" ref="P40" si="179">IF(AND(E40&lt;&gt;"",E39&lt;&gt;""),(E40-E39)/($B40-$B39),"")</f>
        <v>-0.45087121202073516</v>
      </c>
      <c r="Q40" s="110" t="str">
        <f t="shared" ref="Q40" si="180">IF(AND(F40&lt;&gt;"",F39&lt;&gt;""),(F40-F39)/($B40-$B39),"")</f>
        <v/>
      </c>
      <c r="R40" s="110">
        <f t="shared" ref="R40" si="181">IF(AND(G40&lt;&gt;"",G39&lt;&gt;""),(G40-G39)/($B40-$B39),"")</f>
        <v>-1.33359254359533E-2</v>
      </c>
      <c r="S40" s="110" t="str">
        <f t="shared" ref="S40" si="182">IF(AND(H40&lt;&gt;"",H39&lt;&gt;""),(H40-H39)/($B40-$B39),"")</f>
        <v/>
      </c>
      <c r="T40" s="110">
        <f t="shared" ref="T40" si="183">IF(AND(I40&lt;&gt;"",I39&lt;&gt;""),(I40-I39)/($B40-$B39),"")</f>
        <v>-0.31505755139290176</v>
      </c>
    </row>
    <row r="41" spans="1:20" ht="16.5" customHeight="1">
      <c r="A41" s="44">
        <f t="shared" si="1"/>
        <v>432</v>
      </c>
      <c r="B41" s="45">
        <f t="shared" si="2"/>
        <v>45756</v>
      </c>
      <c r="C41" s="46">
        <f>'Résultats observations'!D41</f>
        <v>14.34</v>
      </c>
      <c r="D41" s="41">
        <f t="shared" si="3"/>
        <v>-17.99453060358136</v>
      </c>
      <c r="E41" s="41"/>
      <c r="F41" s="41"/>
      <c r="G41" s="41">
        <f t="shared" si="6"/>
        <v>-11.3794756835226</v>
      </c>
      <c r="H41" s="41"/>
      <c r="I41" s="41">
        <f t="shared" si="8"/>
        <v>-16.917174468589202</v>
      </c>
      <c r="O41" s="110">
        <f t="shared" ref="O41" si="184">IF(AND(D41&lt;&gt;"",D40&lt;&gt;""),(D41-D40)/($B41-$B40),"")</f>
        <v>-0.63416883177014327</v>
      </c>
      <c r="P41" s="110" t="str">
        <f t="shared" ref="P41" si="185">IF(AND(E41&lt;&gt;"",E40&lt;&gt;""),(E41-E40)/($B41-$B40),"")</f>
        <v/>
      </c>
      <c r="Q41" s="110" t="str">
        <f t="shared" ref="Q41" si="186">IF(AND(F41&lt;&gt;"",F40&lt;&gt;""),(F41-F40)/($B41-$B40),"")</f>
        <v/>
      </c>
      <c r="R41" s="110">
        <f t="shared" ref="R41" si="187">IF(AND(G41&lt;&gt;"",G40&lt;&gt;""),(G41-G40)/($B41-$B40),"")</f>
        <v>-2.6443867290115719E-2</v>
      </c>
      <c r="S41" s="110" t="str">
        <f t="shared" ref="S41" si="188">IF(AND(H41&lt;&gt;"",H40&lt;&gt;""),(H41-H40)/($B41-$B40),"")</f>
        <v/>
      </c>
      <c r="T41" s="110">
        <f t="shared" ref="T41" si="189">IF(AND(I41&lt;&gt;"",I40&lt;&gt;""),(I41-I40)/($B41-$B40),"")</f>
        <v>-0.1575424500610545</v>
      </c>
    </row>
    <row r="42" spans="1:20" ht="16.5" customHeight="1">
      <c r="A42" s="44">
        <f t="shared" si="1"/>
        <v>438</v>
      </c>
      <c r="B42" s="45">
        <f t="shared" si="2"/>
        <v>45762</v>
      </c>
      <c r="C42" s="46">
        <f>'Résultats observations'!D42</f>
        <v>14.34</v>
      </c>
      <c r="D42" s="41">
        <f t="shared" si="3"/>
        <v>-18.85512368427289</v>
      </c>
      <c r="E42" s="41">
        <f t="shared" si="4"/>
        <v>-15.311337742978992</v>
      </c>
      <c r="F42" s="41"/>
      <c r="G42" s="41">
        <f t="shared" si="6"/>
        <v>-10.408749208841606</v>
      </c>
      <c r="H42" s="41"/>
      <c r="I42" s="41">
        <f t="shared" si="8"/>
        <v>-16.554197287606875</v>
      </c>
      <c r="O42" s="110">
        <f t="shared" ref="O42" si="190">IF(AND(D42&lt;&gt;"",D41&lt;&gt;""),(D42-D41)/($B42-$B41),"")</f>
        <v>-0.14343218011525494</v>
      </c>
      <c r="P42" s="110" t="str">
        <f t="shared" ref="P42" si="191">IF(AND(E42&lt;&gt;"",E41&lt;&gt;""),(E42-E41)/($B42-$B41),"")</f>
        <v/>
      </c>
      <c r="Q42" s="110" t="str">
        <f t="shared" ref="Q42" si="192">IF(AND(F42&lt;&gt;"",F41&lt;&gt;""),(F42-F41)/($B42-$B41),"")</f>
        <v/>
      </c>
      <c r="R42" s="110">
        <f t="shared" ref="R42" si="193">IF(AND(G42&lt;&gt;"",G41&lt;&gt;""),(G42-G41)/($B42-$B41),"")</f>
        <v>0.16178774578016566</v>
      </c>
      <c r="S42" s="110" t="str">
        <f t="shared" ref="S42" si="194">IF(AND(H42&lt;&gt;"",H41&lt;&gt;""),(H42-H41)/($B42-$B41),"")</f>
        <v/>
      </c>
      <c r="T42" s="110">
        <f t="shared" ref="T42" si="195">IF(AND(I42&lt;&gt;"",I41&lt;&gt;""),(I42-I41)/($B42-$B41),"")</f>
        <v>6.0496196830387795E-2</v>
      </c>
    </row>
    <row r="43" spans="1:20" ht="16.5" customHeight="1">
      <c r="A43" s="44">
        <f t="shared" si="1"/>
        <v>445</v>
      </c>
      <c r="B43" s="45">
        <f t="shared" si="2"/>
        <v>45769</v>
      </c>
      <c r="C43" s="46">
        <f>'Résultats observations'!D43</f>
        <v>14.34</v>
      </c>
      <c r="D43" s="41">
        <f t="shared" si="3"/>
        <v>-22.788453692509592</v>
      </c>
      <c r="E43" s="41">
        <f t="shared" si="4"/>
        <v>-19.536754565204095</v>
      </c>
      <c r="F43" s="41"/>
      <c r="G43" s="41">
        <f t="shared" si="6"/>
        <v>-9.6116177385550117</v>
      </c>
      <c r="H43" s="41"/>
      <c r="I43" s="41">
        <f t="shared" si="8"/>
        <v>-17.873000315874243</v>
      </c>
      <c r="O43" s="110">
        <f t="shared" ref="O43" si="196">IF(AND(D43&lt;&gt;"",D42&lt;&gt;""),(D43-D42)/($B43-$B42),"")</f>
        <v>-0.56190428689095739</v>
      </c>
      <c r="P43" s="110">
        <f t="shared" ref="P43" si="197">IF(AND(E43&lt;&gt;"",E42&lt;&gt;""),(E43-E42)/($B43-$B42),"")</f>
        <v>-0.60363097460358617</v>
      </c>
      <c r="Q43" s="110" t="str">
        <f t="shared" ref="Q43" si="198">IF(AND(F43&lt;&gt;"",F42&lt;&gt;""),(F43-F42)/($B43-$B42),"")</f>
        <v/>
      </c>
      <c r="R43" s="110">
        <f t="shared" ref="R43" si="199">IF(AND(G43&lt;&gt;"",G42&lt;&gt;""),(G43-G42)/($B43-$B42),"")</f>
        <v>0.11387592432665627</v>
      </c>
      <c r="S43" s="110" t="str">
        <f t="shared" ref="S43" si="200">IF(AND(H43&lt;&gt;"",H42&lt;&gt;""),(H43-H42)/($B43-$B42),"")</f>
        <v/>
      </c>
      <c r="T43" s="110">
        <f t="shared" ref="T43" si="201">IF(AND(I43&lt;&gt;"",I42&lt;&gt;""),(I43-I42)/($B43-$B42),"")</f>
        <v>-0.188400432609624</v>
      </c>
    </row>
    <row r="44" spans="1:20" ht="16.5" customHeight="1">
      <c r="A44" s="44">
        <f t="shared" si="1"/>
        <v>448</v>
      </c>
      <c r="B44" s="45">
        <f t="shared" si="2"/>
        <v>45772</v>
      </c>
      <c r="C44" s="46">
        <f>'Résultats observations'!D44</f>
        <v>15.91</v>
      </c>
      <c r="D44" s="41">
        <f t="shared" si="3"/>
        <v>-23.013969407668533</v>
      </c>
      <c r="E44" s="41">
        <f t="shared" si="4"/>
        <v>-20.115360337892962</v>
      </c>
      <c r="F44" s="41"/>
      <c r="G44" s="41">
        <f t="shared" si="6"/>
        <v>-9.4562102438420226</v>
      </c>
      <c r="H44" s="41"/>
      <c r="I44" s="41">
        <f t="shared" si="8"/>
        <v>-17.591987776221174</v>
      </c>
      <c r="O44" s="110">
        <f t="shared" ref="O44" si="202">IF(AND(D44&lt;&gt;"",D43&lt;&gt;""),(D44-D43)/($B44-$B43),"")</f>
        <v>-7.5171905052980506E-2</v>
      </c>
      <c r="P44" s="110">
        <f t="shared" ref="P44" si="203">IF(AND(E44&lt;&gt;"",E43&lt;&gt;""),(E44-E43)/($B44-$B43),"")</f>
        <v>-0.19286859089628905</v>
      </c>
      <c r="Q44" s="110" t="str">
        <f t="shared" ref="Q44" si="204">IF(AND(F44&lt;&gt;"",F43&lt;&gt;""),(F44-F43)/($B44-$B43),"")</f>
        <v/>
      </c>
      <c r="R44" s="110">
        <f t="shared" ref="R44" si="205">IF(AND(G44&lt;&gt;"",G43&lt;&gt;""),(G44-G43)/($B44-$B43),"")</f>
        <v>5.1802498237663031E-2</v>
      </c>
      <c r="S44" s="110" t="str">
        <f t="shared" ref="S44" si="206">IF(AND(H44&lt;&gt;"",H43&lt;&gt;""),(H44-H43)/($B44-$B43),"")</f>
        <v/>
      </c>
      <c r="T44" s="110">
        <f t="shared" ref="T44" si="207">IF(AND(I44&lt;&gt;"",I43&lt;&gt;""),(I44-I43)/($B44-$B43),"")</f>
        <v>9.3670846551023132E-2</v>
      </c>
    </row>
    <row r="45" spans="1:20" ht="16.5" customHeight="1">
      <c r="A45" s="44">
        <f t="shared" si="1"/>
        <v>451</v>
      </c>
      <c r="B45" s="45">
        <f t="shared" si="2"/>
        <v>45775</v>
      </c>
      <c r="C45" s="46">
        <f>'Résultats observations'!D45</f>
        <v>15.91</v>
      </c>
      <c r="D45" s="41">
        <f t="shared" si="3"/>
        <v>-23.931447234644132</v>
      </c>
      <c r="E45" s="41">
        <f t="shared" si="4"/>
        <v>-20.911860145848227</v>
      </c>
      <c r="F45" s="41"/>
      <c r="G45" s="41">
        <f t="shared" si="6"/>
        <v>-9.442048482897647</v>
      </c>
      <c r="H45" s="41"/>
      <c r="I45" s="41">
        <f t="shared" si="8"/>
        <v>-17.759167925651909</v>
      </c>
      <c r="O45" s="110">
        <f t="shared" ref="O45" si="208">IF(AND(D45&lt;&gt;"",D44&lt;&gt;""),(D45-D44)/($B45-$B44),"")</f>
        <v>-0.30582594232519966</v>
      </c>
      <c r="P45" s="110">
        <f t="shared" ref="P45" si="209">IF(AND(E45&lt;&gt;"",E44&lt;&gt;""),(E45-E44)/($B45-$B44),"")</f>
        <v>-0.26549993598508809</v>
      </c>
      <c r="Q45" s="110" t="str">
        <f t="shared" ref="Q45" si="210">IF(AND(F45&lt;&gt;"",F44&lt;&gt;""),(F45-F44)/($B45-$B44),"")</f>
        <v/>
      </c>
      <c r="R45" s="110">
        <f t="shared" ref="R45" si="211">IF(AND(G45&lt;&gt;"",G44&lt;&gt;""),(G45-G44)/($B45-$B44),"")</f>
        <v>4.7205869814585339E-3</v>
      </c>
      <c r="S45" s="110" t="str">
        <f t="shared" ref="S45" si="212">IF(AND(H45&lt;&gt;"",H44&lt;&gt;""),(H45-H44)/($B45-$B44),"")</f>
        <v/>
      </c>
      <c r="T45" s="110">
        <f t="shared" ref="T45" si="213">IF(AND(I45&lt;&gt;"",I44&lt;&gt;""),(I45-I44)/($B45-$B44),"")</f>
        <v>-5.572671647691152E-2</v>
      </c>
    </row>
    <row r="46" spans="1:20" ht="16.5" customHeight="1">
      <c r="A46" s="44">
        <f t="shared" si="1"/>
        <v>468</v>
      </c>
      <c r="B46" s="45">
        <f t="shared" si="2"/>
        <v>45792</v>
      </c>
      <c r="C46" s="46">
        <f>'Résultats observations'!D46</f>
        <v>15.91</v>
      </c>
      <c r="D46" s="41">
        <f t="shared" si="3"/>
        <v>-25.935942407284251</v>
      </c>
      <c r="E46" s="41">
        <f t="shared" si="4"/>
        <v>-23.08251196322697</v>
      </c>
      <c r="F46" s="41"/>
      <c r="G46" s="41">
        <f t="shared" si="6"/>
        <v>-9.2851952962087481</v>
      </c>
      <c r="H46" s="41"/>
      <c r="I46" s="41">
        <f t="shared" si="8"/>
        <v>-18.492485741108844</v>
      </c>
      <c r="O46" s="110">
        <f t="shared" ref="O46" si="214">IF(AND(D46&lt;&gt;"",D45&lt;&gt;""),(D46-D45)/($B46-$B45),"")</f>
        <v>-0.11791148074353644</v>
      </c>
      <c r="P46" s="110">
        <f t="shared" ref="P46" si="215">IF(AND(E46&lt;&gt;"",E45&lt;&gt;""),(E46-E45)/($B46-$B45),"")</f>
        <v>-0.12768540102227904</v>
      </c>
      <c r="Q46" s="110" t="str">
        <f t="shared" ref="Q46" si="216">IF(AND(F46&lt;&gt;"",F45&lt;&gt;""),(F46-F45)/($B46-$B45),"")</f>
        <v/>
      </c>
      <c r="R46" s="110">
        <f t="shared" ref="R46" si="217">IF(AND(G46&lt;&gt;"",G45&lt;&gt;""),(G46-G45)/($B46-$B45),"")</f>
        <v>9.2266580405234652E-3</v>
      </c>
      <c r="S46" s="110" t="str">
        <f t="shared" ref="S46" si="218">IF(AND(H46&lt;&gt;"",H45&lt;&gt;""),(H46-H45)/($B46-$B45),"")</f>
        <v/>
      </c>
      <c r="T46" s="110">
        <f t="shared" ref="T46" si="219">IF(AND(I46&lt;&gt;"",I45&lt;&gt;""),(I46-I45)/($B46-$B45),"")</f>
        <v>-4.3136342085702079E-2</v>
      </c>
    </row>
    <row r="47" spans="1:20" ht="16.5" customHeight="1">
      <c r="A47" s="44">
        <f t="shared" si="1"/>
        <v>474</v>
      </c>
      <c r="B47" s="45">
        <f t="shared" si="2"/>
        <v>45798</v>
      </c>
      <c r="C47" s="46">
        <f>'Résultats observations'!D47</f>
        <v>18.11</v>
      </c>
      <c r="D47" s="41">
        <f t="shared" si="3"/>
        <v>-26.978532255611753</v>
      </c>
      <c r="E47" s="41">
        <f t="shared" si="4"/>
        <v>-23.454043441604178</v>
      </c>
      <c r="F47" s="41"/>
      <c r="G47" s="41">
        <f t="shared" si="6"/>
        <v>-9.3140515317058359</v>
      </c>
      <c r="H47" s="41"/>
      <c r="I47" s="41">
        <f t="shared" si="8"/>
        <v>-18.926787460650907</v>
      </c>
      <c r="O47" s="110">
        <f t="shared" ref="O47" si="220">IF(AND(D47&lt;&gt;"",D46&lt;&gt;""),(D47-D46)/($B47-$B46),"")</f>
        <v>-0.17376497472125033</v>
      </c>
      <c r="P47" s="110">
        <f t="shared" ref="P47" si="221">IF(AND(E47&lt;&gt;"",E46&lt;&gt;""),(E47-E46)/($B47-$B46),"")</f>
        <v>-6.1921913062867873E-2</v>
      </c>
      <c r="Q47" s="110" t="str">
        <f t="shared" ref="Q47" si="222">IF(AND(F47&lt;&gt;"",F46&lt;&gt;""),(F47-F46)/($B47-$B46),"")</f>
        <v/>
      </c>
      <c r="R47" s="110">
        <f t="shared" ref="R47" si="223">IF(AND(G47&lt;&gt;"",G46&lt;&gt;""),(G47-G46)/($B47-$B46),"")</f>
        <v>-4.8093725828479705E-3</v>
      </c>
      <c r="S47" s="110" t="str">
        <f t="shared" ref="S47" si="224">IF(AND(H47&lt;&gt;"",H46&lt;&gt;""),(H47-H46)/($B47-$B46),"")</f>
        <v/>
      </c>
      <c r="T47" s="110">
        <f t="shared" ref="T47" si="225">IF(AND(I47&lt;&gt;"",I46&lt;&gt;""),(I47-I46)/($B47-$B46),"")</f>
        <v>-7.2383619923677145E-2</v>
      </c>
    </row>
    <row r="48" spans="1:20" ht="16.5" customHeight="1">
      <c r="A48" s="44">
        <f t="shared" si="1"/>
        <v>479</v>
      </c>
      <c r="B48" s="45">
        <f t="shared" si="2"/>
        <v>45803</v>
      </c>
      <c r="C48" s="46">
        <f>'Résultats observations'!D48</f>
        <v>18.61</v>
      </c>
      <c r="D48" s="41">
        <f t="shared" si="3"/>
        <v>-28.065207321910535</v>
      </c>
      <c r="E48" s="41">
        <f t="shared" si="4"/>
        <v>-25.286435370374782</v>
      </c>
      <c r="F48" s="41"/>
      <c r="G48" s="41">
        <f t="shared" si="6"/>
        <v>-9.5995653708849105</v>
      </c>
      <c r="H48" s="41"/>
      <c r="I48" s="41">
        <f t="shared" si="8"/>
        <v>-19.568629714352248</v>
      </c>
      <c r="O48" s="110">
        <f t="shared" ref="O48" si="226">IF(AND(D48&lt;&gt;"",D47&lt;&gt;""),(D48-D47)/($B48-$B47),"")</f>
        <v>-0.21733501325975624</v>
      </c>
      <c r="P48" s="110">
        <f t="shared" ref="P48" si="227">IF(AND(E48&lt;&gt;"",E47&lt;&gt;""),(E48-E47)/($B48-$B47),"")</f>
        <v>-0.36647838575412095</v>
      </c>
      <c r="Q48" s="110" t="str">
        <f t="shared" ref="Q48" si="228">IF(AND(F48&lt;&gt;"",F47&lt;&gt;""),(F48-F47)/($B48-$B47),"")</f>
        <v/>
      </c>
      <c r="R48" s="110">
        <f t="shared" ref="R48" si="229">IF(AND(G48&lt;&gt;"",G47&lt;&gt;""),(G48-G47)/($B48-$B47),"")</f>
        <v>-5.7102767835814916E-2</v>
      </c>
      <c r="S48" s="110" t="str">
        <f t="shared" ref="S48" si="230">IF(AND(H48&lt;&gt;"",H47&lt;&gt;""),(H48-H47)/($B48-$B47),"")</f>
        <v/>
      </c>
      <c r="T48" s="110">
        <f t="shared" ref="T48" si="231">IF(AND(I48&lt;&gt;"",I47&lt;&gt;""),(I48-I47)/($B48-$B47),"")</f>
        <v>-0.12836845074026826</v>
      </c>
    </row>
    <row r="49" spans="1:20" ht="16.5" customHeight="1">
      <c r="A49" s="44">
        <f t="shared" si="1"/>
        <v>486</v>
      </c>
      <c r="B49" s="45">
        <f t="shared" si="2"/>
        <v>45810</v>
      </c>
      <c r="C49" s="46">
        <f>'Résultats observations'!D49</f>
        <v>19.510000000000002</v>
      </c>
      <c r="D49" s="41">
        <f t="shared" si="3"/>
        <v>-28.675616678678573</v>
      </c>
      <c r="E49" s="41">
        <f t="shared" si="4"/>
        <v>-25.902036649849691</v>
      </c>
      <c r="F49" s="41"/>
      <c r="G49" s="41">
        <f t="shared" si="6"/>
        <v>-9.6037897148280038</v>
      </c>
      <c r="H49" s="41"/>
      <c r="I49" s="41">
        <f t="shared" si="8"/>
        <v>-19.734756919268293</v>
      </c>
      <c r="O49" s="110">
        <f t="shared" ref="O49" si="232">IF(AND(D49&lt;&gt;"",D48&lt;&gt;""),(D49-D48)/($B49-$B48),"")</f>
        <v>-8.7201336681148281E-2</v>
      </c>
      <c r="P49" s="110">
        <f t="shared" ref="P49" si="233">IF(AND(E49&lt;&gt;"",E48&lt;&gt;""),(E49-E48)/($B49-$B48),"")</f>
        <v>-8.7943039924986977E-2</v>
      </c>
      <c r="Q49" s="110" t="str">
        <f t="shared" ref="Q49" si="234">IF(AND(F49&lt;&gt;"",F48&lt;&gt;""),(F49-F48)/($B49-$B48),"")</f>
        <v/>
      </c>
      <c r="R49" s="110">
        <f t="shared" ref="R49" si="235">IF(AND(G49&lt;&gt;"",G48&lt;&gt;""),(G49-G48)/($B49-$B48),"")</f>
        <v>-6.0347770615619216E-4</v>
      </c>
      <c r="S49" s="110" t="str">
        <f t="shared" ref="S49" si="236">IF(AND(H49&lt;&gt;"",H48&lt;&gt;""),(H49-H48)/($B49-$B48),"")</f>
        <v/>
      </c>
      <c r="T49" s="110">
        <f t="shared" ref="T49" si="237">IF(AND(I49&lt;&gt;"",I48&lt;&gt;""),(I49-I48)/($B49-$B48),"")</f>
        <v>-2.3732457845149213E-2</v>
      </c>
    </row>
    <row r="50" spans="1:20" ht="16.5" customHeight="1">
      <c r="A50" s="44">
        <f t="shared" si="1"/>
        <v>494</v>
      </c>
      <c r="B50" s="45">
        <f t="shared" si="2"/>
        <v>45818</v>
      </c>
      <c r="C50" s="46">
        <f>'Résultats observations'!D50</f>
        <v>20.91</v>
      </c>
      <c r="D50" s="41">
        <f t="shared" si="3"/>
        <v>-29.683933519178751</v>
      </c>
      <c r="E50" s="41">
        <f t="shared" si="4"/>
        <v>-26.686110477442515</v>
      </c>
      <c r="F50" s="41"/>
      <c r="G50" s="41">
        <f t="shared" si="6"/>
        <v>-10.798448965614327</v>
      </c>
      <c r="H50" s="41"/>
      <c r="I50" s="41">
        <f t="shared" si="8"/>
        <v>-20.986453449056697</v>
      </c>
      <c r="O50" s="110">
        <f t="shared" ref="O50" si="238">IF(AND(D50&lt;&gt;"",D49&lt;&gt;""),(D50-D49)/($B50-$B49),"")</f>
        <v>-0.12603960506252232</v>
      </c>
      <c r="P50" s="110">
        <f t="shared" ref="P50" si="239">IF(AND(E50&lt;&gt;"",E49&lt;&gt;""),(E50-E49)/($B50-$B49),"")</f>
        <v>-9.8009228449102981E-2</v>
      </c>
      <c r="Q50" s="110" t="str">
        <f t="shared" ref="Q50" si="240">IF(AND(F50&lt;&gt;"",F49&lt;&gt;""),(F50-F49)/($B50-$B49),"")</f>
        <v/>
      </c>
      <c r="R50" s="110">
        <f t="shared" ref="R50" si="241">IF(AND(G50&lt;&gt;"",G49&lt;&gt;""),(G50-G49)/($B50-$B49),"")</f>
        <v>-0.14933240634829037</v>
      </c>
      <c r="S50" s="110" t="str">
        <f t="shared" ref="S50" si="242">IF(AND(H50&lt;&gt;"",H49&lt;&gt;""),(H50-H49)/($B50-$B49),"")</f>
        <v/>
      </c>
      <c r="T50" s="110">
        <f t="shared" ref="T50" si="243">IF(AND(I50&lt;&gt;"",I49&lt;&gt;""),(I50-I49)/($B50-$B49),"")</f>
        <v>-0.15646206622355052</v>
      </c>
    </row>
    <row r="51" spans="1:20" ht="16.5" customHeight="1">
      <c r="A51" s="44">
        <f t="shared" si="1"/>
        <v>500</v>
      </c>
      <c r="B51" s="45">
        <f t="shared" si="2"/>
        <v>45824</v>
      </c>
      <c r="C51" s="46">
        <f>'Résultats observations'!D51</f>
        <v>21.71</v>
      </c>
      <c r="D51" s="41">
        <f t="shared" si="3"/>
        <v>-29.728943959215215</v>
      </c>
      <c r="E51" s="41">
        <f t="shared" si="4"/>
        <v>-26.602145097386121</v>
      </c>
      <c r="F51" s="41"/>
      <c r="G51" s="41">
        <f t="shared" si="6"/>
        <v>-10.462985177452921</v>
      </c>
      <c r="H51" s="41"/>
      <c r="I51" s="41">
        <f t="shared" si="8"/>
        <v>-20.673532599245092</v>
      </c>
      <c r="O51" s="110">
        <f t="shared" ref="O51" si="244">IF(AND(D51&lt;&gt;"",D50&lt;&gt;""),(D51-D50)/($B51-$B50),"")</f>
        <v>-7.5017400060772843E-3</v>
      </c>
      <c r="P51" s="110">
        <f t="shared" ref="P51" si="245">IF(AND(E51&lt;&gt;"",E50&lt;&gt;""),(E51-E50)/($B51-$B50),"")</f>
        <v>1.399423000939907E-2</v>
      </c>
      <c r="Q51" s="110" t="str">
        <f t="shared" ref="Q51" si="246">IF(AND(F51&lt;&gt;"",F50&lt;&gt;""),(F51-F50)/($B51-$B50),"")</f>
        <v/>
      </c>
      <c r="R51" s="110">
        <f t="shared" ref="R51" si="247">IF(AND(G51&lt;&gt;"",G50&lt;&gt;""),(G51-G50)/($B51-$B50),"")</f>
        <v>5.591063136023422E-2</v>
      </c>
      <c r="S51" s="110" t="str">
        <f t="shared" ref="S51" si="248">IF(AND(H51&lt;&gt;"",H50&lt;&gt;""),(H51-H50)/($B51-$B50),"")</f>
        <v/>
      </c>
      <c r="T51" s="110">
        <f t="shared" ref="T51" si="249">IF(AND(I51&lt;&gt;"",I50&lt;&gt;""),(I51-I50)/($B51-$B50),"")</f>
        <v>5.2153474968600712E-2</v>
      </c>
    </row>
    <row r="52" spans="1:20" ht="16.5" customHeight="1">
      <c r="A52" s="44">
        <f t="shared" si="1"/>
        <v>507</v>
      </c>
      <c r="B52" s="45">
        <f t="shared" si="2"/>
        <v>45831</v>
      </c>
      <c r="C52" s="46">
        <f>'Résultats observations'!D52</f>
        <v>23.01</v>
      </c>
      <c r="D52" s="41">
        <f t="shared" si="3"/>
        <v>-31.042411584015106</v>
      </c>
      <c r="E52" s="41">
        <f t="shared" si="4"/>
        <v>-27.966081270908827</v>
      </c>
      <c r="F52" s="41"/>
      <c r="G52" s="41">
        <f t="shared" si="6"/>
        <v>-10.826934921047915</v>
      </c>
      <c r="H52" s="41"/>
      <c r="I52" s="41">
        <f t="shared" si="8"/>
        <v>-21.531451191175499</v>
      </c>
      <c r="O52" s="110">
        <f t="shared" ref="O52" si="250">IF(AND(D52&lt;&gt;"",D51&lt;&gt;""),(D52-D51)/($B52-$B51),"")</f>
        <v>-0.18763823211427016</v>
      </c>
      <c r="P52" s="110">
        <f t="shared" ref="P52" si="251">IF(AND(E52&lt;&gt;"",E51&lt;&gt;""),(E52-E51)/($B52-$B51),"")</f>
        <v>-0.19484802478895805</v>
      </c>
      <c r="Q52" s="110" t="str">
        <f t="shared" ref="Q52" si="252">IF(AND(F52&lt;&gt;"",F51&lt;&gt;""),(F52-F51)/($B52-$B51),"")</f>
        <v/>
      </c>
      <c r="R52" s="110">
        <f t="shared" ref="R52" si="253">IF(AND(G52&lt;&gt;"",G51&lt;&gt;""),(G52-G51)/($B52-$B51),"")</f>
        <v>-5.1992820513570494E-2</v>
      </c>
      <c r="S52" s="110" t="str">
        <f t="shared" ref="S52" si="254">IF(AND(H52&lt;&gt;"",H51&lt;&gt;""),(H52-H51)/($B52-$B51),"")</f>
        <v/>
      </c>
      <c r="T52" s="110">
        <f t="shared" ref="T52" si="255">IF(AND(I52&lt;&gt;"",I51&lt;&gt;""),(I52-I51)/($B52-$B51),"")</f>
        <v>-0.12255979884720095</v>
      </c>
    </row>
    <row r="53" spans="1:20" ht="16.5" customHeight="1">
      <c r="A53" s="44">
        <f t="shared" si="1"/>
        <v>515</v>
      </c>
      <c r="B53" s="45">
        <f t="shared" si="2"/>
        <v>45839</v>
      </c>
      <c r="C53" s="46">
        <f>'Résultats observations'!D53</f>
        <v>24.31</v>
      </c>
      <c r="D53" s="41">
        <f t="shared" si="3"/>
        <v>-31.381747573236751</v>
      </c>
      <c r="E53" s="41">
        <f t="shared" si="4"/>
        <v>-28.840397410013985</v>
      </c>
      <c r="F53" s="41"/>
      <c r="G53" s="41">
        <f t="shared" si="6"/>
        <v>-10.836045351044099</v>
      </c>
      <c r="H53" s="41"/>
      <c r="I53" s="41">
        <f t="shared" si="8"/>
        <v>-21.609154779748785</v>
      </c>
      <c r="O53" s="110">
        <f t="shared" ref="O53" si="256">IF(AND(D53&lt;&gt;"",D52&lt;&gt;""),(D53-D52)/($B53-$B52),"")</f>
        <v>-4.2416998652705651E-2</v>
      </c>
      <c r="P53" s="110">
        <f t="shared" ref="P53" si="257">IF(AND(E53&lt;&gt;"",E52&lt;&gt;""),(E53-E52)/($B53-$B52),"")</f>
        <v>-0.10928951738814474</v>
      </c>
      <c r="Q53" s="110" t="str">
        <f t="shared" ref="Q53" si="258">IF(AND(F53&lt;&gt;"",F52&lt;&gt;""),(F53-F52)/($B53-$B52),"")</f>
        <v/>
      </c>
      <c r="R53" s="110">
        <f t="shared" ref="R53" si="259">IF(AND(G53&lt;&gt;"",G52&lt;&gt;""),(G53-G52)/($B53-$B52),"")</f>
        <v>-1.1388037495230208E-3</v>
      </c>
      <c r="S53" s="110" t="str">
        <f t="shared" ref="S53" si="260">IF(AND(H53&lt;&gt;"",H52&lt;&gt;""),(H53-H52)/($B53-$B52),"")</f>
        <v/>
      </c>
      <c r="T53" s="110">
        <f t="shared" ref="T53" si="261">IF(AND(I53&lt;&gt;"",I52&lt;&gt;""),(I53-I52)/($B53-$B52),"")</f>
        <v>-9.7129485716607178E-3</v>
      </c>
    </row>
    <row r="54" spans="1:20" ht="16.5" customHeight="1">
      <c r="A54" s="44">
        <f t="shared" si="1"/>
        <v>522</v>
      </c>
      <c r="B54" s="45">
        <f t="shared" si="2"/>
        <v>45846</v>
      </c>
      <c r="C54" s="46">
        <f>'Résultats observations'!D54</f>
        <v>24.71</v>
      </c>
      <c r="D54" s="41">
        <f t="shared" si="3"/>
        <v>-32.534930019572528</v>
      </c>
      <c r="E54" s="41">
        <f t="shared" si="4"/>
        <v>-29.071206149116069</v>
      </c>
      <c r="F54" s="41"/>
      <c r="G54" s="41">
        <f t="shared" si="6"/>
        <v>-4.6733133556671191</v>
      </c>
      <c r="H54" s="41"/>
      <c r="I54" s="41">
        <f t="shared" si="8"/>
        <v>-23.001073972350738</v>
      </c>
      <c r="O54" s="110">
        <f t="shared" ref="O54" si="262">IF(AND(D54&lt;&gt;"",D53&lt;&gt;""),(D54-D53)/($B54-$B53),"")</f>
        <v>-0.16474034947653951</v>
      </c>
      <c r="P54" s="110">
        <f t="shared" ref="P54" si="263">IF(AND(E54&lt;&gt;"",E53&lt;&gt;""),(E54-E53)/($B54-$B53),"")</f>
        <v>-3.2972677014583444E-2</v>
      </c>
      <c r="Q54" s="110" t="str">
        <f t="shared" ref="Q54" si="264">IF(AND(F54&lt;&gt;"",F53&lt;&gt;""),(F54-F53)/($B54-$B53),"")</f>
        <v/>
      </c>
      <c r="R54" s="110">
        <f t="shared" ref="R54" si="265">IF(AND(G54&lt;&gt;"",G53&lt;&gt;""),(G54-G53)/($B54-$B53),"")</f>
        <v>0.8803902850538543</v>
      </c>
      <c r="S54" s="110" t="str">
        <f t="shared" ref="S54" si="266">IF(AND(H54&lt;&gt;"",H53&lt;&gt;""),(H54-H53)/($B54-$B53),"")</f>
        <v/>
      </c>
      <c r="T54" s="110">
        <f t="shared" ref="T54" si="267">IF(AND(I54&lt;&gt;"",I53&lt;&gt;""),(I54-I53)/($B54-$B53),"")</f>
        <v>-0.19884559894313622</v>
      </c>
    </row>
    <row r="55" spans="1:20" ht="16.5" customHeight="1">
      <c r="A55" s="44">
        <f t="shared" si="1"/>
        <v>529</v>
      </c>
      <c r="B55" s="45">
        <f t="shared" si="2"/>
        <v>45853</v>
      </c>
      <c r="C55" s="46">
        <f>'Résultats observations'!D55</f>
        <v>26.31</v>
      </c>
      <c r="D55" s="41">
        <f t="shared" si="3"/>
        <v>-32.739410234977839</v>
      </c>
      <c r="E55" s="41">
        <f t="shared" si="4"/>
        <v>-29.257859450069645</v>
      </c>
      <c r="F55" s="41"/>
      <c r="G55" s="41">
        <f t="shared" si="6"/>
        <v>-5.2510574003443722</v>
      </c>
      <c r="H55" s="41"/>
      <c r="I55" s="41">
        <f t="shared" si="8"/>
        <v>-23.176758753898241</v>
      </c>
      <c r="O55" s="110">
        <f t="shared" ref="O55" si="268">IF(AND(D55&lt;&gt;"",D54&lt;&gt;""),(D55-D54)/($B55-$B54),"")</f>
        <v>-2.921145934361594E-2</v>
      </c>
      <c r="P55" s="110">
        <f t="shared" ref="P55" si="269">IF(AND(E55&lt;&gt;"",E54&lt;&gt;""),(E55-E54)/($B55-$B54),"")</f>
        <v>-2.6664757279082352E-2</v>
      </c>
      <c r="Q55" s="110" t="str">
        <f t="shared" ref="Q55" si="270">IF(AND(F55&lt;&gt;"",F54&lt;&gt;""),(F55-F54)/($B55-$B54),"")</f>
        <v/>
      </c>
      <c r="R55" s="110">
        <f t="shared" ref="R55" si="271">IF(AND(G55&lt;&gt;"",G54&lt;&gt;""),(G55-G54)/($B55-$B54),"")</f>
        <v>-8.2534863525321869E-2</v>
      </c>
      <c r="S55" s="110" t="str">
        <f t="shared" ref="S55" si="272">IF(AND(H55&lt;&gt;"",H54&lt;&gt;""),(H55-H54)/($B55-$B54),"")</f>
        <v/>
      </c>
      <c r="T55" s="110">
        <f t="shared" ref="T55" si="273">IF(AND(I55&lt;&gt;"",I54&lt;&gt;""),(I55-I54)/($B55-$B54),"")</f>
        <v>-2.5097825935357525E-2</v>
      </c>
    </row>
    <row r="56" spans="1:20" ht="16.5" customHeight="1">
      <c r="A56" s="44">
        <f t="shared" si="1"/>
        <v>537</v>
      </c>
      <c r="B56" s="45">
        <f t="shared" si="2"/>
        <v>45861</v>
      </c>
      <c r="C56" s="46">
        <f>'Résultats observations'!D56</f>
        <v>28.01</v>
      </c>
      <c r="D56" s="41">
        <f t="shared" si="3"/>
        <v>-33.724296654089159</v>
      </c>
      <c r="E56" s="41">
        <f t="shared" si="4"/>
        <v>-29.972259794943223</v>
      </c>
      <c r="F56" s="41"/>
      <c r="G56" s="41">
        <f t="shared" si="6"/>
        <v>-5.7354037991936835</v>
      </c>
      <c r="H56" s="41"/>
      <c r="I56" s="41">
        <f t="shared" si="8"/>
        <v>-23.811780797629467</v>
      </c>
      <c r="O56" s="110">
        <f t="shared" ref="O56" si="274">IF(AND(D56&lt;&gt;"",D55&lt;&gt;""),(D56-D55)/($B56-$B55),"")</f>
        <v>-0.12311080238891492</v>
      </c>
      <c r="P56" s="110">
        <f t="shared" ref="P56" si="275">IF(AND(E56&lt;&gt;"",E55&lt;&gt;""),(E56-E55)/($B56-$B55),"")</f>
        <v>-8.9300043109197258E-2</v>
      </c>
      <c r="Q56" s="110" t="str">
        <f t="shared" ref="Q56" si="276">IF(AND(F56&lt;&gt;"",F55&lt;&gt;""),(F56-F55)/($B56-$B55),"")</f>
        <v/>
      </c>
      <c r="R56" s="110">
        <f t="shared" ref="R56" si="277">IF(AND(G56&lt;&gt;"",G55&lt;&gt;""),(G56-G55)/($B56-$B55),"")</f>
        <v>-6.0543299856163912E-2</v>
      </c>
      <c r="S56" s="110" t="str">
        <f t="shared" ref="S56" si="278">IF(AND(H56&lt;&gt;"",H55&lt;&gt;""),(H56-H55)/($B56-$B55),"")</f>
        <v/>
      </c>
      <c r="T56" s="110">
        <f t="shared" ref="T56" si="279">IF(AND(I56&lt;&gt;"",I55&lt;&gt;""),(I56-I55)/($B56-$B55),"")</f>
        <v>-7.9377755466403244E-2</v>
      </c>
    </row>
    <row r="57" spans="1:20" ht="16.5" customHeight="1">
      <c r="A57" s="44">
        <f t="shared" si="1"/>
        <v>543</v>
      </c>
      <c r="B57" s="45">
        <f t="shared" si="2"/>
        <v>45867</v>
      </c>
      <c r="C57" s="46">
        <f>'Résultats observations'!D57</f>
        <v>28.81</v>
      </c>
      <c r="D57" s="41">
        <f t="shared" si="3"/>
        <v>-33.927714885791715</v>
      </c>
      <c r="E57" s="41">
        <f t="shared" si="4"/>
        <v>-30.333003997105923</v>
      </c>
      <c r="F57" s="41"/>
      <c r="G57" s="41">
        <f t="shared" si="6"/>
        <v>-6.3090479885650197</v>
      </c>
      <c r="H57" s="41"/>
      <c r="I57" s="41">
        <f t="shared" si="8"/>
        <v>-24.086595766220853</v>
      </c>
      <c r="O57" s="110">
        <f t="shared" ref="O57" si="280">IF(AND(D57&lt;&gt;"",D56&lt;&gt;""),(D57-D56)/($B57-$B56),"")</f>
        <v>-3.3903038617092797E-2</v>
      </c>
      <c r="P57" s="110">
        <f t="shared" ref="P57" si="281">IF(AND(E57&lt;&gt;"",E56&lt;&gt;""),(E57-E56)/($B57-$B56),"")</f>
        <v>-6.012403369378324E-2</v>
      </c>
      <c r="Q57" s="110" t="str">
        <f t="shared" ref="Q57" si="282">IF(AND(F57&lt;&gt;"",F56&lt;&gt;""),(F57-F56)/($B57-$B56),"")</f>
        <v/>
      </c>
      <c r="R57" s="110">
        <f t="shared" ref="R57" si="283">IF(AND(G57&lt;&gt;"",G56&lt;&gt;""),(G57-G56)/($B57-$B56),"")</f>
        <v>-9.5607364895222702E-2</v>
      </c>
      <c r="S57" s="110" t="str">
        <f t="shared" ref="S57" si="284">IF(AND(H57&lt;&gt;"",H56&lt;&gt;""),(H57-H56)/($B57-$B56),"")</f>
        <v/>
      </c>
      <c r="T57" s="110">
        <f t="shared" ref="T57" si="285">IF(AND(I57&lt;&gt;"",I56&lt;&gt;""),(I57-I56)/($B57-$B56),"")</f>
        <v>-4.5802494765230982E-2</v>
      </c>
    </row>
  </sheetData>
  <mergeCells count="5">
    <mergeCell ref="D8:I8"/>
    <mergeCell ref="Q1:T1"/>
    <mergeCell ref="Q2:T2"/>
    <mergeCell ref="A5:T5"/>
    <mergeCell ref="O8:T8"/>
  </mergeCells>
  <phoneticPr fontId="32" type="noConversion"/>
  <printOptions horizontalCentered="1"/>
  <pageMargins left="0.39370078740157499" right="0.39370078740157499" top="0.196850393700787" bottom="0.196850393700787" header="0.511811023622047" footer="0.511811023622047"/>
  <pageSetup paperSize="9" scale="83" fitToHeight="0" orientation="landscape" cellComments="atEnd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4">
    <pageSetUpPr fitToPage="1"/>
  </sheetPr>
  <dimension ref="A1:V57"/>
  <sheetViews>
    <sheetView tabSelected="1" zoomScale="70" zoomScaleNormal="70" workbookViewId="0">
      <pane ySplit="9" topLeftCell="A52" activePane="bottomLeft" state="frozenSplit"/>
      <selection activeCell="M34" sqref="M34"/>
      <selection pane="bottomLeft" activeCell="S69" sqref="R69:S69"/>
    </sheetView>
  </sheetViews>
  <sheetFormatPr baseColWidth="10" defaultRowHeight="12.75"/>
  <cols>
    <col min="1" max="1" width="7.7109375" customWidth="1"/>
    <col min="2" max="2" width="11.140625" style="22" bestFit="1" customWidth="1"/>
    <col min="3" max="14" width="11.28515625" customWidth="1"/>
    <col min="15" max="15" width="13.85546875" bestFit="1" customWidth="1"/>
    <col min="16" max="16" width="13.28515625" bestFit="1" customWidth="1"/>
    <col min="17" max="17" width="11.28515625" customWidth="1"/>
    <col min="18" max="18" width="22.85546875" style="24" customWidth="1"/>
    <col min="19" max="19" width="26" style="94" customWidth="1"/>
    <col min="20" max="20" width="18.140625" customWidth="1"/>
  </cols>
  <sheetData>
    <row r="1" spans="1:22" s="2" customFormat="1" ht="27.75" customHeight="1">
      <c r="B1" s="17"/>
      <c r="N1" s="214" t="s">
        <v>4</v>
      </c>
      <c r="O1" s="214"/>
      <c r="P1" s="214"/>
      <c r="R1" s="23"/>
      <c r="S1" s="91"/>
    </row>
    <row r="2" spans="1:22" s="2" customFormat="1" ht="15.75">
      <c r="B2" s="17"/>
      <c r="N2" s="214" t="s">
        <v>26</v>
      </c>
      <c r="O2" s="214"/>
      <c r="P2" s="214"/>
      <c r="R2" s="23"/>
      <c r="S2" s="91"/>
    </row>
    <row r="3" spans="1:22" s="2" customFormat="1" ht="15" customHeight="1">
      <c r="B3" s="17"/>
      <c r="K3" s="10"/>
      <c r="L3" s="10"/>
      <c r="M3" s="10"/>
      <c r="N3" s="10"/>
      <c r="O3" s="10"/>
      <c r="P3" s="10"/>
      <c r="Q3" s="10"/>
      <c r="R3" s="23"/>
      <c r="S3" s="91"/>
    </row>
    <row r="4" spans="1:22" ht="15" customHeight="1">
      <c r="A4" s="2"/>
      <c r="B4" s="17"/>
      <c r="C4" s="2"/>
      <c r="D4" s="2"/>
      <c r="E4" s="2"/>
      <c r="F4" s="2"/>
      <c r="G4" s="2"/>
      <c r="H4" s="2"/>
      <c r="I4" s="2"/>
      <c r="J4" s="2"/>
      <c r="K4" s="10"/>
      <c r="L4" s="10"/>
      <c r="M4" s="10"/>
      <c r="N4" s="10"/>
      <c r="O4" s="10"/>
      <c r="P4" s="10"/>
      <c r="Q4" s="10"/>
      <c r="R4" s="12"/>
      <c r="S4" s="92"/>
    </row>
    <row r="5" spans="1:22" s="31" customFormat="1" ht="18" customHeight="1">
      <c r="A5" s="217" t="s">
        <v>88</v>
      </c>
      <c r="B5" s="217"/>
      <c r="C5" s="217"/>
      <c r="D5" s="217"/>
      <c r="E5" s="217"/>
      <c r="F5" s="217"/>
      <c r="G5" s="217"/>
      <c r="H5" s="217"/>
      <c r="I5" s="217"/>
      <c r="J5" s="217"/>
      <c r="K5" s="217"/>
      <c r="L5" s="217"/>
      <c r="M5" s="217"/>
      <c r="N5" s="217"/>
      <c r="O5" s="217"/>
      <c r="P5" s="217"/>
      <c r="Q5" s="217"/>
      <c r="R5" s="32"/>
      <c r="S5" s="93"/>
    </row>
    <row r="6" spans="1:22" ht="15" customHeight="1">
      <c r="A6" s="24"/>
      <c r="B6" s="24"/>
      <c r="C6" s="24"/>
      <c r="D6" s="24"/>
      <c r="E6" s="24"/>
      <c r="F6" s="24"/>
      <c r="G6" s="24"/>
      <c r="H6" s="24"/>
      <c r="I6" s="24"/>
      <c r="J6" s="24"/>
      <c r="K6" s="24"/>
      <c r="L6" s="24"/>
      <c r="M6" s="24"/>
      <c r="N6" s="24"/>
      <c r="O6" s="24"/>
      <c r="P6" s="24"/>
      <c r="Q6" s="24"/>
    </row>
    <row r="7" spans="1:22" s="2" customFormat="1" ht="15" customHeight="1" thickBot="1">
      <c r="B7" s="17"/>
      <c r="C7" s="216"/>
      <c r="D7" s="216"/>
      <c r="E7" s="216"/>
      <c r="F7" s="216"/>
      <c r="G7" s="216"/>
      <c r="H7" s="216"/>
      <c r="I7" s="216"/>
      <c r="J7" s="216"/>
      <c r="K7" s="216"/>
      <c r="L7" s="216"/>
      <c r="M7" s="216"/>
      <c r="N7" s="216"/>
      <c r="O7" s="216"/>
      <c r="P7" s="216"/>
      <c r="Q7" s="216"/>
      <c r="R7" s="23"/>
      <c r="S7" s="91"/>
    </row>
    <row r="8" spans="1:22" ht="16.5" thickBot="1">
      <c r="A8" s="8"/>
      <c r="B8" s="20"/>
      <c r="C8" s="218" t="s">
        <v>30</v>
      </c>
      <c r="D8" s="219"/>
      <c r="E8" s="220"/>
      <c r="F8" s="198" t="s">
        <v>8</v>
      </c>
      <c r="G8" s="199"/>
      <c r="H8" s="200"/>
      <c r="I8" s="198" t="s">
        <v>0</v>
      </c>
      <c r="J8" s="199"/>
      <c r="K8" s="200"/>
      <c r="L8" s="198" t="s">
        <v>9</v>
      </c>
      <c r="M8" s="199"/>
      <c r="N8" s="200"/>
      <c r="O8" s="198" t="s">
        <v>31</v>
      </c>
      <c r="P8" s="199"/>
      <c r="Q8" s="200"/>
      <c r="R8" s="23"/>
      <c r="S8" s="94" t="s">
        <v>37</v>
      </c>
    </row>
    <row r="9" spans="1:22" s="3" customFormat="1" ht="60" customHeight="1">
      <c r="A9" s="11" t="s">
        <v>7</v>
      </c>
      <c r="B9" s="21" t="s">
        <v>6</v>
      </c>
      <c r="C9" s="9" t="s">
        <v>56</v>
      </c>
      <c r="D9" s="9" t="s">
        <v>57</v>
      </c>
      <c r="E9" s="9" t="s">
        <v>35</v>
      </c>
      <c r="F9" s="9" t="s">
        <v>58</v>
      </c>
      <c r="G9" s="9" t="s">
        <v>59</v>
      </c>
      <c r="H9" s="9" t="s">
        <v>17</v>
      </c>
      <c r="I9" s="9" t="s">
        <v>60</v>
      </c>
      <c r="J9" s="9" t="s">
        <v>61</v>
      </c>
      <c r="K9" s="9" t="s">
        <v>18</v>
      </c>
      <c r="L9" s="9" t="s">
        <v>62</v>
      </c>
      <c r="M9" s="9" t="s">
        <v>55</v>
      </c>
      <c r="N9" s="9" t="s">
        <v>19</v>
      </c>
      <c r="O9" s="9" t="s">
        <v>63</v>
      </c>
      <c r="P9" s="9" t="s">
        <v>55</v>
      </c>
      <c r="Q9" s="9" t="s">
        <v>36</v>
      </c>
      <c r="R9" s="25"/>
      <c r="S9" s="95" t="s">
        <v>38</v>
      </c>
      <c r="T9" s="70" t="s">
        <v>45</v>
      </c>
      <c r="U9"/>
      <c r="V9"/>
    </row>
    <row r="10" spans="1:22" ht="24.75" customHeight="1">
      <c r="A10" s="28">
        <f t="shared" ref="A10:A57" si="0">jours</f>
        <v>0</v>
      </c>
      <c r="B10" s="29">
        <f t="shared" ref="B10:B57" si="1">date</f>
        <v>45324</v>
      </c>
      <c r="C10" s="41">
        <f t="shared" ref="C10:C57" si="2">DPM_IG</f>
        <v>0</v>
      </c>
      <c r="D10" s="41">
        <f t="shared" ref="D10:D57" si="3">DH_IG</f>
        <v>0</v>
      </c>
      <c r="E10" s="41">
        <f t="shared" ref="E10:E57" si="4">DZ_IG</f>
        <v>0</v>
      </c>
      <c r="F10" s="41">
        <f t="shared" ref="F10:F57" si="5">DPM_HG</f>
        <v>0</v>
      </c>
      <c r="G10" s="41">
        <f t="shared" ref="G10:G57" si="6">DH_HG</f>
        <v>0</v>
      </c>
      <c r="H10" s="41">
        <f t="shared" ref="H10:H57" si="7">DZ_HG</f>
        <v>0</v>
      </c>
      <c r="I10" s="41">
        <f t="shared" ref="I10:I57" si="8">DPMhaut</f>
        <v>0</v>
      </c>
      <c r="J10" s="41">
        <f t="shared" ref="J10:J57" si="9">DHhaut</f>
        <v>0</v>
      </c>
      <c r="K10" s="41">
        <f t="shared" ref="K10:K57" si="10">DZhaut</f>
        <v>0</v>
      </c>
      <c r="L10" s="41">
        <f t="shared" ref="L10:L32" si="11">DPM_HD</f>
        <v>0</v>
      </c>
      <c r="M10" s="41">
        <f t="shared" ref="M10:M32" si="12">DH_HD</f>
        <v>0</v>
      </c>
      <c r="N10" s="41">
        <f t="shared" ref="N10:N32" si="13">DZ_HD</f>
        <v>0</v>
      </c>
      <c r="O10" s="42">
        <f t="shared" ref="O10:O57" si="14">DPM_ID</f>
        <v>0</v>
      </c>
      <c r="P10" s="42">
        <f t="shared" ref="P10:P57" si="15">DH_ID</f>
        <v>0</v>
      </c>
      <c r="Q10" s="42">
        <f t="shared" ref="Q10:Q57" si="16">DZ_ID</f>
        <v>0</v>
      </c>
      <c r="R10" s="23" t="str">
        <f>IF(Convergences!J10="","",Convergences!J10)</f>
        <v/>
      </c>
      <c r="S10" s="96">
        <f t="shared" ref="S10:S11" si="17">K10*2</f>
        <v>0</v>
      </c>
      <c r="T10" s="71"/>
    </row>
    <row r="11" spans="1:22" ht="27" customHeight="1">
      <c r="A11" s="28">
        <f t="shared" si="0"/>
        <v>3</v>
      </c>
      <c r="B11" s="29">
        <f t="shared" si="1"/>
        <v>45327</v>
      </c>
      <c r="C11" s="41">
        <f t="shared" si="2"/>
        <v>-1.0661901741011448</v>
      </c>
      <c r="D11" s="41">
        <f t="shared" si="3"/>
        <v>0.27520705256423028</v>
      </c>
      <c r="E11" s="41">
        <f t="shared" si="4"/>
        <v>0.79999999999813554</v>
      </c>
      <c r="F11" s="41">
        <f t="shared" si="5"/>
        <v>3.0553434333668861E-3</v>
      </c>
      <c r="G11" s="41">
        <f t="shared" si="6"/>
        <v>0.11176171354776443</v>
      </c>
      <c r="H11" s="41">
        <f t="shared" si="7"/>
        <v>0.39999999999906777</v>
      </c>
      <c r="I11" s="41">
        <f t="shared" si="8"/>
        <v>0.32611885724520562</v>
      </c>
      <c r="J11" s="41">
        <f t="shared" si="9"/>
        <v>-0.34445090362707903</v>
      </c>
      <c r="K11" s="41">
        <f t="shared" si="10"/>
        <v>5.0000000001659828E-2</v>
      </c>
      <c r="L11" s="41">
        <f t="shared" si="11"/>
        <v>0.26858184201650204</v>
      </c>
      <c r="M11" s="41">
        <f t="shared" si="12"/>
        <v>-0.81262765375877954</v>
      </c>
      <c r="N11" s="41">
        <f t="shared" si="13"/>
        <v>9.9999999989108801E-2</v>
      </c>
      <c r="O11" s="42">
        <f t="shared" si="14"/>
        <v>-0.62551134596144919</v>
      </c>
      <c r="P11" s="42">
        <f t="shared" si="15"/>
        <v>-0.78818492049848032</v>
      </c>
      <c r="Q11" s="42">
        <f t="shared" si="16"/>
        <v>1.4499999999912916</v>
      </c>
      <c r="R11" s="23" t="str">
        <f>IF(Convergences!J11="","",Convergences!J11)</f>
        <v/>
      </c>
      <c r="S11" s="96">
        <f t="shared" si="17"/>
        <v>0.10000000000331966</v>
      </c>
      <c r="T11" s="71"/>
    </row>
    <row r="12" spans="1:22" ht="27" customHeight="1">
      <c r="A12" s="28">
        <f t="shared" si="0"/>
        <v>5</v>
      </c>
      <c r="B12" s="29">
        <f t="shared" si="1"/>
        <v>45329</v>
      </c>
      <c r="C12" s="41" t="str">
        <f t="shared" si="2"/>
        <v/>
      </c>
      <c r="D12" s="41" t="str">
        <f t="shared" si="3"/>
        <v/>
      </c>
      <c r="E12" s="41" t="str">
        <f t="shared" si="4"/>
        <v/>
      </c>
      <c r="F12" s="41" t="str">
        <f t="shared" si="5"/>
        <v/>
      </c>
      <c r="G12" s="41" t="str">
        <f t="shared" si="6"/>
        <v/>
      </c>
      <c r="H12" s="41" t="str">
        <f t="shared" si="7"/>
        <v/>
      </c>
      <c r="I12" s="41" t="str">
        <f t="shared" si="8"/>
        <v/>
      </c>
      <c r="J12" s="41" t="str">
        <f t="shared" si="9"/>
        <v/>
      </c>
      <c r="K12" s="41" t="str">
        <f t="shared" si="10"/>
        <v/>
      </c>
      <c r="L12" s="41" t="str">
        <f t="shared" si="11"/>
        <v/>
      </c>
      <c r="M12" s="41" t="str">
        <f t="shared" si="12"/>
        <v/>
      </c>
      <c r="N12" s="41" t="str">
        <f t="shared" si="13"/>
        <v/>
      </c>
      <c r="O12" s="42" t="str">
        <f t="shared" si="14"/>
        <v/>
      </c>
      <c r="P12" s="42" t="str">
        <f t="shared" si="15"/>
        <v/>
      </c>
      <c r="Q12" s="42" t="str">
        <f t="shared" si="16"/>
        <v/>
      </c>
      <c r="R12" s="23" t="str">
        <f>IF(Convergences!J12="","",Convergences!J12)</f>
        <v/>
      </c>
      <c r="S12" s="96" t="e">
        <f t="shared" ref="S12" si="18">K12*2</f>
        <v>#VALUE!</v>
      </c>
      <c r="T12" s="71"/>
    </row>
    <row r="13" spans="1:22" ht="27" customHeight="1">
      <c r="A13" s="28">
        <f t="shared" si="0"/>
        <v>7</v>
      </c>
      <c r="B13" s="29">
        <f t="shared" si="1"/>
        <v>45331</v>
      </c>
      <c r="C13" s="41">
        <f t="shared" si="2"/>
        <v>-1.4679209647860958</v>
      </c>
      <c r="D13" s="41">
        <f t="shared" si="3"/>
        <v>0.30855851902078513</v>
      </c>
      <c r="E13" s="41">
        <f t="shared" si="4"/>
        <v>0.20000000000663931</v>
      </c>
      <c r="F13" s="41">
        <f t="shared" si="5"/>
        <v>-1.1568214784096753</v>
      </c>
      <c r="G13" s="41">
        <f t="shared" si="6"/>
        <v>0.23294648007787799</v>
      </c>
      <c r="H13" s="41">
        <f t="shared" si="7"/>
        <v>-0.95000000000311502</v>
      </c>
      <c r="I13" s="41">
        <f t="shared" si="8"/>
        <v>4.5830123082346574E-2</v>
      </c>
      <c r="J13" s="41">
        <f t="shared" si="9"/>
        <v>1.6764246624034715</v>
      </c>
      <c r="K13" s="41">
        <f t="shared" si="10"/>
        <v>-1.7500000000012506</v>
      </c>
      <c r="L13" s="41">
        <f t="shared" si="11"/>
        <v>-1.3032206371637045</v>
      </c>
      <c r="M13" s="41">
        <f t="shared" si="12"/>
        <v>-4.3039652645449067</v>
      </c>
      <c r="N13" s="41">
        <f t="shared" si="13"/>
        <v>-3.1500000000050932</v>
      </c>
      <c r="O13" s="42">
        <f t="shared" si="14"/>
        <v>-0.95876962802332599</v>
      </c>
      <c r="P13" s="42">
        <f t="shared" si="15"/>
        <v>-3.9778463581048307</v>
      </c>
      <c r="Q13" s="42">
        <f t="shared" si="16"/>
        <v>1.3499999999879719</v>
      </c>
      <c r="R13" s="23" t="str">
        <f>IF(Convergences!J13="","",Convergences!J13)</f>
        <v/>
      </c>
      <c r="S13" s="96">
        <f t="shared" ref="S13" si="19">K13*2</f>
        <v>-3.5000000000025011</v>
      </c>
      <c r="T13" s="71"/>
    </row>
    <row r="14" spans="1:22" ht="27" customHeight="1">
      <c r="A14" s="28">
        <f t="shared" si="0"/>
        <v>10</v>
      </c>
      <c r="B14" s="29">
        <f t="shared" si="1"/>
        <v>45334</v>
      </c>
      <c r="C14" s="41">
        <f t="shared" si="2"/>
        <v>-2.2708682755734344</v>
      </c>
      <c r="D14" s="41">
        <f t="shared" si="3"/>
        <v>2.0305561200184563</v>
      </c>
      <c r="E14" s="41">
        <f t="shared" si="4"/>
        <v>0.70000000000902673</v>
      </c>
      <c r="F14" s="41">
        <f t="shared" si="5"/>
        <v>-0.63085042306010308</v>
      </c>
      <c r="G14" s="41">
        <f t="shared" si="6"/>
        <v>1.4712334927073911</v>
      </c>
      <c r="H14" s="41">
        <f t="shared" si="7"/>
        <v>-0.50000000000238742</v>
      </c>
      <c r="I14" s="41">
        <f t="shared" si="8"/>
        <v>-0.76322787457794306</v>
      </c>
      <c r="J14" s="41">
        <f t="shared" si="9"/>
        <v>3.1748988362985604</v>
      </c>
      <c r="K14" s="41">
        <f t="shared" si="10"/>
        <v>-1.7500000000012506</v>
      </c>
      <c r="L14" s="41">
        <f t="shared" si="11"/>
        <v>-2.4147264598628482</v>
      </c>
      <c r="M14" s="41">
        <f t="shared" si="12"/>
        <v>-4.0498883681163722</v>
      </c>
      <c r="N14" s="41">
        <f t="shared" si="13"/>
        <v>-3.3000000000100727</v>
      </c>
      <c r="O14" s="42">
        <f t="shared" si="14"/>
        <v>-1.5142652529354095</v>
      </c>
      <c r="P14" s="42">
        <f t="shared" si="15"/>
        <v>-3.0231607622646095</v>
      </c>
      <c r="Q14" s="42">
        <f t="shared" si="16"/>
        <v>2.1999999999877673</v>
      </c>
      <c r="R14" s="23" t="str">
        <f>IF(Convergences!J14="","",Convergences!J14)</f>
        <v/>
      </c>
      <c r="S14" s="96">
        <f t="shared" ref="S14" si="20">K14*2</f>
        <v>-3.5000000000025011</v>
      </c>
      <c r="T14" s="71"/>
    </row>
    <row r="15" spans="1:22" ht="27" customHeight="1">
      <c r="A15" s="28">
        <f t="shared" si="0"/>
        <v>11</v>
      </c>
      <c r="B15" s="29">
        <f t="shared" si="1"/>
        <v>45335</v>
      </c>
      <c r="C15" s="41">
        <f t="shared" si="2"/>
        <v>-2.5019013317999494</v>
      </c>
      <c r="D15" s="41">
        <f t="shared" si="3"/>
        <v>2.1710863939361502</v>
      </c>
      <c r="E15" s="41">
        <f t="shared" si="4"/>
        <v>0.50000000000238742</v>
      </c>
      <c r="F15" s="41">
        <f t="shared" si="5"/>
        <v>-0.40121652010505215</v>
      </c>
      <c r="G15" s="41">
        <f t="shared" si="6"/>
        <v>1.68864613453934</v>
      </c>
      <c r="H15" s="41">
        <f t="shared" si="7"/>
        <v>-0.72499999998854037</v>
      </c>
      <c r="I15" s="41">
        <f t="shared" si="8"/>
        <v>-0.7540619497792278</v>
      </c>
      <c r="J15" s="41">
        <f t="shared" si="9"/>
        <v>3.5101839277530531</v>
      </c>
      <c r="K15" s="41">
        <f t="shared" si="10"/>
        <v>-2.1749999999940428</v>
      </c>
      <c r="L15" s="41">
        <f t="shared" si="11"/>
        <v>-2.2123332944072871</v>
      </c>
      <c r="M15" s="41">
        <f t="shared" si="12"/>
        <v>-4.0106834555890813</v>
      </c>
      <c r="N15" s="41">
        <f t="shared" si="13"/>
        <v>-4.0500000000065484</v>
      </c>
      <c r="O15" s="42">
        <f t="shared" si="14"/>
        <v>-1.6108788205091429</v>
      </c>
      <c r="P15" s="42">
        <f t="shared" si="15"/>
        <v>-2.8751206482020564</v>
      </c>
      <c r="Q15" s="42">
        <f t="shared" si="16"/>
        <v>2.174999999979832</v>
      </c>
      <c r="R15" s="23" t="str">
        <f>IF(Convergences!J15="","",Convergences!J15)</f>
        <v/>
      </c>
      <c r="S15" s="96">
        <f t="shared" ref="S15" si="21">K15*2</f>
        <v>-4.3499999999880856</v>
      </c>
      <c r="T15" s="71"/>
    </row>
    <row r="16" spans="1:22" ht="27" customHeight="1">
      <c r="A16" s="28">
        <f t="shared" si="0"/>
        <v>13</v>
      </c>
      <c r="B16" s="29">
        <f t="shared" si="1"/>
        <v>45337</v>
      </c>
      <c r="C16" s="41">
        <f t="shared" si="2"/>
        <v>-1.8114974495757608</v>
      </c>
      <c r="D16" s="41">
        <f t="shared" si="3"/>
        <v>2.7964403119389303</v>
      </c>
      <c r="E16" s="41">
        <f t="shared" si="4"/>
        <v>0.58000000001356966</v>
      </c>
      <c r="F16" s="41">
        <f t="shared" si="5"/>
        <v>2.5804128888751166E-2</v>
      </c>
      <c r="G16" s="41">
        <f t="shared" si="6"/>
        <v>2.0348767469364759</v>
      </c>
      <c r="H16" s="41">
        <f t="shared" si="7"/>
        <v>-0.44999999998651674</v>
      </c>
      <c r="I16" s="41">
        <f t="shared" si="8"/>
        <v>-0.27684764215152313</v>
      </c>
      <c r="J16" s="41">
        <f t="shared" si="9"/>
        <v>3.3741080450322096</v>
      </c>
      <c r="K16" s="41">
        <f t="shared" si="10"/>
        <v>-1.774999999994975</v>
      </c>
      <c r="L16" s="41">
        <f t="shared" si="11"/>
        <v>-2.3617722523274765</v>
      </c>
      <c r="M16" s="41">
        <f t="shared" si="12"/>
        <v>-3.7493542200284224</v>
      </c>
      <c r="N16" s="41">
        <f t="shared" si="13"/>
        <v>-3.6750000000154159</v>
      </c>
      <c r="O16" s="42">
        <f t="shared" si="14"/>
        <v>-1.5008217546235159</v>
      </c>
      <c r="P16" s="42">
        <f t="shared" si="15"/>
        <v>-2.5314096910271644</v>
      </c>
      <c r="Q16" s="42">
        <f t="shared" si="16"/>
        <v>1.8199999999808369</v>
      </c>
      <c r="R16" s="23" t="str">
        <f>IF(Convergences!J16="","",Convergences!J16)</f>
        <v/>
      </c>
      <c r="S16" s="96">
        <f t="shared" ref="S16" si="22">K16*2</f>
        <v>-3.5499999999899501</v>
      </c>
      <c r="T16" s="71"/>
    </row>
    <row r="17" spans="1:20" ht="31.5" customHeight="1">
      <c r="A17" s="28">
        <f t="shared" si="0"/>
        <v>14</v>
      </c>
      <c r="B17" s="29">
        <f t="shared" si="1"/>
        <v>45338</v>
      </c>
      <c r="C17" s="41">
        <f t="shared" si="2"/>
        <v>-1.1962246062218185</v>
      </c>
      <c r="D17" s="41">
        <f t="shared" si="3"/>
        <v>2.228223200499091</v>
      </c>
      <c r="E17" s="41">
        <f t="shared" si="4"/>
        <v>0.40250000000696673</v>
      </c>
      <c r="F17" s="41">
        <f t="shared" si="5"/>
        <v>0.75914812171173907</v>
      </c>
      <c r="G17" s="41">
        <f t="shared" si="6"/>
        <v>1.517117634662668</v>
      </c>
      <c r="H17" s="41">
        <f t="shared" si="7"/>
        <v>-0.29999999998153726</v>
      </c>
      <c r="I17" s="41">
        <f t="shared" si="8"/>
        <v>-0.13345505734729812</v>
      </c>
      <c r="J17" s="41">
        <f t="shared" si="9"/>
        <v>3.0961673582912721</v>
      </c>
      <c r="K17" s="41">
        <f t="shared" si="10"/>
        <v>-1.7874999999918373</v>
      </c>
      <c r="L17" s="41"/>
      <c r="M17" s="41"/>
      <c r="N17" s="41"/>
      <c r="O17" s="42">
        <f t="shared" si="14"/>
        <v>-0.58321844667030831</v>
      </c>
      <c r="P17" s="42">
        <f t="shared" si="15"/>
        <v>-2.7186705738744266</v>
      </c>
      <c r="Q17" s="42">
        <f t="shared" si="16"/>
        <v>1.9349999999889178</v>
      </c>
      <c r="R17" s="23" t="str">
        <f>IF(Convergences!J17="","",Convergences!J17)</f>
        <v/>
      </c>
      <c r="S17" s="96">
        <f t="shared" ref="S17" si="23">K17*2</f>
        <v>-3.5749999999836746</v>
      </c>
      <c r="T17" s="71"/>
    </row>
    <row r="18" spans="1:20" ht="31.5" customHeight="1">
      <c r="A18" s="28">
        <f t="shared" si="0"/>
        <v>17</v>
      </c>
      <c r="B18" s="29">
        <f t="shared" si="1"/>
        <v>45341</v>
      </c>
      <c r="C18" s="41">
        <f t="shared" si="2"/>
        <v>-1.6242267734734028</v>
      </c>
      <c r="D18" s="41">
        <f t="shared" si="3"/>
        <v>2.7734253919189378</v>
      </c>
      <c r="E18" s="41">
        <f t="shared" si="4"/>
        <v>-9.9999999989108801E-2</v>
      </c>
      <c r="F18" s="41">
        <f t="shared" si="5"/>
        <v>0.45061635559306978</v>
      </c>
      <c r="G18" s="41">
        <f t="shared" si="6"/>
        <v>1.7548346984765928</v>
      </c>
      <c r="H18" s="41">
        <f t="shared" si="7"/>
        <v>-1.0999999999938836</v>
      </c>
      <c r="I18" s="41">
        <f t="shared" si="8"/>
        <v>0.59013322481948904</v>
      </c>
      <c r="J18" s="41">
        <f t="shared" si="9"/>
        <v>3.5852814359087684</v>
      </c>
      <c r="K18" s="41">
        <f t="shared" si="10"/>
        <v>-1.949999999993679</v>
      </c>
      <c r="L18" s="41">
        <f t="shared" si="11"/>
        <v>-1.6535249868674384</v>
      </c>
      <c r="M18" s="41">
        <f t="shared" si="12"/>
        <v>-4.0259601656520427</v>
      </c>
      <c r="N18" s="41">
        <f t="shared" si="13"/>
        <v>-3.6750000000154159</v>
      </c>
      <c r="O18" s="42">
        <f t="shared" si="14"/>
        <v>-0.83758480518714151</v>
      </c>
      <c r="P18" s="42">
        <f t="shared" si="15"/>
        <v>-2.8179693815513218</v>
      </c>
      <c r="Q18" s="42">
        <f t="shared" si="16"/>
        <v>1.5999999999962711</v>
      </c>
      <c r="R18" s="23" t="str">
        <f>IF(Convergences!J18="","",Convergences!J18)</f>
        <v/>
      </c>
      <c r="S18" s="96">
        <f t="shared" ref="S18" si="24">K18*2</f>
        <v>-3.899999999987358</v>
      </c>
      <c r="T18" s="71"/>
    </row>
    <row r="19" spans="1:20" ht="31.5" customHeight="1">
      <c r="A19" s="28">
        <f t="shared" si="0"/>
        <v>19</v>
      </c>
      <c r="B19" s="29">
        <f t="shared" si="1"/>
        <v>45343</v>
      </c>
      <c r="C19" s="41">
        <f t="shared" si="2"/>
        <v>-1.5575236295433115</v>
      </c>
      <c r="D19" s="41">
        <f t="shared" si="3"/>
        <v>3.5768870716816892</v>
      </c>
      <c r="E19" s="41">
        <f t="shared" si="4"/>
        <v>-0.29999999999574811</v>
      </c>
      <c r="F19" s="41">
        <f t="shared" si="5"/>
        <v>0.20927545498317102</v>
      </c>
      <c r="G19" s="41">
        <f t="shared" si="6"/>
        <v>2.74566991972236</v>
      </c>
      <c r="H19" s="41">
        <f t="shared" si="7"/>
        <v>-1.5000000000071623</v>
      </c>
      <c r="I19" s="41">
        <f t="shared" si="8"/>
        <v>6.4676538442220988E-2</v>
      </c>
      <c r="J19" s="41">
        <f t="shared" si="9"/>
        <v>4.002288880345735</v>
      </c>
      <c r="K19" s="41">
        <f t="shared" si="10"/>
        <v>-2.7499999999918145</v>
      </c>
      <c r="L19" s="41">
        <f t="shared" si="11"/>
        <v>-1.7803062188841423</v>
      </c>
      <c r="M19" s="41">
        <f t="shared" si="12"/>
        <v>-3.7540656410071094</v>
      </c>
      <c r="N19" s="41">
        <f t="shared" si="13"/>
        <v>-4.6750000000201908</v>
      </c>
      <c r="O19" s="42">
        <f t="shared" si="14"/>
        <v>-0.74084261721463207</v>
      </c>
      <c r="P19" s="42">
        <f t="shared" si="15"/>
        <v>-2.5521858039914136</v>
      </c>
      <c r="Q19" s="42">
        <f t="shared" si="16"/>
        <v>0.99999999999056399</v>
      </c>
      <c r="R19" s="23" t="str">
        <f>IF(Convergences!J19="","",Convergences!J19)</f>
        <v/>
      </c>
      <c r="S19" s="96">
        <f t="shared" ref="S19" si="25">K19*2</f>
        <v>-5.4999999999836291</v>
      </c>
      <c r="T19" s="71"/>
    </row>
    <row r="20" spans="1:20" ht="31.5" customHeight="1">
      <c r="A20" s="28">
        <f t="shared" si="0"/>
        <v>24</v>
      </c>
      <c r="B20" s="29">
        <f t="shared" si="1"/>
        <v>45348</v>
      </c>
      <c r="C20" s="41">
        <f t="shared" si="2"/>
        <v>-1.2194405409600151</v>
      </c>
      <c r="D20" s="41">
        <f t="shared" si="3"/>
        <v>2.8518354279958302</v>
      </c>
      <c r="E20" s="41">
        <f t="shared" si="4"/>
        <v>-0.29999999999574811</v>
      </c>
      <c r="F20" s="41">
        <f t="shared" si="5"/>
        <v>0.36609553425126506</v>
      </c>
      <c r="G20" s="41">
        <f t="shared" si="6"/>
        <v>1.9360977149101011</v>
      </c>
      <c r="H20" s="41">
        <f t="shared" si="7"/>
        <v>-1.5000000000071623</v>
      </c>
      <c r="I20" s="41">
        <f t="shared" si="8"/>
        <v>1.8111168726990812</v>
      </c>
      <c r="J20" s="41">
        <f t="shared" si="9"/>
        <v>5.6993293791131574</v>
      </c>
      <c r="K20" s="41">
        <f t="shared" si="10"/>
        <v>-2.7499999999918145</v>
      </c>
      <c r="L20" s="41">
        <f t="shared" si="11"/>
        <v>-1.9860118630630197</v>
      </c>
      <c r="M20" s="41">
        <f t="shared" si="12"/>
        <v>-4.7326796011295524</v>
      </c>
      <c r="N20" s="41">
        <f t="shared" si="13"/>
        <v>-4.6750000000201908</v>
      </c>
      <c r="O20" s="42">
        <f t="shared" si="14"/>
        <v>-0.50561240347590797</v>
      </c>
      <c r="P20" s="42">
        <f t="shared" si="15"/>
        <v>-3.7665444523362623</v>
      </c>
      <c r="Q20" s="42">
        <f t="shared" si="16"/>
        <v>0.99999999999056399</v>
      </c>
      <c r="R20" s="23" t="str">
        <f>IF(Convergences!J20="","",Convergences!J20)</f>
        <v/>
      </c>
      <c r="S20" s="96">
        <f t="shared" ref="S20" si="26">K20*2</f>
        <v>-5.4999999999836291</v>
      </c>
      <c r="T20" s="71"/>
    </row>
    <row r="21" spans="1:20" ht="31.5" customHeight="1">
      <c r="A21" s="28">
        <f t="shared" si="0"/>
        <v>26</v>
      </c>
      <c r="B21" s="29">
        <f t="shared" si="1"/>
        <v>45350</v>
      </c>
      <c r="C21" s="41">
        <f t="shared" si="2"/>
        <v>-1.9444921846440977</v>
      </c>
      <c r="D21" s="41">
        <f t="shared" si="3"/>
        <v>2.5137523394116457</v>
      </c>
      <c r="E21" s="41">
        <f t="shared" si="4"/>
        <v>-0.29999999999574811</v>
      </c>
      <c r="F21" s="41">
        <f t="shared" si="5"/>
        <v>0.3538741676223367</v>
      </c>
      <c r="G21" s="41">
        <f t="shared" si="6"/>
        <v>1.4890511209215695</v>
      </c>
      <c r="H21" s="41">
        <f t="shared" si="7"/>
        <v>-1.5000000000071623</v>
      </c>
      <c r="I21" s="41">
        <f t="shared" si="8"/>
        <v>0.95317341563561087</v>
      </c>
      <c r="J21" s="41">
        <f t="shared" si="9"/>
        <v>5.4096174372700974</v>
      </c>
      <c r="K21" s="41">
        <f t="shared" si="10"/>
        <v>-2.7499999999918145</v>
      </c>
      <c r="L21" s="41">
        <f t="shared" si="11"/>
        <v>-2.4391691931207049</v>
      </c>
      <c r="M21" s="41">
        <f t="shared" si="12"/>
        <v>-4.9439815560941014</v>
      </c>
      <c r="N21" s="41">
        <f t="shared" si="13"/>
        <v>-4.6750000000201908</v>
      </c>
      <c r="O21" s="42">
        <f t="shared" si="14"/>
        <v>-1.448076681881183</v>
      </c>
      <c r="P21" s="42">
        <f t="shared" si="15"/>
        <v>-3.8749933777522116</v>
      </c>
      <c r="Q21" s="42">
        <f t="shared" si="16"/>
        <v>0.99999999999056399</v>
      </c>
      <c r="R21" s="23" t="str">
        <f>IF(Convergences!J21="","",Convergences!J21)</f>
        <v/>
      </c>
      <c r="S21" s="96">
        <f t="shared" ref="S21" si="27">K21*2</f>
        <v>-5.4999999999836291</v>
      </c>
      <c r="T21" s="71"/>
    </row>
    <row r="22" spans="1:20" ht="31.5" customHeight="1">
      <c r="A22" s="28">
        <f t="shared" si="0"/>
        <v>40</v>
      </c>
      <c r="B22" s="29">
        <f t="shared" si="1"/>
        <v>45364</v>
      </c>
      <c r="C22" s="41">
        <f t="shared" si="2"/>
        <v>-1.8777890407148945</v>
      </c>
      <c r="D22" s="41">
        <f t="shared" si="3"/>
        <v>3.3172140191721766</v>
      </c>
      <c r="E22" s="41">
        <f t="shared" si="4"/>
        <v>-0.29999999999574811</v>
      </c>
      <c r="F22" s="41">
        <f t="shared" si="5"/>
        <v>-0.60029701004449265</v>
      </c>
      <c r="G22" s="41">
        <f t="shared" si="6"/>
        <v>2.5888498475690191</v>
      </c>
      <c r="H22" s="41">
        <f t="shared" si="7"/>
        <v>-1.5000000000071623</v>
      </c>
      <c r="I22" s="41">
        <f t="shared" si="8"/>
        <v>0.74187146067217213</v>
      </c>
      <c r="J22" s="41">
        <f t="shared" si="9"/>
        <v>5.862774767324578</v>
      </c>
      <c r="K22" s="41">
        <f t="shared" si="10"/>
        <v>-2.7499999999918145</v>
      </c>
      <c r="L22" s="41">
        <f t="shared" si="11"/>
        <v>-3.4177829985369002</v>
      </c>
      <c r="M22" s="41">
        <f t="shared" si="12"/>
        <v>-4.7382759682252917</v>
      </c>
      <c r="N22" s="41">
        <f t="shared" si="13"/>
        <v>-4.6750000000201908</v>
      </c>
      <c r="O22" s="42">
        <f t="shared" si="14"/>
        <v>-1.713860315751603</v>
      </c>
      <c r="P22" s="42">
        <f t="shared" si="15"/>
        <v>-3.7782513444848398</v>
      </c>
      <c r="Q22" s="42">
        <f t="shared" si="16"/>
        <v>0.99999999999056399</v>
      </c>
      <c r="R22" s="23" t="str">
        <f>IF(Convergences!J22="","",Convergences!J22)</f>
        <v/>
      </c>
      <c r="S22" s="96">
        <f t="shared" ref="S22" si="28">K22*2</f>
        <v>-5.4999999999836291</v>
      </c>
      <c r="T22" s="71"/>
    </row>
    <row r="23" spans="1:20" ht="31.5" customHeight="1">
      <c r="A23" s="28">
        <f t="shared" si="0"/>
        <v>66</v>
      </c>
      <c r="B23" s="29">
        <f t="shared" si="1"/>
        <v>45390</v>
      </c>
      <c r="C23" s="41">
        <f t="shared" si="2"/>
        <v>-1.865567674085078</v>
      </c>
      <c r="D23" s="41">
        <f t="shared" si="3"/>
        <v>3.7642606131629286</v>
      </c>
      <c r="E23" s="41">
        <f t="shared" si="4"/>
        <v>-0.29999999999574811</v>
      </c>
      <c r="F23" s="41">
        <f t="shared" si="5"/>
        <v>0.11864394676841528</v>
      </c>
      <c r="G23" s="41">
        <f t="shared" si="6"/>
        <v>2.7034095090514576</v>
      </c>
      <c r="H23" s="41">
        <f t="shared" si="7"/>
        <v>-1.5000000000071623</v>
      </c>
      <c r="I23" s="41">
        <f t="shared" si="8"/>
        <v>1.7566350953979182</v>
      </c>
      <c r="J23" s="41">
        <f t="shared" si="9"/>
        <v>5.3429142933392821</v>
      </c>
      <c r="K23" s="41">
        <f t="shared" si="10"/>
        <v>-2.7499999999918145</v>
      </c>
      <c r="L23" s="41">
        <f t="shared" si="11"/>
        <v>-2.155053407355112</v>
      </c>
      <c r="M23" s="41">
        <f t="shared" si="12"/>
        <v>-4.3701537792875111</v>
      </c>
      <c r="N23" s="41">
        <f t="shared" si="13"/>
        <v>-4.6750000000201908</v>
      </c>
      <c r="O23" s="42">
        <f t="shared" si="14"/>
        <v>-1.448076681881183</v>
      </c>
      <c r="P23" s="42">
        <f t="shared" si="15"/>
        <v>-3.8749933777522116</v>
      </c>
      <c r="Q23" s="42">
        <f t="shared" si="16"/>
        <v>0.99999999999056399</v>
      </c>
      <c r="R23" s="23" t="str">
        <f>IF(Convergences!J23="","",Convergences!J23)</f>
        <v/>
      </c>
      <c r="S23" s="96">
        <f t="shared" ref="S23" si="29">K23*2</f>
        <v>-5.4999999999836291</v>
      </c>
      <c r="T23" s="71"/>
    </row>
    <row r="24" spans="1:20" ht="31.5" customHeight="1">
      <c r="A24" s="28">
        <f t="shared" si="0"/>
        <v>80</v>
      </c>
      <c r="B24" s="29">
        <f t="shared" si="1"/>
        <v>45404</v>
      </c>
      <c r="C24" s="41">
        <f t="shared" si="2"/>
        <v>-2.2703539065993539</v>
      </c>
      <c r="D24" s="41">
        <f t="shared" si="3"/>
        <v>3.6858505770864802</v>
      </c>
      <c r="E24" s="41">
        <f t="shared" si="4"/>
        <v>0.70000000000902673</v>
      </c>
      <c r="F24" s="41">
        <f t="shared" si="5"/>
        <v>0.18483262332935624</v>
      </c>
      <c r="G24" s="41">
        <f t="shared" si="6"/>
        <v>1.8515769427636108</v>
      </c>
      <c r="H24" s="41">
        <f t="shared" si="7"/>
        <v>-1.300000000000523</v>
      </c>
      <c r="I24" s="41">
        <f t="shared" si="8"/>
        <v>1.3757772271683066</v>
      </c>
      <c r="J24" s="41">
        <f t="shared" si="9"/>
        <v>4.5033029881725009</v>
      </c>
      <c r="K24" s="41">
        <f t="shared" si="10"/>
        <v>-2.7499999999918145</v>
      </c>
      <c r="L24" s="41">
        <f t="shared" si="11"/>
        <v>-2.6326533651621631</v>
      </c>
      <c r="M24" s="41">
        <f t="shared" si="12"/>
        <v>-5.475548873030478</v>
      </c>
      <c r="N24" s="41">
        <f t="shared" si="13"/>
        <v>-5.3750000000292175</v>
      </c>
      <c r="O24" s="42">
        <f t="shared" si="14"/>
        <v>-0.66294695011226423</v>
      </c>
      <c r="P24" s="42">
        <f t="shared" si="15"/>
        <v>-4.6122664935719371</v>
      </c>
      <c r="Q24" s="42">
        <f t="shared" si="16"/>
        <v>1.6999999999995907</v>
      </c>
      <c r="R24" s="23" t="str">
        <f>IF(Convergences!J24="","",Convergences!J24)</f>
        <v/>
      </c>
      <c r="S24" s="96">
        <f t="shared" ref="S24" si="30">K24*2</f>
        <v>-5.4999999999836291</v>
      </c>
      <c r="T24" s="71"/>
    </row>
    <row r="25" spans="1:20" ht="31.5" customHeight="1">
      <c r="A25" s="28">
        <f t="shared" si="0"/>
        <v>87</v>
      </c>
      <c r="B25" s="29">
        <f t="shared" si="1"/>
        <v>45411</v>
      </c>
      <c r="C25" s="41">
        <f t="shared" si="2"/>
        <v>-2.1675010317538934</v>
      </c>
      <c r="D25" s="41">
        <f t="shared" si="3"/>
        <v>4.1751575817481346</v>
      </c>
      <c r="E25" s="41">
        <f t="shared" si="4"/>
        <v>0.90000000000145519</v>
      </c>
      <c r="F25" s="41">
        <f t="shared" si="5"/>
        <v>7.0272856339315126E-2</v>
      </c>
      <c r="G25" s="41">
        <f t="shared" si="6"/>
        <v>2.5705178503780957</v>
      </c>
      <c r="H25" s="41">
        <f t="shared" si="7"/>
        <v>-1.1999999999972033</v>
      </c>
      <c r="I25" s="41">
        <f t="shared" si="8"/>
        <v>1.4786299965034999</v>
      </c>
      <c r="J25" s="41">
        <f t="shared" si="9"/>
        <v>4.9926099436320612</v>
      </c>
      <c r="K25" s="41">
        <f t="shared" si="10"/>
        <v>-2.5499999999993861</v>
      </c>
      <c r="L25" s="41">
        <f t="shared" si="11"/>
        <v>-2.3001665944759608</v>
      </c>
      <c r="M25" s="41">
        <f t="shared" si="12"/>
        <v>-4.7688294867518355</v>
      </c>
      <c r="N25" s="41">
        <f t="shared" si="13"/>
        <v>-4.8750000000268301</v>
      </c>
      <c r="O25" s="42">
        <f t="shared" si="14"/>
        <v>-1.5025583607890525</v>
      </c>
      <c r="P25" s="42">
        <f t="shared" si="15"/>
        <v>-4.2314086745403046</v>
      </c>
      <c r="Q25" s="42">
        <f t="shared" si="16"/>
        <v>2.0999999999986585</v>
      </c>
      <c r="R25" s="23" t="str">
        <f>IF(Convergences!J25="","",Convergences!J25)</f>
        <v/>
      </c>
      <c r="S25" s="96">
        <f t="shared" ref="S25" si="31">K25*2</f>
        <v>-5.0999999999987722</v>
      </c>
      <c r="T25" s="71"/>
    </row>
    <row r="26" spans="1:20" ht="31.5" customHeight="1">
      <c r="A26" s="28">
        <f t="shared" si="0"/>
        <v>102</v>
      </c>
      <c r="B26" s="29">
        <f t="shared" si="1"/>
        <v>45426</v>
      </c>
      <c r="C26" s="41">
        <f t="shared" si="2"/>
        <v>-2.2703539065993539</v>
      </c>
      <c r="D26" s="41">
        <f t="shared" si="3"/>
        <v>3.6858505770864802</v>
      </c>
      <c r="E26" s="41">
        <f t="shared" si="4"/>
        <v>0.70000000000902673</v>
      </c>
      <c r="F26" s="41">
        <f t="shared" si="5"/>
        <v>0.18483262332935624</v>
      </c>
      <c r="G26" s="41">
        <f t="shared" si="6"/>
        <v>1.8515769427636108</v>
      </c>
      <c r="H26" s="41">
        <f t="shared" si="7"/>
        <v>-1.300000000000523</v>
      </c>
      <c r="I26" s="41">
        <f t="shared" si="8"/>
        <v>1.3757772271683066</v>
      </c>
      <c r="J26" s="41">
        <f t="shared" si="9"/>
        <v>4.5033029881725009</v>
      </c>
      <c r="K26" s="41">
        <f t="shared" si="10"/>
        <v>-2.7499999999918145</v>
      </c>
      <c r="L26" s="41">
        <f t="shared" si="11"/>
        <v>-2.6326533651621631</v>
      </c>
      <c r="M26" s="41">
        <f t="shared" si="12"/>
        <v>-5.475548873030478</v>
      </c>
      <c r="N26" s="41">
        <f t="shared" si="13"/>
        <v>-5.3750000000292175</v>
      </c>
      <c r="O26" s="42">
        <f t="shared" si="14"/>
        <v>-0.66294695011226423</v>
      </c>
      <c r="P26" s="42">
        <f t="shared" si="15"/>
        <v>-4.6122664935719371</v>
      </c>
      <c r="Q26" s="42">
        <f t="shared" si="16"/>
        <v>1.6999999999995907</v>
      </c>
      <c r="R26" s="23" t="str">
        <f>IF(Convergences!J26="","",Convergences!J26)</f>
        <v/>
      </c>
      <c r="S26" s="96">
        <f t="shared" ref="S26" si="32">K26*2</f>
        <v>-5.4999999999836291</v>
      </c>
      <c r="T26" s="71"/>
    </row>
    <row r="27" spans="1:20" ht="31.5" customHeight="1">
      <c r="A27" s="28">
        <f t="shared" si="0"/>
        <v>129</v>
      </c>
      <c r="B27" s="29">
        <f t="shared" si="1"/>
        <v>45453</v>
      </c>
      <c r="C27" s="41">
        <f t="shared" si="2"/>
        <v>-1.9984594874626893</v>
      </c>
      <c r="D27" s="41">
        <f t="shared" si="3"/>
        <v>3.8126317599052051</v>
      </c>
      <c r="E27" s="41">
        <f t="shared" si="4"/>
        <v>0.85000000001400622</v>
      </c>
      <c r="F27" s="41">
        <f t="shared" si="5"/>
        <v>0.69841067750697761</v>
      </c>
      <c r="G27" s="41">
        <f t="shared" si="6"/>
        <v>2.091052373647706</v>
      </c>
      <c r="H27" s="41">
        <f t="shared" si="7"/>
        <v>-1.4666666666585115</v>
      </c>
      <c r="I27" s="41">
        <f t="shared" si="8"/>
        <v>1.8590469529931042</v>
      </c>
      <c r="J27" s="41">
        <f t="shared" si="9"/>
        <v>4.4133976374403812</v>
      </c>
      <c r="K27" s="41">
        <f t="shared" si="10"/>
        <v>-2.7499999999918145</v>
      </c>
      <c r="L27" s="41">
        <f t="shared" si="11"/>
        <v>-1.8634761504916497</v>
      </c>
      <c r="M27" s="41">
        <f t="shared" si="12"/>
        <v>-5.7053543471057289</v>
      </c>
      <c r="N27" s="41">
        <f t="shared" si="13"/>
        <v>-5.4750000000183263</v>
      </c>
      <c r="O27" s="42">
        <f t="shared" si="14"/>
        <v>-0.94001920507835734</v>
      </c>
      <c r="P27" s="42">
        <f t="shared" si="15"/>
        <v>-5.2011992475042845</v>
      </c>
      <c r="Q27" s="42">
        <f t="shared" si="16"/>
        <v>2.0499999999969987</v>
      </c>
      <c r="R27" s="23" t="str">
        <f>IF(Convergences!J27="","",Convergences!J27)</f>
        <v/>
      </c>
      <c r="S27" s="96">
        <f t="shared" ref="S27" si="33">K27*2</f>
        <v>-5.4999999999836291</v>
      </c>
      <c r="T27" s="71"/>
    </row>
    <row r="28" spans="1:20" ht="31.5" customHeight="1">
      <c r="A28" s="28">
        <f t="shared" si="0"/>
        <v>157</v>
      </c>
      <c r="B28" s="29">
        <f t="shared" si="1"/>
        <v>45481</v>
      </c>
      <c r="C28" s="41">
        <f t="shared" si="2"/>
        <v>-2.5478444326152427</v>
      </c>
      <c r="D28" s="41">
        <f t="shared" si="3"/>
        <v>4.9908405226295471</v>
      </c>
      <c r="E28" s="41">
        <f t="shared" si="4"/>
        <v>0.29999999999574811</v>
      </c>
      <c r="F28" s="41">
        <f t="shared" si="5"/>
        <v>0.13086531339912</v>
      </c>
      <c r="G28" s="41">
        <f t="shared" si="6"/>
        <v>3.1504561030399891</v>
      </c>
      <c r="H28" s="41">
        <f t="shared" si="7"/>
        <v>-1.5999999999962711</v>
      </c>
      <c r="I28" s="41">
        <f t="shared" si="8"/>
        <v>1.4847407817697444</v>
      </c>
      <c r="J28" s="41">
        <f t="shared" si="9"/>
        <v>5.2161331597173657</v>
      </c>
      <c r="K28" s="41">
        <f t="shared" si="10"/>
        <v>-3.1499999999908823</v>
      </c>
      <c r="L28" s="41">
        <f t="shared" si="11"/>
        <v>-2.9406974097030414</v>
      </c>
      <c r="M28" s="41">
        <f t="shared" si="12"/>
        <v>-5.288175331551459</v>
      </c>
      <c r="N28" s="41">
        <f t="shared" si="13"/>
        <v>-5.9750000000207137</v>
      </c>
      <c r="O28" s="42">
        <f t="shared" si="14"/>
        <v>-1.5993005487615619</v>
      </c>
      <c r="P28" s="42">
        <f t="shared" si="15"/>
        <v>-4.4971922520988805</v>
      </c>
      <c r="Q28" s="42">
        <f t="shared" si="16"/>
        <v>1.6999999999995907</v>
      </c>
      <c r="R28" s="23" t="str">
        <f>IF(Convergences!J28="","",Convergences!J28)</f>
        <v/>
      </c>
      <c r="S28" s="96">
        <f t="shared" ref="S28" si="34">K28*2</f>
        <v>-6.2999999999817646</v>
      </c>
      <c r="T28" s="71"/>
    </row>
    <row r="29" spans="1:20" ht="31.5" customHeight="1">
      <c r="A29" s="28">
        <f t="shared" si="0"/>
        <v>220</v>
      </c>
      <c r="B29" s="29">
        <f t="shared" si="1"/>
        <v>45544</v>
      </c>
      <c r="C29" s="41">
        <f t="shared" si="2"/>
        <v>-2.1313513079528335</v>
      </c>
      <c r="D29" s="41">
        <f t="shared" si="3"/>
        <v>3.8610026464307445</v>
      </c>
      <c r="E29" s="41">
        <f t="shared" si="4"/>
        <v>-0.29999999999574811</v>
      </c>
      <c r="F29" s="41">
        <f t="shared" si="5"/>
        <v>0.55346912493003941</v>
      </c>
      <c r="G29" s="41">
        <f t="shared" si="6"/>
        <v>2.2441416539420445</v>
      </c>
      <c r="H29" s="41">
        <f t="shared" si="7"/>
        <v>-1.5000000000071623</v>
      </c>
      <c r="I29" s="41">
        <f t="shared" si="8"/>
        <v>1.9134552730601939</v>
      </c>
      <c r="J29" s="41">
        <f t="shared" si="9"/>
        <v>4.5333418775084668</v>
      </c>
      <c r="K29" s="41">
        <f t="shared" si="10"/>
        <v>-2.7499999999918145</v>
      </c>
      <c r="L29" s="41">
        <f t="shared" si="11"/>
        <v>-2.5812270296921014</v>
      </c>
      <c r="M29" s="41">
        <f t="shared" si="12"/>
        <v>-5.2308952897894834</v>
      </c>
      <c r="N29" s="41">
        <f t="shared" si="13"/>
        <v>-5.3250000000133468</v>
      </c>
      <c r="O29" s="42">
        <f t="shared" si="14"/>
        <v>-1.0616223973594074</v>
      </c>
      <c r="P29" s="42">
        <f t="shared" si="15"/>
        <v>-4.4671533135680619</v>
      </c>
      <c r="Q29" s="42">
        <f t="shared" si="16"/>
        <v>0.99999999999056399</v>
      </c>
      <c r="R29" s="23" t="str">
        <f>IF(Convergences!J29="","",Convergences!J29)</f>
        <v/>
      </c>
      <c r="S29" s="96">
        <f t="shared" ref="S29" si="35">K29*2</f>
        <v>-5.4999999999836291</v>
      </c>
      <c r="T29" s="71"/>
    </row>
    <row r="30" spans="1:20" ht="31.5" customHeight="1">
      <c r="A30" s="28">
        <f t="shared" si="0"/>
        <v>277</v>
      </c>
      <c r="B30" s="29">
        <f t="shared" si="1"/>
        <v>45601</v>
      </c>
      <c r="C30" s="41">
        <f t="shared" si="2"/>
        <v>-2.1313513079528335</v>
      </c>
      <c r="D30" s="41">
        <f t="shared" si="3"/>
        <v>3.8610026464307445</v>
      </c>
      <c r="E30" s="41">
        <f t="shared" si="4"/>
        <v>0</v>
      </c>
      <c r="F30" s="41">
        <f t="shared" si="5"/>
        <v>0.55346912493003941</v>
      </c>
      <c r="G30" s="41">
        <f t="shared" si="6"/>
        <v>2.2441416539420445</v>
      </c>
      <c r="H30" s="41">
        <f t="shared" si="7"/>
        <v>-2.0000000000095497</v>
      </c>
      <c r="I30" s="41">
        <f t="shared" si="8"/>
        <v>1.9134552730601939</v>
      </c>
      <c r="J30" s="41">
        <f t="shared" si="9"/>
        <v>4.5333418775084668</v>
      </c>
      <c r="K30" s="41">
        <f t="shared" si="10"/>
        <v>-3.249999999994202</v>
      </c>
      <c r="L30" s="41">
        <f t="shared" si="11"/>
        <v>-2.2217565512852033</v>
      </c>
      <c r="M30" s="41">
        <f t="shared" si="12"/>
        <v>-5.1736154590504846</v>
      </c>
      <c r="N30" s="41">
        <f t="shared" si="13"/>
        <v>-5.7750000000282853</v>
      </c>
      <c r="O30" s="42">
        <f t="shared" si="14"/>
        <v>-1.0616223973594074</v>
      </c>
      <c r="P30" s="42">
        <f t="shared" si="15"/>
        <v>-4.4671533135680619</v>
      </c>
      <c r="Q30" s="42">
        <f t="shared" si="16"/>
        <v>1.1999999999829924</v>
      </c>
      <c r="R30" s="23" t="str">
        <f>IF(Convergences!J30="","",Convergences!J30)</f>
        <v/>
      </c>
      <c r="S30" s="96">
        <f t="shared" ref="S30" si="36">K30*2</f>
        <v>-6.4999999999884039</v>
      </c>
      <c r="T30" s="71"/>
    </row>
    <row r="31" spans="1:20" ht="31.5" customHeight="1">
      <c r="A31" s="28">
        <f t="shared" si="0"/>
        <v>347</v>
      </c>
      <c r="B31" s="29">
        <f t="shared" si="1"/>
        <v>45671</v>
      </c>
      <c r="C31" s="41">
        <f t="shared" si="2"/>
        <v>-4.8070057105320529</v>
      </c>
      <c r="D31" s="41">
        <f t="shared" si="3"/>
        <v>5.8131487795707315</v>
      </c>
      <c r="E31" s="41">
        <f t="shared" si="4"/>
        <v>0.79999999999813554</v>
      </c>
      <c r="F31" s="41">
        <f t="shared" si="5"/>
        <v>-1.119643009550586</v>
      </c>
      <c r="G31" s="41">
        <f t="shared" si="6"/>
        <v>3.2293807191061674</v>
      </c>
      <c r="H31" s="41">
        <f t="shared" si="7"/>
        <v>-2.3999999999944066</v>
      </c>
      <c r="I31" s="41">
        <f t="shared" si="8"/>
        <v>0.20367903869278337</v>
      </c>
      <c r="J31" s="41">
        <f t="shared" si="9"/>
        <v>4.1774411607070467</v>
      </c>
      <c r="K31" s="41">
        <f t="shared" si="10"/>
        <v>-4.2499999999989768</v>
      </c>
      <c r="L31" s="41">
        <f t="shared" si="11"/>
        <v>-3.919825689601808</v>
      </c>
      <c r="M31" s="41">
        <f t="shared" si="12"/>
        <v>-6.737764249947098</v>
      </c>
      <c r="N31" s="41">
        <f t="shared" si="13"/>
        <v>-7.175000000017917</v>
      </c>
      <c r="O31" s="42">
        <f t="shared" si="14"/>
        <v>-2.4093872843700126</v>
      </c>
      <c r="P31" s="42">
        <f t="shared" si="15"/>
        <v>-6.3093069923372269</v>
      </c>
      <c r="Q31" s="42">
        <f t="shared" si="16"/>
        <v>2.1999999999877673</v>
      </c>
      <c r="R31" s="23" t="str">
        <f>IF(Convergences!J31="","",Convergences!J31)</f>
        <v/>
      </c>
      <c r="S31" s="96">
        <f t="shared" ref="S31" si="37">K31*2</f>
        <v>-8.4999999999979536</v>
      </c>
      <c r="T31" s="71"/>
    </row>
    <row r="32" spans="1:20" ht="31.5" customHeight="1">
      <c r="A32" s="28">
        <f t="shared" si="0"/>
        <v>388</v>
      </c>
      <c r="B32" s="29">
        <f t="shared" si="1"/>
        <v>45712</v>
      </c>
      <c r="C32" s="41">
        <f t="shared" si="2"/>
        <v>-3.2784923870847749</v>
      </c>
      <c r="D32" s="41">
        <f t="shared" si="3"/>
        <v>6.0845287242234924</v>
      </c>
      <c r="E32" s="41">
        <f t="shared" si="4"/>
        <v>0.79999999999813554</v>
      </c>
      <c r="F32" s="41">
        <f t="shared" si="5"/>
        <v>0.36660990322356923</v>
      </c>
      <c r="G32" s="41">
        <f t="shared" si="6"/>
        <v>3.5913921719754605</v>
      </c>
      <c r="H32" s="41">
        <f t="shared" si="7"/>
        <v>-2.2000000000019782</v>
      </c>
      <c r="I32" s="41">
        <f t="shared" si="8"/>
        <v>1.1038828080316421</v>
      </c>
      <c r="J32" s="41">
        <f t="shared" si="9"/>
        <v>4.3765218053559103</v>
      </c>
      <c r="K32" s="41">
        <f t="shared" si="10"/>
        <v>-4.0499999999923375</v>
      </c>
      <c r="L32" s="41">
        <f t="shared" si="11"/>
        <v>-3.1341816872547668</v>
      </c>
      <c r="M32" s="41">
        <f t="shared" si="12"/>
        <v>-5.819742697682484</v>
      </c>
      <c r="N32" s="41">
        <f t="shared" si="13"/>
        <v>-7.175000000017917</v>
      </c>
      <c r="O32" s="42">
        <f t="shared" si="14"/>
        <v>-1.6237432820194186</v>
      </c>
      <c r="P32" s="42">
        <f t="shared" si="15"/>
        <v>-5.3912854400759436</v>
      </c>
      <c r="Q32" s="42">
        <f t="shared" si="16"/>
        <v>1.9999999999953388</v>
      </c>
      <c r="R32" s="23" t="str">
        <f>IF(Convergences!J32="","",Convergences!J32)</f>
        <v/>
      </c>
      <c r="S32" s="96">
        <f t="shared" ref="S32" si="38">K32*2</f>
        <v>-8.099999999984675</v>
      </c>
      <c r="T32" s="71"/>
    </row>
    <row r="33" spans="1:20" ht="31.5" customHeight="1">
      <c r="A33" s="28">
        <f t="shared" si="0"/>
        <v>398</v>
      </c>
      <c r="B33" s="29">
        <f t="shared" si="1"/>
        <v>45722</v>
      </c>
      <c r="C33" s="41">
        <f t="shared" si="2"/>
        <v>-3.5564973875823469</v>
      </c>
      <c r="D33" s="41">
        <f t="shared" si="3"/>
        <v>5.7342241635045532</v>
      </c>
      <c r="E33" s="41">
        <f t="shared" si="4"/>
        <v>1.4000000000038426</v>
      </c>
      <c r="F33" s="41"/>
      <c r="G33" s="41"/>
      <c r="H33" s="41"/>
      <c r="I33" s="41">
        <f t="shared" si="8"/>
        <v>0.33046017231175284</v>
      </c>
      <c r="J33" s="41">
        <f t="shared" si="9"/>
        <v>3.9055468470815535</v>
      </c>
      <c r="K33" s="41">
        <f t="shared" si="10"/>
        <v>-4.3499999999880856</v>
      </c>
      <c r="L33" s="41"/>
      <c r="M33" s="41"/>
      <c r="N33" s="41"/>
      <c r="O33" s="42">
        <f t="shared" si="14"/>
        <v>-1.6542966950350291</v>
      </c>
      <c r="P33" s="42">
        <f t="shared" si="15"/>
        <v>-6.5089017949415684</v>
      </c>
      <c r="Q33" s="42">
        <f t="shared" si="16"/>
        <v>2.299999999991087</v>
      </c>
      <c r="R33" s="23" t="str">
        <f>IF(Convergences!J33="","",Convergences!J33)</f>
        <v/>
      </c>
      <c r="S33" s="96">
        <f t="shared" ref="S33" si="39">K33*2</f>
        <v>-8.6999999999761712</v>
      </c>
      <c r="T33" s="71"/>
    </row>
    <row r="34" spans="1:20" ht="31.5" customHeight="1">
      <c r="A34" s="28">
        <f t="shared" si="0"/>
        <v>402</v>
      </c>
      <c r="B34" s="29">
        <f t="shared" si="1"/>
        <v>45726</v>
      </c>
      <c r="C34" s="41">
        <f t="shared" si="2"/>
        <v>-3.8462094841342775</v>
      </c>
      <c r="D34" s="41">
        <f t="shared" si="3"/>
        <v>6.592167676876759</v>
      </c>
      <c r="E34" s="41">
        <f t="shared" si="4"/>
        <v>1.1000000000080945</v>
      </c>
      <c r="F34" s="41">
        <f t="shared" si="5"/>
        <v>-2.5954864264932098E-2</v>
      </c>
      <c r="G34" s="41">
        <f t="shared" si="6"/>
        <v>3.960028518870562</v>
      </c>
      <c r="H34" s="41">
        <f t="shared" si="7"/>
        <v>-2.7000000000043656</v>
      </c>
      <c r="I34" s="41">
        <f t="shared" si="8"/>
        <v>0.78972808373212189</v>
      </c>
      <c r="J34" s="41">
        <f t="shared" si="9"/>
        <v>4.3403721799498092</v>
      </c>
      <c r="K34" s="41">
        <f t="shared" si="10"/>
        <v>-4.6499999999980446</v>
      </c>
      <c r="L34" s="41"/>
      <c r="M34" s="41"/>
      <c r="N34" s="41"/>
      <c r="O34" s="42">
        <f t="shared" si="14"/>
        <v>-2.0529721422830605</v>
      </c>
      <c r="P34" s="42">
        <f t="shared" si="15"/>
        <v>-6.3637886149336964</v>
      </c>
      <c r="Q34" s="42">
        <f t="shared" si="16"/>
        <v>1.9999999999953388</v>
      </c>
      <c r="R34" s="23" t="str">
        <f>IF(Convergences!J34="","",Convergences!J34)</f>
        <v/>
      </c>
      <c r="S34" s="96">
        <f t="shared" ref="S34" si="40">K34*2</f>
        <v>-9.2999999999960892</v>
      </c>
      <c r="T34" s="71"/>
    </row>
    <row r="35" spans="1:20" ht="31.5" customHeight="1">
      <c r="A35" s="28">
        <f t="shared" si="0"/>
        <v>406</v>
      </c>
      <c r="B35" s="29">
        <f t="shared" si="1"/>
        <v>45730</v>
      </c>
      <c r="C35" s="41">
        <f t="shared" si="2"/>
        <v>-3.3752344766622144</v>
      </c>
      <c r="D35" s="41">
        <f t="shared" si="3"/>
        <v>5.818744935648823</v>
      </c>
      <c r="E35" s="41">
        <f t="shared" si="4"/>
        <v>0.60000000000570708</v>
      </c>
      <c r="F35" s="41">
        <f t="shared" si="5"/>
        <v>-0.39459136586383892</v>
      </c>
      <c r="G35" s="41">
        <f t="shared" si="6"/>
        <v>3.5674638076921283</v>
      </c>
      <c r="H35" s="41">
        <f t="shared" si="7"/>
        <v>-2.7999999999934744</v>
      </c>
      <c r="I35" s="41">
        <f t="shared" si="8"/>
        <v>1.0794401802822762</v>
      </c>
      <c r="J35" s="41">
        <f t="shared" si="9"/>
        <v>3.4824286665729351</v>
      </c>
      <c r="K35" s="41">
        <f t="shared" si="10"/>
        <v>-5.0499999999971124</v>
      </c>
      <c r="L35" s="41"/>
      <c r="M35" s="41"/>
      <c r="N35" s="41"/>
      <c r="O35" s="42">
        <f t="shared" si="14"/>
        <v>-1.2678425089092116</v>
      </c>
      <c r="P35" s="42">
        <f t="shared" si="15"/>
        <v>-7.1010615197377724</v>
      </c>
      <c r="Q35" s="42">
        <f t="shared" si="16"/>
        <v>1.5999999999962711</v>
      </c>
      <c r="R35" s="23" t="str">
        <f>IF(Convergences!J35="","",Convergences!J35)</f>
        <v/>
      </c>
      <c r="S35" s="96">
        <f t="shared" ref="S35" si="41">K35*2</f>
        <v>-10.099999999994225</v>
      </c>
      <c r="T35" s="71"/>
    </row>
    <row r="36" spans="1:20" ht="31.5" customHeight="1">
      <c r="A36" s="28">
        <f t="shared" si="0"/>
        <v>412</v>
      </c>
      <c r="B36" s="29">
        <f t="shared" si="1"/>
        <v>45736</v>
      </c>
      <c r="C36" s="41">
        <f t="shared" si="2"/>
        <v>-3.6349075291690625</v>
      </c>
      <c r="D36" s="41">
        <f t="shared" si="3"/>
        <v>6.1390103468186297</v>
      </c>
      <c r="E36" s="41">
        <f t="shared" si="4"/>
        <v>0.79999999999813554</v>
      </c>
      <c r="F36" s="41">
        <f t="shared" si="5"/>
        <v>-0.29784917789132948</v>
      </c>
      <c r="G36" s="41">
        <f t="shared" si="6"/>
        <v>3.8332473852520366</v>
      </c>
      <c r="H36" s="41">
        <f t="shared" si="7"/>
        <v>-2.899999999996794</v>
      </c>
      <c r="I36" s="41">
        <f t="shared" si="8"/>
        <v>5.2455171814180801E-2</v>
      </c>
      <c r="J36" s="41">
        <f t="shared" si="9"/>
        <v>3.555242286357398</v>
      </c>
      <c r="K36" s="41">
        <f t="shared" si="10"/>
        <v>-5.4499999999961801</v>
      </c>
      <c r="L36" s="41"/>
      <c r="M36" s="41"/>
      <c r="N36" s="41"/>
      <c r="O36" s="42">
        <f t="shared" si="14"/>
        <v>-1.2316928835032215</v>
      </c>
      <c r="P36" s="42">
        <f t="shared" si="15"/>
        <v>-7.4152162440381808</v>
      </c>
      <c r="Q36" s="42">
        <f t="shared" si="16"/>
        <v>1.6999999999995907</v>
      </c>
      <c r="R36" s="23" t="str">
        <f>IF(Convergences!J36="","",Convergences!J36)</f>
        <v/>
      </c>
      <c r="S36" s="96">
        <f t="shared" ref="S36" si="42">K36*2</f>
        <v>-10.89999999999236</v>
      </c>
      <c r="T36" s="71"/>
    </row>
    <row r="37" spans="1:20" ht="31.5" customHeight="1">
      <c r="A37" s="28">
        <f t="shared" si="0"/>
        <v>420</v>
      </c>
      <c r="B37" s="29">
        <f t="shared" si="1"/>
        <v>45744</v>
      </c>
      <c r="C37" s="41">
        <f t="shared" si="2"/>
        <v>-3.0488583857328777</v>
      </c>
      <c r="D37" s="41">
        <f t="shared" si="3"/>
        <v>6.3019411550442328</v>
      </c>
      <c r="E37" s="41">
        <f t="shared" si="4"/>
        <v>0.20000000000663931</v>
      </c>
      <c r="F37" s="41">
        <f t="shared" si="5"/>
        <v>0.46335209119696685</v>
      </c>
      <c r="G37" s="41">
        <f t="shared" si="6"/>
        <v>3.8571757495322601</v>
      </c>
      <c r="H37" s="41">
        <f t="shared" si="7"/>
        <v>-3.2999999999958618</v>
      </c>
      <c r="I37" s="41">
        <f t="shared" si="8"/>
        <v>-1.0901183344804721</v>
      </c>
      <c r="J37" s="41">
        <f t="shared" si="9"/>
        <v>1.0364081598400952</v>
      </c>
      <c r="K37" s="41">
        <f t="shared" si="10"/>
        <v>-7.8499999999905867</v>
      </c>
      <c r="L37" s="41"/>
      <c r="M37" s="41"/>
      <c r="N37" s="41"/>
      <c r="O37" s="42">
        <f t="shared" si="14"/>
        <v>-0.79075692007357645</v>
      </c>
      <c r="P37" s="42">
        <f t="shared" si="15"/>
        <v>-7.6509608830646059</v>
      </c>
      <c r="Q37" s="42">
        <f t="shared" si="16"/>
        <v>1.0999999999938836</v>
      </c>
      <c r="R37" s="23" t="str">
        <f>IF(Convergences!J37="","",Convergences!J37)</f>
        <v/>
      </c>
      <c r="S37" s="96">
        <f t="shared" ref="S37" si="43">K37*2</f>
        <v>-15.699999999981173</v>
      </c>
      <c r="T37" s="71"/>
    </row>
    <row r="38" spans="1:20" ht="31.5" customHeight="1">
      <c r="A38" s="28">
        <f t="shared" si="0"/>
        <v>424</v>
      </c>
      <c r="B38" s="29">
        <f t="shared" si="1"/>
        <v>45748</v>
      </c>
      <c r="C38" s="41">
        <f t="shared" si="2"/>
        <v>-3.8068757964992983</v>
      </c>
      <c r="D38" s="41">
        <f t="shared" si="3"/>
        <v>6.8035981467287066</v>
      </c>
      <c r="E38" s="41">
        <f t="shared" si="4"/>
        <v>0.55000000000404725</v>
      </c>
      <c r="F38" s="41">
        <f t="shared" si="5"/>
        <v>-5.6096822881990249E-2</v>
      </c>
      <c r="G38" s="41">
        <f t="shared" si="6"/>
        <v>4.1666477620254661</v>
      </c>
      <c r="H38" s="41">
        <f t="shared" si="7"/>
        <v>-3.140000000001919</v>
      </c>
      <c r="I38" s="41">
        <f t="shared" si="8"/>
        <v>-3.3640574906419474</v>
      </c>
      <c r="J38" s="41">
        <f t="shared" si="9"/>
        <v>-1.9547998672086522</v>
      </c>
      <c r="K38" s="41">
        <f t="shared" si="10"/>
        <v>-8.8749999999890861</v>
      </c>
      <c r="L38" s="41"/>
      <c r="M38" s="41"/>
      <c r="N38" s="41"/>
      <c r="O38" s="42">
        <f t="shared" si="14"/>
        <v>-1.5130103556142416</v>
      </c>
      <c r="P38" s="42">
        <f t="shared" si="15"/>
        <v>-8.7049295921350911</v>
      </c>
      <c r="Q38" s="42">
        <f t="shared" si="16"/>
        <v>1.6749999999916554</v>
      </c>
      <c r="R38" s="23" t="str">
        <f>IF(Convergences!J38="","",Convergences!J38)</f>
        <v/>
      </c>
      <c r="S38" s="96">
        <f t="shared" ref="S38" si="44">K38*2</f>
        <v>-17.749999999978172</v>
      </c>
      <c r="T38" s="71"/>
    </row>
    <row r="39" spans="1:20" ht="31.5" customHeight="1">
      <c r="A39" s="28">
        <f t="shared" si="0"/>
        <v>427</v>
      </c>
      <c r="B39" s="29">
        <f t="shared" si="1"/>
        <v>45751</v>
      </c>
      <c r="C39" s="41">
        <f t="shared" si="2"/>
        <v>-4.3049629210720752</v>
      </c>
      <c r="D39" s="41">
        <f t="shared" si="3"/>
        <v>7.8126368502711152</v>
      </c>
      <c r="E39" s="41">
        <f t="shared" si="4"/>
        <v>0.50000000000238742</v>
      </c>
      <c r="F39" s="41">
        <f t="shared" si="5"/>
        <v>-0.5208581305113924</v>
      </c>
      <c r="G39" s="41">
        <f t="shared" si="6"/>
        <v>5.4946525783861055</v>
      </c>
      <c r="H39" s="41">
        <f t="shared" si="7"/>
        <v>-2.7999999999934744</v>
      </c>
      <c r="I39" s="41">
        <f t="shared" si="8"/>
        <v>-5.2479725514773534</v>
      </c>
      <c r="J39" s="41">
        <f t="shared" si="9"/>
        <v>-3.7711118704655093</v>
      </c>
      <c r="K39" s="41">
        <f t="shared" si="10"/>
        <v>-9.7499999999968168</v>
      </c>
      <c r="L39" s="41"/>
      <c r="M39" s="41"/>
      <c r="N39" s="41"/>
      <c r="O39" s="42">
        <f t="shared" si="14"/>
        <v>-2.8992087072010619</v>
      </c>
      <c r="P39" s="42">
        <f t="shared" si="15"/>
        <v>-7.8617484690504114</v>
      </c>
      <c r="Q39" s="42">
        <f t="shared" si="16"/>
        <v>1.5999999999962711</v>
      </c>
      <c r="R39" s="23" t="str">
        <f>IF(Convergences!J39="","",Convergences!J39)</f>
        <v/>
      </c>
      <c r="S39" s="96">
        <f t="shared" ref="S39" si="45">K39*2</f>
        <v>-19.499999999993634</v>
      </c>
      <c r="T39" s="71"/>
    </row>
    <row r="40" spans="1:20" ht="31.5" customHeight="1">
      <c r="A40" s="28">
        <f t="shared" si="0"/>
        <v>430</v>
      </c>
      <c r="B40" s="29">
        <f t="shared" si="1"/>
        <v>45754</v>
      </c>
      <c r="C40" s="41">
        <f t="shared" si="2"/>
        <v>-4.5885642323533204</v>
      </c>
      <c r="D40" s="41">
        <f t="shared" si="3"/>
        <v>8.8941035797320822</v>
      </c>
      <c r="E40" s="41">
        <f t="shared" si="4"/>
        <v>0.50000000000238742</v>
      </c>
      <c r="F40" s="41">
        <f t="shared" si="5"/>
        <v>-0.45415498658130105</v>
      </c>
      <c r="G40" s="41">
        <f t="shared" si="6"/>
        <v>6.298114258149301</v>
      </c>
      <c r="H40" s="41">
        <f t="shared" si="7"/>
        <v>-3.2999999999958618</v>
      </c>
      <c r="I40" s="41">
        <f t="shared" si="8"/>
        <v>-5.8946140535764968</v>
      </c>
      <c r="J40" s="41">
        <f t="shared" si="9"/>
        <v>-4.5139811423662026</v>
      </c>
      <c r="K40" s="41">
        <f t="shared" si="10"/>
        <v>-10.349999999988313</v>
      </c>
      <c r="L40" s="41"/>
      <c r="M40" s="41"/>
      <c r="N40" s="41"/>
      <c r="O40" s="42">
        <f t="shared" si="14"/>
        <v>-2.8508375112625828</v>
      </c>
      <c r="P40" s="42">
        <f t="shared" si="15"/>
        <v>-7.7288567611804027</v>
      </c>
      <c r="Q40" s="42">
        <f t="shared" si="16"/>
        <v>1.7999999999886995</v>
      </c>
      <c r="R40" s="23" t="str">
        <f>IF(Convergences!J40="","",Convergences!J40)</f>
        <v/>
      </c>
      <c r="S40" s="96">
        <f t="shared" ref="S40" si="46">K40*2</f>
        <v>-20.699999999976626</v>
      </c>
      <c r="T40" s="71"/>
    </row>
    <row r="41" spans="1:20" ht="31.5" customHeight="1">
      <c r="A41" s="28">
        <f t="shared" si="0"/>
        <v>432</v>
      </c>
      <c r="B41" s="29">
        <f t="shared" si="1"/>
        <v>45756</v>
      </c>
      <c r="C41" s="41">
        <f t="shared" si="2"/>
        <v>-4.2443705624046757</v>
      </c>
      <c r="D41" s="41">
        <f t="shared" si="3"/>
        <v>8.3925753139539871</v>
      </c>
      <c r="E41" s="41">
        <f t="shared" si="4"/>
        <v>0.60000000000570708</v>
      </c>
      <c r="F41" s="41"/>
      <c r="G41" s="41"/>
      <c r="H41" s="41"/>
      <c r="I41" s="41">
        <f t="shared" si="8"/>
        <v>-5.9373888332219238</v>
      </c>
      <c r="J41" s="41">
        <f t="shared" si="9"/>
        <v>-6.0786440912169866</v>
      </c>
      <c r="K41" s="41">
        <f t="shared" si="10"/>
        <v>-11.04999999999734</v>
      </c>
      <c r="L41" s="41"/>
      <c r="M41" s="41"/>
      <c r="N41" s="41"/>
      <c r="O41" s="42">
        <f t="shared" si="14"/>
        <v>-2.4704941103994571</v>
      </c>
      <c r="P41" s="42">
        <f t="shared" si="15"/>
        <v>-8.5445397020667002</v>
      </c>
      <c r="Q41" s="42">
        <f t="shared" si="16"/>
        <v>1.7999999999886995</v>
      </c>
      <c r="R41" s="23" t="str">
        <f>IF(Convergences!J41="","",Convergences!J41)</f>
        <v/>
      </c>
      <c r="S41" s="96">
        <f t="shared" ref="S41" si="47">K41*2</f>
        <v>-22.099999999994679</v>
      </c>
      <c r="T41" s="71"/>
    </row>
    <row r="42" spans="1:20" ht="31.5" customHeight="1">
      <c r="A42" s="28">
        <f t="shared" si="0"/>
        <v>438</v>
      </c>
      <c r="B42" s="29">
        <f t="shared" si="1"/>
        <v>45762</v>
      </c>
      <c r="C42" s="41">
        <f t="shared" si="2"/>
        <v>-4.0330686074430133</v>
      </c>
      <c r="D42" s="41">
        <f t="shared" si="3"/>
        <v>7.9394179838927492</v>
      </c>
      <c r="E42" s="41">
        <f t="shared" si="4"/>
        <v>0.39999999999906777</v>
      </c>
      <c r="F42" s="41">
        <f t="shared" si="5"/>
        <v>-0.38796631713466923</v>
      </c>
      <c r="G42" s="41">
        <f t="shared" si="6"/>
        <v>5.4462814316438291</v>
      </c>
      <c r="H42" s="41">
        <f t="shared" si="7"/>
        <v>-3.1000000000034333</v>
      </c>
      <c r="I42" s="41">
        <f t="shared" si="8"/>
        <v>-6.9709988904227416</v>
      </c>
      <c r="J42" s="41">
        <f t="shared" si="9"/>
        <v>-7.8846480953874662</v>
      </c>
      <c r="K42" s="41">
        <f t="shared" si="10"/>
        <v>-11.349999999993088</v>
      </c>
      <c r="L42" s="41"/>
      <c r="M42" s="41"/>
      <c r="N42" s="41"/>
      <c r="O42" s="42">
        <f t="shared" si="14"/>
        <v>-2.4282336997289988</v>
      </c>
      <c r="P42" s="42">
        <f t="shared" si="15"/>
        <v>-8.6351712102810119</v>
      </c>
      <c r="Q42" s="42">
        <f t="shared" si="16"/>
        <v>1.6999999999995907</v>
      </c>
      <c r="R42" s="23" t="str">
        <f>IF(Convergences!J42="","",Convergences!J42)</f>
        <v/>
      </c>
      <c r="S42" s="96">
        <f t="shared" ref="S42" si="48">K42*2</f>
        <v>-22.699999999986176</v>
      </c>
      <c r="T42" s="71"/>
    </row>
    <row r="43" spans="1:20" ht="31.5" customHeight="1">
      <c r="A43" s="28">
        <f t="shared" si="0"/>
        <v>445</v>
      </c>
      <c r="B43" s="29">
        <f t="shared" si="1"/>
        <v>45769</v>
      </c>
      <c r="C43" s="41">
        <f t="shared" si="2"/>
        <v>-4.546303920077932</v>
      </c>
      <c r="D43" s="41">
        <f t="shared" si="3"/>
        <v>8.8034722825329759</v>
      </c>
      <c r="E43" s="41">
        <f t="shared" si="4"/>
        <v>0.50000000000238742</v>
      </c>
      <c r="F43" s="41">
        <f t="shared" si="5"/>
        <v>-0.63541789750143352</v>
      </c>
      <c r="G43" s="41">
        <f t="shared" si="6"/>
        <v>6.2135934860045872</v>
      </c>
      <c r="H43" s="41">
        <f t="shared" si="7"/>
        <v>-3.3999999999991815</v>
      </c>
      <c r="I43" s="41">
        <f t="shared" si="8"/>
        <v>-6.5249811890879528</v>
      </c>
      <c r="J43" s="41">
        <f t="shared" si="9"/>
        <v>-11.20745831983977</v>
      </c>
      <c r="K43" s="41">
        <f t="shared" si="10"/>
        <v>-12.949999999989359</v>
      </c>
      <c r="L43" s="41"/>
      <c r="M43" s="41"/>
      <c r="N43" s="41"/>
      <c r="O43" s="42">
        <f t="shared" si="14"/>
        <v>-2.2169318431597418</v>
      </c>
      <c r="P43" s="42">
        <f t="shared" si="15"/>
        <v>-9.0883283293217154</v>
      </c>
      <c r="Q43" s="42">
        <f t="shared" si="16"/>
        <v>1.3999999999896318</v>
      </c>
      <c r="R43" s="23" t="str">
        <f>IF(Convergences!J43="","",Convergences!J43)</f>
        <v/>
      </c>
      <c r="S43" s="96">
        <f t="shared" ref="S43" si="49">K43*2</f>
        <v>-25.899999999978718</v>
      </c>
      <c r="T43" s="71"/>
    </row>
    <row r="44" spans="1:20" ht="31.5" customHeight="1">
      <c r="A44" s="28">
        <f t="shared" si="0"/>
        <v>448</v>
      </c>
      <c r="B44" s="29">
        <f t="shared" si="1"/>
        <v>45772</v>
      </c>
      <c r="C44" s="41">
        <f t="shared" si="2"/>
        <v>-4.1898887851052891</v>
      </c>
      <c r="D44" s="41">
        <f t="shared" si="3"/>
        <v>8.7489903997255425</v>
      </c>
      <c r="E44" s="41">
        <f t="shared" si="4"/>
        <v>0.50000000000238742</v>
      </c>
      <c r="F44" s="41">
        <f t="shared" si="5"/>
        <v>-0.49641539725442385</v>
      </c>
      <c r="G44" s="41">
        <f t="shared" si="6"/>
        <v>6.3887457663605041</v>
      </c>
      <c r="H44" s="41">
        <f t="shared" si="7"/>
        <v>-3.2999999999958618</v>
      </c>
      <c r="I44" s="41">
        <f t="shared" si="8"/>
        <v>-7.0748806016096566</v>
      </c>
      <c r="J44" s="41">
        <f t="shared" si="9"/>
        <v>-11.684543803166074</v>
      </c>
      <c r="K44" s="41">
        <f t="shared" si="10"/>
        <v>-12.949999999989359</v>
      </c>
      <c r="L44" s="41"/>
      <c r="M44" s="41"/>
      <c r="N44" s="41"/>
      <c r="O44" s="42">
        <f t="shared" si="14"/>
        <v>-2.2108211634046526</v>
      </c>
      <c r="P44" s="42">
        <f t="shared" si="15"/>
        <v>-8.8648051624304891</v>
      </c>
      <c r="Q44" s="42">
        <f t="shared" si="16"/>
        <v>1.7999999999886995</v>
      </c>
      <c r="R44" s="23" t="str">
        <f>IF(Convergences!J44="","",Convergences!J44)</f>
        <v/>
      </c>
      <c r="S44" s="96">
        <f t="shared" ref="S44" si="50">K44*2</f>
        <v>-25.899999999978718</v>
      </c>
      <c r="T44" s="71"/>
    </row>
    <row r="45" spans="1:20" ht="31.5" customHeight="1">
      <c r="A45" s="28">
        <f t="shared" si="0"/>
        <v>451</v>
      </c>
      <c r="B45" s="29">
        <f t="shared" si="1"/>
        <v>45775</v>
      </c>
      <c r="C45" s="41">
        <f t="shared" si="2"/>
        <v>-4.8421265979881056</v>
      </c>
      <c r="D45" s="41">
        <f t="shared" si="3"/>
        <v>9.4378924180076318</v>
      </c>
      <c r="E45" s="41">
        <f t="shared" si="4"/>
        <v>0.79999999999813554</v>
      </c>
      <c r="F45" s="41">
        <f t="shared" si="5"/>
        <v>-1.1063929049726084</v>
      </c>
      <c r="G45" s="41">
        <f t="shared" si="6"/>
        <v>6.9870162272329672</v>
      </c>
      <c r="H45" s="41">
        <f t="shared" si="7"/>
        <v>-3.1000000000034333</v>
      </c>
      <c r="I45" s="41">
        <f t="shared" si="8"/>
        <v>-7.612558549106474</v>
      </c>
      <c r="J45" s="41">
        <f t="shared" si="9"/>
        <v>-11.714582903519302</v>
      </c>
      <c r="K45" s="41">
        <f t="shared" si="10"/>
        <v>-13.249999999999318</v>
      </c>
      <c r="L45" s="41"/>
      <c r="M45" s="41"/>
      <c r="N45" s="41"/>
      <c r="O45" s="42">
        <f t="shared" si="14"/>
        <v>-3.4491080213259195</v>
      </c>
      <c r="P45" s="42">
        <f t="shared" si="15"/>
        <v>-8.3388341633949814</v>
      </c>
      <c r="Q45" s="42">
        <f t="shared" si="16"/>
        <v>1.8999999999920192</v>
      </c>
      <c r="R45" s="23" t="str">
        <f>IF(Convergences!J45="","",Convergences!J45)</f>
        <v/>
      </c>
      <c r="S45" s="96">
        <f t="shared" ref="S45" si="51">K45*2</f>
        <v>-26.499999999998636</v>
      </c>
      <c r="T45" s="71"/>
    </row>
    <row r="46" spans="1:20" ht="31.5" customHeight="1">
      <c r="A46" s="28">
        <f t="shared" si="0"/>
        <v>468</v>
      </c>
      <c r="B46" s="29">
        <f t="shared" si="1"/>
        <v>45792</v>
      </c>
      <c r="C46" s="41">
        <f t="shared" si="2"/>
        <v>-4.2621882398208299</v>
      </c>
      <c r="D46" s="41">
        <f t="shared" si="3"/>
        <v>9.3773000101431414</v>
      </c>
      <c r="E46" s="41">
        <f t="shared" si="4"/>
        <v>0.29999999999574811</v>
      </c>
      <c r="F46" s="41">
        <f t="shared" si="5"/>
        <v>-0.44193361995059632</v>
      </c>
      <c r="G46" s="41">
        <f t="shared" si="6"/>
        <v>6.7451608521387207</v>
      </c>
      <c r="H46" s="41">
        <f t="shared" si="7"/>
        <v>-3.5000000000025011</v>
      </c>
      <c r="I46" s="41">
        <f t="shared" si="8"/>
        <v>-7.359510650839951</v>
      </c>
      <c r="J46" s="41">
        <f t="shared" si="9"/>
        <v>-13.9136659878424</v>
      </c>
      <c r="K46" s="41">
        <f t="shared" si="10"/>
        <v>-14.64999999998895</v>
      </c>
      <c r="L46" s="41"/>
      <c r="M46" s="41"/>
      <c r="N46" s="41"/>
      <c r="O46" s="42">
        <f t="shared" si="14"/>
        <v>-2.0840400297830186</v>
      </c>
      <c r="P46" s="42">
        <f t="shared" si="15"/>
        <v>-9.1366994760599951</v>
      </c>
      <c r="Q46" s="42">
        <f t="shared" si="16"/>
        <v>1.4999999999929514</v>
      </c>
      <c r="R46" s="23" t="str">
        <f>IF(Convergences!J46="","",Convergences!J46)</f>
        <v/>
      </c>
      <c r="S46" s="96">
        <f t="shared" ref="S46" si="52">K46*2</f>
        <v>-29.299999999977899</v>
      </c>
      <c r="T46" s="71"/>
    </row>
    <row r="47" spans="1:20" ht="31.5" customHeight="1">
      <c r="A47" s="28">
        <f t="shared" si="0"/>
        <v>474</v>
      </c>
      <c r="B47" s="29">
        <f t="shared" si="1"/>
        <v>45798</v>
      </c>
      <c r="C47" s="41">
        <f t="shared" si="2"/>
        <v>-5.4098436950376083</v>
      </c>
      <c r="D47" s="41">
        <f t="shared" si="3"/>
        <v>9.9455313706582338</v>
      </c>
      <c r="E47" s="41">
        <f t="shared" si="4"/>
        <v>-0.19999999999242846</v>
      </c>
      <c r="F47" s="41">
        <f t="shared" si="5"/>
        <v>0.30704628250965982</v>
      </c>
      <c r="G47" s="41">
        <f t="shared" si="6"/>
        <v>6.3220426224330772</v>
      </c>
      <c r="H47" s="41">
        <f t="shared" si="7"/>
        <v>-3.7999999999982492</v>
      </c>
      <c r="I47" s="41">
        <f t="shared" si="8"/>
        <v>-8.1813043841023614</v>
      </c>
      <c r="J47" s="41">
        <f t="shared" si="9"/>
        <v>-14.517532865003204</v>
      </c>
      <c r="K47" s="41">
        <f t="shared" si="10"/>
        <v>-15.549999999990405</v>
      </c>
      <c r="L47" s="41"/>
      <c r="M47" s="41"/>
      <c r="N47" s="41"/>
      <c r="O47" s="42">
        <f t="shared" si="14"/>
        <v>-3.6909633893058569</v>
      </c>
      <c r="P47" s="42">
        <f t="shared" si="15"/>
        <v>-9.0032931882020328</v>
      </c>
      <c r="Q47" s="42">
        <f t="shared" si="16"/>
        <v>1.1999999999972033</v>
      </c>
      <c r="R47" s="23" t="str">
        <f>IF(Convergences!J47="","",Convergences!J47)</f>
        <v/>
      </c>
      <c r="S47" s="96">
        <f t="shared" ref="S47" si="53">K47*2</f>
        <v>-31.09999999998081</v>
      </c>
      <c r="T47" s="71"/>
    </row>
    <row r="48" spans="1:20" ht="31.5" customHeight="1">
      <c r="A48" s="28">
        <f t="shared" si="0"/>
        <v>479</v>
      </c>
      <c r="B48" s="29">
        <f t="shared" si="1"/>
        <v>45803</v>
      </c>
      <c r="C48" s="41">
        <f t="shared" si="2"/>
        <v>-5.6516989646206994</v>
      </c>
      <c r="D48" s="41">
        <f t="shared" si="3"/>
        <v>9.2810721348337566</v>
      </c>
      <c r="E48" s="41">
        <f t="shared" si="4"/>
        <v>0.50000000000238742</v>
      </c>
      <c r="F48" s="41">
        <f t="shared" si="5"/>
        <v>-1.8737047554262531</v>
      </c>
      <c r="G48" s="41">
        <f t="shared" si="6"/>
        <v>6.739564485040983</v>
      </c>
      <c r="H48" s="41">
        <f t="shared" si="7"/>
        <v>-3.6000000000058208</v>
      </c>
      <c r="I48" s="41">
        <f t="shared" si="8"/>
        <v>-8.6227547165043106</v>
      </c>
      <c r="J48" s="41">
        <f t="shared" si="9"/>
        <v>-15.937082683043853</v>
      </c>
      <c r="K48" s="41">
        <f t="shared" si="10"/>
        <v>-15.649999999993724</v>
      </c>
      <c r="L48" s="41"/>
      <c r="M48" s="41"/>
      <c r="N48" s="41"/>
      <c r="O48" s="42">
        <f t="shared" si="14"/>
        <v>-3.4134727648957863</v>
      </c>
      <c r="P48" s="42">
        <f t="shared" si="15"/>
        <v>-10.308283344758529</v>
      </c>
      <c r="Q48" s="42">
        <f t="shared" si="16"/>
        <v>1.5999999999962711</v>
      </c>
      <c r="R48" s="23" t="str">
        <f>IF(Convergences!J48="","",Convergences!J48)</f>
        <v/>
      </c>
      <c r="S48" s="96">
        <f t="shared" ref="S48" si="54">K48*2</f>
        <v>-31.299999999987449</v>
      </c>
      <c r="T48" s="71"/>
    </row>
    <row r="49" spans="1:20" ht="31.5" customHeight="1">
      <c r="A49" s="28">
        <f t="shared" si="0"/>
        <v>486</v>
      </c>
      <c r="B49" s="29">
        <f t="shared" si="1"/>
        <v>45810</v>
      </c>
      <c r="C49" s="41">
        <f t="shared" si="2"/>
        <v>-4.733163043387556</v>
      </c>
      <c r="D49" s="41">
        <f t="shared" si="3"/>
        <v>10.150722589550298</v>
      </c>
      <c r="E49" s="41">
        <f t="shared" si="4"/>
        <v>0.79999999999813554</v>
      </c>
      <c r="F49" s="41">
        <f t="shared" si="5"/>
        <v>-0.82227702081105747</v>
      </c>
      <c r="G49" s="41">
        <f t="shared" si="6"/>
        <v>7.5608437930205774</v>
      </c>
      <c r="H49" s="41">
        <f t="shared" si="7"/>
        <v>-3.1999999999925421</v>
      </c>
      <c r="I49" s="41">
        <f t="shared" si="8"/>
        <v>-8.3447497160049622</v>
      </c>
      <c r="J49" s="41">
        <f t="shared" si="9"/>
        <v>-15.586778122321908</v>
      </c>
      <c r="K49" s="41">
        <f t="shared" si="10"/>
        <v>-15.749999999997044</v>
      </c>
      <c r="L49" s="41"/>
      <c r="M49" s="41"/>
      <c r="N49" s="41"/>
      <c r="O49" s="42">
        <f t="shared" si="14"/>
        <v>-3.0809859870943868</v>
      </c>
      <c r="P49" s="42">
        <f t="shared" si="15"/>
        <v>-9.6015636982658137</v>
      </c>
      <c r="Q49" s="42">
        <f t="shared" si="16"/>
        <v>1.7999999999886995</v>
      </c>
      <c r="R49" s="23" t="str">
        <f>IF(Convergences!J49="","",Convergences!J49)</f>
        <v/>
      </c>
      <c r="S49" s="96">
        <f t="shared" ref="S49" si="55">K49*2</f>
        <v>-31.499999999994088</v>
      </c>
      <c r="T49" s="71"/>
    </row>
    <row r="50" spans="1:20" ht="31.5" customHeight="1">
      <c r="A50" s="28">
        <f t="shared" si="0"/>
        <v>494</v>
      </c>
      <c r="B50" s="29">
        <f t="shared" si="1"/>
        <v>45818</v>
      </c>
      <c r="C50" s="41">
        <f t="shared" si="2"/>
        <v>-5.2285807841156995</v>
      </c>
      <c r="D50" s="41">
        <f t="shared" si="3"/>
        <v>10.030052142802504</v>
      </c>
      <c r="E50" s="41">
        <f t="shared" si="4"/>
        <v>0.50000000000238742</v>
      </c>
      <c r="F50" s="41">
        <f t="shared" si="5"/>
        <v>-0.9673903063269762</v>
      </c>
      <c r="G50" s="41">
        <f t="shared" si="6"/>
        <v>7.1621682965750111</v>
      </c>
      <c r="H50" s="41">
        <f t="shared" si="7"/>
        <v>-3.3999999999991815</v>
      </c>
      <c r="I50" s="41">
        <f t="shared" si="8"/>
        <v>-8.5020842626422066</v>
      </c>
      <c r="J50" s="41">
        <f t="shared" si="9"/>
        <v>-16.432500163557325</v>
      </c>
      <c r="K50" s="41">
        <f t="shared" si="10"/>
        <v>-16.749999999987608</v>
      </c>
      <c r="L50" s="41"/>
      <c r="M50" s="41"/>
      <c r="N50" s="41"/>
      <c r="O50" s="42">
        <f t="shared" si="14"/>
        <v>-3.4318048112824684</v>
      </c>
      <c r="P50" s="42">
        <f t="shared" si="15"/>
        <v>-10.978853105635178</v>
      </c>
      <c r="Q50" s="42">
        <f t="shared" si="16"/>
        <v>1.8999999999920192</v>
      </c>
      <c r="R50" s="23" t="str">
        <f>IF(Convergences!J50="","",Convergences!J50)</f>
        <v/>
      </c>
      <c r="S50" s="96">
        <f t="shared" ref="S50" si="56">K50*2</f>
        <v>-33.499999999975216</v>
      </c>
      <c r="T50" s="71"/>
    </row>
    <row r="51" spans="1:20" ht="31.5" customHeight="1">
      <c r="A51" s="28">
        <f t="shared" si="0"/>
        <v>500</v>
      </c>
      <c r="B51" s="29">
        <f t="shared" si="1"/>
        <v>45824</v>
      </c>
      <c r="C51" s="41">
        <f t="shared" si="2"/>
        <v>-4.8960939079210064</v>
      </c>
      <c r="D51" s="41">
        <f t="shared" si="3"/>
        <v>10.736771578280901</v>
      </c>
      <c r="E51" s="41">
        <f t="shared" si="4"/>
        <v>0.10000000000331966</v>
      </c>
      <c r="F51" s="41">
        <f t="shared" si="5"/>
        <v>-0.36911979626363944</v>
      </c>
      <c r="G51" s="41">
        <f t="shared" si="6"/>
        <v>7.7721456987851489</v>
      </c>
      <c r="H51" s="41">
        <f t="shared" si="7"/>
        <v>-3.9000000000015689</v>
      </c>
      <c r="I51" s="41">
        <f t="shared" si="8"/>
        <v>-8.3508602973685342</v>
      </c>
      <c r="J51" s="41">
        <f t="shared" si="9"/>
        <v>-15.81030150022417</v>
      </c>
      <c r="K51" s="41">
        <f t="shared" si="10"/>
        <v>-17.150000000000887</v>
      </c>
      <c r="L51" s="41"/>
      <c r="M51" s="41"/>
      <c r="N51" s="41"/>
      <c r="O51" s="42">
        <f t="shared" si="14"/>
        <v>-3.1354677643955498</v>
      </c>
      <c r="P51" s="42">
        <f t="shared" si="15"/>
        <v>-9.9579787840387013</v>
      </c>
      <c r="Q51" s="42">
        <f t="shared" si="16"/>
        <v>1.3999999999896318</v>
      </c>
      <c r="R51" s="23" t="str">
        <f>IF(Convergences!J51="","",Convergences!J51)</f>
        <v/>
      </c>
      <c r="S51" s="96">
        <f t="shared" ref="S51" si="57">K51*2</f>
        <v>-34.300000000001774</v>
      </c>
      <c r="T51" s="71"/>
    </row>
    <row r="52" spans="1:20" ht="31.5" customHeight="1">
      <c r="A52" s="28">
        <f t="shared" si="0"/>
        <v>507</v>
      </c>
      <c r="B52" s="29">
        <f t="shared" si="1"/>
        <v>45831</v>
      </c>
      <c r="C52" s="41">
        <f t="shared" si="2"/>
        <v>-5.1135065426413107</v>
      </c>
      <c r="D52" s="41">
        <f t="shared" si="3"/>
        <v>10.966405741454466</v>
      </c>
      <c r="E52" s="41">
        <f t="shared" si="4"/>
        <v>0.29999999999574811</v>
      </c>
      <c r="F52" s="41">
        <f t="shared" si="5"/>
        <v>-0.58653253649332271</v>
      </c>
      <c r="G52" s="41">
        <f t="shared" si="6"/>
        <v>8.001779812759402</v>
      </c>
      <c r="H52" s="41">
        <f t="shared" si="7"/>
        <v>-3.6999999999949296</v>
      </c>
      <c r="I52" s="41">
        <f t="shared" si="8"/>
        <v>-8.5988263522205344</v>
      </c>
      <c r="J52" s="41">
        <f t="shared" si="9"/>
        <v>-16.698283952134009</v>
      </c>
      <c r="K52" s="41">
        <f t="shared" si="10"/>
        <v>-17.749999999992383</v>
      </c>
      <c r="L52" s="41"/>
      <c r="M52" s="41"/>
      <c r="N52" s="41"/>
      <c r="O52" s="42">
        <f t="shared" si="14"/>
        <v>-3.0631683096817852</v>
      </c>
      <c r="P52" s="42">
        <f t="shared" si="15"/>
        <v>-10.586288394457188</v>
      </c>
      <c r="Q52" s="42">
        <f t="shared" si="16"/>
        <v>1.4999999999929514</v>
      </c>
      <c r="R52" s="23" t="str">
        <f>IF(Convergences!J52="","",Convergences!J52)</f>
        <v/>
      </c>
      <c r="S52" s="96">
        <f t="shared" ref="S52" si="58">K52*2</f>
        <v>-35.499999999984766</v>
      </c>
      <c r="T52" s="71"/>
    </row>
    <row r="53" spans="1:20" ht="31.5" customHeight="1">
      <c r="A53" s="28">
        <f t="shared" si="0"/>
        <v>515</v>
      </c>
      <c r="B53" s="29">
        <f t="shared" si="1"/>
        <v>45839</v>
      </c>
      <c r="C53" s="41">
        <f t="shared" si="2"/>
        <v>-5.0773568188420271</v>
      </c>
      <c r="D53" s="41">
        <f t="shared" si="3"/>
        <v>10.652250806135299</v>
      </c>
      <c r="E53" s="41">
        <f t="shared" si="4"/>
        <v>0</v>
      </c>
      <c r="F53" s="41">
        <f t="shared" si="5"/>
        <v>-1.4322545285327948</v>
      </c>
      <c r="G53" s="41">
        <f t="shared" si="6"/>
        <v>8.1591142538854911</v>
      </c>
      <c r="H53" s="41">
        <f t="shared" si="7"/>
        <v>-4.0000000000048885</v>
      </c>
      <c r="I53" s="41">
        <f t="shared" si="8"/>
        <v>-8.7984213095273489</v>
      </c>
      <c r="J53" s="41">
        <f t="shared" si="9"/>
        <v>-17.453374485152693</v>
      </c>
      <c r="K53" s="41">
        <f t="shared" si="10"/>
        <v>-18.149999999991451</v>
      </c>
      <c r="L53" s="41"/>
      <c r="M53" s="41"/>
      <c r="N53" s="41"/>
      <c r="O53" s="42">
        <f t="shared" si="14"/>
        <v>-3.4318048112824684</v>
      </c>
      <c r="P53" s="42">
        <f t="shared" si="15"/>
        <v>-10.978853105635178</v>
      </c>
      <c r="Q53" s="42">
        <f t="shared" si="16"/>
        <v>1.3999999999896318</v>
      </c>
      <c r="R53" s="23" t="str">
        <f>IF(Convergences!J53="","",Convergences!J53)</f>
        <v/>
      </c>
      <c r="S53" s="96">
        <f t="shared" ref="S53" si="59">K53*2</f>
        <v>-36.299999999982901</v>
      </c>
      <c r="T53" s="71"/>
    </row>
    <row r="54" spans="1:20" ht="31.5" customHeight="1">
      <c r="A54" s="28">
        <f t="shared" si="0"/>
        <v>522</v>
      </c>
      <c r="B54" s="29">
        <f t="shared" si="1"/>
        <v>45846</v>
      </c>
      <c r="C54" s="41">
        <f t="shared" si="2"/>
        <v>-5.8685971319745178</v>
      </c>
      <c r="D54" s="41">
        <f t="shared" si="3"/>
        <v>11.16600054405481</v>
      </c>
      <c r="E54" s="41">
        <f t="shared" si="4"/>
        <v>0.20000000000663931</v>
      </c>
      <c r="F54" s="41">
        <f t="shared" si="5"/>
        <v>-1.830930074175896</v>
      </c>
      <c r="G54" s="41">
        <f t="shared" si="6"/>
        <v>8.3042276449090124</v>
      </c>
      <c r="H54" s="41">
        <f t="shared" si="7"/>
        <v>-4.3000000000006366</v>
      </c>
      <c r="I54" s="41">
        <f t="shared" si="8"/>
        <v>-10.356973578622863</v>
      </c>
      <c r="J54" s="41">
        <f t="shared" si="9"/>
        <v>-17.187076538622513</v>
      </c>
      <c r="K54" s="41">
        <f t="shared" si="10"/>
        <v>-19.249999999985334</v>
      </c>
      <c r="L54" s="41"/>
      <c r="M54" s="41"/>
      <c r="N54" s="41"/>
      <c r="O54" s="42">
        <f t="shared" si="14"/>
        <v>-2.5137833645292318</v>
      </c>
      <c r="P54" s="42">
        <f t="shared" si="15"/>
        <v>-11.764497157181975</v>
      </c>
      <c r="Q54" s="42">
        <f t="shared" si="16"/>
        <v>-8.4000000000088448</v>
      </c>
      <c r="R54" s="23" t="str">
        <f>IF(Convergences!J54="","",Convergences!J54)</f>
        <v/>
      </c>
      <c r="S54" s="96">
        <f t="shared" ref="S54" si="60">K54*2</f>
        <v>-38.499999999970669</v>
      </c>
      <c r="T54" s="71"/>
    </row>
    <row r="55" spans="1:20" ht="31.5" customHeight="1">
      <c r="A55" s="28">
        <f t="shared" si="0"/>
        <v>529</v>
      </c>
      <c r="B55" s="29">
        <f t="shared" si="1"/>
        <v>45853</v>
      </c>
      <c r="C55" s="41">
        <f t="shared" si="2"/>
        <v>-5.9169683279121088</v>
      </c>
      <c r="D55" s="41">
        <f t="shared" si="3"/>
        <v>11.033108836185246</v>
      </c>
      <c r="E55" s="41">
        <f t="shared" si="4"/>
        <v>0.40000000001327862</v>
      </c>
      <c r="F55" s="41">
        <f t="shared" si="5"/>
        <v>-1.2087313053354976</v>
      </c>
      <c r="G55" s="41">
        <f t="shared" si="6"/>
        <v>8.1530037288337631</v>
      </c>
      <c r="H55" s="41">
        <f t="shared" si="7"/>
        <v>-3.6999999999949296</v>
      </c>
      <c r="I55" s="41">
        <f t="shared" si="8"/>
        <v>-9.9521874445027692</v>
      </c>
      <c r="J55" s="41">
        <f t="shared" si="9"/>
        <v>-17.108666291526696</v>
      </c>
      <c r="K55" s="41">
        <f t="shared" si="10"/>
        <v>-19.449999999991974</v>
      </c>
      <c r="L55" s="41"/>
      <c r="M55" s="41"/>
      <c r="N55" s="41"/>
      <c r="O55" s="42">
        <f t="shared" si="14"/>
        <v>-2.7011568568111599</v>
      </c>
      <c r="P55" s="42">
        <f t="shared" si="15"/>
        <v>-12.07254130723312</v>
      </c>
      <c r="Q55" s="42">
        <f t="shared" si="16"/>
        <v>-8.2000000000022055</v>
      </c>
      <c r="R55" s="23" t="str">
        <f>IF(Convergences!J55="","",Convergences!J55)</f>
        <v/>
      </c>
      <c r="S55" s="96">
        <f t="shared" ref="S55" si="61">K55*2</f>
        <v>-38.899999999983947</v>
      </c>
      <c r="T55" s="71"/>
    </row>
    <row r="56" spans="1:20" ht="31.5" customHeight="1">
      <c r="A56" s="28">
        <f t="shared" si="0"/>
        <v>537</v>
      </c>
      <c r="B56" s="29">
        <f t="shared" si="1"/>
        <v>45861</v>
      </c>
      <c r="C56" s="41">
        <f t="shared" si="2"/>
        <v>-5.7718550423970783</v>
      </c>
      <c r="D56" s="41">
        <f t="shared" si="3"/>
        <v>11.431784332628592</v>
      </c>
      <c r="E56" s="41">
        <f t="shared" si="4"/>
        <v>0.60000000000570708</v>
      </c>
      <c r="F56" s="41">
        <f t="shared" si="5"/>
        <v>-1.4200331619047546</v>
      </c>
      <c r="G56" s="41">
        <f t="shared" si="6"/>
        <v>8.6061608478722462</v>
      </c>
      <c r="H56" s="41">
        <f t="shared" si="7"/>
        <v>-4.0000000000048885</v>
      </c>
      <c r="I56" s="41">
        <f t="shared" si="8"/>
        <v>-9.8676666231591881</v>
      </c>
      <c r="J56" s="41">
        <f t="shared" si="9"/>
        <v>-17.289929307957415</v>
      </c>
      <c r="K56" s="41">
        <f t="shared" si="10"/>
        <v>-20.049999999997681</v>
      </c>
      <c r="L56" s="41"/>
      <c r="M56" s="41"/>
      <c r="N56" s="41"/>
      <c r="O56" s="42">
        <f t="shared" si="14"/>
        <v>-2.2602209988935584</v>
      </c>
      <c r="P56" s="42">
        <f t="shared" si="15"/>
        <v>-12.308285995454415</v>
      </c>
      <c r="Q56" s="42">
        <f t="shared" si="16"/>
        <v>-8.2000000000022055</v>
      </c>
      <c r="R56" s="23" t="str">
        <f>IF(Convergences!J56="","",Convergences!J56)</f>
        <v/>
      </c>
      <c r="S56" s="96">
        <f t="shared" ref="S56" si="62">K56*2</f>
        <v>-40.099999999995362</v>
      </c>
      <c r="T56" s="71"/>
    </row>
    <row r="57" spans="1:20" ht="31.5" customHeight="1">
      <c r="A57" s="28">
        <f t="shared" si="0"/>
        <v>543</v>
      </c>
      <c r="B57" s="29">
        <f t="shared" si="1"/>
        <v>45867</v>
      </c>
      <c r="C57" s="41">
        <f t="shared" si="2"/>
        <v>-5.2825480869351793</v>
      </c>
      <c r="D57" s="41">
        <f t="shared" si="3"/>
        <v>11.328931563292066</v>
      </c>
      <c r="E57" s="41">
        <f t="shared" si="4"/>
        <v>0.60000000000570708</v>
      </c>
      <c r="F57" s="41">
        <f t="shared" si="5"/>
        <v>-1.0152470277846604</v>
      </c>
      <c r="G57" s="41">
        <f t="shared" si="6"/>
        <v>8.6845710949670085</v>
      </c>
      <c r="H57" s="41">
        <f t="shared" si="7"/>
        <v>-3.7999999999982492</v>
      </c>
      <c r="I57" s="41">
        <f t="shared" si="8"/>
        <v>-9.5112515865833913</v>
      </c>
      <c r="J57" s="41">
        <f t="shared" si="9"/>
        <v>-17.344410979751309</v>
      </c>
      <c r="K57" s="41">
        <f t="shared" si="10"/>
        <v>-20.349999999993429</v>
      </c>
      <c r="L57" s="41"/>
      <c r="M57" s="41"/>
      <c r="N57" s="41"/>
      <c r="O57" s="42">
        <f t="shared" si="14"/>
        <v>-1.4206095882167702</v>
      </c>
      <c r="P57" s="42">
        <f t="shared" si="15"/>
        <v>-12.689143814486492</v>
      </c>
      <c r="Q57" s="42">
        <f t="shared" si="16"/>
        <v>-8.0000000000097771</v>
      </c>
      <c r="R57" s="23" t="str">
        <f>IF(Convergences!J57="","",Convergences!J57)</f>
        <v/>
      </c>
      <c r="S57" s="96">
        <f t="shared" ref="S57" si="63">K57*2</f>
        <v>-40.699999999986858</v>
      </c>
      <c r="T57" s="71"/>
    </row>
  </sheetData>
  <mergeCells count="9">
    <mergeCell ref="N1:P1"/>
    <mergeCell ref="N2:P2"/>
    <mergeCell ref="C7:Q7"/>
    <mergeCell ref="I8:K8"/>
    <mergeCell ref="F8:H8"/>
    <mergeCell ref="L8:N8"/>
    <mergeCell ref="A5:Q5"/>
    <mergeCell ref="C8:E8"/>
    <mergeCell ref="O8:Q8"/>
  </mergeCells>
  <phoneticPr fontId="0" type="noConversion"/>
  <printOptions horizontalCentered="1"/>
  <pageMargins left="0.39370078740157499" right="0.39370078740157499" top="0.196850393700787" bottom="0.196850393700787" header="0.511811023622047" footer="0.511811023622047"/>
  <pageSetup paperSize="9" scale="74" fitToHeight="0" orientation="landscape" cellComments="atEnd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/>
  <dimension ref="A1:AH113"/>
  <sheetViews>
    <sheetView topLeftCell="A34" zoomScaleNormal="100" workbookViewId="0">
      <selection activeCell="Z34" sqref="Z34"/>
    </sheetView>
  </sheetViews>
  <sheetFormatPr baseColWidth="10" defaultColWidth="11.42578125" defaultRowHeight="12.75"/>
  <cols>
    <col min="1" max="1" width="5.42578125" style="75" customWidth="1"/>
    <col min="2" max="12" width="9.5703125" style="2" customWidth="1"/>
    <col min="13" max="13" width="9.5703125" style="75" customWidth="1"/>
    <col min="14" max="24" width="9.5703125" style="2" customWidth="1"/>
    <col min="25" max="25" width="7" style="75" customWidth="1"/>
    <col min="26" max="16384" width="11.42578125" style="2"/>
  </cols>
  <sheetData>
    <row r="1" spans="1:34" ht="13.5" customHeight="1">
      <c r="B1" s="75"/>
      <c r="C1" s="75"/>
      <c r="D1" s="75"/>
      <c r="E1" s="75"/>
      <c r="F1" s="75"/>
      <c r="G1" s="75"/>
      <c r="H1" s="75"/>
      <c r="I1" s="75"/>
      <c r="J1" s="75"/>
      <c r="K1" s="75"/>
      <c r="L1" s="75"/>
      <c r="N1" s="75"/>
      <c r="O1" s="75"/>
      <c r="P1" s="75"/>
      <c r="Q1" s="75"/>
      <c r="R1" s="75"/>
      <c r="S1" s="75"/>
      <c r="T1" s="75"/>
      <c r="U1" s="75"/>
      <c r="V1" s="75"/>
      <c r="W1" s="75"/>
      <c r="X1" s="75"/>
      <c r="AC1" s="2" t="s">
        <v>47</v>
      </c>
      <c r="AE1" s="73">
        <f ca="1">TODAY()+5</f>
        <v>45879</v>
      </c>
    </row>
    <row r="2" spans="1:34" ht="13.5" customHeight="1">
      <c r="B2" s="51"/>
      <c r="C2" s="52"/>
      <c r="D2" s="52"/>
      <c r="E2" s="52"/>
      <c r="F2" s="52"/>
      <c r="G2" s="52"/>
      <c r="H2" s="52"/>
      <c r="I2" s="224" t="s">
        <v>4</v>
      </c>
      <c r="J2" s="224"/>
      <c r="K2" s="224"/>
      <c r="L2" s="225"/>
      <c r="M2" s="77"/>
      <c r="N2" s="51"/>
      <c r="O2" s="52"/>
      <c r="P2" s="52"/>
      <c r="Q2" s="52"/>
      <c r="R2" s="52"/>
      <c r="S2" s="52"/>
      <c r="T2" s="52"/>
      <c r="U2" s="224" t="s">
        <v>4</v>
      </c>
      <c r="V2" s="224"/>
      <c r="W2" s="224"/>
      <c r="X2" s="225"/>
      <c r="AE2" s="13"/>
    </row>
    <row r="3" spans="1:34" ht="13.5" customHeight="1">
      <c r="B3" s="53"/>
      <c r="I3" s="214" t="s">
        <v>26</v>
      </c>
      <c r="J3" s="214"/>
      <c r="K3" s="214"/>
      <c r="L3" s="226"/>
      <c r="M3" s="78"/>
      <c r="N3" s="53"/>
      <c r="U3" s="214" t="s">
        <v>26</v>
      </c>
      <c r="V3" s="214"/>
      <c r="W3" s="214"/>
      <c r="X3" s="226"/>
      <c r="AC3" s="74" t="s">
        <v>48</v>
      </c>
      <c r="AE3" s="73" cm="1">
        <f t="array" aca="1" ref="AE3" ca="1">MAX(IF('Résultats observations'!A10:A110&lt;=$AE$1,'Résultats observations'!A10:A110))</f>
        <v>45867</v>
      </c>
    </row>
    <row r="4" spans="1:34" ht="13.5" customHeight="1">
      <c r="B4" s="53"/>
      <c r="I4" s="54"/>
      <c r="J4" s="54"/>
      <c r="K4" s="54"/>
      <c r="L4" s="55"/>
      <c r="N4" s="53"/>
      <c r="U4" s="54"/>
      <c r="V4" s="54"/>
      <c r="W4" s="54"/>
      <c r="X4" s="55"/>
      <c r="AE4" s="13"/>
    </row>
    <row r="5" spans="1:34" ht="13.5" customHeight="1">
      <c r="B5" s="53"/>
      <c r="J5" s="227"/>
      <c r="K5" s="227"/>
      <c r="L5" s="228"/>
      <c r="M5" s="79"/>
      <c r="N5" s="53"/>
      <c r="V5" s="227"/>
      <c r="W5" s="227"/>
      <c r="X5" s="228"/>
      <c r="AC5" s="74" t="s">
        <v>49</v>
      </c>
      <c r="AE5" s="73">
        <f ca="1">AE3</f>
        <v>45867</v>
      </c>
      <c r="AG5" s="90">
        <f>AG14</f>
        <v>0</v>
      </c>
    </row>
    <row r="6" spans="1:34" ht="13.5" customHeight="1">
      <c r="B6" s="221" t="str">
        <f ca="1">"Carrefour GGS - Convergences Horizontales  C006-007 GGS ( PM " &amp; 'Résultats observations'!P6 &amp; ") - Mesures au " &amp; TEXT(AE5,"jj/mm/aa")</f>
        <v>Carrefour GGS - Convergences Horizontales  C006-007 GGS ( PM 5.09) - Mesures au 29/07/25</v>
      </c>
      <c r="C6" s="222"/>
      <c r="D6" s="222"/>
      <c r="E6" s="222"/>
      <c r="F6" s="222"/>
      <c r="G6" s="222"/>
      <c r="H6" s="222"/>
      <c r="I6" s="222"/>
      <c r="J6" s="222"/>
      <c r="K6" s="222"/>
      <c r="L6" s="223"/>
      <c r="M6" s="80"/>
      <c r="N6" s="221" t="str">
        <f ca="1">"Carrefour GGS - Convergences Verticales C006-007 GGS ( PM " &amp; 'Résultats observations'!P6 &amp; ") - Mesures au " &amp; TEXT(AE5,"jj/mm/aa")</f>
        <v>Carrefour GGS - Convergences Verticales C006-007 GGS ( PM 5.09) - Mesures au 29/07/25</v>
      </c>
      <c r="O6" s="222"/>
      <c r="P6" s="222"/>
      <c r="Q6" s="222"/>
      <c r="R6" s="222"/>
      <c r="S6" s="222"/>
      <c r="T6" s="222"/>
      <c r="U6" s="222"/>
      <c r="V6" s="222"/>
      <c r="W6" s="222"/>
      <c r="X6" s="223"/>
    </row>
    <row r="7" spans="1:34" s="30" customFormat="1" ht="13.5" customHeight="1">
      <c r="A7" s="75"/>
      <c r="B7" s="53"/>
      <c r="C7" s="2"/>
      <c r="D7" s="2"/>
      <c r="E7" s="2"/>
      <c r="F7" s="2"/>
      <c r="G7" s="2"/>
      <c r="H7" s="2"/>
      <c r="I7" s="2"/>
      <c r="J7" s="2"/>
      <c r="K7" s="2"/>
      <c r="L7" s="55"/>
      <c r="M7" s="75"/>
      <c r="N7" s="53"/>
      <c r="O7" s="2"/>
      <c r="P7" s="2"/>
      <c r="Q7" s="2"/>
      <c r="R7" s="2"/>
      <c r="S7" s="2"/>
      <c r="T7" s="2"/>
      <c r="U7" s="2"/>
      <c r="V7" s="2"/>
      <c r="W7" s="2"/>
      <c r="X7" s="55"/>
      <c r="Y7" s="75"/>
      <c r="Z7" s="2"/>
      <c r="AC7" s="86" t="s">
        <v>50</v>
      </c>
      <c r="AE7" s="73">
        <f>excav</f>
        <v>45324</v>
      </c>
      <c r="AG7" s="2"/>
    </row>
    <row r="8" spans="1:34" ht="13.5" customHeight="1">
      <c r="B8" s="56"/>
      <c r="C8"/>
      <c r="D8"/>
      <c r="E8"/>
      <c r="F8"/>
      <c r="G8"/>
      <c r="H8"/>
      <c r="I8"/>
      <c r="J8"/>
      <c r="K8"/>
      <c r="L8" s="57"/>
      <c r="M8" s="76"/>
      <c r="N8" s="56"/>
      <c r="O8"/>
      <c r="P8"/>
      <c r="Q8"/>
      <c r="R8"/>
      <c r="S8"/>
      <c r="T8"/>
      <c r="U8"/>
      <c r="V8"/>
      <c r="W8"/>
      <c r="X8" s="57"/>
    </row>
    <row r="9" spans="1:34" customFormat="1" ht="13.5" customHeight="1">
      <c r="A9" s="75"/>
      <c r="B9" s="56"/>
      <c r="L9" s="57"/>
      <c r="M9" s="76"/>
      <c r="N9" s="56"/>
      <c r="X9" s="57"/>
      <c r="Y9" s="75"/>
      <c r="AA9" s="111"/>
      <c r="AB9" s="111"/>
      <c r="AC9" s="111"/>
      <c r="AD9" s="111"/>
      <c r="AE9" s="111"/>
      <c r="AF9" s="111"/>
    </row>
    <row r="10" spans="1:34" customFormat="1" ht="13.5" customHeight="1">
      <c r="A10" s="76"/>
      <c r="B10" s="56"/>
      <c r="L10" s="57"/>
      <c r="M10" s="76"/>
      <c r="N10" s="56"/>
      <c r="X10" s="57"/>
      <c r="Y10" s="76"/>
      <c r="Z10" s="83"/>
      <c r="AA10" s="111" t="s">
        <v>29</v>
      </c>
      <c r="AB10" s="111"/>
      <c r="AC10" s="111"/>
      <c r="AD10" s="111"/>
      <c r="AE10" s="111"/>
      <c r="AF10" s="111"/>
    </row>
    <row r="11" spans="1:34" customFormat="1" ht="13.5" customHeight="1">
      <c r="A11" s="76"/>
      <c r="B11" s="56"/>
      <c r="L11" s="57"/>
      <c r="M11" s="76"/>
      <c r="N11" s="56"/>
      <c r="X11" s="57"/>
      <c r="Y11" s="76"/>
      <c r="Z11" s="83"/>
      <c r="AA11" s="185"/>
      <c r="AB11" s="185"/>
      <c r="AC11" s="185"/>
      <c r="AD11" s="185"/>
      <c r="AE11" s="185"/>
      <c r="AF11" s="185"/>
      <c r="AG11" s="185"/>
      <c r="AH11" s="185"/>
    </row>
    <row r="12" spans="1:34" customFormat="1" ht="13.5" customHeight="1">
      <c r="A12" s="76"/>
      <c r="B12" s="56"/>
      <c r="L12" s="57"/>
      <c r="M12" s="76"/>
      <c r="N12" s="56"/>
      <c r="X12" s="57"/>
      <c r="Y12" s="76"/>
      <c r="AA12" s="186"/>
      <c r="AB12" s="185" t="s">
        <v>39</v>
      </c>
      <c r="AC12" s="185"/>
      <c r="AD12" s="185"/>
      <c r="AE12" s="185"/>
      <c r="AF12" s="185"/>
      <c r="AG12" s="185"/>
      <c r="AH12" s="185"/>
    </row>
    <row r="13" spans="1:34" customFormat="1" ht="13.5" customHeight="1">
      <c r="A13" s="76"/>
      <c r="B13" s="56"/>
      <c r="L13" s="57"/>
      <c r="M13" s="76"/>
      <c r="N13" s="56"/>
      <c r="X13" s="57"/>
      <c r="Y13" s="76"/>
      <c r="AA13" s="186"/>
      <c r="AB13" s="185"/>
      <c r="AC13" s="185" t="s">
        <v>40</v>
      </c>
      <c r="AD13" s="185">
        <v>-181</v>
      </c>
      <c r="AE13" s="187">
        <v>43682</v>
      </c>
      <c r="AF13" s="185"/>
      <c r="AG13" s="185"/>
      <c r="AH13" s="185"/>
    </row>
    <row r="14" spans="1:34" customFormat="1" ht="13.5" customHeight="1">
      <c r="A14" s="76"/>
      <c r="B14" s="56"/>
      <c r="L14" s="57"/>
      <c r="M14" s="76"/>
      <c r="N14" s="56"/>
      <c r="X14" s="57"/>
      <c r="Y14" s="76"/>
      <c r="AA14" s="185"/>
      <c r="AB14" s="185"/>
      <c r="AC14" s="185"/>
      <c r="AD14" s="185">
        <v>-181</v>
      </c>
      <c r="AE14" s="187">
        <v>46388</v>
      </c>
      <c r="AF14" s="185"/>
      <c r="AG14" s="185"/>
      <c r="AH14" s="185"/>
    </row>
    <row r="15" spans="1:34" customFormat="1" ht="13.5" customHeight="1">
      <c r="A15" s="76"/>
      <c r="B15" s="56"/>
      <c r="L15" s="57"/>
      <c r="M15" s="76"/>
      <c r="N15" s="56"/>
      <c r="X15" s="57"/>
      <c r="Y15" s="76"/>
      <c r="AA15" s="185"/>
      <c r="AB15" s="185"/>
      <c r="AC15" s="185" t="s">
        <v>41</v>
      </c>
      <c r="AD15" s="185">
        <v>-226</v>
      </c>
      <c r="AE15" s="187">
        <v>43682</v>
      </c>
      <c r="AF15" s="185"/>
      <c r="AG15" s="185"/>
      <c r="AH15" s="185"/>
    </row>
    <row r="16" spans="1:34" customFormat="1" ht="13.5" customHeight="1">
      <c r="A16" s="76"/>
      <c r="B16" s="56"/>
      <c r="L16" s="57"/>
      <c r="M16" s="76"/>
      <c r="N16" s="56"/>
      <c r="X16" s="57"/>
      <c r="Y16" s="76"/>
      <c r="AA16" s="185"/>
      <c r="AB16" s="185"/>
      <c r="AC16" s="185"/>
      <c r="AD16" s="185">
        <v>-226</v>
      </c>
      <c r="AE16" s="187">
        <v>46388</v>
      </c>
      <c r="AF16" s="185"/>
      <c r="AG16" s="185"/>
      <c r="AH16" s="185"/>
    </row>
    <row r="17" spans="1:34" customFormat="1" ht="13.5" customHeight="1">
      <c r="A17" s="76"/>
      <c r="B17" s="56"/>
      <c r="L17" s="57"/>
      <c r="M17" s="76"/>
      <c r="N17" s="56"/>
      <c r="X17" s="57"/>
      <c r="Y17" s="76"/>
      <c r="AA17" s="185"/>
      <c r="AB17" s="185"/>
      <c r="AC17" s="185"/>
      <c r="AD17" s="185"/>
      <c r="AE17" s="187"/>
      <c r="AF17" s="185"/>
      <c r="AG17" s="185"/>
      <c r="AH17" s="185"/>
    </row>
    <row r="18" spans="1:34" customFormat="1" ht="13.5" customHeight="1">
      <c r="A18" s="76"/>
      <c r="B18" s="56"/>
      <c r="L18" s="57"/>
      <c r="M18" s="76"/>
      <c r="N18" s="56"/>
      <c r="X18" s="57"/>
      <c r="Y18" s="76"/>
      <c r="AA18" s="185"/>
      <c r="AB18" s="185" t="s">
        <v>42</v>
      </c>
      <c r="AC18" s="185"/>
      <c r="AD18" s="185"/>
      <c r="AE18" s="187"/>
      <c r="AF18" s="185"/>
      <c r="AG18" s="185"/>
      <c r="AH18" s="185"/>
    </row>
    <row r="19" spans="1:34" customFormat="1" ht="13.5" customHeight="1">
      <c r="A19" s="76"/>
      <c r="B19" s="56"/>
      <c r="L19" s="57"/>
      <c r="M19" s="76"/>
      <c r="N19" s="56"/>
      <c r="X19" s="57"/>
      <c r="Y19" s="76"/>
      <c r="AA19" s="185"/>
      <c r="AB19" s="185"/>
      <c r="AC19" s="185" t="s">
        <v>43</v>
      </c>
      <c r="AD19" s="185">
        <v>-58</v>
      </c>
      <c r="AE19" s="187">
        <v>43682</v>
      </c>
      <c r="AF19" s="185"/>
      <c r="AG19" s="185"/>
      <c r="AH19" s="185"/>
    </row>
    <row r="20" spans="1:34" customFormat="1" ht="13.5" customHeight="1">
      <c r="A20" s="76"/>
      <c r="B20" s="56"/>
      <c r="L20" s="57"/>
      <c r="M20" s="76"/>
      <c r="N20" s="56"/>
      <c r="X20" s="57"/>
      <c r="Y20" s="76"/>
      <c r="AA20" s="185"/>
      <c r="AB20" s="185"/>
      <c r="AC20" s="185"/>
      <c r="AD20" s="185">
        <v>-58</v>
      </c>
      <c r="AE20" s="187">
        <v>46388</v>
      </c>
      <c r="AF20" s="185"/>
      <c r="AG20" s="185"/>
      <c r="AH20" s="185"/>
    </row>
    <row r="21" spans="1:34" customFormat="1" ht="13.5" customHeight="1">
      <c r="A21" s="76"/>
      <c r="B21" s="56"/>
      <c r="L21" s="57"/>
      <c r="M21" s="76"/>
      <c r="N21" s="56"/>
      <c r="X21" s="57"/>
      <c r="Y21" s="76"/>
      <c r="AA21" s="185"/>
      <c r="AB21" s="185"/>
      <c r="AC21" s="188" t="s">
        <v>44</v>
      </c>
      <c r="AD21" s="185">
        <v>-72</v>
      </c>
      <c r="AE21" s="187">
        <v>43682</v>
      </c>
      <c r="AF21" s="185"/>
      <c r="AG21" s="185"/>
      <c r="AH21" s="185"/>
    </row>
    <row r="22" spans="1:34" customFormat="1" ht="13.5" customHeight="1">
      <c r="A22" s="76"/>
      <c r="B22" s="56"/>
      <c r="L22" s="57"/>
      <c r="M22" s="113"/>
      <c r="N22" s="56"/>
      <c r="X22" s="57"/>
      <c r="Y22" s="76"/>
      <c r="AA22" s="185"/>
      <c r="AB22" s="185"/>
      <c r="AC22" s="185"/>
      <c r="AD22" s="185">
        <v>-72</v>
      </c>
      <c r="AE22" s="187">
        <v>46388</v>
      </c>
      <c r="AF22" s="185"/>
      <c r="AG22" s="185"/>
      <c r="AH22" s="185"/>
    </row>
    <row r="23" spans="1:34" customFormat="1" ht="13.5" customHeight="1">
      <c r="A23" s="76"/>
      <c r="B23" s="56"/>
      <c r="L23" s="57"/>
      <c r="M23" s="76"/>
      <c r="N23" s="56"/>
      <c r="X23" s="57"/>
      <c r="Y23" s="76"/>
      <c r="AA23" s="185"/>
      <c r="AB23" s="185"/>
      <c r="AC23" s="185" t="s">
        <v>43</v>
      </c>
      <c r="AD23" s="185">
        <v>-58</v>
      </c>
      <c r="AE23" s="187">
        <v>43654</v>
      </c>
      <c r="AF23" s="185"/>
      <c r="AG23" s="185"/>
      <c r="AH23" s="185"/>
    </row>
    <row r="24" spans="1:34" customFormat="1" ht="13.5" customHeight="1">
      <c r="A24" s="76"/>
      <c r="B24" s="56"/>
      <c r="L24" s="57"/>
      <c r="M24" s="76"/>
      <c r="N24" s="56"/>
      <c r="X24" s="57"/>
      <c r="Y24" s="76"/>
      <c r="AA24" s="185"/>
      <c r="AB24" s="185"/>
      <c r="AC24" s="185"/>
      <c r="AD24" s="185">
        <v>-58</v>
      </c>
      <c r="AE24" s="187">
        <v>46388</v>
      </c>
      <c r="AF24" s="185"/>
      <c r="AG24" s="185"/>
      <c r="AH24" s="185"/>
    </row>
    <row r="25" spans="1:34" customFormat="1" ht="13.5" customHeight="1">
      <c r="A25" s="76"/>
      <c r="B25" s="56"/>
      <c r="L25" s="57"/>
      <c r="M25" s="76"/>
      <c r="N25" s="56"/>
      <c r="X25" s="57"/>
      <c r="Y25" s="76"/>
      <c r="AA25" s="185"/>
      <c r="AB25" s="185"/>
      <c r="AC25" s="185" t="s">
        <v>44</v>
      </c>
      <c r="AD25" s="185">
        <v>-72</v>
      </c>
      <c r="AE25" s="187">
        <v>43654</v>
      </c>
      <c r="AF25" s="185"/>
      <c r="AG25" s="185"/>
      <c r="AH25" s="185"/>
    </row>
    <row r="26" spans="1:34" customFormat="1" ht="13.5" customHeight="1">
      <c r="A26" s="76"/>
      <c r="B26" s="56"/>
      <c r="L26" s="57"/>
      <c r="M26" s="76"/>
      <c r="N26" s="56"/>
      <c r="X26" s="57"/>
      <c r="Y26" s="76"/>
      <c r="AA26" s="185"/>
      <c r="AB26" s="185"/>
      <c r="AC26" s="185"/>
      <c r="AD26" s="185">
        <v>-72</v>
      </c>
      <c r="AE26" s="187">
        <v>46388</v>
      </c>
      <c r="AF26" s="185"/>
      <c r="AG26" s="185"/>
      <c r="AH26" s="185"/>
    </row>
    <row r="27" spans="1:34" customFormat="1" ht="13.5" customHeight="1">
      <c r="A27" s="76"/>
      <c r="B27" s="56"/>
      <c r="L27" s="57"/>
      <c r="M27" s="76"/>
      <c r="N27" s="56"/>
      <c r="X27" s="57"/>
      <c r="Y27" s="76"/>
      <c r="AA27" s="185"/>
      <c r="AB27" s="185"/>
      <c r="AC27" s="185"/>
      <c r="AD27" s="185"/>
      <c r="AE27" s="185"/>
      <c r="AF27" s="185"/>
      <c r="AG27" s="185"/>
      <c r="AH27" s="185"/>
    </row>
    <row r="28" spans="1:34" customFormat="1" ht="13.5" customHeight="1">
      <c r="A28" s="76"/>
      <c r="B28" s="56"/>
      <c r="L28" s="57"/>
      <c r="M28" s="76"/>
      <c r="N28" s="56"/>
      <c r="X28" s="57"/>
      <c r="Y28" s="76"/>
      <c r="AA28" s="185"/>
      <c r="AB28" s="185"/>
      <c r="AC28" s="185"/>
      <c r="AD28" s="185"/>
      <c r="AE28" s="185"/>
      <c r="AF28" s="185"/>
      <c r="AG28" s="185"/>
      <c r="AH28" s="185"/>
    </row>
    <row r="29" spans="1:34" customFormat="1" ht="13.5" customHeight="1">
      <c r="A29" s="76"/>
      <c r="B29" s="56"/>
      <c r="L29" s="57"/>
      <c r="M29" s="76"/>
      <c r="N29" s="56"/>
      <c r="X29" s="57"/>
      <c r="Y29" s="76"/>
      <c r="AA29" s="185"/>
      <c r="AB29" s="185"/>
      <c r="AC29" s="185"/>
      <c r="AD29" s="185"/>
      <c r="AE29" s="185"/>
      <c r="AF29" s="185"/>
      <c r="AG29" s="185"/>
      <c r="AH29" s="185"/>
    </row>
    <row r="30" spans="1:34" customFormat="1" ht="13.5" customHeight="1">
      <c r="A30" s="76"/>
      <c r="B30" s="56"/>
      <c r="L30" s="57"/>
      <c r="M30" s="76"/>
      <c r="N30" s="56"/>
      <c r="X30" s="57"/>
      <c r="Y30" s="76"/>
      <c r="AA30" s="185"/>
      <c r="AB30" s="185"/>
      <c r="AC30" s="185"/>
      <c r="AD30" s="185"/>
      <c r="AE30" s="185"/>
      <c r="AF30" s="185"/>
      <c r="AG30" s="185"/>
      <c r="AH30" s="185"/>
    </row>
    <row r="31" spans="1:34" customFormat="1" ht="13.5" customHeight="1">
      <c r="A31" s="76"/>
      <c r="B31" s="56"/>
      <c r="L31" s="57"/>
      <c r="M31" s="76"/>
      <c r="N31" s="56"/>
      <c r="X31" s="57"/>
      <c r="Y31" s="76"/>
      <c r="AA31" s="185"/>
      <c r="AB31" s="185"/>
      <c r="AC31" s="185"/>
      <c r="AD31" s="185"/>
      <c r="AE31" s="185"/>
      <c r="AF31" s="185"/>
      <c r="AG31" s="185"/>
      <c r="AH31" s="185"/>
    </row>
    <row r="32" spans="1:34" customFormat="1" ht="13.5" customHeight="1">
      <c r="A32" s="76"/>
      <c r="B32" s="56"/>
      <c r="L32" s="57"/>
      <c r="M32" s="76"/>
      <c r="N32" s="56"/>
      <c r="X32" s="57"/>
      <c r="Y32" s="76"/>
      <c r="AA32" s="185"/>
      <c r="AB32" s="185"/>
      <c r="AC32" s="185"/>
      <c r="AD32" s="185"/>
      <c r="AE32" s="185"/>
      <c r="AF32" s="185"/>
      <c r="AG32" s="185"/>
      <c r="AH32" s="185"/>
    </row>
    <row r="33" spans="1:34" customFormat="1" ht="13.5" customHeight="1">
      <c r="A33" s="76"/>
      <c r="B33" s="58"/>
      <c r="C33" s="59"/>
      <c r="D33" s="59"/>
      <c r="E33" s="59"/>
      <c r="F33" s="59"/>
      <c r="G33" s="59"/>
      <c r="H33" s="59"/>
      <c r="I33" s="59"/>
      <c r="J33" s="59"/>
      <c r="K33" s="59"/>
      <c r="L33" s="60"/>
      <c r="M33" s="59"/>
      <c r="N33" s="58"/>
      <c r="O33" s="59"/>
      <c r="P33" s="59"/>
      <c r="Q33" s="59"/>
      <c r="R33" s="59"/>
      <c r="S33" s="59"/>
      <c r="T33" s="59"/>
      <c r="U33" s="59"/>
      <c r="V33" s="59"/>
      <c r="W33" s="59"/>
      <c r="X33" s="60"/>
      <c r="Y33" s="76"/>
      <c r="AA33" s="185"/>
      <c r="AB33" s="185"/>
      <c r="AC33" s="185"/>
      <c r="AD33" s="185"/>
      <c r="AE33" s="185"/>
      <c r="AF33" s="185"/>
      <c r="AG33" s="185"/>
      <c r="AH33" s="185"/>
    </row>
    <row r="34" spans="1:34" ht="13.5" customHeight="1">
      <c r="A34" s="76"/>
      <c r="B34" s="84"/>
      <c r="C34" s="76"/>
      <c r="D34" s="76"/>
      <c r="E34" s="76"/>
      <c r="F34" s="76"/>
      <c r="G34" s="76"/>
      <c r="H34" s="76"/>
      <c r="I34" s="76"/>
      <c r="J34" s="76"/>
      <c r="K34" s="76"/>
      <c r="L34" s="85"/>
      <c r="M34" s="76"/>
      <c r="N34" s="84"/>
      <c r="O34" s="76"/>
      <c r="P34" s="76"/>
      <c r="Q34" s="76"/>
      <c r="R34" s="76"/>
      <c r="S34" s="76"/>
      <c r="T34" s="76"/>
      <c r="U34" s="76"/>
      <c r="V34" s="76"/>
      <c r="W34" s="76"/>
      <c r="X34" s="85"/>
      <c r="Y34" s="76"/>
      <c r="AA34" s="186"/>
      <c r="AB34" s="186"/>
      <c r="AC34" s="186"/>
      <c r="AD34" s="186"/>
      <c r="AE34" s="186"/>
      <c r="AF34" s="186"/>
      <c r="AG34" s="186"/>
      <c r="AH34" s="186"/>
    </row>
    <row r="35" spans="1:34" ht="13.5" customHeight="1">
      <c r="B35" s="51"/>
      <c r="C35" s="52"/>
      <c r="D35" s="52"/>
      <c r="E35" s="52"/>
      <c r="F35" s="52"/>
      <c r="G35" s="52"/>
      <c r="H35" s="52"/>
      <c r="I35" s="224" t="s">
        <v>4</v>
      </c>
      <c r="J35" s="224"/>
      <c r="K35" s="224"/>
      <c r="L35" s="225"/>
      <c r="M35" s="77"/>
      <c r="N35" s="51"/>
      <c r="O35" s="52"/>
      <c r="P35" s="52"/>
      <c r="Q35" s="52"/>
      <c r="R35" s="52"/>
      <c r="S35" s="52"/>
      <c r="T35" s="52"/>
      <c r="U35" s="224" t="s">
        <v>4</v>
      </c>
      <c r="V35" s="224"/>
      <c r="W35" s="224"/>
      <c r="X35" s="225"/>
      <c r="AA35" s="186"/>
      <c r="AB35" s="186"/>
      <c r="AC35" s="186"/>
      <c r="AD35" s="186"/>
      <c r="AE35" s="186"/>
      <c r="AF35" s="186"/>
      <c r="AG35" s="186"/>
      <c r="AH35" s="186"/>
    </row>
    <row r="36" spans="1:34" ht="13.5" customHeight="1">
      <c r="B36" s="53"/>
      <c r="I36" s="214" t="s">
        <v>26</v>
      </c>
      <c r="J36" s="214"/>
      <c r="K36" s="214"/>
      <c r="L36" s="226"/>
      <c r="M36" s="78"/>
      <c r="N36" s="53"/>
      <c r="U36" s="214" t="s">
        <v>26</v>
      </c>
      <c r="V36" s="214"/>
      <c r="W36" s="214"/>
      <c r="X36" s="226"/>
      <c r="AA36" s="186"/>
      <c r="AB36" s="186"/>
      <c r="AC36" s="186"/>
      <c r="AD36" s="186"/>
      <c r="AE36" s="186"/>
      <c r="AF36" s="186"/>
      <c r="AG36" s="186"/>
      <c r="AH36" s="186"/>
    </row>
    <row r="37" spans="1:34" ht="13.5" customHeight="1">
      <c r="B37" s="53"/>
      <c r="I37" s="54"/>
      <c r="J37" s="54"/>
      <c r="K37" s="54"/>
      <c r="L37" s="55"/>
      <c r="N37" s="53"/>
      <c r="U37" s="54"/>
      <c r="V37" s="54"/>
      <c r="W37" s="54"/>
      <c r="X37" s="55"/>
      <c r="AA37" s="186"/>
      <c r="AB37" s="186"/>
      <c r="AC37" s="186"/>
      <c r="AD37" s="186"/>
      <c r="AE37" s="186"/>
      <c r="AF37" s="186"/>
      <c r="AG37" s="186"/>
      <c r="AH37" s="186"/>
    </row>
    <row r="38" spans="1:34" ht="13.5" customHeight="1">
      <c r="B38" s="53"/>
      <c r="J38" s="227"/>
      <c r="K38" s="227"/>
      <c r="L38" s="228"/>
      <c r="M38" s="79"/>
      <c r="N38" s="53"/>
      <c r="V38" s="227"/>
      <c r="W38" s="227"/>
      <c r="X38" s="228"/>
      <c r="AA38" s="186"/>
      <c r="AB38" s="186"/>
      <c r="AC38" s="186"/>
      <c r="AD38" s="186"/>
      <c r="AE38" s="186"/>
      <c r="AF38" s="186"/>
      <c r="AG38" s="186"/>
      <c r="AH38" s="186"/>
    </row>
    <row r="39" spans="1:34" ht="13.5" customHeight="1">
      <c r="B39" s="221" t="str">
        <f ca="1">"Carrefour GGS - Convergence (ensemble) C006-007 GGS  ( PM " &amp; 'Résultats observations'!P6 &amp; ")  - Mesures au " &amp; TEXT(AE5,"jj/mm/aa")</f>
        <v>Carrefour GGS - Convergence (ensemble) C006-007 GGS  ( PM 5.09)  - Mesures au 29/07/25</v>
      </c>
      <c r="C39" s="222"/>
      <c r="D39" s="222"/>
      <c r="E39" s="222"/>
      <c r="F39" s="222"/>
      <c r="G39" s="222"/>
      <c r="H39" s="222"/>
      <c r="I39" s="222"/>
      <c r="J39" s="222"/>
      <c r="K39" s="222"/>
      <c r="L39" s="223"/>
      <c r="M39" s="80"/>
      <c r="N39" s="221" t="str">
        <f ca="1">"Carrefour GGS - Déplacement altimétrique des cibles ( PM " &amp; 'Résultats observations'!P6 &amp; ")  - Mesures au " &amp; TEXT(AE5,"jj/mm/aa")</f>
        <v>Carrefour GGS - Déplacement altimétrique des cibles ( PM 5.09)  - Mesures au 29/07/25</v>
      </c>
      <c r="O39" s="222"/>
      <c r="P39" s="222"/>
      <c r="Q39" s="222"/>
      <c r="R39" s="222"/>
      <c r="S39" s="222"/>
      <c r="T39" s="222"/>
      <c r="U39" s="222"/>
      <c r="V39" s="222"/>
      <c r="W39" s="222"/>
      <c r="X39" s="223"/>
      <c r="AA39" s="186"/>
      <c r="AB39" s="186"/>
      <c r="AC39" s="186"/>
      <c r="AD39" s="186"/>
      <c r="AE39" s="186"/>
      <c r="AF39" s="186"/>
      <c r="AG39" s="186"/>
      <c r="AH39" s="186"/>
    </row>
    <row r="40" spans="1:34" ht="13.5" customHeight="1">
      <c r="B40" s="53"/>
      <c r="L40" s="55"/>
      <c r="N40" s="53"/>
      <c r="X40" s="55"/>
      <c r="AA40" s="186"/>
      <c r="AB40" s="186"/>
      <c r="AC40" s="186"/>
      <c r="AD40" s="186"/>
      <c r="AE40" s="186"/>
      <c r="AF40" s="186"/>
      <c r="AG40" s="186"/>
      <c r="AH40" s="186"/>
    </row>
    <row r="41" spans="1:34" ht="13.5" customHeight="1">
      <c r="B41" s="56"/>
      <c r="C41"/>
      <c r="D41"/>
      <c r="E41"/>
      <c r="F41"/>
      <c r="G41"/>
      <c r="H41"/>
      <c r="I41"/>
      <c r="J41"/>
      <c r="K41"/>
      <c r="L41" s="57"/>
      <c r="M41" s="76"/>
      <c r="N41" s="56"/>
      <c r="O41"/>
      <c r="P41"/>
      <c r="Q41"/>
      <c r="R41"/>
      <c r="S41"/>
      <c r="T41"/>
      <c r="U41"/>
      <c r="V41"/>
      <c r="W41"/>
      <c r="X41" s="57"/>
      <c r="AA41" s="186"/>
      <c r="AB41" s="186"/>
      <c r="AC41" s="186"/>
      <c r="AD41" s="186"/>
      <c r="AE41" s="186"/>
      <c r="AF41" s="186"/>
      <c r="AG41" s="186"/>
      <c r="AH41" s="186"/>
    </row>
    <row r="42" spans="1:34" ht="13.5" customHeight="1">
      <c r="B42" s="56"/>
      <c r="C42"/>
      <c r="D42"/>
      <c r="E42"/>
      <c r="F42"/>
      <c r="G42"/>
      <c r="H42"/>
      <c r="I42"/>
      <c r="J42"/>
      <c r="K42"/>
      <c r="L42" s="57"/>
      <c r="M42" s="76"/>
      <c r="N42" s="56"/>
      <c r="O42"/>
      <c r="P42"/>
      <c r="Q42"/>
      <c r="R42"/>
      <c r="S42"/>
      <c r="T42"/>
      <c r="U42"/>
      <c r="V42"/>
      <c r="W42"/>
      <c r="X42" s="57"/>
    </row>
    <row r="43" spans="1:34" ht="13.5" customHeight="1">
      <c r="B43" s="56"/>
      <c r="C43"/>
      <c r="D43"/>
      <c r="E43"/>
      <c r="F43"/>
      <c r="G43"/>
      <c r="H43"/>
      <c r="I43"/>
      <c r="J43"/>
      <c r="K43"/>
      <c r="L43" s="57"/>
      <c r="M43" s="76"/>
      <c r="N43" s="56"/>
      <c r="O43"/>
      <c r="P43"/>
      <c r="Q43"/>
      <c r="R43"/>
      <c r="S43"/>
      <c r="T43"/>
      <c r="U43"/>
      <c r="V43"/>
      <c r="W43"/>
      <c r="X43" s="57"/>
    </row>
    <row r="44" spans="1:34" ht="13.5" customHeight="1">
      <c r="B44" s="56"/>
      <c r="C44"/>
      <c r="D44"/>
      <c r="E44"/>
      <c r="F44"/>
      <c r="G44"/>
      <c r="H44"/>
      <c r="I44"/>
      <c r="J44"/>
      <c r="K44"/>
      <c r="L44" s="57"/>
      <c r="M44" s="76"/>
      <c r="N44" s="56"/>
      <c r="O44"/>
      <c r="P44"/>
      <c r="Q44"/>
      <c r="R44"/>
      <c r="S44"/>
      <c r="T44"/>
      <c r="U44"/>
      <c r="V44"/>
      <c r="W44"/>
      <c r="X44" s="57"/>
    </row>
    <row r="45" spans="1:34" ht="13.5" customHeight="1">
      <c r="B45" s="56"/>
      <c r="C45"/>
      <c r="D45"/>
      <c r="E45"/>
      <c r="F45"/>
      <c r="G45"/>
      <c r="H45"/>
      <c r="I45"/>
      <c r="J45"/>
      <c r="K45"/>
      <c r="L45" s="57"/>
      <c r="M45" s="76"/>
      <c r="N45" s="56"/>
      <c r="O45"/>
      <c r="P45"/>
      <c r="Q45"/>
      <c r="R45"/>
      <c r="S45"/>
      <c r="T45"/>
      <c r="U45"/>
      <c r="V45"/>
      <c r="W45"/>
      <c r="X45" s="57"/>
    </row>
    <row r="46" spans="1:34" ht="13.5" customHeight="1">
      <c r="B46" s="56"/>
      <c r="C46"/>
      <c r="D46"/>
      <c r="E46"/>
      <c r="F46"/>
      <c r="G46"/>
      <c r="H46"/>
      <c r="I46"/>
      <c r="J46"/>
      <c r="K46"/>
      <c r="L46" s="57"/>
      <c r="M46" s="76"/>
      <c r="N46" s="56"/>
      <c r="O46"/>
      <c r="P46"/>
      <c r="Q46"/>
      <c r="R46"/>
      <c r="S46"/>
      <c r="T46"/>
      <c r="U46"/>
      <c r="V46"/>
      <c r="W46"/>
      <c r="X46" s="57"/>
      <c r="AA46" s="2" t="s">
        <v>46</v>
      </c>
    </row>
    <row r="47" spans="1:34" ht="13.5" customHeight="1">
      <c r="B47" s="56"/>
      <c r="C47"/>
      <c r="D47"/>
      <c r="E47"/>
      <c r="F47"/>
      <c r="G47"/>
      <c r="H47"/>
      <c r="I47"/>
      <c r="J47"/>
      <c r="K47"/>
      <c r="L47" s="57"/>
      <c r="M47" s="76"/>
      <c r="N47" s="56"/>
      <c r="O47"/>
      <c r="P47"/>
      <c r="Q47"/>
      <c r="R47"/>
      <c r="S47"/>
      <c r="T47"/>
      <c r="U47"/>
      <c r="V47"/>
      <c r="W47"/>
      <c r="X47" s="57"/>
    </row>
    <row r="48" spans="1:34" ht="13.5" customHeight="1">
      <c r="B48" s="56"/>
      <c r="C48"/>
      <c r="D48"/>
      <c r="E48"/>
      <c r="F48"/>
      <c r="G48"/>
      <c r="H48"/>
      <c r="I48"/>
      <c r="J48"/>
      <c r="K48"/>
      <c r="L48" s="57"/>
      <c r="M48" s="76"/>
      <c r="N48" s="56"/>
      <c r="O48"/>
      <c r="P48"/>
      <c r="Q48"/>
      <c r="R48"/>
      <c r="S48"/>
      <c r="T48"/>
      <c r="U48"/>
      <c r="V48"/>
      <c r="W48"/>
      <c r="X48" s="57"/>
    </row>
    <row r="49" spans="2:24" ht="13.5" customHeight="1">
      <c r="B49" s="56"/>
      <c r="C49"/>
      <c r="D49"/>
      <c r="E49"/>
      <c r="F49"/>
      <c r="G49"/>
      <c r="H49"/>
      <c r="I49"/>
      <c r="J49"/>
      <c r="K49"/>
      <c r="L49" s="57"/>
      <c r="M49" s="76"/>
      <c r="N49" s="56"/>
      <c r="O49"/>
      <c r="P49"/>
      <c r="Q49"/>
      <c r="R49"/>
      <c r="S49"/>
      <c r="T49"/>
      <c r="U49"/>
      <c r="V49"/>
      <c r="W49"/>
      <c r="X49" s="57"/>
    </row>
    <row r="50" spans="2:24" ht="13.5" customHeight="1">
      <c r="B50" s="56"/>
      <c r="C50"/>
      <c r="D50"/>
      <c r="E50"/>
      <c r="F50"/>
      <c r="G50"/>
      <c r="H50"/>
      <c r="I50"/>
      <c r="J50"/>
      <c r="K50"/>
      <c r="L50" s="57"/>
      <c r="M50" s="76"/>
      <c r="N50" s="56"/>
      <c r="O50"/>
      <c r="P50"/>
      <c r="Q50"/>
      <c r="R50"/>
      <c r="S50"/>
      <c r="T50"/>
      <c r="U50"/>
      <c r="V50"/>
      <c r="W50"/>
      <c r="X50" s="57"/>
    </row>
    <row r="51" spans="2:24" ht="13.5" customHeight="1">
      <c r="B51" s="56"/>
      <c r="C51"/>
      <c r="D51"/>
      <c r="E51"/>
      <c r="F51"/>
      <c r="G51"/>
      <c r="H51"/>
      <c r="I51"/>
      <c r="J51"/>
      <c r="K51"/>
      <c r="L51" s="57"/>
      <c r="M51" s="76"/>
      <c r="N51" s="56"/>
      <c r="O51"/>
      <c r="P51"/>
      <c r="Q51"/>
      <c r="R51"/>
      <c r="S51"/>
      <c r="T51"/>
      <c r="U51"/>
      <c r="V51"/>
      <c r="W51"/>
      <c r="X51" s="57"/>
    </row>
    <row r="52" spans="2:24" ht="13.5" customHeight="1">
      <c r="B52" s="56"/>
      <c r="C52"/>
      <c r="D52"/>
      <c r="E52"/>
      <c r="F52"/>
      <c r="G52"/>
      <c r="H52"/>
      <c r="I52"/>
      <c r="J52"/>
      <c r="K52"/>
      <c r="L52" s="57"/>
      <c r="M52" s="76"/>
      <c r="N52" s="56"/>
      <c r="O52"/>
      <c r="P52"/>
      <c r="Q52"/>
      <c r="R52"/>
      <c r="S52"/>
      <c r="T52"/>
      <c r="U52"/>
      <c r="V52"/>
      <c r="W52"/>
      <c r="X52" s="57"/>
    </row>
    <row r="53" spans="2:24" ht="13.5" customHeight="1">
      <c r="B53" s="56"/>
      <c r="C53"/>
      <c r="D53"/>
      <c r="E53"/>
      <c r="F53"/>
      <c r="G53"/>
      <c r="H53"/>
      <c r="I53"/>
      <c r="J53"/>
      <c r="K53"/>
      <c r="L53" s="57"/>
      <c r="M53" s="76"/>
      <c r="N53" s="56"/>
      <c r="O53"/>
      <c r="P53"/>
      <c r="Q53"/>
      <c r="R53"/>
      <c r="S53"/>
      <c r="T53"/>
      <c r="U53"/>
      <c r="V53"/>
      <c r="W53"/>
      <c r="X53" s="57"/>
    </row>
    <row r="54" spans="2:24" ht="13.5" customHeight="1">
      <c r="B54" s="56"/>
      <c r="C54"/>
      <c r="D54"/>
      <c r="E54"/>
      <c r="F54"/>
      <c r="G54"/>
      <c r="H54"/>
      <c r="I54"/>
      <c r="J54"/>
      <c r="K54"/>
      <c r="L54" s="57"/>
      <c r="M54" s="76"/>
      <c r="N54" s="56"/>
      <c r="O54"/>
      <c r="P54"/>
      <c r="Q54"/>
      <c r="R54"/>
      <c r="S54"/>
      <c r="T54"/>
      <c r="U54"/>
      <c r="V54"/>
      <c r="W54"/>
      <c r="X54" s="57"/>
    </row>
    <row r="55" spans="2:24" ht="13.5" customHeight="1">
      <c r="B55" s="56"/>
      <c r="C55"/>
      <c r="D55"/>
      <c r="E55"/>
      <c r="F55"/>
      <c r="G55"/>
      <c r="H55"/>
      <c r="I55"/>
      <c r="J55"/>
      <c r="K55"/>
      <c r="L55" s="57"/>
      <c r="M55" s="76"/>
      <c r="N55" s="56"/>
      <c r="O55"/>
      <c r="P55"/>
      <c r="Q55"/>
      <c r="R55"/>
      <c r="S55"/>
      <c r="T55"/>
      <c r="U55"/>
      <c r="V55"/>
      <c r="W55"/>
      <c r="X55" s="57"/>
    </row>
    <row r="56" spans="2:24" ht="13.5" customHeight="1">
      <c r="B56" s="56"/>
      <c r="C56"/>
      <c r="D56"/>
      <c r="E56"/>
      <c r="F56"/>
      <c r="G56"/>
      <c r="H56"/>
      <c r="I56"/>
      <c r="J56"/>
      <c r="K56"/>
      <c r="L56" s="57"/>
      <c r="M56" s="76"/>
      <c r="N56" s="56"/>
      <c r="O56"/>
      <c r="P56"/>
      <c r="Q56"/>
      <c r="R56"/>
      <c r="S56"/>
      <c r="T56"/>
      <c r="U56"/>
      <c r="V56"/>
      <c r="W56"/>
      <c r="X56" s="57"/>
    </row>
    <row r="57" spans="2:24" ht="13.5" customHeight="1">
      <c r="B57" s="56"/>
      <c r="C57"/>
      <c r="D57"/>
      <c r="E57"/>
      <c r="F57"/>
      <c r="G57"/>
      <c r="H57"/>
      <c r="I57"/>
      <c r="J57"/>
      <c r="K57"/>
      <c r="L57" s="57"/>
      <c r="M57" s="76"/>
      <c r="N57" s="56"/>
      <c r="O57"/>
      <c r="P57"/>
      <c r="Q57"/>
      <c r="R57"/>
      <c r="S57"/>
      <c r="T57"/>
      <c r="U57"/>
      <c r="V57"/>
      <c r="W57"/>
      <c r="X57" s="57"/>
    </row>
    <row r="58" spans="2:24" ht="13.5" customHeight="1">
      <c r="B58" s="56"/>
      <c r="C58"/>
      <c r="D58"/>
      <c r="E58"/>
      <c r="F58"/>
      <c r="G58"/>
      <c r="H58"/>
      <c r="I58"/>
      <c r="J58"/>
      <c r="K58"/>
      <c r="L58" s="57"/>
      <c r="M58" s="76"/>
      <c r="N58" s="56"/>
      <c r="O58"/>
      <c r="P58"/>
      <c r="Q58"/>
      <c r="R58"/>
      <c r="S58"/>
      <c r="T58"/>
      <c r="U58"/>
      <c r="V58"/>
      <c r="W58"/>
      <c r="X58" s="57"/>
    </row>
    <row r="59" spans="2:24" ht="13.5" customHeight="1">
      <c r="B59" s="56"/>
      <c r="C59"/>
      <c r="D59"/>
      <c r="E59"/>
      <c r="F59"/>
      <c r="G59"/>
      <c r="H59"/>
      <c r="I59"/>
      <c r="J59"/>
      <c r="K59"/>
      <c r="L59" s="57"/>
      <c r="M59" s="76"/>
      <c r="N59" s="56"/>
      <c r="O59"/>
      <c r="P59"/>
      <c r="Q59"/>
      <c r="R59"/>
      <c r="S59"/>
      <c r="T59"/>
      <c r="U59"/>
      <c r="V59"/>
      <c r="W59"/>
      <c r="X59" s="57"/>
    </row>
    <row r="60" spans="2:24" ht="13.5" customHeight="1">
      <c r="B60" s="56"/>
      <c r="C60"/>
      <c r="D60"/>
      <c r="E60"/>
      <c r="F60"/>
      <c r="G60"/>
      <c r="H60"/>
      <c r="I60"/>
      <c r="J60"/>
      <c r="K60"/>
      <c r="L60" s="57"/>
      <c r="M60" s="76"/>
      <c r="N60" s="56"/>
      <c r="O60"/>
      <c r="P60"/>
      <c r="Q60"/>
      <c r="R60"/>
      <c r="S60"/>
      <c r="T60"/>
      <c r="U60"/>
      <c r="V60"/>
      <c r="W60"/>
      <c r="X60" s="57"/>
    </row>
    <row r="61" spans="2:24" ht="13.5" customHeight="1">
      <c r="B61" s="56"/>
      <c r="C61"/>
      <c r="D61"/>
      <c r="E61"/>
      <c r="F61"/>
      <c r="G61"/>
      <c r="H61"/>
      <c r="I61"/>
      <c r="J61"/>
      <c r="K61"/>
      <c r="L61" s="57"/>
      <c r="M61" s="76"/>
      <c r="N61" s="56"/>
      <c r="O61"/>
      <c r="P61"/>
      <c r="Q61"/>
      <c r="R61"/>
      <c r="S61"/>
      <c r="T61"/>
      <c r="U61"/>
      <c r="V61"/>
      <c r="W61"/>
      <c r="X61" s="57"/>
    </row>
    <row r="62" spans="2:24" ht="13.5" customHeight="1">
      <c r="B62" s="56"/>
      <c r="C62"/>
      <c r="D62"/>
      <c r="E62"/>
      <c r="F62"/>
      <c r="G62"/>
      <c r="H62"/>
      <c r="I62"/>
      <c r="J62"/>
      <c r="K62"/>
      <c r="L62" s="57"/>
      <c r="M62" s="76"/>
      <c r="N62" s="56"/>
      <c r="O62"/>
      <c r="P62"/>
      <c r="Q62"/>
      <c r="R62"/>
      <c r="S62"/>
      <c r="T62"/>
      <c r="U62"/>
      <c r="V62"/>
      <c r="W62"/>
      <c r="X62" s="57"/>
    </row>
    <row r="63" spans="2:24" ht="13.5" customHeight="1">
      <c r="B63" s="56"/>
      <c r="C63"/>
      <c r="D63"/>
      <c r="E63"/>
      <c r="F63"/>
      <c r="G63"/>
      <c r="H63"/>
      <c r="I63"/>
      <c r="J63"/>
      <c r="K63"/>
      <c r="L63" s="57"/>
      <c r="M63" s="76"/>
      <c r="N63" s="56"/>
      <c r="O63"/>
      <c r="P63"/>
      <c r="Q63"/>
      <c r="R63"/>
      <c r="S63"/>
      <c r="T63"/>
      <c r="U63"/>
      <c r="V63"/>
      <c r="W63"/>
      <c r="X63" s="57"/>
    </row>
    <row r="64" spans="2:24" ht="13.5" customHeight="1">
      <c r="B64" s="56"/>
      <c r="C64"/>
      <c r="D64"/>
      <c r="E64"/>
      <c r="F64"/>
      <c r="G64"/>
      <c r="H64"/>
      <c r="I64"/>
      <c r="J64"/>
      <c r="K64"/>
      <c r="L64" s="57"/>
      <c r="M64" s="76"/>
      <c r="N64" s="56"/>
      <c r="O64"/>
      <c r="P64"/>
      <c r="Q64"/>
      <c r="R64"/>
      <c r="S64"/>
      <c r="T64"/>
      <c r="U64"/>
      <c r="V64"/>
      <c r="W64"/>
      <c r="X64" s="57"/>
    </row>
    <row r="65" spans="2:24" ht="13.5" customHeight="1">
      <c r="B65" s="56"/>
      <c r="C65"/>
      <c r="D65"/>
      <c r="E65"/>
      <c r="F65"/>
      <c r="G65"/>
      <c r="H65"/>
      <c r="I65"/>
      <c r="J65"/>
      <c r="K65"/>
      <c r="L65" s="57"/>
      <c r="M65" s="76"/>
      <c r="N65" s="56"/>
      <c r="O65"/>
      <c r="P65"/>
      <c r="Q65"/>
      <c r="R65"/>
      <c r="S65"/>
      <c r="T65"/>
      <c r="U65"/>
      <c r="V65"/>
      <c r="W65"/>
      <c r="X65" s="57"/>
    </row>
    <row r="66" spans="2:24" ht="13.5" customHeight="1">
      <c r="B66" s="58"/>
      <c r="C66" s="59"/>
      <c r="D66" s="59"/>
      <c r="E66" s="59"/>
      <c r="F66" s="59"/>
      <c r="G66" s="59"/>
      <c r="H66" s="59"/>
      <c r="I66" s="59"/>
      <c r="J66" s="59"/>
      <c r="K66" s="59"/>
      <c r="L66" s="60"/>
      <c r="M66" s="81"/>
      <c r="N66" s="58"/>
      <c r="O66" s="59"/>
      <c r="P66" s="59"/>
      <c r="Q66" s="59"/>
      <c r="R66" s="59"/>
      <c r="S66" s="59"/>
      <c r="T66" s="59"/>
      <c r="U66" s="59"/>
      <c r="V66" s="59"/>
      <c r="W66" s="59"/>
      <c r="X66" s="60"/>
    </row>
    <row r="67" spans="2:24" ht="13.5" customHeight="1">
      <c r="B67" s="84"/>
      <c r="C67" s="76"/>
      <c r="D67" s="76"/>
      <c r="E67" s="76"/>
      <c r="F67" s="76"/>
      <c r="G67" s="76"/>
      <c r="H67" s="76"/>
      <c r="I67" s="76"/>
      <c r="J67" s="76"/>
      <c r="K67" s="76"/>
      <c r="L67" s="85"/>
      <c r="M67" s="76"/>
      <c r="N67" s="84"/>
      <c r="O67" s="76"/>
      <c r="P67" s="76"/>
      <c r="Q67" s="76"/>
      <c r="R67" s="76"/>
      <c r="S67" s="76"/>
      <c r="T67" s="76"/>
      <c r="U67" s="76"/>
      <c r="V67" s="76"/>
      <c r="W67" s="76"/>
      <c r="X67" s="85"/>
    </row>
    <row r="68" spans="2:24" ht="13.5" customHeight="1">
      <c r="B68" s="51"/>
      <c r="C68" s="52"/>
      <c r="D68" s="52"/>
      <c r="E68" s="52"/>
      <c r="F68" s="52"/>
      <c r="G68" s="52"/>
      <c r="H68" s="52"/>
      <c r="I68" s="224" t="s">
        <v>4</v>
      </c>
      <c r="J68" s="224"/>
      <c r="K68" s="224"/>
      <c r="L68" s="225"/>
      <c r="M68" s="77"/>
      <c r="N68" s="51"/>
      <c r="O68" s="52"/>
      <c r="P68" s="52"/>
      <c r="Q68" s="52"/>
      <c r="R68" s="52"/>
      <c r="S68" s="52"/>
      <c r="T68" s="52"/>
      <c r="U68" s="224" t="s">
        <v>4</v>
      </c>
      <c r="V68" s="224"/>
      <c r="W68" s="224"/>
      <c r="X68" s="225"/>
    </row>
    <row r="69" spans="2:24" ht="13.5" customHeight="1">
      <c r="B69" s="53"/>
      <c r="I69" s="214" t="s">
        <v>26</v>
      </c>
      <c r="J69" s="214"/>
      <c r="K69" s="214"/>
      <c r="L69" s="226"/>
      <c r="M69" s="78"/>
      <c r="N69" s="53"/>
      <c r="U69" s="214" t="s">
        <v>26</v>
      </c>
      <c r="V69" s="214"/>
      <c r="W69" s="214"/>
      <c r="X69" s="226"/>
    </row>
    <row r="70" spans="2:24" ht="13.5" customHeight="1">
      <c r="B70" s="53"/>
      <c r="I70" s="54"/>
      <c r="J70" s="54"/>
      <c r="K70" s="54"/>
      <c r="L70" s="55"/>
      <c r="N70" s="53"/>
      <c r="U70" s="54"/>
      <c r="V70" s="54"/>
      <c r="W70" s="54"/>
      <c r="X70" s="55"/>
    </row>
    <row r="71" spans="2:24" ht="13.5" customHeight="1">
      <c r="B71" s="53"/>
      <c r="J71" s="227"/>
      <c r="K71" s="227"/>
      <c r="L71" s="228"/>
      <c r="M71" s="79"/>
      <c r="N71" s="53"/>
      <c r="X71" s="55"/>
    </row>
    <row r="72" spans="2:24" ht="13.5" customHeight="1">
      <c r="B72" s="221" t="str">
        <f ca="1">"Carrefour GGS - Déplacement PM des cibles ( PM " &amp; 'Résultats observations'!P6 &amp; ")  - Mesures au " &amp; TEXT(AE5,"jj/mm/aa")</f>
        <v>Carrefour GGS - Déplacement PM des cibles ( PM 5.09)  - Mesures au 29/07/25</v>
      </c>
      <c r="C72" s="222"/>
      <c r="D72" s="222"/>
      <c r="E72" s="222"/>
      <c r="F72" s="222"/>
      <c r="G72" s="222"/>
      <c r="H72" s="222"/>
      <c r="I72" s="222"/>
      <c r="J72" s="222"/>
      <c r="K72" s="222"/>
      <c r="L72" s="223"/>
      <c r="M72" s="80"/>
      <c r="N72" s="221" t="str">
        <f ca="1">"Carrefour GGS - Déplacement en déport des cibles  ( PM " &amp; 'Résultats observations'!P6 &amp; ")  - Mesures au " &amp; TEXT(AE5,"jj/mm/aa")</f>
        <v>Carrefour GGS - Déplacement en déport des cibles  ( PM 5.09)  - Mesures au 29/07/25</v>
      </c>
      <c r="O72" s="222"/>
      <c r="P72" s="222"/>
      <c r="Q72" s="222"/>
      <c r="R72" s="222"/>
      <c r="S72" s="222"/>
      <c r="T72" s="222"/>
      <c r="U72" s="222"/>
      <c r="V72" s="222"/>
      <c r="W72" s="222"/>
      <c r="X72" s="223"/>
    </row>
    <row r="73" spans="2:24" ht="13.5" customHeight="1">
      <c r="B73" s="53"/>
      <c r="L73" s="55"/>
      <c r="N73" s="53"/>
      <c r="X73" s="55"/>
    </row>
    <row r="74" spans="2:24" ht="13.5" customHeight="1">
      <c r="B74" s="53"/>
      <c r="L74" s="55"/>
      <c r="N74" s="53"/>
      <c r="X74" s="55"/>
    </row>
    <row r="75" spans="2:24" ht="13.5" customHeight="1">
      <c r="B75" s="53"/>
      <c r="L75" s="55"/>
      <c r="N75" s="53"/>
      <c r="X75" s="55"/>
    </row>
    <row r="76" spans="2:24" ht="13.5" customHeight="1">
      <c r="B76" s="53"/>
      <c r="L76" s="55"/>
      <c r="N76" s="53"/>
      <c r="X76" s="55"/>
    </row>
    <row r="77" spans="2:24" ht="13.5" customHeight="1">
      <c r="B77" s="53"/>
      <c r="L77" s="55"/>
      <c r="N77" s="53"/>
      <c r="X77" s="55"/>
    </row>
    <row r="78" spans="2:24" ht="13.5" customHeight="1">
      <c r="B78" s="53"/>
      <c r="L78" s="55"/>
      <c r="N78" s="53"/>
      <c r="X78" s="55"/>
    </row>
    <row r="79" spans="2:24" ht="13.5" customHeight="1">
      <c r="B79" s="53"/>
      <c r="L79" s="55"/>
      <c r="N79" s="53"/>
      <c r="X79" s="55"/>
    </row>
    <row r="80" spans="2:24" ht="13.5" customHeight="1">
      <c r="B80" s="53"/>
      <c r="L80" s="55"/>
      <c r="N80" s="53"/>
      <c r="X80" s="55"/>
    </row>
    <row r="81" spans="2:24" ht="13.5" customHeight="1">
      <c r="B81" s="53"/>
      <c r="L81" s="55"/>
      <c r="N81" s="53"/>
      <c r="X81" s="55"/>
    </row>
    <row r="82" spans="2:24" ht="13.5" customHeight="1">
      <c r="B82" s="53"/>
      <c r="L82" s="55"/>
      <c r="N82" s="53"/>
      <c r="X82" s="55"/>
    </row>
    <row r="83" spans="2:24" ht="13.5" customHeight="1">
      <c r="B83" s="53"/>
      <c r="L83" s="55"/>
      <c r="N83" s="53"/>
      <c r="X83" s="55"/>
    </row>
    <row r="84" spans="2:24" ht="13.5" customHeight="1">
      <c r="B84" s="53"/>
      <c r="L84" s="55"/>
      <c r="N84" s="53"/>
      <c r="X84" s="55"/>
    </row>
    <row r="85" spans="2:24" ht="13.5" customHeight="1">
      <c r="B85" s="53"/>
      <c r="L85" s="55"/>
      <c r="N85" s="53"/>
      <c r="X85" s="55"/>
    </row>
    <row r="86" spans="2:24" ht="13.5" customHeight="1">
      <c r="B86" s="53"/>
      <c r="L86" s="55"/>
      <c r="N86" s="53"/>
      <c r="X86" s="55"/>
    </row>
    <row r="87" spans="2:24" ht="13.5" customHeight="1">
      <c r="B87" s="53"/>
      <c r="L87" s="55"/>
      <c r="N87" s="53"/>
      <c r="X87" s="55"/>
    </row>
    <row r="88" spans="2:24" ht="13.5" customHeight="1">
      <c r="B88" s="53"/>
      <c r="L88" s="55"/>
      <c r="N88" s="53"/>
      <c r="X88" s="55"/>
    </row>
    <row r="89" spans="2:24" ht="13.5" customHeight="1">
      <c r="B89" s="53"/>
      <c r="L89" s="55"/>
      <c r="N89" s="53"/>
      <c r="X89" s="55"/>
    </row>
    <row r="90" spans="2:24" ht="13.5" customHeight="1">
      <c r="B90" s="53"/>
      <c r="L90" s="55"/>
      <c r="N90" s="53"/>
      <c r="X90" s="55"/>
    </row>
    <row r="91" spans="2:24" ht="13.5" customHeight="1">
      <c r="B91" s="53"/>
      <c r="L91" s="55"/>
      <c r="N91" s="53"/>
      <c r="X91" s="55"/>
    </row>
    <row r="92" spans="2:24" ht="13.5" customHeight="1">
      <c r="B92" s="53"/>
      <c r="L92" s="55"/>
      <c r="N92" s="53"/>
      <c r="X92" s="55"/>
    </row>
    <row r="93" spans="2:24" ht="13.5" customHeight="1">
      <c r="B93" s="53"/>
      <c r="L93" s="55"/>
      <c r="N93" s="53"/>
      <c r="X93" s="55"/>
    </row>
    <row r="94" spans="2:24" ht="13.5" customHeight="1">
      <c r="B94" s="53"/>
      <c r="L94" s="55"/>
      <c r="N94" s="53"/>
      <c r="X94" s="55"/>
    </row>
    <row r="95" spans="2:24" ht="13.5" customHeight="1">
      <c r="B95" s="53"/>
      <c r="L95" s="55"/>
      <c r="N95" s="53"/>
      <c r="X95" s="55"/>
    </row>
    <row r="96" spans="2:24" ht="13.5" customHeight="1">
      <c r="B96" s="53"/>
      <c r="L96" s="55"/>
      <c r="N96" s="53"/>
      <c r="X96" s="55"/>
    </row>
    <row r="97" spans="2:24" ht="13.5" customHeight="1">
      <c r="B97" s="53"/>
      <c r="L97" s="55"/>
      <c r="N97" s="53"/>
      <c r="X97" s="55"/>
    </row>
    <row r="98" spans="2:24" ht="13.5" customHeight="1">
      <c r="B98" s="53"/>
      <c r="L98" s="55"/>
      <c r="N98" s="53"/>
      <c r="X98" s="55"/>
    </row>
    <row r="99" spans="2:24" ht="13.5" customHeight="1">
      <c r="B99" s="61"/>
      <c r="C99" s="62"/>
      <c r="D99" s="62"/>
      <c r="E99" s="62"/>
      <c r="F99" s="62"/>
      <c r="G99" s="62"/>
      <c r="H99" s="62"/>
      <c r="I99" s="62"/>
      <c r="J99" s="62"/>
      <c r="K99" s="62"/>
      <c r="L99" s="63"/>
      <c r="M99" s="82"/>
      <c r="N99" s="61"/>
      <c r="O99" s="62"/>
      <c r="P99" s="62"/>
      <c r="Q99" s="62"/>
      <c r="R99" s="62"/>
      <c r="S99" s="62"/>
      <c r="T99" s="62"/>
      <c r="U99" s="62"/>
      <c r="V99" s="62"/>
      <c r="W99" s="62"/>
      <c r="X99" s="63"/>
    </row>
    <row r="100" spans="2:24" ht="13.5" customHeight="1">
      <c r="B100" s="75"/>
      <c r="C100" s="75"/>
      <c r="D100" s="75"/>
      <c r="E100" s="75"/>
      <c r="F100" s="75"/>
      <c r="G100" s="75"/>
      <c r="H100" s="75"/>
      <c r="I100" s="75"/>
      <c r="J100" s="75"/>
      <c r="K100" s="75"/>
      <c r="L100" s="75"/>
      <c r="N100" s="75"/>
      <c r="O100" s="75"/>
      <c r="P100" s="75"/>
      <c r="Q100" s="75"/>
      <c r="R100" s="75"/>
      <c r="S100" s="75"/>
      <c r="T100" s="75"/>
      <c r="U100" s="75"/>
      <c r="V100" s="75"/>
      <c r="W100" s="75"/>
      <c r="X100" s="75"/>
    </row>
    <row r="101" spans="2:24" ht="13.5" customHeight="1"/>
    <row r="102" spans="2:24" ht="13.5" customHeight="1"/>
    <row r="103" spans="2:24" ht="13.5" customHeight="1"/>
    <row r="104" spans="2:24" ht="13.5" customHeight="1"/>
    <row r="105" spans="2:24" ht="13.5" customHeight="1"/>
    <row r="106" spans="2:24" ht="13.5" customHeight="1"/>
    <row r="107" spans="2:24" ht="13.5" customHeight="1"/>
    <row r="108" spans="2:24" ht="13.5" customHeight="1"/>
    <row r="109" spans="2:24" ht="13.5" customHeight="1"/>
    <row r="110" spans="2:24" ht="13.5" customHeight="1"/>
    <row r="111" spans="2:24" ht="13.5" customHeight="1"/>
    <row r="112" spans="2:24" ht="13.5" customHeight="1"/>
    <row r="113" ht="13.5" customHeight="1"/>
  </sheetData>
  <mergeCells count="23">
    <mergeCell ref="I68:L68"/>
    <mergeCell ref="I69:L69"/>
    <mergeCell ref="J71:L71"/>
    <mergeCell ref="B72:L72"/>
    <mergeCell ref="U35:X35"/>
    <mergeCell ref="U36:X36"/>
    <mergeCell ref="I35:L35"/>
    <mergeCell ref="I36:L36"/>
    <mergeCell ref="B39:L39"/>
    <mergeCell ref="J38:L38"/>
    <mergeCell ref="V38:X38"/>
    <mergeCell ref="N39:X39"/>
    <mergeCell ref="U68:X68"/>
    <mergeCell ref="U69:X69"/>
    <mergeCell ref="N72:X72"/>
    <mergeCell ref="B6:L6"/>
    <mergeCell ref="N6:X6"/>
    <mergeCell ref="I2:L2"/>
    <mergeCell ref="U2:X2"/>
    <mergeCell ref="I3:L3"/>
    <mergeCell ref="U3:X3"/>
    <mergeCell ref="J5:L5"/>
    <mergeCell ref="V5:X5"/>
  </mergeCells>
  <phoneticPr fontId="32" type="noConversion"/>
  <printOptions horizontalCentered="1" verticalCentered="1"/>
  <pageMargins left="0.39370078740157483" right="0.39370078740157483" top="0.19685039370078741" bottom="0.19685039370078741" header="0.51181102362204722" footer="0.51181102362204722"/>
  <pageSetup paperSize="9" scale="115" orientation="landscape" r:id="rId1"/>
  <headerFooter alignWithMargins="0"/>
  <colBreaks count="1" manualBreakCount="1">
    <brk id="13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changerDateDerMes">
                <anchor moveWithCells="1" sizeWithCells="1">
                  <from>
                    <xdr:col>26</xdr:col>
                    <xdr:colOff>352425</xdr:colOff>
                    <xdr:row>1</xdr:row>
                    <xdr:rowOff>152400</xdr:rowOff>
                  </from>
                  <to>
                    <xdr:col>27</xdr:col>
                    <xdr:colOff>247650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5"/>
  <dimension ref="A1:V64"/>
  <sheetViews>
    <sheetView zoomScale="85" zoomScaleNormal="85" workbookViewId="0">
      <selection activeCell="W27" sqref="W27"/>
    </sheetView>
  </sheetViews>
  <sheetFormatPr baseColWidth="10" defaultColWidth="11.42578125" defaultRowHeight="12.75"/>
  <cols>
    <col min="1" max="1" width="7.140625" style="2" customWidth="1"/>
    <col min="2" max="2" width="9.42578125" style="2" customWidth="1"/>
    <col min="3" max="7" width="8.42578125" style="2" customWidth="1"/>
    <col min="8" max="8" width="9.85546875" style="2" bestFit="1" customWidth="1"/>
    <col min="9" max="10" width="8.42578125" style="2" customWidth="1"/>
    <col min="11" max="12" width="7.140625" style="2" customWidth="1"/>
    <col min="13" max="13" width="9.42578125" style="2" customWidth="1"/>
    <col min="14" max="18" width="8.42578125" style="2" customWidth="1"/>
    <col min="19" max="19" width="9.85546875" style="2" bestFit="1" customWidth="1"/>
    <col min="20" max="21" width="8.42578125" style="2" customWidth="1"/>
    <col min="22" max="22" width="7.140625" style="2" customWidth="1"/>
    <col min="23" max="16384" width="11.42578125" style="2"/>
  </cols>
  <sheetData>
    <row r="1" spans="1:22" ht="15.75">
      <c r="A1" s="51"/>
      <c r="B1" s="52"/>
      <c r="C1" s="52"/>
      <c r="D1" s="52"/>
      <c r="E1" s="52"/>
      <c r="F1" s="52"/>
      <c r="G1" s="52"/>
      <c r="H1" s="224" t="s">
        <v>4</v>
      </c>
      <c r="I1" s="224"/>
      <c r="J1" s="224"/>
      <c r="K1" s="225"/>
      <c r="L1" s="51"/>
      <c r="M1" s="52"/>
      <c r="N1" s="52"/>
      <c r="O1" s="52"/>
      <c r="P1" s="52"/>
      <c r="Q1" s="52"/>
      <c r="R1" s="52"/>
      <c r="S1" s="224" t="s">
        <v>4</v>
      </c>
      <c r="T1" s="224"/>
      <c r="U1" s="224"/>
      <c r="V1" s="225"/>
    </row>
    <row r="2" spans="1:22" ht="15.75">
      <c r="A2" s="53"/>
      <c r="H2" s="214" t="s">
        <v>26</v>
      </c>
      <c r="I2" s="214"/>
      <c r="J2" s="214"/>
      <c r="K2" s="226"/>
      <c r="L2" s="53"/>
      <c r="S2" s="214" t="s">
        <v>26</v>
      </c>
      <c r="T2" s="214"/>
      <c r="U2" s="214"/>
      <c r="V2" s="226"/>
    </row>
    <row r="3" spans="1:22" ht="15">
      <c r="A3" s="53"/>
      <c r="H3" s="54"/>
      <c r="I3" s="54"/>
      <c r="J3" s="54"/>
      <c r="K3" s="55"/>
      <c r="L3" s="53"/>
      <c r="S3" s="54"/>
      <c r="T3" s="54"/>
      <c r="U3" s="54"/>
      <c r="V3" s="55"/>
    </row>
    <row r="4" spans="1:22">
      <c r="A4" s="53"/>
      <c r="I4" s="227"/>
      <c r="J4" s="227"/>
      <c r="K4" s="228"/>
      <c r="L4" s="53"/>
      <c r="T4" s="227"/>
      <c r="U4" s="227"/>
      <c r="V4" s="228"/>
    </row>
    <row r="5" spans="1:22">
      <c r="A5" s="221" t="str">
        <f ca="1">Graphiques!B39</f>
        <v>Carrefour GGS - Convergence (ensemble) C006-007 GGS  ( PM 5.09)  - Mesures au 29/07/25</v>
      </c>
      <c r="B5" s="222"/>
      <c r="C5" s="222"/>
      <c r="D5" s="222"/>
      <c r="E5" s="222"/>
      <c r="F5" s="222"/>
      <c r="G5" s="222"/>
      <c r="H5" s="222"/>
      <c r="I5" s="222"/>
      <c r="J5" s="222"/>
      <c r="K5" s="223"/>
      <c r="L5" s="221" t="str">
        <f ca="1">Graphiques!N39</f>
        <v>Carrefour GGS - Déplacement altimétrique des cibles ( PM 5.09)  - Mesures au 29/07/25</v>
      </c>
      <c r="M5" s="222"/>
      <c r="N5" s="222"/>
      <c r="O5" s="222"/>
      <c r="P5" s="222"/>
      <c r="Q5" s="222"/>
      <c r="R5" s="222"/>
      <c r="S5" s="222"/>
      <c r="T5" s="222"/>
      <c r="U5" s="222"/>
      <c r="V5" s="223"/>
    </row>
    <row r="6" spans="1:22" ht="7.5" customHeight="1">
      <c r="A6" s="53"/>
      <c r="K6" s="55"/>
      <c r="L6" s="53"/>
      <c r="V6" s="55"/>
    </row>
    <row r="7" spans="1:22" s="30" customFormat="1">
      <c r="A7" s="56"/>
      <c r="B7"/>
      <c r="C7"/>
      <c r="D7"/>
      <c r="E7"/>
      <c r="F7"/>
      <c r="G7"/>
      <c r="H7"/>
      <c r="I7"/>
      <c r="J7"/>
      <c r="K7" s="57"/>
      <c r="L7" s="56"/>
      <c r="M7"/>
      <c r="N7"/>
      <c r="O7"/>
      <c r="P7"/>
      <c r="Q7"/>
      <c r="R7"/>
      <c r="S7"/>
      <c r="T7"/>
      <c r="U7"/>
      <c r="V7" s="57"/>
    </row>
    <row r="8" spans="1:22">
      <c r="A8" s="56"/>
      <c r="B8"/>
      <c r="C8"/>
      <c r="D8"/>
      <c r="E8"/>
      <c r="F8"/>
      <c r="G8"/>
      <c r="H8"/>
      <c r="I8"/>
      <c r="J8"/>
      <c r="K8" s="57"/>
      <c r="L8" s="56"/>
      <c r="M8"/>
      <c r="N8"/>
      <c r="O8"/>
      <c r="P8"/>
      <c r="Q8"/>
      <c r="R8"/>
      <c r="S8"/>
      <c r="T8"/>
      <c r="U8"/>
      <c r="V8" s="57"/>
    </row>
    <row r="9" spans="1:22" customFormat="1" ht="35.25" customHeight="1">
      <c r="A9" s="56"/>
      <c r="K9" s="57"/>
      <c r="L9" s="56"/>
      <c r="V9" s="57"/>
    </row>
    <row r="10" spans="1:22" customFormat="1" ht="13.5" customHeight="1">
      <c r="A10" s="56"/>
      <c r="K10" s="57"/>
      <c r="L10" s="56"/>
      <c r="V10" s="57"/>
    </row>
    <row r="11" spans="1:22" customFormat="1" ht="13.5" customHeight="1">
      <c r="A11" s="56"/>
      <c r="K11" s="57"/>
      <c r="L11" s="56"/>
      <c r="V11" s="57"/>
    </row>
    <row r="12" spans="1:22" customFormat="1" ht="13.5" customHeight="1">
      <c r="A12" s="56"/>
      <c r="K12" s="57"/>
      <c r="L12" s="56"/>
      <c r="V12" s="57"/>
    </row>
    <row r="13" spans="1:22" customFormat="1" ht="13.5" customHeight="1">
      <c r="A13" s="56"/>
      <c r="K13" s="57"/>
      <c r="L13" s="56"/>
      <c r="V13" s="57"/>
    </row>
    <row r="14" spans="1:22" customFormat="1" ht="13.5" customHeight="1">
      <c r="A14" s="56"/>
      <c r="K14" s="57"/>
      <c r="L14" s="56"/>
      <c r="V14" s="57"/>
    </row>
    <row r="15" spans="1:22" customFormat="1" ht="13.5" customHeight="1">
      <c r="A15" s="56"/>
      <c r="K15" s="57"/>
      <c r="L15" s="56"/>
      <c r="V15" s="57"/>
    </row>
    <row r="16" spans="1:22" customFormat="1" ht="13.5" customHeight="1">
      <c r="A16" s="56"/>
      <c r="K16" s="57"/>
      <c r="L16" s="56"/>
      <c r="V16" s="57"/>
    </row>
    <row r="17" spans="1:22" customFormat="1" ht="13.5" customHeight="1">
      <c r="A17" s="56"/>
      <c r="K17" s="57"/>
      <c r="L17" s="56"/>
      <c r="V17" s="57"/>
    </row>
    <row r="18" spans="1:22" customFormat="1">
      <c r="A18" s="56"/>
      <c r="K18" s="57"/>
      <c r="L18" s="56"/>
      <c r="V18" s="57"/>
    </row>
    <row r="19" spans="1:22" customFormat="1">
      <c r="A19" s="56"/>
      <c r="K19" s="57"/>
      <c r="L19" s="56"/>
      <c r="V19" s="57"/>
    </row>
    <row r="20" spans="1:22" customFormat="1">
      <c r="A20" s="56"/>
      <c r="K20" s="57"/>
      <c r="L20" s="56"/>
      <c r="V20" s="57"/>
    </row>
    <row r="21" spans="1:22" customFormat="1">
      <c r="A21" s="56"/>
      <c r="K21" s="57"/>
      <c r="L21" s="56"/>
      <c r="V21" s="57"/>
    </row>
    <row r="22" spans="1:22" customFormat="1">
      <c r="A22" s="56"/>
      <c r="K22" s="57"/>
      <c r="L22" s="56"/>
      <c r="V22" s="57"/>
    </row>
    <row r="23" spans="1:22" customFormat="1">
      <c r="A23" s="56"/>
      <c r="K23" s="57"/>
      <c r="L23" s="56"/>
      <c r="V23" s="57"/>
    </row>
    <row r="24" spans="1:22" customFormat="1">
      <c r="A24" s="56"/>
      <c r="K24" s="57"/>
      <c r="L24" s="56"/>
      <c r="V24" s="57"/>
    </row>
    <row r="25" spans="1:22" customFormat="1">
      <c r="A25" s="56"/>
      <c r="K25" s="57"/>
      <c r="L25" s="56"/>
      <c r="V25" s="57"/>
    </row>
    <row r="26" spans="1:22" customFormat="1">
      <c r="A26" s="56"/>
      <c r="K26" s="57"/>
      <c r="L26" s="56"/>
      <c r="V26" s="57"/>
    </row>
    <row r="27" spans="1:22" customFormat="1">
      <c r="A27" s="56"/>
      <c r="K27" s="57"/>
      <c r="L27" s="56"/>
      <c r="V27" s="57"/>
    </row>
    <row r="28" spans="1:22" customFormat="1">
      <c r="A28" s="56"/>
      <c r="K28" s="57"/>
      <c r="L28" s="56"/>
      <c r="V28" s="57"/>
    </row>
    <row r="29" spans="1:22" customFormat="1">
      <c r="A29" s="56"/>
      <c r="K29" s="57"/>
      <c r="L29" s="56"/>
      <c r="V29" s="57"/>
    </row>
    <row r="30" spans="1:22" customFormat="1">
      <c r="A30" s="56"/>
      <c r="K30" s="57"/>
      <c r="L30" s="56"/>
      <c r="V30" s="57"/>
    </row>
    <row r="31" spans="1:22" customFormat="1">
      <c r="A31" s="56"/>
      <c r="K31" s="57"/>
      <c r="L31" s="56"/>
      <c r="V31" s="57"/>
    </row>
    <row r="32" spans="1:22" customFormat="1">
      <c r="A32" s="58"/>
      <c r="B32" s="59"/>
      <c r="C32" s="59"/>
      <c r="D32" s="59"/>
      <c r="E32" s="59"/>
      <c r="F32" s="59"/>
      <c r="G32" s="59"/>
      <c r="H32" s="59"/>
      <c r="I32" s="59"/>
      <c r="J32" s="59"/>
      <c r="K32" s="60"/>
      <c r="L32" s="58"/>
      <c r="M32" s="59"/>
      <c r="N32" s="59"/>
      <c r="O32" s="59"/>
      <c r="P32" s="59"/>
      <c r="Q32" s="59"/>
      <c r="R32" s="59"/>
      <c r="S32" s="59"/>
      <c r="T32" s="59"/>
      <c r="U32" s="59"/>
      <c r="V32" s="60"/>
    </row>
    <row r="33" spans="1:22" ht="15.75">
      <c r="A33" s="51"/>
      <c r="B33" s="52"/>
      <c r="C33" s="52"/>
      <c r="D33" s="52"/>
      <c r="E33" s="52"/>
      <c r="F33" s="52"/>
      <c r="G33" s="52"/>
      <c r="H33" s="224" t="s">
        <v>4</v>
      </c>
      <c r="I33" s="224"/>
      <c r="J33" s="224"/>
      <c r="K33" s="225"/>
      <c r="L33" s="51"/>
      <c r="M33" s="52"/>
      <c r="N33" s="52"/>
      <c r="O33" s="52"/>
      <c r="P33" s="52"/>
      <c r="Q33" s="52"/>
      <c r="R33" s="52"/>
      <c r="S33" s="224" t="s">
        <v>4</v>
      </c>
      <c r="T33" s="224"/>
      <c r="U33" s="224"/>
      <c r="V33" s="225"/>
    </row>
    <row r="34" spans="1:22" ht="15.75">
      <c r="A34" s="53"/>
      <c r="H34" s="214" t="s">
        <v>26</v>
      </c>
      <c r="I34" s="214"/>
      <c r="J34" s="214"/>
      <c r="K34" s="226"/>
      <c r="L34" s="53"/>
      <c r="S34" s="214" t="s">
        <v>26</v>
      </c>
      <c r="T34" s="214"/>
      <c r="U34" s="214"/>
      <c r="V34" s="226"/>
    </row>
    <row r="35" spans="1:22" ht="15">
      <c r="A35" s="53"/>
      <c r="H35" s="54"/>
      <c r="I35" s="54"/>
      <c r="J35" s="54"/>
      <c r="K35" s="55"/>
      <c r="L35" s="53"/>
      <c r="S35" s="54"/>
      <c r="T35" s="54"/>
      <c r="U35" s="54"/>
      <c r="V35" s="55"/>
    </row>
    <row r="36" spans="1:22">
      <c r="A36" s="53"/>
      <c r="I36" s="227"/>
      <c r="J36" s="227"/>
      <c r="K36" s="228"/>
      <c r="L36" s="53"/>
      <c r="V36" s="55"/>
    </row>
    <row r="37" spans="1:22">
      <c r="A37" s="221" t="str">
        <f ca="1">Graphiques!B72</f>
        <v>Carrefour GGS - Déplacement PM des cibles ( PM 5.09)  - Mesures au 29/07/25</v>
      </c>
      <c r="B37" s="222"/>
      <c r="C37" s="222"/>
      <c r="D37" s="222"/>
      <c r="E37" s="222"/>
      <c r="F37" s="222"/>
      <c r="G37" s="222"/>
      <c r="H37" s="222"/>
      <c r="I37" s="222"/>
      <c r="J37" s="222"/>
      <c r="K37" s="223"/>
      <c r="L37" s="221" t="str">
        <f ca="1">Graphiques!N72</f>
        <v>Carrefour GGS - Déplacement en déport des cibles  ( PM 5.09)  - Mesures au 29/07/25</v>
      </c>
      <c r="M37" s="222"/>
      <c r="N37" s="222"/>
      <c r="O37" s="222"/>
      <c r="P37" s="222"/>
      <c r="Q37" s="222"/>
      <c r="R37" s="222"/>
      <c r="S37" s="222"/>
      <c r="T37" s="222"/>
      <c r="U37" s="222"/>
      <c r="V37" s="223"/>
    </row>
    <row r="38" spans="1:22">
      <c r="A38" s="53"/>
      <c r="K38" s="55"/>
      <c r="L38" s="53"/>
      <c r="V38" s="55"/>
    </row>
    <row r="39" spans="1:22">
      <c r="A39" s="53"/>
      <c r="K39" s="55"/>
      <c r="L39" s="53"/>
      <c r="V39" s="55"/>
    </row>
    <row r="40" spans="1:22">
      <c r="A40" s="53"/>
      <c r="K40" s="55"/>
      <c r="L40" s="53"/>
      <c r="V40" s="55"/>
    </row>
    <row r="41" spans="1:22">
      <c r="A41" s="53"/>
      <c r="K41" s="55"/>
      <c r="L41" s="53"/>
      <c r="V41" s="55"/>
    </row>
    <row r="42" spans="1:22">
      <c r="A42" s="53"/>
      <c r="K42" s="55"/>
      <c r="L42" s="53"/>
      <c r="V42" s="55"/>
    </row>
    <row r="43" spans="1:22">
      <c r="A43" s="53"/>
      <c r="K43" s="55"/>
      <c r="L43" s="53"/>
      <c r="V43" s="55"/>
    </row>
    <row r="44" spans="1:22">
      <c r="A44" s="53"/>
      <c r="K44" s="55"/>
      <c r="L44" s="53"/>
      <c r="V44" s="55"/>
    </row>
    <row r="45" spans="1:22">
      <c r="A45" s="53"/>
      <c r="K45" s="55"/>
      <c r="L45" s="53"/>
      <c r="V45" s="55"/>
    </row>
    <row r="46" spans="1:22">
      <c r="A46" s="53"/>
      <c r="K46" s="55"/>
      <c r="L46" s="53"/>
      <c r="V46" s="55"/>
    </row>
    <row r="47" spans="1:22">
      <c r="A47" s="53"/>
      <c r="K47" s="55"/>
      <c r="L47" s="53"/>
      <c r="V47" s="55"/>
    </row>
    <row r="48" spans="1:22">
      <c r="A48" s="53"/>
      <c r="K48" s="55"/>
      <c r="L48" s="53"/>
      <c r="V48" s="55"/>
    </row>
    <row r="49" spans="1:22">
      <c r="A49" s="53"/>
      <c r="K49" s="55"/>
      <c r="L49" s="53"/>
      <c r="V49" s="55"/>
    </row>
    <row r="50" spans="1:22">
      <c r="A50" s="53"/>
      <c r="K50" s="55"/>
      <c r="L50" s="53"/>
      <c r="V50" s="55"/>
    </row>
    <row r="51" spans="1:22">
      <c r="A51" s="53"/>
      <c r="K51" s="55"/>
      <c r="L51" s="53"/>
      <c r="V51" s="55"/>
    </row>
    <row r="52" spans="1:22">
      <c r="A52" s="53"/>
      <c r="K52" s="55"/>
      <c r="L52" s="53"/>
      <c r="V52" s="55"/>
    </row>
    <row r="53" spans="1:22">
      <c r="A53" s="53"/>
      <c r="K53" s="55"/>
      <c r="L53" s="53"/>
      <c r="V53" s="55"/>
    </row>
    <row r="54" spans="1:22">
      <c r="A54" s="53"/>
      <c r="K54" s="55"/>
      <c r="L54" s="53"/>
      <c r="V54" s="55"/>
    </row>
    <row r="55" spans="1:22">
      <c r="A55" s="53"/>
      <c r="K55" s="55"/>
      <c r="L55" s="53"/>
      <c r="V55" s="55"/>
    </row>
    <row r="56" spans="1:22">
      <c r="A56" s="53"/>
      <c r="K56" s="55"/>
      <c r="L56" s="53"/>
      <c r="V56" s="55"/>
    </row>
    <row r="57" spans="1:22">
      <c r="A57" s="53"/>
      <c r="K57" s="55"/>
      <c r="L57" s="53"/>
      <c r="V57" s="55"/>
    </row>
    <row r="58" spans="1:22">
      <c r="A58" s="53"/>
      <c r="K58" s="55"/>
      <c r="L58" s="53"/>
      <c r="V58" s="55"/>
    </row>
    <row r="59" spans="1:22">
      <c r="A59" s="53"/>
      <c r="K59" s="55"/>
      <c r="L59" s="53"/>
      <c r="V59" s="55"/>
    </row>
    <row r="60" spans="1:22">
      <c r="A60" s="53"/>
      <c r="K60" s="55"/>
      <c r="L60" s="53"/>
      <c r="V60" s="55"/>
    </row>
    <row r="61" spans="1:22">
      <c r="A61" s="53"/>
      <c r="K61" s="55"/>
      <c r="L61" s="53"/>
      <c r="V61" s="55"/>
    </row>
    <row r="62" spans="1:22">
      <c r="A62" s="53"/>
      <c r="K62" s="55"/>
      <c r="L62" s="53"/>
      <c r="V62" s="55"/>
    </row>
    <row r="63" spans="1:22">
      <c r="A63" s="53"/>
      <c r="K63" s="55"/>
      <c r="L63" s="53"/>
      <c r="V63" s="55"/>
    </row>
    <row r="64" spans="1:22">
      <c r="A64" s="61"/>
      <c r="B64" s="62"/>
      <c r="C64" s="62"/>
      <c r="D64" s="62"/>
      <c r="E64" s="62"/>
      <c r="F64" s="62"/>
      <c r="G64" s="62"/>
      <c r="H64" s="62"/>
      <c r="I64" s="62"/>
      <c r="J64" s="62"/>
      <c r="K64" s="63"/>
      <c r="L64" s="61"/>
      <c r="M64" s="62"/>
      <c r="N64" s="62"/>
      <c r="O64" s="62"/>
      <c r="P64" s="62"/>
      <c r="Q64" s="62"/>
      <c r="R64" s="62"/>
      <c r="S64" s="62"/>
      <c r="T64" s="62"/>
      <c r="U64" s="62"/>
      <c r="V64" s="63"/>
    </row>
  </sheetData>
  <mergeCells count="15">
    <mergeCell ref="H1:K1"/>
    <mergeCell ref="S1:V1"/>
    <mergeCell ref="H2:K2"/>
    <mergeCell ref="S2:V2"/>
    <mergeCell ref="I4:K4"/>
    <mergeCell ref="T4:V4"/>
    <mergeCell ref="I36:K36"/>
    <mergeCell ref="A37:K37"/>
    <mergeCell ref="L37:V37"/>
    <mergeCell ref="A5:K5"/>
    <mergeCell ref="L5:V5"/>
    <mergeCell ref="H33:K33"/>
    <mergeCell ref="S33:V33"/>
    <mergeCell ref="H34:K34"/>
    <mergeCell ref="S34:V34"/>
  </mergeCells>
  <printOptions horizontalCentered="1"/>
  <pageMargins left="0.39370078740157483" right="0.39370078740157483" top="0.19685039370078741" bottom="0.19685039370078741" header="0.51181102362204722" footer="0.51181102362204722"/>
  <pageSetup paperSize="9" scale="130" orientation="landscape" r:id="rId1"/>
  <headerFooter alignWithMargins="0"/>
  <colBreaks count="1" manualBreakCount="1">
    <brk id="11" max="1048575" man="1"/>
  </col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6"/>
  <dimension ref="A1:B68"/>
  <sheetViews>
    <sheetView topLeftCell="A16" workbookViewId="0">
      <selection activeCell="B50" sqref="B50"/>
    </sheetView>
  </sheetViews>
  <sheetFormatPr baseColWidth="10" defaultRowHeight="12.75"/>
  <cols>
    <col min="2" max="2" width="187.85546875" customWidth="1"/>
  </cols>
  <sheetData>
    <row r="1" spans="1:2" ht="26.25">
      <c r="A1" s="229" t="s">
        <v>51</v>
      </c>
      <c r="B1" s="230"/>
    </row>
    <row r="2" spans="1:2">
      <c r="A2" s="87">
        <f>'Résultats observations'!A10</f>
        <v>45324</v>
      </c>
      <c r="B2" s="88" t="s">
        <v>83</v>
      </c>
    </row>
    <row r="3" spans="1:2">
      <c r="A3" s="87">
        <f>'Résultats observations'!A11</f>
        <v>45327</v>
      </c>
      <c r="B3" s="88"/>
    </row>
    <row r="4" spans="1:2">
      <c r="A4" s="87">
        <f>'Résultats observations'!A12</f>
        <v>45329</v>
      </c>
      <c r="B4" s="88"/>
    </row>
    <row r="5" spans="1:2">
      <c r="A5" s="87">
        <f>'Résultats observations'!A13</f>
        <v>45331</v>
      </c>
      <c r="B5" s="88"/>
    </row>
    <row r="6" spans="1:2">
      <c r="A6" s="87">
        <f>'Résultats observations'!A14</f>
        <v>45334</v>
      </c>
      <c r="B6" s="88"/>
    </row>
    <row r="7" spans="1:2">
      <c r="A7" s="87">
        <f>'Résultats observations'!A15</f>
        <v>45335</v>
      </c>
      <c r="B7" s="88" t="s">
        <v>84</v>
      </c>
    </row>
    <row r="8" spans="1:2">
      <c r="A8" s="87">
        <f>'Résultats observations'!A16</f>
        <v>45337</v>
      </c>
      <c r="B8" s="88" t="s">
        <v>84</v>
      </c>
    </row>
    <row r="9" spans="1:2">
      <c r="A9" s="87">
        <f>'Résultats observations'!A17</f>
        <v>45338</v>
      </c>
      <c r="B9" s="88"/>
    </row>
    <row r="10" spans="1:2" ht="27" customHeight="1">
      <c r="A10" s="87">
        <f>'Résultats observations'!A18</f>
        <v>45341</v>
      </c>
      <c r="B10" s="109"/>
    </row>
    <row r="11" spans="1:2" ht="12" customHeight="1">
      <c r="A11" s="87">
        <f>'Résultats observations'!A19</f>
        <v>45343</v>
      </c>
      <c r="B11" s="88"/>
    </row>
    <row r="12" spans="1:2" ht="12" customHeight="1">
      <c r="A12" s="87">
        <f>'Résultats observations'!A20</f>
        <v>45348</v>
      </c>
      <c r="B12" s="88"/>
    </row>
    <row r="13" spans="1:2" ht="12" customHeight="1">
      <c r="A13" s="87">
        <f>'Résultats observations'!A21</f>
        <v>45350</v>
      </c>
      <c r="B13" s="88"/>
    </row>
    <row r="14" spans="1:2">
      <c r="A14" s="87">
        <f>'Résultats observations'!A22</f>
        <v>45364</v>
      </c>
      <c r="B14" s="88"/>
    </row>
    <row r="15" spans="1:2">
      <c r="A15" s="87">
        <f>'Résultats observations'!A23</f>
        <v>45390</v>
      </c>
      <c r="B15" s="88"/>
    </row>
    <row r="16" spans="1:2">
      <c r="A16" s="87">
        <f>'Résultats observations'!A24</f>
        <v>45404</v>
      </c>
      <c r="B16" s="88"/>
    </row>
    <row r="17" spans="1:2">
      <c r="A17" s="87">
        <f>'Résultats observations'!A25</f>
        <v>45411</v>
      </c>
      <c r="B17" s="88"/>
    </row>
    <row r="18" spans="1:2">
      <c r="A18" s="87">
        <f>'Résultats observations'!A26</f>
        <v>45426</v>
      </c>
      <c r="B18" s="114"/>
    </row>
    <row r="19" spans="1:2">
      <c r="A19" s="87">
        <f>'Résultats observations'!A27</f>
        <v>45453</v>
      </c>
      <c r="B19" s="88"/>
    </row>
    <row r="20" spans="1:2">
      <c r="A20" s="87">
        <f>'Résultats observations'!A28</f>
        <v>45481</v>
      </c>
      <c r="B20" s="89"/>
    </row>
    <row r="21" spans="1:2">
      <c r="A21" s="87">
        <f>'Résultats observations'!A29</f>
        <v>45544</v>
      </c>
      <c r="B21" s="88" t="s">
        <v>85</v>
      </c>
    </row>
    <row r="22" spans="1:2">
      <c r="A22" s="87">
        <f>'Résultats observations'!A30</f>
        <v>45601</v>
      </c>
      <c r="B22" s="88"/>
    </row>
    <row r="23" spans="1:2">
      <c r="A23" s="87">
        <f>'Résultats observations'!A31</f>
        <v>45671</v>
      </c>
      <c r="B23" s="87"/>
    </row>
    <row r="24" spans="1:2">
      <c r="A24" s="87">
        <f>'Résultats observations'!A32</f>
        <v>45712</v>
      </c>
      <c r="B24" s="190" t="s">
        <v>94</v>
      </c>
    </row>
    <row r="25" spans="1:2">
      <c r="A25" s="87">
        <f>'Résultats observations'!A33</f>
        <v>45722</v>
      </c>
      <c r="B25" s="87" t="s">
        <v>98</v>
      </c>
    </row>
    <row r="26" spans="1:2">
      <c r="A26" s="87">
        <f>'Résultats observations'!A34</f>
        <v>45726</v>
      </c>
      <c r="B26" s="87"/>
    </row>
    <row r="27" spans="1:2">
      <c r="A27" s="87">
        <f>'Résultats observations'!A35</f>
        <v>45730</v>
      </c>
      <c r="B27" s="87"/>
    </row>
    <row r="28" spans="1:2">
      <c r="A28" s="87">
        <f>'Résultats observations'!A36</f>
        <v>45736</v>
      </c>
      <c r="B28" s="87"/>
    </row>
    <row r="29" spans="1:2">
      <c r="A29" s="87">
        <f>'Résultats observations'!A37</f>
        <v>45744</v>
      </c>
      <c r="B29" s="87"/>
    </row>
    <row r="30" spans="1:2">
      <c r="A30" s="87">
        <f>'Résultats observations'!A38</f>
        <v>45748</v>
      </c>
      <c r="B30" s="87"/>
    </row>
    <row r="31" spans="1:2">
      <c r="A31" s="87">
        <f>'Résultats observations'!A39</f>
        <v>45751</v>
      </c>
      <c r="B31" s="87"/>
    </row>
    <row r="32" spans="1:2">
      <c r="A32" s="87">
        <f>'Résultats observations'!A40</f>
        <v>45754</v>
      </c>
      <c r="B32" s="87"/>
    </row>
    <row r="33" spans="1:2">
      <c r="A33" s="87">
        <f>'Résultats observations'!A41</f>
        <v>45756</v>
      </c>
      <c r="B33" s="87"/>
    </row>
    <row r="34" spans="1:2">
      <c r="A34" s="87">
        <f>'Résultats observations'!A42</f>
        <v>45762</v>
      </c>
      <c r="B34" s="87"/>
    </row>
    <row r="35" spans="1:2">
      <c r="A35" s="87">
        <f>'Résultats observations'!A43</f>
        <v>45769</v>
      </c>
      <c r="B35" s="87"/>
    </row>
    <row r="36" spans="1:2">
      <c r="A36" s="87">
        <f>'Résultats observations'!A44</f>
        <v>45772</v>
      </c>
      <c r="B36" s="87"/>
    </row>
    <row r="37" spans="1:2">
      <c r="A37" s="87">
        <f>'Résultats observations'!A45</f>
        <v>45775</v>
      </c>
      <c r="B37" s="87"/>
    </row>
    <row r="38" spans="1:2">
      <c r="A38" s="87">
        <f>'Résultats observations'!A46</f>
        <v>45792</v>
      </c>
      <c r="B38" s="87"/>
    </row>
    <row r="39" spans="1:2">
      <c r="A39" s="87">
        <f>'Résultats observations'!A47</f>
        <v>45798</v>
      </c>
      <c r="B39" s="87"/>
    </row>
    <row r="40" spans="1:2">
      <c r="A40" s="87">
        <f>'Résultats observations'!A48</f>
        <v>45803</v>
      </c>
      <c r="B40" s="87"/>
    </row>
    <row r="41" spans="1:2">
      <c r="A41" s="87">
        <f>'Résultats observations'!A49</f>
        <v>45810</v>
      </c>
      <c r="B41" s="87"/>
    </row>
    <row r="42" spans="1:2">
      <c r="A42" s="87">
        <f>'Résultats observations'!A50</f>
        <v>45818</v>
      </c>
      <c r="B42" s="87"/>
    </row>
    <row r="43" spans="1:2">
      <c r="A43" s="87">
        <f>'Résultats observations'!A51</f>
        <v>45824</v>
      </c>
      <c r="B43" s="87"/>
    </row>
    <row r="44" spans="1:2">
      <c r="A44" s="87">
        <f>'Résultats observations'!A52</f>
        <v>45831</v>
      </c>
      <c r="B44" s="87"/>
    </row>
    <row r="45" spans="1:2">
      <c r="A45" s="87">
        <f>'Résultats observations'!A53</f>
        <v>45839</v>
      </c>
      <c r="B45" s="87"/>
    </row>
    <row r="46" spans="1:2">
      <c r="A46" s="87">
        <f>'Résultats observations'!A54</f>
        <v>45846</v>
      </c>
      <c r="B46" s="190" t="s">
        <v>143</v>
      </c>
    </row>
    <row r="47" spans="1:2">
      <c r="A47" s="87"/>
      <c r="B47" s="87"/>
    </row>
    <row r="48" spans="1:2">
      <c r="A48" s="87"/>
      <c r="B48" s="87"/>
    </row>
    <row r="49" spans="1:2">
      <c r="A49" s="87"/>
      <c r="B49" s="87"/>
    </row>
    <row r="50" spans="1:2">
      <c r="A50" s="87"/>
      <c r="B50" s="87"/>
    </row>
    <row r="51" spans="1:2">
      <c r="A51" s="87"/>
      <c r="B51" s="87"/>
    </row>
    <row r="52" spans="1:2">
      <c r="A52" s="87"/>
      <c r="B52" s="87"/>
    </row>
    <row r="53" spans="1:2">
      <c r="A53" s="87"/>
    </row>
    <row r="54" spans="1:2">
      <c r="A54" s="87"/>
    </row>
    <row r="55" spans="1:2">
      <c r="A55" s="87"/>
    </row>
    <row r="56" spans="1:2">
      <c r="A56" s="87"/>
    </row>
    <row r="57" spans="1:2">
      <c r="A57" s="87"/>
    </row>
    <row r="58" spans="1:2">
      <c r="A58" s="87"/>
    </row>
    <row r="59" spans="1:2">
      <c r="A59" s="87"/>
    </row>
    <row r="60" spans="1:2">
      <c r="A60" s="87"/>
    </row>
    <row r="61" spans="1:2">
      <c r="A61" s="87"/>
      <c r="B61" s="65"/>
    </row>
    <row r="62" spans="1:2">
      <c r="A62" s="87"/>
      <c r="B62" s="65"/>
    </row>
    <row r="63" spans="1:2">
      <c r="A63" s="87"/>
      <c r="B63" s="65"/>
    </row>
    <row r="64" spans="1:2">
      <c r="A64" s="87"/>
      <c r="B64" s="65"/>
    </row>
    <row r="65" spans="1:2">
      <c r="A65" s="87"/>
      <c r="B65" s="65"/>
    </row>
    <row r="66" spans="1:2">
      <c r="A66" s="87"/>
      <c r="B66" s="65"/>
    </row>
    <row r="67" spans="1:2">
      <c r="A67" s="87"/>
      <c r="B67" s="65"/>
    </row>
    <row r="68" spans="1:2">
      <c r="A68" s="87"/>
      <c r="B68" s="65"/>
    </row>
  </sheetData>
  <mergeCells count="1">
    <mergeCell ref="A1:B1"/>
  </mergeCells>
  <phoneticPr fontId="3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51</vt:i4>
      </vt:variant>
    </vt:vector>
  </HeadingPairs>
  <TitlesOfParts>
    <vt:vector size="58" baseType="lpstr">
      <vt:lpstr>Résultats observations</vt:lpstr>
      <vt:lpstr>DATABASE</vt:lpstr>
      <vt:lpstr>Convergences</vt:lpstr>
      <vt:lpstr>Déplacements</vt:lpstr>
      <vt:lpstr>Graphiques</vt:lpstr>
      <vt:lpstr>Graph avancement</vt:lpstr>
      <vt:lpstr>commentaires</vt:lpstr>
      <vt:lpstr>date</vt:lpstr>
      <vt:lpstr>DH_HD</vt:lpstr>
      <vt:lpstr>DH_HG</vt:lpstr>
      <vt:lpstr>DH_ID</vt:lpstr>
      <vt:lpstr>DH_IG</vt:lpstr>
      <vt:lpstr>DHhaut</vt:lpstr>
      <vt:lpstr>dist</vt:lpstr>
      <vt:lpstr>DPM_BD</vt:lpstr>
      <vt:lpstr>DPM_BG</vt:lpstr>
      <vt:lpstr>DPM_HD</vt:lpstr>
      <vt:lpstr>DPM_HG</vt:lpstr>
      <vt:lpstr>DPM_ID</vt:lpstr>
      <vt:lpstr>DPM_IG</vt:lpstr>
      <vt:lpstr>DPMhaut</vt:lpstr>
      <vt:lpstr>DZ_HD</vt:lpstr>
      <vt:lpstr>DZ_HG</vt:lpstr>
      <vt:lpstr>DZ_ID</vt:lpstr>
      <vt:lpstr>DZ_IG</vt:lpstr>
      <vt:lpstr>DZhaut</vt:lpstr>
      <vt:lpstr>Ecart_HD</vt:lpstr>
      <vt:lpstr>Ecart_HG</vt:lpstr>
      <vt:lpstr>Ecart_ID</vt:lpstr>
      <vt:lpstr>Ecart_IG</vt:lpstr>
      <vt:lpstr>Ecart_LH</vt:lpstr>
      <vt:lpstr>Ecart_LI</vt:lpstr>
      <vt:lpstr>excav</vt:lpstr>
      <vt:lpstr>front</vt:lpstr>
      <vt:lpstr>Convergences!Impression_des_titres</vt:lpstr>
      <vt:lpstr>Déplacements!Impression_des_titres</vt:lpstr>
      <vt:lpstr>'Résultats observations'!Impression_des_titres</vt:lpstr>
      <vt:lpstr>jours</vt:lpstr>
      <vt:lpstr>PM</vt:lpstr>
      <vt:lpstr>Xhaut</vt:lpstr>
      <vt:lpstr>Xhautdroit</vt:lpstr>
      <vt:lpstr>Xhautgauche</vt:lpstr>
      <vt:lpstr>Xinterdroit</vt:lpstr>
      <vt:lpstr>Xintergauche</vt:lpstr>
      <vt:lpstr>Yhaut</vt:lpstr>
      <vt:lpstr>Yhautdroit</vt:lpstr>
      <vt:lpstr>Yhautgauche</vt:lpstr>
      <vt:lpstr>Yinterdroit</vt:lpstr>
      <vt:lpstr>Yintergauche</vt:lpstr>
      <vt:lpstr>Zhaut</vt:lpstr>
      <vt:lpstr>Zhautdroit</vt:lpstr>
      <vt:lpstr>Zhautgauche</vt:lpstr>
      <vt:lpstr>Zinterdroit</vt:lpstr>
      <vt:lpstr>Zintergauche</vt:lpstr>
      <vt:lpstr>Convergences!Zone_d_impression</vt:lpstr>
      <vt:lpstr>Déplacements!Zone_d_impression</vt:lpstr>
      <vt:lpstr>Graphiques!Zone_d_impression</vt:lpstr>
      <vt:lpstr>'Résultats observations'!Zone_d_impression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</dc:creator>
  <cp:lastModifiedBy>olivier boissard</cp:lastModifiedBy>
  <cp:lastPrinted>2022-03-31T10:21:11Z</cp:lastPrinted>
  <dcterms:created xsi:type="dcterms:W3CDTF">2008-07-29T13:58:19Z</dcterms:created>
  <dcterms:modified xsi:type="dcterms:W3CDTF">2025-08-05T15:41:29Z</dcterms:modified>
</cp:coreProperties>
</file>