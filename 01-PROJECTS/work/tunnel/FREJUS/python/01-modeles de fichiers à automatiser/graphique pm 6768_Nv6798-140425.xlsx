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FREJUS\01-modeles de fichiers à automatiser\"/>
    </mc:Choice>
  </mc:AlternateContent>
  <xr:revisionPtr revIDLastSave="0" documentId="13_ncr:9_{0027FC00-0558-4DA4-B6F6-F2AFB12BF743}" xr6:coauthVersionLast="47" xr6:coauthVersionMax="47" xr10:uidLastSave="{00000000-0000-0000-0000-000000000000}"/>
  <bookViews>
    <workbookView xWindow="57480" yWindow="-120" windowWidth="25440" windowHeight="15390" tabRatio="626" activeTab="2" xr2:uid="{FAEEA129-D60F-44E9-87E6-A30947AD369F}"/>
  </bookViews>
  <sheets>
    <sheet name="tableau" sheetId="1" r:id="rId1"/>
    <sheet name="recap graphique" sheetId="2" r:id="rId2"/>
    <sheet name="graph84mois 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2" l="1"/>
  <c r="L54" i="1"/>
  <c r="D14" i="2"/>
  <c r="B54" i="1"/>
  <c r="D54" i="1"/>
  <c r="M54" i="1"/>
  <c r="A13" i="2"/>
  <c r="D13" i="2"/>
  <c r="L53" i="1"/>
  <c r="M53" i="1"/>
  <c r="B53" i="1"/>
  <c r="D53" i="1"/>
  <c r="A12" i="2"/>
  <c r="L52" i="1"/>
  <c r="D12" i="2"/>
  <c r="D52" i="1"/>
  <c r="M52" i="1"/>
  <c r="B52" i="1"/>
  <c r="A11" i="2"/>
  <c r="D51" i="1"/>
  <c r="M51" i="1"/>
  <c r="L51" i="1"/>
  <c r="D11" i="2"/>
  <c r="B51" i="1"/>
  <c r="A10" i="2"/>
  <c r="L50" i="1"/>
  <c r="D10" i="2"/>
  <c r="B50" i="1"/>
  <c r="D50" i="1"/>
  <c r="M50" i="1"/>
  <c r="A9" i="2"/>
  <c r="L49" i="1"/>
  <c r="D9" i="2"/>
  <c r="D49" i="1"/>
  <c r="B49" i="1"/>
  <c r="A8" i="2"/>
  <c r="L48" i="1"/>
  <c r="D8" i="2"/>
  <c r="B48" i="1"/>
  <c r="D48" i="1"/>
  <c r="M49" i="1"/>
  <c r="M48" i="1"/>
  <c r="A7" i="2"/>
  <c r="L47" i="1"/>
  <c r="D7" i="2"/>
  <c r="B47" i="1"/>
  <c r="D47" i="1"/>
  <c r="A6" i="2"/>
  <c r="L44" i="1"/>
  <c r="D4" i="2"/>
  <c r="L45" i="1"/>
  <c r="D5" i="2"/>
  <c r="L46" i="1"/>
  <c r="D6" i="2"/>
  <c r="L43" i="1"/>
  <c r="D3" i="2"/>
  <c r="B46" i="1"/>
  <c r="D46" i="1"/>
  <c r="M46" i="1"/>
  <c r="A5" i="2"/>
  <c r="D45" i="1"/>
  <c r="M45" i="1"/>
  <c r="B45" i="1"/>
  <c r="A3" i="2"/>
  <c r="A4" i="2"/>
  <c r="A2" i="2"/>
  <c r="B44" i="1"/>
  <c r="D44" i="1"/>
  <c r="M44" i="1"/>
  <c r="D43" i="1"/>
  <c r="M43" i="1"/>
  <c r="B43" i="1"/>
  <c r="L42" i="1"/>
  <c r="D2" i="2"/>
  <c r="M13" i="1"/>
  <c r="D42" i="1"/>
  <c r="B42" i="1"/>
  <c r="M47" i="1"/>
</calcChain>
</file>

<file path=xl/sharedStrings.xml><?xml version="1.0" encoding="utf-8"?>
<sst xmlns="http://schemas.openxmlformats.org/spreadsheetml/2006/main" count="72" uniqueCount="28">
  <si>
    <t>CONVERGENCES</t>
  </si>
  <si>
    <t>base 1-2</t>
  </si>
  <si>
    <t>base 1-3</t>
  </si>
  <si>
    <t>base 2-3</t>
  </si>
  <si>
    <t>base 1-4</t>
  </si>
  <si>
    <t>base 2-4</t>
  </si>
  <si>
    <t>Remarques</t>
  </si>
  <si>
    <t>mesures</t>
  </si>
  <si>
    <t>vit</t>
  </si>
  <si>
    <t>Date</t>
  </si>
  <si>
    <t>Jour</t>
  </si>
  <si>
    <t>Heure</t>
  </si>
  <si>
    <t>j/mes</t>
  </si>
  <si>
    <t>LONG</t>
  </si>
  <si>
    <t>CONV</t>
  </si>
  <si>
    <t>MM/J</t>
  </si>
  <si>
    <t>base 3-4</t>
  </si>
  <si>
    <t>nbr. Jours</t>
  </si>
  <si>
    <t>point 0   G.G.C.</t>
  </si>
  <si>
    <t>Anneau du PM  France</t>
  </si>
  <si>
    <t>Anneau du PM  Italie</t>
  </si>
  <si>
    <t>23h</t>
  </si>
  <si>
    <t>Pm nouveau 2011</t>
  </si>
  <si>
    <t xml:space="preserve"> </t>
  </si>
  <si>
    <t>3h45</t>
  </si>
  <si>
    <t>3h46</t>
  </si>
  <si>
    <t>Attention, mise en place plot pt1 partielle = estimation longueur</t>
  </si>
  <si>
    <t>à ajouter de 3mm (10180.7+3=10183.7)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</si>
</sst>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4" formatCode="ddd"/>
    <numFmt numFmtId="175" formatCode="0.0"/>
    <numFmt numFmtId="184" formatCode="[$-40C]d\-mmm\-yy;@"/>
  </numFmts>
  <fonts count="9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175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175" fontId="0" fillId="0" borderId="0" xfId="0" applyNumberFormat="1" applyBorder="1" applyAlignment="1">
      <alignment horizontal="centerContinuous"/>
    </xf>
    <xf numFmtId="175" fontId="0" fillId="0" borderId="0" xfId="0" applyNumberFormat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175" fontId="0" fillId="0" borderId="2" xfId="0" applyNumberFormat="1" applyBorder="1" applyAlignment="1">
      <alignment horizontal="centerContinuous"/>
    </xf>
    <xf numFmtId="175" fontId="0" fillId="0" borderId="3" xfId="0" applyNumberFormat="1" applyBorder="1" applyAlignment="1">
      <alignment horizontal="center"/>
    </xf>
    <xf numFmtId="175" fontId="0" fillId="0" borderId="4" xfId="0" quotePrefix="1" applyNumberFormat="1" applyBorder="1" applyAlignment="1">
      <alignment horizontal="center"/>
    </xf>
    <xf numFmtId="175" fontId="0" fillId="0" borderId="5" xfId="0" quotePrefix="1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75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Continuous"/>
    </xf>
    <xf numFmtId="0" fontId="3" fillId="0" borderId="10" xfId="0" applyFon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2" fillId="0" borderId="11" xfId="0" applyFont="1" applyBorder="1" applyAlignment="1">
      <alignment horizontal="centerContinuous"/>
    </xf>
    <xf numFmtId="175" fontId="2" fillId="0" borderId="11" xfId="0" applyNumberFormat="1" applyFont="1" applyBorder="1" applyAlignment="1">
      <alignment horizontal="centerContinuous"/>
    </xf>
    <xf numFmtId="175" fontId="0" fillId="0" borderId="11" xfId="0" applyNumberFormat="1" applyBorder="1" applyAlignment="1">
      <alignment horizontal="centerContinuous"/>
    </xf>
    <xf numFmtId="175" fontId="0" fillId="0" borderId="12" xfId="0" applyNumberForma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0" fillId="0" borderId="2" xfId="0" applyBorder="1"/>
    <xf numFmtId="0" fontId="0" fillId="0" borderId="3" xfId="0" applyBorder="1" applyAlignment="1">
      <alignment horizontal="center"/>
    </xf>
    <xf numFmtId="175" fontId="2" fillId="0" borderId="14" xfId="0" applyNumberFormat="1" applyFont="1" applyBorder="1" applyAlignment="1">
      <alignment horizontal="centerContinuous"/>
    </xf>
    <xf numFmtId="175" fontId="0" fillId="0" borderId="15" xfId="0" applyNumberFormat="1" applyBorder="1" applyAlignment="1">
      <alignment horizontal="centerContinuous"/>
    </xf>
    <xf numFmtId="175" fontId="0" fillId="0" borderId="16" xfId="0" applyNumberFormat="1" applyBorder="1" applyAlignment="1">
      <alignment horizontal="center"/>
    </xf>
    <xf numFmtId="175" fontId="2" fillId="0" borderId="14" xfId="0" quotePrefix="1" applyNumberFormat="1" applyFont="1" applyBorder="1" applyAlignment="1">
      <alignment horizontal="centerContinuous"/>
    </xf>
    <xf numFmtId="15" fontId="0" fillId="0" borderId="2" xfId="0" applyNumberFormat="1" applyBorder="1" applyAlignment="1">
      <alignment horizontal="center"/>
    </xf>
    <xf numFmtId="174" fontId="0" fillId="0" borderId="17" xfId="0" applyNumberFormat="1" applyBorder="1" applyAlignment="1">
      <alignment horizontal="center"/>
    </xf>
    <xf numFmtId="175" fontId="0" fillId="0" borderId="15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75" fontId="0" fillId="0" borderId="19" xfId="0" applyNumberFormat="1" applyBorder="1" applyAlignment="1">
      <alignment horizontal="center"/>
    </xf>
    <xf numFmtId="175" fontId="0" fillId="0" borderId="17" xfId="0" applyNumberFormat="1" applyBorder="1" applyAlignment="1">
      <alignment horizontal="center"/>
    </xf>
    <xf numFmtId="175" fontId="0" fillId="0" borderId="18" xfId="0" applyNumberFormat="1" applyBorder="1" applyAlignment="1">
      <alignment horizontal="center"/>
    </xf>
    <xf numFmtId="175" fontId="0" fillId="0" borderId="20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5" fontId="0" fillId="0" borderId="21" xfId="0" applyNumberFormat="1" applyBorder="1" applyAlignment="1">
      <alignment horizontal="center"/>
    </xf>
    <xf numFmtId="175" fontId="0" fillId="0" borderId="22" xfId="0" applyNumberFormat="1" applyBorder="1" applyAlignment="1">
      <alignment horizontal="center"/>
    </xf>
    <xf numFmtId="15" fontId="0" fillId="0" borderId="23" xfId="0" applyNumberFormat="1" applyBorder="1" applyAlignment="1">
      <alignment horizontal="center"/>
    </xf>
    <xf numFmtId="174" fontId="0" fillId="0" borderId="24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175" fontId="0" fillId="0" borderId="26" xfId="0" applyNumberFormat="1" applyBorder="1" applyAlignment="1">
      <alignment horizontal="center"/>
    </xf>
    <xf numFmtId="175" fontId="0" fillId="0" borderId="24" xfId="0" applyNumberFormat="1" applyBorder="1" applyAlignment="1">
      <alignment horizontal="center"/>
    </xf>
    <xf numFmtId="175" fontId="0" fillId="0" borderId="25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75" fontId="2" fillId="0" borderId="10" xfId="0" applyNumberFormat="1" applyFont="1" applyBorder="1" applyAlignment="1">
      <alignment horizontal="centerContinuous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5" fontId="0" fillId="0" borderId="0" xfId="0" applyNumberFormat="1" applyAlignment="1">
      <alignment horizontal="center"/>
    </xf>
    <xf numFmtId="0" fontId="0" fillId="0" borderId="28" xfId="0" applyBorder="1" applyAlignment="1">
      <alignment horizontal="center"/>
    </xf>
    <xf numFmtId="175" fontId="0" fillId="0" borderId="29" xfId="0" applyNumberFormat="1" applyBorder="1" applyAlignment="1">
      <alignment horizontal="center"/>
    </xf>
    <xf numFmtId="175" fontId="0" fillId="0" borderId="30" xfId="0" applyNumberFormat="1" applyBorder="1" applyAlignment="1">
      <alignment horizontal="center"/>
    </xf>
    <xf numFmtId="175" fontId="0" fillId="0" borderId="31" xfId="0" applyNumberFormat="1" applyBorder="1" applyAlignment="1">
      <alignment horizontal="center"/>
    </xf>
    <xf numFmtId="175" fontId="0" fillId="0" borderId="32" xfId="0" applyNumberFormat="1" applyBorder="1" applyAlignment="1">
      <alignment horizontal="center"/>
    </xf>
    <xf numFmtId="175" fontId="0" fillId="0" borderId="33" xfId="0" applyNumberFormat="1" applyBorder="1" applyAlignment="1">
      <alignment horizontal="center"/>
    </xf>
    <xf numFmtId="175" fontId="0" fillId="0" borderId="34" xfId="0" applyNumberFormat="1" applyBorder="1" applyAlignment="1">
      <alignment horizontal="center"/>
    </xf>
    <xf numFmtId="175" fontId="0" fillId="0" borderId="35" xfId="0" applyNumberFormat="1" applyBorder="1" applyAlignment="1">
      <alignment horizontal="center"/>
    </xf>
    <xf numFmtId="175" fontId="0" fillId="0" borderId="36" xfId="0" applyNumberFormat="1" applyBorder="1" applyAlignment="1">
      <alignment horizontal="center"/>
    </xf>
    <xf numFmtId="175" fontId="6" fillId="0" borderId="0" xfId="0" applyNumberFormat="1" applyFont="1"/>
    <xf numFmtId="175" fontId="3" fillId="0" borderId="0" xfId="0" applyNumberFormat="1" applyFont="1"/>
    <xf numFmtId="1" fontId="6" fillId="0" borderId="37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84" fontId="0" fillId="0" borderId="0" xfId="0" applyNumberFormat="1" applyAlignment="1">
      <alignment horizontal="center"/>
    </xf>
    <xf numFmtId="0" fontId="8" fillId="0" borderId="0" xfId="0" applyFont="1"/>
    <xf numFmtId="0" fontId="1" fillId="0" borderId="24" xfId="0" applyFont="1" applyBorder="1" applyAlignment="1">
      <alignment horizontal="center"/>
    </xf>
    <xf numFmtId="175" fontId="6" fillId="0" borderId="37" xfId="0" applyNumberFormat="1" applyFont="1" applyBorder="1" applyAlignment="1">
      <alignment horizontal="center"/>
    </xf>
    <xf numFmtId="0" fontId="0" fillId="0" borderId="3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451202263083446E-2"/>
          <c:y val="5.1111222029561698E-2"/>
          <c:w val="0.86987270155586982"/>
          <c:h val="0.8133350983834600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'recap graphique'!$B$1</c:f>
              <c:strCache>
                <c:ptCount val="1"/>
                <c:pt idx="0">
                  <c:v>base 1-2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40677</c:v>
                </c:pt>
                <c:pt idx="1">
                  <c:v>41300</c:v>
                </c:pt>
                <c:pt idx="2">
                  <c:v>41957</c:v>
                </c:pt>
                <c:pt idx="3">
                  <c:v>42438</c:v>
                </c:pt>
                <c:pt idx="4">
                  <c:v>42817</c:v>
                </c:pt>
                <c:pt idx="5">
                  <c:v>43117</c:v>
                </c:pt>
                <c:pt idx="6">
                  <c:v>43523</c:v>
                </c:pt>
                <c:pt idx="7">
                  <c:v>43881</c:v>
                </c:pt>
                <c:pt idx="8">
                  <c:v>44243</c:v>
                </c:pt>
                <c:pt idx="9">
                  <c:v>44636</c:v>
                </c:pt>
                <c:pt idx="10">
                  <c:v>45031</c:v>
                </c:pt>
                <c:pt idx="11">
                  <c:v>45350</c:v>
                </c:pt>
                <c:pt idx="12">
                  <c:v>45761</c:v>
                </c:pt>
              </c:numCache>
            </c:numRef>
          </c:xVal>
          <c:yVal>
            <c:numRef>
              <c:f>'recap graphique'!$B$2:$B$22</c:f>
              <c:numCache>
                <c:formatCode>0.0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71-4E4E-8C27-5A4BA00F80FA}"/>
            </c:ext>
          </c:extLst>
        </c:ser>
        <c:ser>
          <c:idx val="1"/>
          <c:order val="1"/>
          <c:tx>
            <c:strRef>
              <c:f>'recap graphique'!$C$1</c:f>
              <c:strCache>
                <c:ptCount val="1"/>
                <c:pt idx="0">
                  <c:v>base 1-3</c:v>
                </c:pt>
              </c:strCache>
            </c:strRef>
          </c:tx>
          <c:spPr>
            <a:ln w="12700">
              <a:solidFill>
                <a:srgbClr val="FF00FF"/>
              </a:solidFill>
              <a:prstDash val="lgDash"/>
            </a:ln>
          </c:spPr>
          <c:marker>
            <c:symbol val="none"/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40677</c:v>
                </c:pt>
                <c:pt idx="1">
                  <c:v>41300</c:v>
                </c:pt>
                <c:pt idx="2">
                  <c:v>41957</c:v>
                </c:pt>
                <c:pt idx="3">
                  <c:v>42438</c:v>
                </c:pt>
                <c:pt idx="4">
                  <c:v>42817</c:v>
                </c:pt>
                <c:pt idx="5">
                  <c:v>43117</c:v>
                </c:pt>
                <c:pt idx="6">
                  <c:v>43523</c:v>
                </c:pt>
                <c:pt idx="7">
                  <c:v>43881</c:v>
                </c:pt>
                <c:pt idx="8">
                  <c:v>44243</c:v>
                </c:pt>
                <c:pt idx="9">
                  <c:v>44636</c:v>
                </c:pt>
                <c:pt idx="10">
                  <c:v>45031</c:v>
                </c:pt>
                <c:pt idx="11">
                  <c:v>45350</c:v>
                </c:pt>
                <c:pt idx="12">
                  <c:v>45761</c:v>
                </c:pt>
              </c:numCache>
            </c:numRef>
          </c:xVal>
          <c:yVal>
            <c:numRef>
              <c:f>'recap graphique'!$C$2:$C$22</c:f>
              <c:numCache>
                <c:formatCode>0.0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71-4E4E-8C27-5A4BA00F80FA}"/>
            </c:ext>
          </c:extLst>
        </c:ser>
        <c:ser>
          <c:idx val="2"/>
          <c:order val="2"/>
          <c:tx>
            <c:strRef>
              <c:f>'recap graphique'!$D$1</c:f>
              <c:strCache>
                <c:ptCount val="1"/>
                <c:pt idx="0">
                  <c:v>base 1-4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40677</c:v>
                </c:pt>
                <c:pt idx="1">
                  <c:v>41300</c:v>
                </c:pt>
                <c:pt idx="2">
                  <c:v>41957</c:v>
                </c:pt>
                <c:pt idx="3">
                  <c:v>42438</c:v>
                </c:pt>
                <c:pt idx="4">
                  <c:v>42817</c:v>
                </c:pt>
                <c:pt idx="5">
                  <c:v>43117</c:v>
                </c:pt>
                <c:pt idx="6">
                  <c:v>43523</c:v>
                </c:pt>
                <c:pt idx="7">
                  <c:v>43881</c:v>
                </c:pt>
                <c:pt idx="8">
                  <c:v>44243</c:v>
                </c:pt>
                <c:pt idx="9">
                  <c:v>44636</c:v>
                </c:pt>
                <c:pt idx="10">
                  <c:v>45031</c:v>
                </c:pt>
                <c:pt idx="11">
                  <c:v>45350</c:v>
                </c:pt>
                <c:pt idx="12">
                  <c:v>45761</c:v>
                </c:pt>
              </c:numCache>
            </c:numRef>
          </c:xVal>
          <c:yVal>
            <c:numRef>
              <c:f>'recap graphique'!$D$2:$D$22</c:f>
              <c:numCache>
                <c:formatCode>0.0</c:formatCode>
                <c:ptCount val="21"/>
                <c:pt idx="0">
                  <c:v>0</c:v>
                </c:pt>
                <c:pt idx="1">
                  <c:v>-0.2000000000007276</c:v>
                </c:pt>
                <c:pt idx="2">
                  <c:v>4.0124075179846841E-2</c:v>
                </c:pt>
                <c:pt idx="3">
                  <c:v>-0.1000000000003638</c:v>
                </c:pt>
                <c:pt idx="4">
                  <c:v>1.5999999999985448</c:v>
                </c:pt>
                <c:pt idx="5">
                  <c:v>2.0232771923419932</c:v>
                </c:pt>
                <c:pt idx="6">
                  <c:v>1.947191755845779</c:v>
                </c:pt>
                <c:pt idx="7">
                  <c:v>2.0999999999985448</c:v>
                </c:pt>
                <c:pt idx="8">
                  <c:v>1.9374997006998456</c:v>
                </c:pt>
                <c:pt idx="9">
                  <c:v>2.2999999999992724</c:v>
                </c:pt>
                <c:pt idx="10">
                  <c:v>3.0999999999985448</c:v>
                </c:pt>
                <c:pt idx="11">
                  <c:v>3.5203333434183151</c:v>
                </c:pt>
                <c:pt idx="12">
                  <c:v>3.2999999999992724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71-4E4E-8C27-5A4BA00F80FA}"/>
            </c:ext>
          </c:extLst>
        </c:ser>
        <c:ser>
          <c:idx val="4"/>
          <c:order val="3"/>
          <c:tx>
            <c:strRef>
              <c:f>'recap graphique'!$E$1</c:f>
              <c:strCache>
                <c:ptCount val="1"/>
                <c:pt idx="0">
                  <c:v>base 2-3</c:v>
                </c:pt>
              </c:strCache>
            </c:strRef>
          </c:tx>
          <c:spPr>
            <a:ln w="12700">
              <a:solidFill>
                <a:srgbClr val="800080"/>
              </a:solidFill>
              <a:prstDash val="lgDashDotDot"/>
            </a:ln>
          </c:spPr>
          <c:marker>
            <c:symbol val="none"/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40677</c:v>
                </c:pt>
                <c:pt idx="1">
                  <c:v>41300</c:v>
                </c:pt>
                <c:pt idx="2">
                  <c:v>41957</c:v>
                </c:pt>
                <c:pt idx="3">
                  <c:v>42438</c:v>
                </c:pt>
                <c:pt idx="4">
                  <c:v>42817</c:v>
                </c:pt>
                <c:pt idx="5">
                  <c:v>43117</c:v>
                </c:pt>
                <c:pt idx="6">
                  <c:v>43523</c:v>
                </c:pt>
                <c:pt idx="7">
                  <c:v>43881</c:v>
                </c:pt>
                <c:pt idx="8">
                  <c:v>44243</c:v>
                </c:pt>
                <c:pt idx="9">
                  <c:v>44636</c:v>
                </c:pt>
                <c:pt idx="10">
                  <c:v>45031</c:v>
                </c:pt>
                <c:pt idx="11">
                  <c:v>45350</c:v>
                </c:pt>
                <c:pt idx="12">
                  <c:v>45761</c:v>
                </c:pt>
              </c:numCache>
            </c:numRef>
          </c:xVal>
          <c:yVal>
            <c:numRef>
              <c:f>'recap graphique'!$E$2:$E$22</c:f>
              <c:numCache>
                <c:formatCode>0.0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71-4E4E-8C27-5A4BA00F80FA}"/>
            </c:ext>
          </c:extLst>
        </c:ser>
        <c:ser>
          <c:idx val="5"/>
          <c:order val="4"/>
          <c:tx>
            <c:strRef>
              <c:f>'recap graphique'!$F$1</c:f>
              <c:strCache>
                <c:ptCount val="1"/>
                <c:pt idx="0">
                  <c:v>base 2-4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40677</c:v>
                </c:pt>
                <c:pt idx="1">
                  <c:v>41300</c:v>
                </c:pt>
                <c:pt idx="2">
                  <c:v>41957</c:v>
                </c:pt>
                <c:pt idx="3">
                  <c:v>42438</c:v>
                </c:pt>
                <c:pt idx="4">
                  <c:v>42817</c:v>
                </c:pt>
                <c:pt idx="5">
                  <c:v>43117</c:v>
                </c:pt>
                <c:pt idx="6">
                  <c:v>43523</c:v>
                </c:pt>
                <c:pt idx="7">
                  <c:v>43881</c:v>
                </c:pt>
                <c:pt idx="8">
                  <c:v>44243</c:v>
                </c:pt>
                <c:pt idx="9">
                  <c:v>44636</c:v>
                </c:pt>
                <c:pt idx="10">
                  <c:v>45031</c:v>
                </c:pt>
                <c:pt idx="11">
                  <c:v>45350</c:v>
                </c:pt>
                <c:pt idx="12">
                  <c:v>45761</c:v>
                </c:pt>
              </c:numCache>
            </c:numRef>
          </c:xVal>
          <c:yVal>
            <c:numRef>
              <c:f>'recap graphique'!$F$2:$F$22</c:f>
              <c:numCache>
                <c:formatCode>0.0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71-4E4E-8C27-5A4BA00F80FA}"/>
            </c:ext>
          </c:extLst>
        </c:ser>
        <c:ser>
          <c:idx val="7"/>
          <c:order val="5"/>
          <c:tx>
            <c:strRef>
              <c:f>'recap graphique'!$G$1</c:f>
              <c:strCache>
                <c:ptCount val="1"/>
                <c:pt idx="0">
                  <c:v>base 3-4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40677</c:v>
                </c:pt>
                <c:pt idx="1">
                  <c:v>41300</c:v>
                </c:pt>
                <c:pt idx="2">
                  <c:v>41957</c:v>
                </c:pt>
                <c:pt idx="3">
                  <c:v>42438</c:v>
                </c:pt>
                <c:pt idx="4">
                  <c:v>42817</c:v>
                </c:pt>
                <c:pt idx="5">
                  <c:v>43117</c:v>
                </c:pt>
                <c:pt idx="6">
                  <c:v>43523</c:v>
                </c:pt>
                <c:pt idx="7">
                  <c:v>43881</c:v>
                </c:pt>
                <c:pt idx="8">
                  <c:v>44243</c:v>
                </c:pt>
                <c:pt idx="9">
                  <c:v>44636</c:v>
                </c:pt>
                <c:pt idx="10">
                  <c:v>45031</c:v>
                </c:pt>
                <c:pt idx="11">
                  <c:v>45350</c:v>
                </c:pt>
                <c:pt idx="12">
                  <c:v>45761</c:v>
                </c:pt>
              </c:numCache>
            </c:numRef>
          </c:xVal>
          <c:yVal>
            <c:numRef>
              <c:f>'recap graphique'!$G$2:$G$22</c:f>
              <c:numCache>
                <c:formatCode>0.0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71-4E4E-8C27-5A4BA00F8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435151"/>
        <c:axId val="1"/>
      </c:scatterChart>
      <c:valAx>
        <c:axId val="709435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Temps(jours)</a:t>
                </a:r>
              </a:p>
            </c:rich>
          </c:tx>
          <c:layout>
            <c:manualLayout>
              <c:xMode val="edge"/>
              <c:yMode val="edge"/>
              <c:x val="0.86280056577086284"/>
              <c:y val="0.78222385535141437"/>
            </c:manualLayout>
          </c:layout>
          <c:overlay val="0"/>
          <c:spPr>
            <a:noFill/>
            <a:ln w="25400">
              <a:noFill/>
            </a:ln>
          </c:spPr>
        </c:title>
        <c:numFmt formatCode="[$-40C]d\-mmm\-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528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At val="-1"/>
        <c:crossBetween val="midCat"/>
        <c:majorUnit val="90"/>
        <c:minorUnit val="90"/>
      </c:valAx>
      <c:valAx>
        <c:axId val="1"/>
        <c:scaling>
          <c:orientation val="minMax"/>
          <c:max val="16"/>
          <c:min val="-1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Convergence mm</a:t>
                </a:r>
              </a:p>
            </c:rich>
          </c:tx>
          <c:layout>
            <c:manualLayout>
              <c:xMode val="edge"/>
              <c:yMode val="edge"/>
              <c:x val="1.8387553041018388E-2"/>
              <c:y val="0.362222922134733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709435151"/>
        <c:crossesAt val="-1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104667609618105"/>
          <c:y val="0.04"/>
          <c:w val="0.77934936350777928"/>
          <c:h val="7.11113444152814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&amp;C&amp;"Arial,Gras"&amp;16TUNNEL DU FREJUS
&amp;14Convergences optiques sur anneau pm France 6768 / nv6798</c:oddHeader>
    </c:headerFooter>
    <c:pageMargins b="0.98425196850393704" l="0.19685039370078741" r="0.19685039370078741" t="1.299212598425197" header="0.51181102362204722" footer="0.51181102362204722"/>
    <c:pageSetup paperSize="9"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66675</xdr:rowOff>
    </xdr:from>
    <xdr:to>
      <xdr:col>5</xdr:col>
      <xdr:colOff>438150</xdr:colOff>
      <xdr:row>12</xdr:row>
      <xdr:rowOff>66675</xdr:rowOff>
    </xdr:to>
    <xdr:pic>
      <xdr:nvPicPr>
        <xdr:cNvPr id="5274" name="Picture 13" descr="Logo Infra Env 1">
          <a:extLst>
            <a:ext uri="{FF2B5EF4-FFF2-40B4-BE49-F238E27FC236}">
              <a16:creationId xmlns:a16="http://schemas.microsoft.com/office/drawing/2014/main" id="{3742522C-4A09-8070-F642-37FDD25CF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28600"/>
          <a:ext cx="3028950" cy="1933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114300</xdr:colOff>
          <xdr:row>19</xdr:row>
          <xdr:rowOff>104775</xdr:rowOff>
        </xdr:from>
        <xdr:to>
          <xdr:col>22</xdr:col>
          <xdr:colOff>981075</xdr:colOff>
          <xdr:row>36</xdr:row>
          <xdr:rowOff>114300</xdr:rowOff>
        </xdr:to>
        <xdr:pic>
          <xdr:nvPicPr>
            <xdr:cNvPr id="5275" name="Picture 16">
              <a:extLst>
                <a:ext uri="{FF2B5EF4-FFF2-40B4-BE49-F238E27FC236}">
                  <a16:creationId xmlns:a16="http://schemas.microsoft.com/office/drawing/2014/main" id="{120CFF29-DAED-BC6D-E0DF-2A36C55A928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Entête!$B$11:$G$27" spid="_x0000_s5279"/>
                </a:ext>
              </a:extLst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010650" y="3600450"/>
              <a:ext cx="4581525" cy="2762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15</xdr:col>
      <xdr:colOff>47625</xdr:colOff>
      <xdr:row>8</xdr:row>
      <xdr:rowOff>85725</xdr:rowOff>
    </xdr:from>
    <xdr:to>
      <xdr:col>22</xdr:col>
      <xdr:colOff>971550</xdr:colOff>
      <xdr:row>17</xdr:row>
      <xdr:rowOff>38100</xdr:rowOff>
    </xdr:to>
    <xdr:pic>
      <xdr:nvPicPr>
        <xdr:cNvPr id="5276" name="Image 1">
          <a:extLst>
            <a:ext uri="{FF2B5EF4-FFF2-40B4-BE49-F238E27FC236}">
              <a16:creationId xmlns:a16="http://schemas.microsoft.com/office/drawing/2014/main" id="{E5DBEE63-5267-E722-36FE-E43418507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1362075"/>
          <a:ext cx="4638675" cy="1847850"/>
        </a:xfrm>
        <a:prstGeom prst="rect">
          <a:avLst/>
        </a:prstGeom>
        <a:noFill/>
        <a:ln w="9525">
          <a:solidFill>
            <a:srgbClr val="000000">
              <a:alpha val="98822"/>
            </a:srgbClr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493395</xdr:colOff>
      <xdr:row>50</xdr:row>
      <xdr:rowOff>50800</xdr:rowOff>
    </xdr:from>
    <xdr:to>
      <xdr:col>19</xdr:col>
      <xdr:colOff>490220</xdr:colOff>
      <xdr:row>54</xdr:row>
      <xdr:rowOff>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BAFDBF3F-28DA-00E4-BC75-C98579A9FF12}"/>
            </a:ext>
          </a:extLst>
        </xdr:cNvPr>
        <xdr:cNvSpPr txBox="1"/>
      </xdr:nvSpPr>
      <xdr:spPr>
        <a:xfrm>
          <a:off x="8938895" y="8826500"/>
          <a:ext cx="2714625" cy="27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300"/>
            <a:t>Absence</a:t>
          </a:r>
          <a:r>
            <a:rPr lang="fr-FR" sz="1300" baseline="0"/>
            <a:t> des plots 2 et 3 sous dalle</a:t>
          </a:r>
          <a:endParaRPr lang="fr-FR" sz="13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8</xdr:col>
      <xdr:colOff>647700</xdr:colOff>
      <xdr:row>26</xdr:row>
      <xdr:rowOff>76200</xdr:rowOff>
    </xdr:to>
    <xdr:graphicFrame macro="">
      <xdr:nvGraphicFramePr>
        <xdr:cNvPr id="7207" name="Graphique 1">
          <a:extLst>
            <a:ext uri="{FF2B5EF4-FFF2-40B4-BE49-F238E27FC236}">
              <a16:creationId xmlns:a16="http://schemas.microsoft.com/office/drawing/2014/main" id="{6B58386F-678B-77C0-F904-BD02C3AF6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%20invar/Convergences%20Fr&#233;jus_Invar%20juillet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ête"/>
      <sheetName val="conversion en dist des dern mes"/>
      <sheetName val="evolution base 1_4 2005_1997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427D-4511-438C-9A41-C56F3F8137AB}">
  <sheetPr codeName="Feuil1">
    <pageSetUpPr fitToPage="1"/>
  </sheetPr>
  <dimension ref="A1:AI546"/>
  <sheetViews>
    <sheetView topLeftCell="A28" zoomScale="75" zoomScaleNormal="75" workbookViewId="0">
      <selection activeCell="K58" sqref="K58:K60"/>
    </sheetView>
  </sheetViews>
  <sheetFormatPr baseColWidth="10" defaultRowHeight="12.75" outlineLevelRow="1" x14ac:dyDescent="0.2"/>
  <cols>
    <col min="1" max="1" width="11.140625" bestFit="1" customWidth="1"/>
    <col min="2" max="2" width="6.5703125" bestFit="1" customWidth="1"/>
    <col min="3" max="4" width="7.5703125" bestFit="1" customWidth="1"/>
    <col min="5" max="5" width="8.7109375" style="1" customWidth="1"/>
    <col min="6" max="7" width="7.7109375" style="1" customWidth="1"/>
    <col min="8" max="8" width="9.5703125" style="1" customWidth="1"/>
    <col min="9" max="10" width="7.7109375" style="1" customWidth="1"/>
    <col min="11" max="11" width="10.42578125" style="1" customWidth="1"/>
    <col min="12" max="12" width="11.5703125" style="1" customWidth="1"/>
    <col min="13" max="13" width="14" style="1" bestFit="1" customWidth="1"/>
    <col min="14" max="16" width="7.7109375" style="1" customWidth="1"/>
    <col min="17" max="17" width="9.42578125" style="1" customWidth="1"/>
    <col min="18" max="22" width="7.7109375" style="1" customWidth="1"/>
    <col min="23" max="23" width="20.7109375" style="1" customWidth="1"/>
    <col min="24" max="24" width="6.140625" style="1" customWidth="1"/>
    <col min="25" max="25" width="5.140625" style="1" customWidth="1"/>
    <col min="26" max="26" width="7.7109375" style="1" customWidth="1"/>
    <col min="27" max="27" width="6.140625" style="1" customWidth="1"/>
    <col min="28" max="28" width="5.42578125" style="1" customWidth="1"/>
    <col min="29" max="29" width="7.7109375" style="1" customWidth="1"/>
    <col min="30" max="30" width="6.140625" style="1" customWidth="1"/>
    <col min="31" max="31" width="5.42578125" style="1" customWidth="1"/>
    <col min="32" max="32" width="7.7109375" style="1" customWidth="1"/>
    <col min="33" max="33" width="6.140625" style="1" customWidth="1"/>
    <col min="34" max="34" width="5.42578125" style="1" customWidth="1"/>
    <col min="35" max="35" width="18.28515625" style="15" customWidth="1"/>
  </cols>
  <sheetData>
    <row r="1" spans="7:35" x14ac:dyDescent="0.2">
      <c r="AI1" s="2"/>
    </row>
    <row r="2" spans="7:35" x14ac:dyDescent="0.2">
      <c r="AI2" s="2"/>
    </row>
    <row r="3" spans="7:35" x14ac:dyDescent="0.2">
      <c r="AI3" s="2"/>
    </row>
    <row r="4" spans="7:35" x14ac:dyDescent="0.2">
      <c r="AI4" s="2"/>
    </row>
    <row r="5" spans="7:35" x14ac:dyDescent="0.2">
      <c r="AI5" s="2"/>
    </row>
    <row r="6" spans="7:35" x14ac:dyDescent="0.2">
      <c r="AI6" s="2"/>
    </row>
    <row r="7" spans="7:35" x14ac:dyDescent="0.2">
      <c r="AI7" s="2"/>
    </row>
    <row r="8" spans="7:35" ht="11.25" customHeight="1" x14ac:dyDescent="0.35">
      <c r="J8" s="63"/>
      <c r="K8" s="63"/>
      <c r="AI8" s="2"/>
    </row>
    <row r="9" spans="7:35" x14ac:dyDescent="0.2">
      <c r="AI9" s="2"/>
    </row>
    <row r="10" spans="7:35" ht="23.25" x14ac:dyDescent="0.35">
      <c r="G10" s="70" t="s">
        <v>19</v>
      </c>
      <c r="H10" s="71"/>
      <c r="I10" s="71"/>
      <c r="J10" s="71"/>
      <c r="K10" s="71"/>
      <c r="L10" s="71"/>
      <c r="M10" s="65">
        <v>6768</v>
      </c>
      <c r="N10" s="63"/>
      <c r="O10" s="63"/>
      <c r="AI10" s="2"/>
    </row>
    <row r="11" spans="7:35" x14ac:dyDescent="0.2">
      <c r="AI11" s="2"/>
    </row>
    <row r="12" spans="7:35" ht="15.75" x14ac:dyDescent="0.25">
      <c r="I12" s="64"/>
      <c r="J12" s="64"/>
      <c r="K12" s="64"/>
      <c r="L12" s="64"/>
      <c r="M12" s="64"/>
      <c r="AI12" s="2"/>
    </row>
    <row r="13" spans="7:35" ht="23.25" x14ac:dyDescent="0.35">
      <c r="G13" s="70" t="s">
        <v>20</v>
      </c>
      <c r="H13" s="71"/>
      <c r="I13" s="71"/>
      <c r="J13" s="71"/>
      <c r="K13" s="71"/>
      <c r="L13" s="71"/>
      <c r="M13" s="65">
        <f>12868-M10</f>
        <v>6100</v>
      </c>
      <c r="AI13" s="2"/>
    </row>
    <row r="14" spans="7:35" x14ac:dyDescent="0.2">
      <c r="AI14" s="2"/>
    </row>
    <row r="15" spans="7:35" x14ac:dyDescent="0.2">
      <c r="AI15" s="2"/>
    </row>
    <row r="16" spans="7:35" ht="23.25" x14ac:dyDescent="0.35">
      <c r="G16" s="70" t="s">
        <v>22</v>
      </c>
      <c r="H16" s="71"/>
      <c r="I16" s="71"/>
      <c r="J16" s="71"/>
      <c r="K16" s="71"/>
      <c r="L16" s="71"/>
      <c r="M16" s="65">
        <v>6798</v>
      </c>
      <c r="AI16" s="2"/>
    </row>
    <row r="17" spans="35:35" x14ac:dyDescent="0.2">
      <c r="AI17" s="2"/>
    </row>
    <row r="18" spans="35:35" x14ac:dyDescent="0.2">
      <c r="AI18" s="2"/>
    </row>
    <row r="19" spans="35:35" x14ac:dyDescent="0.2">
      <c r="AI19" s="2"/>
    </row>
    <row r="20" spans="35:35" x14ac:dyDescent="0.2">
      <c r="AI20" s="2"/>
    </row>
    <row r="21" spans="35:35" x14ac:dyDescent="0.2">
      <c r="AI21" s="2"/>
    </row>
    <row r="22" spans="35:35" x14ac:dyDescent="0.2">
      <c r="AI22" s="2"/>
    </row>
    <row r="23" spans="35:35" x14ac:dyDescent="0.2">
      <c r="AI23" s="2"/>
    </row>
    <row r="24" spans="35:35" x14ac:dyDescent="0.2">
      <c r="AI24" s="2"/>
    </row>
    <row r="25" spans="35:35" x14ac:dyDescent="0.2">
      <c r="AI25" s="2"/>
    </row>
    <row r="26" spans="35:35" x14ac:dyDescent="0.2">
      <c r="AI26" s="2"/>
    </row>
    <row r="27" spans="35:35" x14ac:dyDescent="0.2">
      <c r="AI27" s="2"/>
    </row>
    <row r="28" spans="35:35" x14ac:dyDescent="0.2">
      <c r="AI28" s="2"/>
    </row>
    <row r="29" spans="35:35" x14ac:dyDescent="0.2">
      <c r="AI29" s="2"/>
    </row>
    <row r="30" spans="35:35" x14ac:dyDescent="0.2">
      <c r="AI30" s="2"/>
    </row>
    <row r="31" spans="35:35" x14ac:dyDescent="0.2">
      <c r="AI31" s="2"/>
    </row>
    <row r="32" spans="35:35" x14ac:dyDescent="0.2">
      <c r="AI32" s="2"/>
    </row>
    <row r="33" spans="1:35" x14ac:dyDescent="0.2">
      <c r="AI33" s="2"/>
    </row>
    <row r="34" spans="1:35" x14ac:dyDescent="0.2">
      <c r="AI34" s="2"/>
    </row>
    <row r="35" spans="1:35" x14ac:dyDescent="0.2">
      <c r="AI35" s="2"/>
    </row>
    <row r="36" spans="1:35" x14ac:dyDescent="0.2">
      <c r="AI36" s="2"/>
    </row>
    <row r="37" spans="1:35" x14ac:dyDescent="0.2">
      <c r="W37" s="2"/>
      <c r="X37"/>
      <c r="Y37"/>
      <c r="Z37"/>
      <c r="AA37"/>
      <c r="AB37"/>
      <c r="AC37"/>
      <c r="AD37"/>
      <c r="AE37"/>
      <c r="AF37"/>
      <c r="AG37"/>
      <c r="AH37"/>
      <c r="AI37"/>
    </row>
    <row r="38" spans="1:35" ht="13.5" thickBot="1" x14ac:dyDescent="0.25">
      <c r="W38" s="2"/>
      <c r="X38"/>
      <c r="Y38"/>
      <c r="Z38"/>
      <c r="AA38"/>
      <c r="AB38"/>
      <c r="AC38"/>
      <c r="AD38"/>
      <c r="AE38"/>
      <c r="AF38"/>
      <c r="AG38"/>
      <c r="AH38"/>
      <c r="AI38"/>
    </row>
    <row r="39" spans="1:35" s="2" customFormat="1" ht="18.75" thickBot="1" x14ac:dyDescent="0.3">
      <c r="A39" s="17" t="s">
        <v>0</v>
      </c>
      <c r="B39" s="18"/>
      <c r="C39" s="18"/>
      <c r="D39" s="19"/>
      <c r="E39" s="26" t="s">
        <v>1</v>
      </c>
      <c r="F39" s="20"/>
      <c r="G39" s="21"/>
      <c r="H39" s="29" t="s">
        <v>2</v>
      </c>
      <c r="I39" s="20"/>
      <c r="J39" s="21"/>
      <c r="K39" s="26" t="s">
        <v>4</v>
      </c>
      <c r="L39" s="20"/>
      <c r="M39" s="21"/>
      <c r="N39" s="29" t="s">
        <v>3</v>
      </c>
      <c r="O39" s="20"/>
      <c r="P39" s="21"/>
      <c r="Q39" s="29" t="s">
        <v>5</v>
      </c>
      <c r="R39" s="20"/>
      <c r="S39" s="22"/>
      <c r="T39" s="50" t="s">
        <v>16</v>
      </c>
      <c r="U39" s="20"/>
      <c r="V39" s="22"/>
      <c r="W39" s="23" t="s">
        <v>6</v>
      </c>
    </row>
    <row r="40" spans="1:35" s="2" customFormat="1" ht="13.5" thickTop="1" x14ac:dyDescent="0.2">
      <c r="A40" s="24"/>
      <c r="E40" s="27" t="s">
        <v>7</v>
      </c>
      <c r="F40" s="4"/>
      <c r="G40" s="5" t="s">
        <v>8</v>
      </c>
      <c r="H40" s="27" t="s">
        <v>7</v>
      </c>
      <c r="I40" s="4"/>
      <c r="J40" s="5" t="s">
        <v>8</v>
      </c>
      <c r="K40" s="27" t="s">
        <v>7</v>
      </c>
      <c r="L40" s="4"/>
      <c r="M40" s="5" t="s">
        <v>8</v>
      </c>
      <c r="N40" s="27" t="s">
        <v>7</v>
      </c>
      <c r="O40" s="4"/>
      <c r="P40" s="5" t="s">
        <v>8</v>
      </c>
      <c r="Q40" s="27" t="s">
        <v>7</v>
      </c>
      <c r="R40" s="4"/>
      <c r="S40" s="6" t="s">
        <v>8</v>
      </c>
      <c r="T40" s="7" t="s">
        <v>7</v>
      </c>
      <c r="U40" s="4"/>
      <c r="V40" s="6" t="s">
        <v>8</v>
      </c>
      <c r="W40" s="16"/>
    </row>
    <row r="41" spans="1:35" s="3" customFormat="1" ht="13.5" thickBot="1" x14ac:dyDescent="0.25">
      <c r="A41" s="25" t="s">
        <v>9</v>
      </c>
      <c r="B41" s="12" t="s">
        <v>10</v>
      </c>
      <c r="C41" s="12" t="s">
        <v>11</v>
      </c>
      <c r="D41" s="11" t="s">
        <v>12</v>
      </c>
      <c r="E41" s="28" t="s">
        <v>13</v>
      </c>
      <c r="F41" s="13" t="s">
        <v>14</v>
      </c>
      <c r="G41" s="9" t="s">
        <v>15</v>
      </c>
      <c r="H41" s="28" t="s">
        <v>13</v>
      </c>
      <c r="I41" s="13" t="s">
        <v>14</v>
      </c>
      <c r="J41" s="9" t="s">
        <v>15</v>
      </c>
      <c r="K41" s="28" t="s">
        <v>13</v>
      </c>
      <c r="L41" s="13" t="s">
        <v>14</v>
      </c>
      <c r="M41" s="9" t="s">
        <v>15</v>
      </c>
      <c r="N41" s="28" t="s">
        <v>13</v>
      </c>
      <c r="O41" s="13" t="s">
        <v>14</v>
      </c>
      <c r="P41" s="9" t="s">
        <v>15</v>
      </c>
      <c r="Q41" s="28" t="s">
        <v>13</v>
      </c>
      <c r="R41" s="13" t="s">
        <v>14</v>
      </c>
      <c r="S41" s="10" t="s">
        <v>15</v>
      </c>
      <c r="T41" s="8" t="s">
        <v>13</v>
      </c>
      <c r="U41" s="13" t="s">
        <v>14</v>
      </c>
      <c r="V41" s="10" t="s">
        <v>15</v>
      </c>
      <c r="W41" s="14"/>
    </row>
    <row r="42" spans="1:35" s="2" customFormat="1" ht="13.5" thickTop="1" x14ac:dyDescent="0.2">
      <c r="A42" s="30">
        <v>40677</v>
      </c>
      <c r="B42" s="31">
        <f t="shared" ref="B42:B48" si="0">A42</f>
        <v>40677</v>
      </c>
      <c r="C42" s="66" t="s">
        <v>21</v>
      </c>
      <c r="D42" s="3">
        <f t="shared" ref="D42:D48" si="1">A42-A$42</f>
        <v>0</v>
      </c>
      <c r="E42" s="41"/>
      <c r="F42" s="36"/>
      <c r="G42" s="5"/>
      <c r="H42" s="41"/>
      <c r="I42" s="36"/>
      <c r="J42" s="5"/>
      <c r="K42" s="41">
        <v>10185.799999999999</v>
      </c>
      <c r="L42" s="36">
        <f>K42-$K$42</f>
        <v>0</v>
      </c>
      <c r="M42" s="5"/>
      <c r="N42" s="32"/>
      <c r="O42" s="36"/>
      <c r="P42" s="5"/>
      <c r="Q42" s="32"/>
      <c r="R42" s="36"/>
      <c r="S42" s="5"/>
      <c r="T42" s="55"/>
      <c r="U42" s="36"/>
      <c r="V42" s="56"/>
      <c r="W42" s="39" t="s">
        <v>18</v>
      </c>
    </row>
    <row r="43" spans="1:35" outlineLevel="1" x14ac:dyDescent="0.2">
      <c r="A43" s="42">
        <v>41300</v>
      </c>
      <c r="B43" s="43">
        <f t="shared" si="0"/>
        <v>41300</v>
      </c>
      <c r="C43" s="44" t="s">
        <v>21</v>
      </c>
      <c r="D43" s="45">
        <f t="shared" si="1"/>
        <v>623</v>
      </c>
      <c r="E43" s="46"/>
      <c r="F43" s="47"/>
      <c r="G43" s="48"/>
      <c r="H43" s="46"/>
      <c r="I43" s="47"/>
      <c r="J43" s="48"/>
      <c r="K43" s="46">
        <v>10186</v>
      </c>
      <c r="L43" s="47">
        <f t="shared" ref="L43:L49" si="2">-K43+$K$42</f>
        <v>-0.2000000000007276</v>
      </c>
      <c r="M43" s="48">
        <f>365*(K43-K42)/(D43-D42)</f>
        <v>0.11717495987201537</v>
      </c>
      <c r="N43" s="46"/>
      <c r="O43" s="47"/>
      <c r="P43" s="48"/>
      <c r="Q43" s="46"/>
      <c r="R43" s="47"/>
      <c r="S43" s="48"/>
      <c r="T43" s="57"/>
      <c r="U43" s="47"/>
      <c r="V43" s="58"/>
      <c r="W43" s="49"/>
      <c r="X43"/>
      <c r="Y43"/>
      <c r="Z43"/>
      <c r="AA43"/>
      <c r="AB43"/>
      <c r="AC43"/>
      <c r="AD43"/>
      <c r="AE43"/>
      <c r="AF43"/>
      <c r="AG43"/>
      <c r="AH43"/>
      <c r="AI43"/>
    </row>
    <row r="44" spans="1:35" x14ac:dyDescent="0.2">
      <c r="A44" s="42">
        <v>41957</v>
      </c>
      <c r="B44" s="43">
        <f t="shared" si="0"/>
        <v>41957</v>
      </c>
      <c r="C44" s="44" t="s">
        <v>21</v>
      </c>
      <c r="D44" s="45">
        <f t="shared" si="1"/>
        <v>1280</v>
      </c>
      <c r="E44" s="46"/>
      <c r="F44" s="47"/>
      <c r="G44" s="48"/>
      <c r="H44" s="46"/>
      <c r="I44" s="47" t="s">
        <v>23</v>
      </c>
      <c r="J44" s="48" t="s">
        <v>23</v>
      </c>
      <c r="K44" s="46">
        <v>10185.759875924819</v>
      </c>
      <c r="L44" s="47">
        <f t="shared" si="2"/>
        <v>4.0124075179846841E-2</v>
      </c>
      <c r="M44" s="48">
        <f t="shared" ref="M44:M49" si="3">365*(K44-K43)/(D44-D43)</f>
        <v>-0.13340226398920801</v>
      </c>
      <c r="N44" s="46"/>
      <c r="O44" s="47"/>
      <c r="P44" s="48"/>
      <c r="Q44" s="46"/>
      <c r="R44" s="47"/>
      <c r="S44" s="48"/>
      <c r="T44" s="57"/>
      <c r="U44" s="47" t="s">
        <v>23</v>
      </c>
      <c r="V44" s="58" t="s">
        <v>23</v>
      </c>
      <c r="W44" s="49"/>
      <c r="X44"/>
      <c r="Y44"/>
      <c r="Z44"/>
      <c r="AA44"/>
      <c r="AB44"/>
      <c r="AC44"/>
      <c r="AD44"/>
      <c r="AE44"/>
      <c r="AF44"/>
      <c r="AG44"/>
      <c r="AH44"/>
      <c r="AI44"/>
    </row>
    <row r="45" spans="1:35" x14ac:dyDescent="0.2">
      <c r="A45" s="42">
        <v>42438</v>
      </c>
      <c r="B45" s="43">
        <f t="shared" si="0"/>
        <v>42438</v>
      </c>
      <c r="C45" s="44" t="s">
        <v>21</v>
      </c>
      <c r="D45" s="45">
        <f t="shared" si="1"/>
        <v>1761</v>
      </c>
      <c r="E45" s="46"/>
      <c r="F45" s="47"/>
      <c r="G45" s="48"/>
      <c r="H45" s="46"/>
      <c r="I45" s="47" t="s">
        <v>23</v>
      </c>
      <c r="J45" s="48" t="s">
        <v>23</v>
      </c>
      <c r="K45" s="46">
        <v>10185.9</v>
      </c>
      <c r="L45" s="47">
        <f t="shared" si="2"/>
        <v>-0.1000000000003638</v>
      </c>
      <c r="M45" s="48">
        <f t="shared" si="3"/>
        <v>0.10633115892053406</v>
      </c>
      <c r="N45" s="46"/>
      <c r="O45" s="47"/>
      <c r="P45" s="48"/>
      <c r="Q45" s="46"/>
      <c r="R45" s="47"/>
      <c r="S45" s="48"/>
      <c r="T45" s="57"/>
      <c r="U45" s="47"/>
      <c r="V45" s="58"/>
      <c r="W45" s="49"/>
      <c r="X45"/>
      <c r="Y45"/>
      <c r="Z45"/>
      <c r="AA45"/>
      <c r="AB45"/>
      <c r="AC45"/>
      <c r="AD45"/>
      <c r="AE45"/>
      <c r="AF45"/>
      <c r="AG45"/>
      <c r="AH45"/>
      <c r="AI45"/>
    </row>
    <row r="46" spans="1:35" x14ac:dyDescent="0.2">
      <c r="A46" s="42">
        <v>42817</v>
      </c>
      <c r="B46" s="43">
        <f t="shared" si="0"/>
        <v>42817</v>
      </c>
      <c r="C46" s="44" t="s">
        <v>21</v>
      </c>
      <c r="D46" s="45">
        <f t="shared" si="1"/>
        <v>2140</v>
      </c>
      <c r="E46" s="46"/>
      <c r="F46" s="47"/>
      <c r="G46" s="48"/>
      <c r="H46" s="46"/>
      <c r="I46" s="47"/>
      <c r="J46" s="48"/>
      <c r="K46" s="46">
        <v>10184.200000000001</v>
      </c>
      <c r="L46" s="47">
        <f t="shared" si="2"/>
        <v>1.5999999999985448</v>
      </c>
      <c r="M46" s="48">
        <f t="shared" si="3"/>
        <v>-1.6372031662258619</v>
      </c>
      <c r="N46" s="46"/>
      <c r="O46" s="47"/>
      <c r="P46" s="48"/>
      <c r="Q46" s="46"/>
      <c r="R46" s="47"/>
      <c r="S46" s="48"/>
      <c r="T46" s="57"/>
      <c r="U46" s="47"/>
      <c r="V46" s="58"/>
      <c r="W46" s="49"/>
      <c r="X46"/>
      <c r="Y46"/>
      <c r="Z46"/>
      <c r="AA46"/>
      <c r="AB46"/>
      <c r="AC46"/>
      <c r="AD46"/>
      <c r="AE46"/>
      <c r="AF46"/>
      <c r="AG46"/>
      <c r="AH46"/>
      <c r="AI46"/>
    </row>
    <row r="47" spans="1:35" x14ac:dyDescent="0.2">
      <c r="A47" s="42">
        <v>43117</v>
      </c>
      <c r="B47" s="43">
        <f t="shared" si="0"/>
        <v>43117</v>
      </c>
      <c r="C47" s="69" t="s">
        <v>24</v>
      </c>
      <c r="D47" s="45">
        <f t="shared" si="1"/>
        <v>2440</v>
      </c>
      <c r="E47" s="46"/>
      <c r="F47" s="47"/>
      <c r="G47" s="48"/>
      <c r="H47" s="46"/>
      <c r="I47" s="47"/>
      <c r="J47" s="48"/>
      <c r="K47" s="46">
        <v>10183.776722807657</v>
      </c>
      <c r="L47" s="47">
        <f t="shared" si="2"/>
        <v>2.0232771923419932</v>
      </c>
      <c r="M47" s="48">
        <f t="shared" si="3"/>
        <v>-0.51498725068452889</v>
      </c>
      <c r="N47" s="46"/>
      <c r="O47" s="47"/>
      <c r="P47" s="48"/>
      <c r="Q47" s="46"/>
      <c r="R47" s="47"/>
      <c r="S47" s="48"/>
      <c r="T47" s="57"/>
      <c r="U47" s="47"/>
      <c r="V47" s="58"/>
      <c r="W47" s="49"/>
      <c r="X47"/>
      <c r="Y47"/>
      <c r="Z47"/>
      <c r="AA47"/>
      <c r="AB47"/>
      <c r="AC47"/>
      <c r="AD47"/>
      <c r="AE47"/>
      <c r="AF47"/>
      <c r="AG47"/>
      <c r="AH47"/>
      <c r="AI47"/>
    </row>
    <row r="48" spans="1:35" x14ac:dyDescent="0.2">
      <c r="A48" s="42">
        <v>43523</v>
      </c>
      <c r="B48" s="43">
        <f t="shared" si="0"/>
        <v>43523</v>
      </c>
      <c r="C48" s="69" t="s">
        <v>25</v>
      </c>
      <c r="D48" s="45">
        <f t="shared" si="1"/>
        <v>2846</v>
      </c>
      <c r="E48" s="46"/>
      <c r="F48" s="47"/>
      <c r="G48" s="48"/>
      <c r="H48" s="46"/>
      <c r="I48" s="47"/>
      <c r="J48" s="48"/>
      <c r="K48" s="46">
        <v>10183.852808244153</v>
      </c>
      <c r="L48" s="47">
        <f t="shared" si="2"/>
        <v>1.947191755845779</v>
      </c>
      <c r="M48" s="48">
        <f t="shared" si="3"/>
        <v>6.8401931825414278E-2</v>
      </c>
      <c r="N48" s="46"/>
      <c r="O48" s="47"/>
      <c r="P48" s="48"/>
      <c r="Q48" s="46"/>
      <c r="R48" s="47"/>
      <c r="S48" s="48"/>
      <c r="T48" s="57"/>
      <c r="U48" s="47"/>
      <c r="V48" s="58"/>
      <c r="W48" s="49"/>
      <c r="X48"/>
      <c r="Y48"/>
      <c r="Z48"/>
      <c r="AA48"/>
      <c r="AB48"/>
      <c r="AC48"/>
      <c r="AD48"/>
      <c r="AE48"/>
      <c r="AF48"/>
      <c r="AG48"/>
      <c r="AH48"/>
      <c r="AI48"/>
    </row>
    <row r="49" spans="1:35" x14ac:dyDescent="0.2">
      <c r="A49" s="42">
        <v>43881</v>
      </c>
      <c r="B49" s="43">
        <f t="shared" ref="B49:B54" si="4">A49</f>
        <v>43881</v>
      </c>
      <c r="C49" s="69" t="s">
        <v>25</v>
      </c>
      <c r="D49" s="45">
        <f t="shared" ref="D49:D54" si="5">A49-A$42</f>
        <v>3204</v>
      </c>
      <c r="E49" s="46"/>
      <c r="F49" s="47"/>
      <c r="G49" s="48"/>
      <c r="H49" s="46"/>
      <c r="I49" s="47"/>
      <c r="J49" s="48"/>
      <c r="K49" s="46">
        <v>10183.700000000001</v>
      </c>
      <c r="L49" s="47">
        <f t="shared" si="2"/>
        <v>2.0999999999985448</v>
      </c>
      <c r="M49" s="48">
        <f t="shared" si="3"/>
        <v>-0.15579611484849032</v>
      </c>
      <c r="N49" s="46"/>
      <c r="O49" s="47"/>
      <c r="P49" s="48"/>
      <c r="Q49" s="46"/>
      <c r="R49" s="47"/>
      <c r="S49" s="48"/>
      <c r="T49" s="57" t="s">
        <v>26</v>
      </c>
      <c r="U49" s="47"/>
      <c r="V49" s="58"/>
      <c r="W49" s="49"/>
      <c r="X49"/>
      <c r="Y49"/>
      <c r="Z49"/>
      <c r="AA49"/>
      <c r="AB49"/>
      <c r="AC49"/>
      <c r="AD49"/>
      <c r="AE49"/>
      <c r="AF49"/>
      <c r="AG49"/>
      <c r="AH49"/>
      <c r="AI49"/>
    </row>
    <row r="50" spans="1:35" x14ac:dyDescent="0.2">
      <c r="A50" s="30">
        <v>44243</v>
      </c>
      <c r="B50" s="31">
        <f t="shared" si="4"/>
        <v>44243</v>
      </c>
      <c r="C50" s="69" t="s">
        <v>25</v>
      </c>
      <c r="D50" s="3">
        <f t="shared" si="5"/>
        <v>3566</v>
      </c>
      <c r="E50" s="32"/>
      <c r="F50" s="36"/>
      <c r="G50" s="5"/>
      <c r="H50" s="32"/>
      <c r="I50" s="36"/>
      <c r="J50" s="5"/>
      <c r="K50" s="32">
        <v>10183.862500299299</v>
      </c>
      <c r="L50" s="47">
        <f>-K50+$K$42</f>
        <v>1.9374997006998456</v>
      </c>
      <c r="M50" s="48">
        <f>365*(K50-K49)/(D50-D49)</f>
        <v>0.16384698686194812</v>
      </c>
      <c r="N50" s="32"/>
      <c r="O50" s="36"/>
      <c r="P50" s="5"/>
      <c r="Q50" s="32" t="s">
        <v>27</v>
      </c>
      <c r="R50" s="36"/>
      <c r="S50" s="5"/>
      <c r="T50" s="59"/>
      <c r="U50" s="36"/>
      <c r="V50" s="60"/>
      <c r="W50" s="39"/>
      <c r="X50"/>
      <c r="Y50"/>
      <c r="Z50"/>
      <c r="AA50"/>
      <c r="AB50"/>
      <c r="AC50"/>
      <c r="AD50"/>
      <c r="AE50"/>
      <c r="AF50"/>
      <c r="AG50"/>
      <c r="AH50"/>
      <c r="AI50"/>
    </row>
    <row r="51" spans="1:35" x14ac:dyDescent="0.2">
      <c r="A51" s="30">
        <v>44636</v>
      </c>
      <c r="B51" s="31">
        <f t="shared" si="4"/>
        <v>44636</v>
      </c>
      <c r="C51" s="69" t="s">
        <v>25</v>
      </c>
      <c r="D51" s="3">
        <f t="shared" si="5"/>
        <v>3959</v>
      </c>
      <c r="E51" s="32"/>
      <c r="F51" s="36"/>
      <c r="G51" s="5"/>
      <c r="H51" s="32"/>
      <c r="I51" s="36"/>
      <c r="J51" s="5"/>
      <c r="K51" s="32">
        <v>10183.5</v>
      </c>
      <c r="L51" s="47">
        <f>-K51+$K$42</f>
        <v>2.2999999999992724</v>
      </c>
      <c r="M51" s="48">
        <f>365*(K51-K50)/(D51-D50)</f>
        <v>-0.33667330596511652</v>
      </c>
      <c r="N51" s="32"/>
      <c r="O51" s="36"/>
      <c r="P51" s="5"/>
      <c r="Q51" s="32"/>
      <c r="R51" s="36"/>
      <c r="S51" s="5"/>
      <c r="T51" s="59"/>
      <c r="U51" s="36"/>
      <c r="V51" s="60"/>
      <c r="W51" s="39"/>
      <c r="X51"/>
      <c r="Y51"/>
      <c r="Z51"/>
      <c r="AA51"/>
      <c r="AB51"/>
      <c r="AC51"/>
      <c r="AD51"/>
      <c r="AE51"/>
      <c r="AF51"/>
      <c r="AG51"/>
      <c r="AH51"/>
      <c r="AI51"/>
    </row>
    <row r="52" spans="1:35" x14ac:dyDescent="0.2">
      <c r="A52" s="30">
        <v>45031</v>
      </c>
      <c r="B52" s="31">
        <f t="shared" si="4"/>
        <v>45031</v>
      </c>
      <c r="C52" s="69" t="s">
        <v>25</v>
      </c>
      <c r="D52" s="3">
        <f t="shared" si="5"/>
        <v>4354</v>
      </c>
      <c r="E52" s="32"/>
      <c r="F52" s="36"/>
      <c r="G52" s="5"/>
      <c r="H52" s="32"/>
      <c r="I52" s="36"/>
      <c r="J52" s="5"/>
      <c r="K52" s="32">
        <v>10182.700000000001</v>
      </c>
      <c r="L52" s="47">
        <f>-K52+$K$42</f>
        <v>3.0999999999985448</v>
      </c>
      <c r="M52" s="48">
        <f>365*(K52-K51)/(D52-D51)</f>
        <v>-0.73924050632844163</v>
      </c>
      <c r="N52" s="32"/>
      <c r="O52" s="36"/>
      <c r="P52" s="5"/>
      <c r="Q52" s="32"/>
      <c r="R52" s="36"/>
      <c r="S52" s="5"/>
      <c r="T52" s="59"/>
      <c r="U52" s="36"/>
      <c r="V52" s="60"/>
      <c r="W52" s="39"/>
      <c r="X52"/>
      <c r="Y52"/>
      <c r="Z52"/>
      <c r="AA52"/>
      <c r="AB52"/>
      <c r="AC52"/>
      <c r="AD52"/>
      <c r="AE52"/>
      <c r="AF52"/>
      <c r="AG52"/>
      <c r="AH52"/>
      <c r="AI52"/>
    </row>
    <row r="53" spans="1:35" x14ac:dyDescent="0.2">
      <c r="A53" s="30">
        <v>45350</v>
      </c>
      <c r="B53" s="31">
        <f t="shared" si="4"/>
        <v>45350</v>
      </c>
      <c r="C53" s="33"/>
      <c r="D53" s="3">
        <f t="shared" si="5"/>
        <v>4673</v>
      </c>
      <c r="E53" s="32"/>
      <c r="F53" s="36"/>
      <c r="G53" s="5"/>
      <c r="H53" s="32"/>
      <c r="I53" s="36"/>
      <c r="J53" s="5"/>
      <c r="K53" s="32">
        <v>10182.279666656581</v>
      </c>
      <c r="L53" s="47">
        <f>-K53+$K$42</f>
        <v>3.5203333434183151</v>
      </c>
      <c r="M53" s="48">
        <f>365*(K53-K52)/(D53-D52)</f>
        <v>-0.48094567507277786</v>
      </c>
      <c r="N53" s="32"/>
      <c r="O53" s="36"/>
      <c r="P53" s="5"/>
      <c r="Q53" s="32"/>
      <c r="R53" s="36"/>
      <c r="S53" s="5"/>
      <c r="T53" s="59"/>
      <c r="U53" s="36"/>
      <c r="V53" s="60"/>
      <c r="W53" s="39"/>
      <c r="X53"/>
      <c r="Y53"/>
      <c r="Z53"/>
      <c r="AA53"/>
      <c r="AB53"/>
      <c r="AC53"/>
      <c r="AD53"/>
      <c r="AE53"/>
      <c r="AF53"/>
      <c r="AG53"/>
      <c r="AH53"/>
      <c r="AI53"/>
    </row>
    <row r="54" spans="1:35" x14ac:dyDescent="0.2">
      <c r="A54" s="30">
        <v>45761</v>
      </c>
      <c r="B54" s="31">
        <f t="shared" si="4"/>
        <v>45761</v>
      </c>
      <c r="C54" s="33"/>
      <c r="D54" s="3">
        <f t="shared" si="5"/>
        <v>5084</v>
      </c>
      <c r="E54" s="32"/>
      <c r="F54" s="36"/>
      <c r="G54" s="5"/>
      <c r="H54" s="32"/>
      <c r="I54" s="36"/>
      <c r="J54" s="5"/>
      <c r="K54" s="32">
        <v>10182.5</v>
      </c>
      <c r="L54" s="36">
        <f>-K54+$K$42</f>
        <v>3.2999999999992724</v>
      </c>
      <c r="M54" s="48">
        <f>365*(K54-K53)/(D54-D53)</f>
        <v>0.19567316386362668</v>
      </c>
      <c r="N54" s="32"/>
      <c r="O54" s="36"/>
      <c r="P54" s="5"/>
      <c r="Q54" s="32"/>
      <c r="R54" s="36"/>
      <c r="S54" s="5"/>
      <c r="T54" s="59"/>
      <c r="U54" s="36"/>
      <c r="V54" s="60"/>
      <c r="W54" s="39"/>
      <c r="X54"/>
      <c r="Y54"/>
      <c r="Z54"/>
      <c r="AA54"/>
      <c r="AB54"/>
      <c r="AC54"/>
      <c r="AD54"/>
      <c r="AE54"/>
      <c r="AF54"/>
      <c r="AG54"/>
      <c r="AH54"/>
      <c r="AI54"/>
    </row>
    <row r="55" spans="1:35" ht="13.5" thickBot="1" x14ac:dyDescent="0.25">
      <c r="A55" s="40"/>
      <c r="B55" s="34"/>
      <c r="C55" s="34"/>
      <c r="D55" s="34"/>
      <c r="E55" s="35"/>
      <c r="F55" s="37"/>
      <c r="G55" s="38"/>
      <c r="H55" s="35"/>
      <c r="I55" s="37"/>
      <c r="J55" s="38"/>
      <c r="K55" s="35"/>
      <c r="L55" s="37"/>
      <c r="M55" s="38"/>
      <c r="N55" s="35"/>
      <c r="O55" s="37"/>
      <c r="P55" s="38"/>
      <c r="Q55" s="35"/>
      <c r="R55" s="37"/>
      <c r="S55" s="38"/>
      <c r="T55" s="61"/>
      <c r="U55" s="37"/>
      <c r="V55" s="62"/>
      <c r="W55" s="54"/>
      <c r="Z55" s="2"/>
      <c r="AA55"/>
      <c r="AB55"/>
      <c r="AC55"/>
      <c r="AD55"/>
      <c r="AE55"/>
      <c r="AF55"/>
      <c r="AG55"/>
      <c r="AH55"/>
      <c r="AI55"/>
    </row>
    <row r="56" spans="1:35" x14ac:dyDescent="0.2">
      <c r="B56" s="1"/>
      <c r="C56" s="1"/>
      <c r="D56" s="1"/>
      <c r="AI56" s="2"/>
    </row>
    <row r="57" spans="1:35" x14ac:dyDescent="0.2">
      <c r="B57" s="1"/>
      <c r="C57" s="1"/>
      <c r="D57" s="1"/>
      <c r="AI57" s="2"/>
    </row>
    <row r="58" spans="1:35" x14ac:dyDescent="0.2">
      <c r="B58" s="1"/>
      <c r="C58" s="1"/>
      <c r="D58" s="1"/>
      <c r="AI58" s="2"/>
    </row>
    <row r="59" spans="1:35" x14ac:dyDescent="0.2">
      <c r="B59" s="1"/>
      <c r="C59" s="1"/>
      <c r="D59" s="1"/>
      <c r="AI59" s="2"/>
    </row>
    <row r="60" spans="1:35" x14ac:dyDescent="0.2">
      <c r="B60" s="1"/>
      <c r="C60" s="1"/>
      <c r="D60" s="1"/>
      <c r="AI60" s="2"/>
    </row>
    <row r="61" spans="1:35" x14ac:dyDescent="0.2">
      <c r="B61" s="1"/>
      <c r="C61" s="1"/>
      <c r="D61" s="1"/>
      <c r="AI61" s="2"/>
    </row>
    <row r="62" spans="1:35" x14ac:dyDescent="0.2">
      <c r="B62" s="1"/>
      <c r="C62" s="1"/>
      <c r="D62" s="1"/>
      <c r="AI62" s="2"/>
    </row>
    <row r="63" spans="1:35" x14ac:dyDescent="0.2">
      <c r="AI63" s="2"/>
    </row>
    <row r="64" spans="1:35" x14ac:dyDescent="0.2">
      <c r="AI64" s="2"/>
    </row>
    <row r="65" spans="35:35" x14ac:dyDescent="0.2">
      <c r="AI65" s="2"/>
    </row>
    <row r="66" spans="35:35" x14ac:dyDescent="0.2">
      <c r="AI66" s="2"/>
    </row>
    <row r="67" spans="35:35" x14ac:dyDescent="0.2">
      <c r="AI67" s="2"/>
    </row>
    <row r="68" spans="35:35" x14ac:dyDescent="0.2">
      <c r="AI68" s="2"/>
    </row>
    <row r="69" spans="35:35" x14ac:dyDescent="0.2">
      <c r="AI69" s="2"/>
    </row>
    <row r="70" spans="35:35" x14ac:dyDescent="0.2">
      <c r="AI70" s="2"/>
    </row>
    <row r="71" spans="35:35" x14ac:dyDescent="0.2">
      <c r="AI71" s="2"/>
    </row>
    <row r="72" spans="35:35" x14ac:dyDescent="0.2">
      <c r="AI72" s="2"/>
    </row>
    <row r="73" spans="35:35" x14ac:dyDescent="0.2">
      <c r="AI73" s="2"/>
    </row>
    <row r="74" spans="35:35" x14ac:dyDescent="0.2">
      <c r="AI74" s="2"/>
    </row>
    <row r="75" spans="35:35" x14ac:dyDescent="0.2">
      <c r="AI75" s="2"/>
    </row>
    <row r="76" spans="35:35" x14ac:dyDescent="0.2">
      <c r="AI76" s="2"/>
    </row>
    <row r="77" spans="35:35" x14ac:dyDescent="0.2">
      <c r="AI77" s="2"/>
    </row>
    <row r="78" spans="35:35" x14ac:dyDescent="0.2">
      <c r="AI78" s="2"/>
    </row>
    <row r="79" spans="35:35" x14ac:dyDescent="0.2">
      <c r="AI79" s="2"/>
    </row>
    <row r="80" spans="35:35" x14ac:dyDescent="0.2">
      <c r="AI80" s="2"/>
    </row>
    <row r="81" spans="35:35" x14ac:dyDescent="0.2">
      <c r="AI81" s="2"/>
    </row>
    <row r="82" spans="35:35" x14ac:dyDescent="0.2">
      <c r="AI82" s="2"/>
    </row>
    <row r="83" spans="35:35" x14ac:dyDescent="0.2">
      <c r="AI83" s="2"/>
    </row>
    <row r="84" spans="35:35" x14ac:dyDescent="0.2">
      <c r="AI84" s="2"/>
    </row>
    <row r="85" spans="35:35" x14ac:dyDescent="0.2">
      <c r="AI85" s="2"/>
    </row>
    <row r="86" spans="35:35" x14ac:dyDescent="0.2">
      <c r="AI86" s="2"/>
    </row>
    <row r="87" spans="35:35" x14ac:dyDescent="0.2">
      <c r="AI87" s="2"/>
    </row>
    <row r="88" spans="35:35" x14ac:dyDescent="0.2">
      <c r="AI88" s="2"/>
    </row>
    <row r="89" spans="35:35" x14ac:dyDescent="0.2">
      <c r="AI89" s="2"/>
    </row>
    <row r="90" spans="35:35" x14ac:dyDescent="0.2">
      <c r="AI90" s="2"/>
    </row>
    <row r="91" spans="35:35" x14ac:dyDescent="0.2">
      <c r="AI91" s="2"/>
    </row>
    <row r="92" spans="35:35" x14ac:dyDescent="0.2">
      <c r="AI92" s="2"/>
    </row>
    <row r="93" spans="35:35" x14ac:dyDescent="0.2">
      <c r="AI93" s="2"/>
    </row>
    <row r="94" spans="35:35" x14ac:dyDescent="0.2">
      <c r="AI94" s="2"/>
    </row>
    <row r="95" spans="35:35" x14ac:dyDescent="0.2">
      <c r="AI95" s="2"/>
    </row>
    <row r="96" spans="35:35" x14ac:dyDescent="0.2">
      <c r="AI96" s="2"/>
    </row>
    <row r="97" spans="35:35" x14ac:dyDescent="0.2">
      <c r="AI97" s="2"/>
    </row>
    <row r="98" spans="35:35" x14ac:dyDescent="0.2">
      <c r="AI98" s="2"/>
    </row>
    <row r="99" spans="35:35" x14ac:dyDescent="0.2">
      <c r="AI99" s="2"/>
    </row>
    <row r="100" spans="35:35" x14ac:dyDescent="0.2">
      <c r="AI100" s="2"/>
    </row>
    <row r="101" spans="35:35" x14ac:dyDescent="0.2">
      <c r="AI101" s="2"/>
    </row>
    <row r="102" spans="35:35" x14ac:dyDescent="0.2">
      <c r="AI102" s="2"/>
    </row>
    <row r="103" spans="35:35" x14ac:dyDescent="0.2">
      <c r="AI103" s="2"/>
    </row>
    <row r="104" spans="35:35" x14ac:dyDescent="0.2">
      <c r="AI104" s="2"/>
    </row>
    <row r="105" spans="35:35" x14ac:dyDescent="0.2">
      <c r="AI105" s="2"/>
    </row>
    <row r="106" spans="35:35" x14ac:dyDescent="0.2">
      <c r="AI106" s="2"/>
    </row>
    <row r="107" spans="35:35" x14ac:dyDescent="0.2">
      <c r="AI107" s="2"/>
    </row>
    <row r="108" spans="35:35" x14ac:dyDescent="0.2">
      <c r="AI108" s="2"/>
    </row>
    <row r="109" spans="35:35" x14ac:dyDescent="0.2">
      <c r="AI109" s="2"/>
    </row>
    <row r="110" spans="35:35" x14ac:dyDescent="0.2">
      <c r="AI110" s="2"/>
    </row>
    <row r="111" spans="35:35" x14ac:dyDescent="0.2">
      <c r="AI111" s="2"/>
    </row>
    <row r="112" spans="35:35" x14ac:dyDescent="0.2">
      <c r="AI112" s="2"/>
    </row>
    <row r="113" spans="35:35" x14ac:dyDescent="0.2">
      <c r="AI113" s="2"/>
    </row>
    <row r="114" spans="35:35" x14ac:dyDescent="0.2">
      <c r="AI114" s="2"/>
    </row>
    <row r="115" spans="35:35" x14ac:dyDescent="0.2">
      <c r="AI115" s="2"/>
    </row>
    <row r="116" spans="35:35" x14ac:dyDescent="0.2">
      <c r="AI116" s="2"/>
    </row>
    <row r="117" spans="35:35" x14ac:dyDescent="0.2">
      <c r="AI117" s="2"/>
    </row>
    <row r="118" spans="35:35" x14ac:dyDescent="0.2">
      <c r="AI118" s="2"/>
    </row>
    <row r="119" spans="35:35" x14ac:dyDescent="0.2">
      <c r="AI119" s="2"/>
    </row>
    <row r="120" spans="35:35" x14ac:dyDescent="0.2">
      <c r="AI120" s="2"/>
    </row>
    <row r="121" spans="35:35" x14ac:dyDescent="0.2">
      <c r="AI121" s="2"/>
    </row>
    <row r="122" spans="35:35" x14ac:dyDescent="0.2">
      <c r="AI122" s="2"/>
    </row>
    <row r="123" spans="35:35" x14ac:dyDescent="0.2">
      <c r="AI123" s="2"/>
    </row>
    <row r="124" spans="35:35" x14ac:dyDescent="0.2">
      <c r="AI124" s="2"/>
    </row>
    <row r="125" spans="35:35" x14ac:dyDescent="0.2">
      <c r="AI125" s="2"/>
    </row>
    <row r="126" spans="35:35" x14ac:dyDescent="0.2">
      <c r="AI126" s="2"/>
    </row>
    <row r="127" spans="35:35" x14ac:dyDescent="0.2">
      <c r="AI127" s="2"/>
    </row>
    <row r="128" spans="35:35" x14ac:dyDescent="0.2">
      <c r="AI128" s="2"/>
    </row>
    <row r="129" spans="35:35" x14ac:dyDescent="0.2">
      <c r="AI129" s="2"/>
    </row>
    <row r="130" spans="35:35" x14ac:dyDescent="0.2">
      <c r="AI130" s="2"/>
    </row>
    <row r="131" spans="35:35" x14ac:dyDescent="0.2">
      <c r="AI131" s="2"/>
    </row>
    <row r="132" spans="35:35" x14ac:dyDescent="0.2">
      <c r="AI132" s="2"/>
    </row>
    <row r="133" spans="35:35" x14ac:dyDescent="0.2">
      <c r="AI133" s="2"/>
    </row>
    <row r="134" spans="35:35" x14ac:dyDescent="0.2">
      <c r="AI134" s="2"/>
    </row>
    <row r="135" spans="35:35" x14ac:dyDescent="0.2">
      <c r="AI135" s="2"/>
    </row>
    <row r="136" spans="35:35" x14ac:dyDescent="0.2">
      <c r="AI136" s="2"/>
    </row>
    <row r="137" spans="35:35" x14ac:dyDescent="0.2">
      <c r="AI137" s="2"/>
    </row>
    <row r="138" spans="35:35" x14ac:dyDescent="0.2">
      <c r="AI138" s="2"/>
    </row>
    <row r="139" spans="35:35" x14ac:dyDescent="0.2">
      <c r="AI139" s="2"/>
    </row>
    <row r="140" spans="35:35" x14ac:dyDescent="0.2">
      <c r="AI140" s="2"/>
    </row>
    <row r="141" spans="35:35" x14ac:dyDescent="0.2">
      <c r="AI141" s="2"/>
    </row>
    <row r="142" spans="35:35" x14ac:dyDescent="0.2">
      <c r="AI142" s="2"/>
    </row>
    <row r="143" spans="35:35" x14ac:dyDescent="0.2">
      <c r="AI143" s="2"/>
    </row>
    <row r="144" spans="35:35" x14ac:dyDescent="0.2">
      <c r="AI144" s="2"/>
    </row>
    <row r="145" spans="35:35" x14ac:dyDescent="0.2">
      <c r="AI145" s="2"/>
    </row>
    <row r="146" spans="35:35" x14ac:dyDescent="0.2">
      <c r="AI146" s="2"/>
    </row>
    <row r="147" spans="35:35" x14ac:dyDescent="0.2">
      <c r="AI147" s="2"/>
    </row>
    <row r="148" spans="35:35" x14ac:dyDescent="0.2">
      <c r="AI148" s="2"/>
    </row>
    <row r="149" spans="35:35" x14ac:dyDescent="0.2">
      <c r="AI149" s="2"/>
    </row>
    <row r="150" spans="35:35" x14ac:dyDescent="0.2">
      <c r="AI150" s="2"/>
    </row>
    <row r="151" spans="35:35" x14ac:dyDescent="0.2">
      <c r="AI151" s="2"/>
    </row>
    <row r="152" spans="35:35" x14ac:dyDescent="0.2">
      <c r="AI152" s="2"/>
    </row>
    <row r="153" spans="35:35" x14ac:dyDescent="0.2">
      <c r="AI153" s="2"/>
    </row>
    <row r="154" spans="35:35" x14ac:dyDescent="0.2">
      <c r="AI154" s="2"/>
    </row>
    <row r="155" spans="35:35" x14ac:dyDescent="0.2">
      <c r="AI155" s="2"/>
    </row>
    <row r="156" spans="35:35" x14ac:dyDescent="0.2">
      <c r="AI156" s="2"/>
    </row>
    <row r="157" spans="35:35" x14ac:dyDescent="0.2">
      <c r="AI157" s="2"/>
    </row>
    <row r="158" spans="35:35" x14ac:dyDescent="0.2">
      <c r="AI158" s="2"/>
    </row>
    <row r="159" spans="35:35" x14ac:dyDescent="0.2">
      <c r="AI159" s="2"/>
    </row>
    <row r="160" spans="35:35" x14ac:dyDescent="0.2">
      <c r="AI160" s="2"/>
    </row>
    <row r="161" spans="35:35" x14ac:dyDescent="0.2">
      <c r="AI161" s="2"/>
    </row>
    <row r="162" spans="35:35" x14ac:dyDescent="0.2">
      <c r="AI162" s="2"/>
    </row>
    <row r="163" spans="35:35" x14ac:dyDescent="0.2">
      <c r="AI163" s="2"/>
    </row>
    <row r="164" spans="35:35" x14ac:dyDescent="0.2">
      <c r="AI164" s="2"/>
    </row>
    <row r="165" spans="35:35" x14ac:dyDescent="0.2">
      <c r="AI165" s="2"/>
    </row>
    <row r="166" spans="35:35" x14ac:dyDescent="0.2">
      <c r="AI166" s="2"/>
    </row>
    <row r="167" spans="35:35" x14ac:dyDescent="0.2">
      <c r="AI167" s="2"/>
    </row>
    <row r="168" spans="35:35" x14ac:dyDescent="0.2">
      <c r="AI168" s="2"/>
    </row>
    <row r="169" spans="35:35" x14ac:dyDescent="0.2">
      <c r="AI169" s="2"/>
    </row>
    <row r="170" spans="35:35" x14ac:dyDescent="0.2">
      <c r="AI170" s="2"/>
    </row>
    <row r="171" spans="35:35" x14ac:dyDescent="0.2">
      <c r="AI171" s="2"/>
    </row>
    <row r="172" spans="35:35" x14ac:dyDescent="0.2">
      <c r="AI172" s="2"/>
    </row>
    <row r="173" spans="35:35" x14ac:dyDescent="0.2">
      <c r="AI173" s="2"/>
    </row>
    <row r="174" spans="35:35" x14ac:dyDescent="0.2">
      <c r="AI174" s="2"/>
    </row>
    <row r="175" spans="35:35" x14ac:dyDescent="0.2">
      <c r="AI175" s="2"/>
    </row>
    <row r="176" spans="35:35" x14ac:dyDescent="0.2">
      <c r="AI176" s="2"/>
    </row>
    <row r="177" spans="35:35" x14ac:dyDescent="0.2">
      <c r="AI177" s="2"/>
    </row>
    <row r="178" spans="35:35" x14ac:dyDescent="0.2">
      <c r="AI178" s="2"/>
    </row>
    <row r="179" spans="35:35" x14ac:dyDescent="0.2">
      <c r="AI179" s="2"/>
    </row>
    <row r="180" spans="35:35" x14ac:dyDescent="0.2">
      <c r="AI180" s="2"/>
    </row>
    <row r="181" spans="35:35" x14ac:dyDescent="0.2">
      <c r="AI181" s="2"/>
    </row>
    <row r="182" spans="35:35" x14ac:dyDescent="0.2">
      <c r="AI182" s="2"/>
    </row>
    <row r="183" spans="35:35" x14ac:dyDescent="0.2">
      <c r="AI183" s="2"/>
    </row>
    <row r="184" spans="35:35" x14ac:dyDescent="0.2">
      <c r="AI184" s="2"/>
    </row>
    <row r="185" spans="35:35" x14ac:dyDescent="0.2">
      <c r="AI185" s="2"/>
    </row>
    <row r="186" spans="35:35" x14ac:dyDescent="0.2">
      <c r="AI186" s="2"/>
    </row>
    <row r="187" spans="35:35" x14ac:dyDescent="0.2">
      <c r="AI187" s="2"/>
    </row>
    <row r="188" spans="35:35" x14ac:dyDescent="0.2">
      <c r="AI188" s="2"/>
    </row>
    <row r="189" spans="35:35" x14ac:dyDescent="0.2">
      <c r="AI189" s="2"/>
    </row>
    <row r="190" spans="35:35" x14ac:dyDescent="0.2">
      <c r="AI190" s="2"/>
    </row>
    <row r="191" spans="35:35" x14ac:dyDescent="0.2">
      <c r="AI191" s="2"/>
    </row>
    <row r="192" spans="35:35" x14ac:dyDescent="0.2">
      <c r="AI192" s="2"/>
    </row>
    <row r="193" spans="35:35" x14ac:dyDescent="0.2">
      <c r="AI193" s="2"/>
    </row>
    <row r="194" spans="35:35" x14ac:dyDescent="0.2">
      <c r="AI194" s="2"/>
    </row>
    <row r="195" spans="35:35" x14ac:dyDescent="0.2">
      <c r="AI195" s="2"/>
    </row>
    <row r="196" spans="35:35" x14ac:dyDescent="0.2">
      <c r="AI196" s="2"/>
    </row>
    <row r="197" spans="35:35" x14ac:dyDescent="0.2">
      <c r="AI197" s="2"/>
    </row>
    <row r="198" spans="35:35" x14ac:dyDescent="0.2">
      <c r="AI198" s="2"/>
    </row>
    <row r="199" spans="35:35" x14ac:dyDescent="0.2">
      <c r="AI199" s="2"/>
    </row>
    <row r="200" spans="35:35" x14ac:dyDescent="0.2">
      <c r="AI200" s="2"/>
    </row>
    <row r="201" spans="35:35" x14ac:dyDescent="0.2">
      <c r="AI201" s="2"/>
    </row>
    <row r="202" spans="35:35" x14ac:dyDescent="0.2">
      <c r="AI202" s="2"/>
    </row>
    <row r="203" spans="35:35" x14ac:dyDescent="0.2">
      <c r="AI203" s="2"/>
    </row>
    <row r="204" spans="35:35" x14ac:dyDescent="0.2">
      <c r="AI204" s="2"/>
    </row>
    <row r="205" spans="35:35" x14ac:dyDescent="0.2">
      <c r="AI205" s="2"/>
    </row>
    <row r="206" spans="35:35" x14ac:dyDescent="0.2">
      <c r="AI206" s="2"/>
    </row>
    <row r="207" spans="35:35" x14ac:dyDescent="0.2">
      <c r="AI207" s="2"/>
    </row>
    <row r="208" spans="35:35" x14ac:dyDescent="0.2">
      <c r="AI208" s="2"/>
    </row>
    <row r="209" spans="35:35" x14ac:dyDescent="0.2">
      <c r="AI209" s="2"/>
    </row>
    <row r="210" spans="35:35" x14ac:dyDescent="0.2">
      <c r="AI210" s="2"/>
    </row>
    <row r="211" spans="35:35" x14ac:dyDescent="0.2">
      <c r="AI211" s="2"/>
    </row>
    <row r="212" spans="35:35" x14ac:dyDescent="0.2">
      <c r="AI212" s="2"/>
    </row>
    <row r="213" spans="35:35" x14ac:dyDescent="0.2">
      <c r="AI213" s="2"/>
    </row>
    <row r="214" spans="35:35" x14ac:dyDescent="0.2">
      <c r="AI214" s="2"/>
    </row>
    <row r="215" spans="35:35" x14ac:dyDescent="0.2">
      <c r="AI215" s="2"/>
    </row>
    <row r="216" spans="35:35" x14ac:dyDescent="0.2">
      <c r="AI216" s="2"/>
    </row>
    <row r="217" spans="35:35" x14ac:dyDescent="0.2">
      <c r="AI217" s="2"/>
    </row>
    <row r="218" spans="35:35" x14ac:dyDescent="0.2">
      <c r="AI218" s="2"/>
    </row>
    <row r="219" spans="35:35" x14ac:dyDescent="0.2">
      <c r="AI219" s="2"/>
    </row>
    <row r="220" spans="35:35" x14ac:dyDescent="0.2">
      <c r="AI220" s="2"/>
    </row>
    <row r="221" spans="35:35" x14ac:dyDescent="0.2">
      <c r="AI221" s="2"/>
    </row>
    <row r="222" spans="35:35" x14ac:dyDescent="0.2">
      <c r="AI222" s="2"/>
    </row>
    <row r="223" spans="35:35" x14ac:dyDescent="0.2">
      <c r="AI223" s="2"/>
    </row>
    <row r="224" spans="35:35" x14ac:dyDescent="0.2">
      <c r="AI224" s="2"/>
    </row>
    <row r="225" spans="35:35" x14ac:dyDescent="0.2">
      <c r="AI225" s="2"/>
    </row>
    <row r="226" spans="35:35" x14ac:dyDescent="0.2">
      <c r="AI226" s="2"/>
    </row>
    <row r="227" spans="35:35" x14ac:dyDescent="0.2">
      <c r="AI227" s="2"/>
    </row>
    <row r="228" spans="35:35" x14ac:dyDescent="0.2">
      <c r="AI228" s="2"/>
    </row>
    <row r="229" spans="35:35" x14ac:dyDescent="0.2">
      <c r="AI229" s="2"/>
    </row>
    <row r="230" spans="35:35" x14ac:dyDescent="0.2">
      <c r="AI230" s="2"/>
    </row>
    <row r="231" spans="35:35" x14ac:dyDescent="0.2">
      <c r="AI231" s="2"/>
    </row>
    <row r="232" spans="35:35" x14ac:dyDescent="0.2">
      <c r="AI232" s="2"/>
    </row>
    <row r="233" spans="35:35" x14ac:dyDescent="0.2">
      <c r="AI233" s="2"/>
    </row>
    <row r="234" spans="35:35" x14ac:dyDescent="0.2">
      <c r="AI234" s="2"/>
    </row>
    <row r="235" spans="35:35" x14ac:dyDescent="0.2">
      <c r="AI235" s="2"/>
    </row>
    <row r="236" spans="35:35" x14ac:dyDescent="0.2">
      <c r="AI236" s="2"/>
    </row>
    <row r="237" spans="35:35" x14ac:dyDescent="0.2">
      <c r="AI237" s="2"/>
    </row>
    <row r="238" spans="35:35" x14ac:dyDescent="0.2">
      <c r="AI238" s="2"/>
    </row>
    <row r="239" spans="35:35" x14ac:dyDescent="0.2">
      <c r="AI239" s="2"/>
    </row>
    <row r="240" spans="35:35" x14ac:dyDescent="0.2">
      <c r="AI240" s="2"/>
    </row>
    <row r="241" spans="35:35" x14ac:dyDescent="0.2">
      <c r="AI241" s="2"/>
    </row>
    <row r="242" spans="35:35" x14ac:dyDescent="0.2">
      <c r="AI242" s="2"/>
    </row>
    <row r="243" spans="35:35" x14ac:dyDescent="0.2">
      <c r="AI243" s="2"/>
    </row>
    <row r="244" spans="35:35" x14ac:dyDescent="0.2">
      <c r="AI244" s="2"/>
    </row>
    <row r="245" spans="35:35" x14ac:dyDescent="0.2">
      <c r="AI245" s="2"/>
    </row>
    <row r="246" spans="35:35" x14ac:dyDescent="0.2">
      <c r="AI246" s="2"/>
    </row>
    <row r="247" spans="35:35" x14ac:dyDescent="0.2">
      <c r="AI247" s="2"/>
    </row>
    <row r="248" spans="35:35" x14ac:dyDescent="0.2">
      <c r="AI248" s="2"/>
    </row>
    <row r="249" spans="35:35" x14ac:dyDescent="0.2">
      <c r="AI249" s="2"/>
    </row>
    <row r="250" spans="35:35" x14ac:dyDescent="0.2">
      <c r="AI250" s="2"/>
    </row>
    <row r="251" spans="35:35" x14ac:dyDescent="0.2">
      <c r="AI251" s="2"/>
    </row>
    <row r="252" spans="35:35" x14ac:dyDescent="0.2">
      <c r="AI252" s="2"/>
    </row>
    <row r="253" spans="35:35" x14ac:dyDescent="0.2">
      <c r="AI253" s="2"/>
    </row>
    <row r="254" spans="35:35" x14ac:dyDescent="0.2">
      <c r="AI254" s="2"/>
    </row>
    <row r="255" spans="35:35" x14ac:dyDescent="0.2">
      <c r="AI255" s="2"/>
    </row>
    <row r="256" spans="35:35" x14ac:dyDescent="0.2">
      <c r="AI256" s="2"/>
    </row>
    <row r="257" spans="35:35" x14ac:dyDescent="0.2">
      <c r="AI257" s="2"/>
    </row>
    <row r="258" spans="35:35" x14ac:dyDescent="0.2">
      <c r="AI258" s="2"/>
    </row>
    <row r="259" spans="35:35" x14ac:dyDescent="0.2">
      <c r="AI259" s="2"/>
    </row>
    <row r="260" spans="35:35" x14ac:dyDescent="0.2">
      <c r="AI260" s="2"/>
    </row>
    <row r="261" spans="35:35" x14ac:dyDescent="0.2">
      <c r="AI261" s="2"/>
    </row>
    <row r="262" spans="35:35" x14ac:dyDescent="0.2">
      <c r="AI262" s="2"/>
    </row>
    <row r="263" spans="35:35" x14ac:dyDescent="0.2">
      <c r="AI263" s="2"/>
    </row>
    <row r="264" spans="35:35" x14ac:dyDescent="0.2">
      <c r="AI264" s="2"/>
    </row>
    <row r="265" spans="35:35" x14ac:dyDescent="0.2">
      <c r="AI265" s="2"/>
    </row>
    <row r="266" spans="35:35" x14ac:dyDescent="0.2">
      <c r="AI266" s="2"/>
    </row>
    <row r="267" spans="35:35" x14ac:dyDescent="0.2">
      <c r="AI267" s="2"/>
    </row>
    <row r="268" spans="35:35" x14ac:dyDescent="0.2">
      <c r="AI268" s="2"/>
    </row>
    <row r="269" spans="35:35" x14ac:dyDescent="0.2">
      <c r="AI269" s="2"/>
    </row>
    <row r="270" spans="35:35" x14ac:dyDescent="0.2">
      <c r="AI270" s="2"/>
    </row>
    <row r="271" spans="35:35" x14ac:dyDescent="0.2">
      <c r="AI271" s="2"/>
    </row>
    <row r="272" spans="35:35" x14ac:dyDescent="0.2">
      <c r="AI272" s="2"/>
    </row>
    <row r="273" spans="35:35" x14ac:dyDescent="0.2">
      <c r="AI273" s="2"/>
    </row>
    <row r="274" spans="35:35" x14ac:dyDescent="0.2">
      <c r="AI274" s="2"/>
    </row>
    <row r="275" spans="35:35" x14ac:dyDescent="0.2">
      <c r="AI275" s="2"/>
    </row>
    <row r="276" spans="35:35" x14ac:dyDescent="0.2">
      <c r="AI276" s="2"/>
    </row>
    <row r="277" spans="35:35" x14ac:dyDescent="0.2">
      <c r="AI277" s="2"/>
    </row>
    <row r="278" spans="35:35" x14ac:dyDescent="0.2">
      <c r="AI278" s="2"/>
    </row>
    <row r="279" spans="35:35" x14ac:dyDescent="0.2">
      <c r="AI279" s="2"/>
    </row>
    <row r="280" spans="35:35" x14ac:dyDescent="0.2">
      <c r="AI280" s="2"/>
    </row>
    <row r="281" spans="35:35" x14ac:dyDescent="0.2">
      <c r="AI281" s="2"/>
    </row>
    <row r="282" spans="35:35" x14ac:dyDescent="0.2">
      <c r="AI282" s="2"/>
    </row>
    <row r="283" spans="35:35" x14ac:dyDescent="0.2">
      <c r="AI283" s="2"/>
    </row>
    <row r="284" spans="35:35" x14ac:dyDescent="0.2">
      <c r="AI284" s="2"/>
    </row>
    <row r="285" spans="35:35" x14ac:dyDescent="0.2">
      <c r="AI285" s="2"/>
    </row>
    <row r="286" spans="35:35" x14ac:dyDescent="0.2">
      <c r="AI286" s="2"/>
    </row>
    <row r="287" spans="35:35" x14ac:dyDescent="0.2">
      <c r="AI287" s="2"/>
    </row>
    <row r="288" spans="35:35" x14ac:dyDescent="0.2">
      <c r="AI288" s="2"/>
    </row>
    <row r="289" spans="35:35" x14ac:dyDescent="0.2">
      <c r="AI289" s="2"/>
    </row>
    <row r="290" spans="35:35" x14ac:dyDescent="0.2">
      <c r="AI290" s="2"/>
    </row>
    <row r="291" spans="35:35" x14ac:dyDescent="0.2">
      <c r="AI291" s="2"/>
    </row>
    <row r="292" spans="35:35" x14ac:dyDescent="0.2">
      <c r="AI292" s="2"/>
    </row>
    <row r="293" spans="35:35" x14ac:dyDescent="0.2">
      <c r="AI293" s="2"/>
    </row>
    <row r="294" spans="35:35" x14ac:dyDescent="0.2">
      <c r="AI294" s="2"/>
    </row>
    <row r="295" spans="35:35" x14ac:dyDescent="0.2">
      <c r="AI295" s="2"/>
    </row>
    <row r="296" spans="35:35" x14ac:dyDescent="0.2">
      <c r="AI296" s="2"/>
    </row>
    <row r="297" spans="35:35" x14ac:dyDescent="0.2">
      <c r="AI297" s="2"/>
    </row>
    <row r="298" spans="35:35" x14ac:dyDescent="0.2">
      <c r="AI298" s="2"/>
    </row>
    <row r="299" spans="35:35" x14ac:dyDescent="0.2">
      <c r="AI299" s="2"/>
    </row>
    <row r="300" spans="35:35" x14ac:dyDescent="0.2">
      <c r="AI300" s="2"/>
    </row>
    <row r="301" spans="35:35" x14ac:dyDescent="0.2">
      <c r="AI301" s="2"/>
    </row>
    <row r="302" spans="35:35" x14ac:dyDescent="0.2">
      <c r="AI302" s="2"/>
    </row>
    <row r="303" spans="35:35" x14ac:dyDescent="0.2">
      <c r="AI303" s="2"/>
    </row>
    <row r="304" spans="35:35" x14ac:dyDescent="0.2">
      <c r="AI304" s="2"/>
    </row>
    <row r="305" spans="35:35" x14ac:dyDescent="0.2">
      <c r="AI305" s="2"/>
    </row>
    <row r="306" spans="35:35" x14ac:dyDescent="0.2">
      <c r="AI306" s="2"/>
    </row>
    <row r="307" spans="35:35" x14ac:dyDescent="0.2">
      <c r="AI307" s="2"/>
    </row>
    <row r="308" spans="35:35" x14ac:dyDescent="0.2">
      <c r="AI308" s="2"/>
    </row>
    <row r="309" spans="35:35" x14ac:dyDescent="0.2">
      <c r="AI309" s="2"/>
    </row>
    <row r="310" spans="35:35" x14ac:dyDescent="0.2">
      <c r="AI310" s="2"/>
    </row>
    <row r="311" spans="35:35" x14ac:dyDescent="0.2">
      <c r="AI311" s="2"/>
    </row>
    <row r="312" spans="35:35" x14ac:dyDescent="0.2">
      <c r="AI312" s="2"/>
    </row>
    <row r="313" spans="35:35" x14ac:dyDescent="0.2">
      <c r="AI313" s="2"/>
    </row>
    <row r="314" spans="35:35" x14ac:dyDescent="0.2">
      <c r="AI314" s="2"/>
    </row>
    <row r="315" spans="35:35" x14ac:dyDescent="0.2">
      <c r="AI315" s="2"/>
    </row>
    <row r="316" spans="35:35" x14ac:dyDescent="0.2">
      <c r="AI316" s="2"/>
    </row>
    <row r="317" spans="35:35" x14ac:dyDescent="0.2">
      <c r="AI317" s="2"/>
    </row>
    <row r="318" spans="35:35" x14ac:dyDescent="0.2">
      <c r="AI318" s="2"/>
    </row>
    <row r="319" spans="35:35" x14ac:dyDescent="0.2">
      <c r="AI319" s="2"/>
    </row>
    <row r="320" spans="35:35" x14ac:dyDescent="0.2">
      <c r="AI320" s="2"/>
    </row>
    <row r="321" spans="35:35" x14ac:dyDescent="0.2">
      <c r="AI321" s="2"/>
    </row>
    <row r="322" spans="35:35" x14ac:dyDescent="0.2">
      <c r="AI322" s="2"/>
    </row>
    <row r="323" spans="35:35" x14ac:dyDescent="0.2">
      <c r="AI323" s="2"/>
    </row>
    <row r="324" spans="35:35" x14ac:dyDescent="0.2">
      <c r="AI324" s="2"/>
    </row>
    <row r="325" spans="35:35" x14ac:dyDescent="0.2">
      <c r="AI325" s="2"/>
    </row>
    <row r="326" spans="35:35" x14ac:dyDescent="0.2">
      <c r="AI326" s="2"/>
    </row>
    <row r="327" spans="35:35" x14ac:dyDescent="0.2">
      <c r="AI327" s="2"/>
    </row>
    <row r="328" spans="35:35" x14ac:dyDescent="0.2">
      <c r="AI328" s="2"/>
    </row>
    <row r="329" spans="35:35" x14ac:dyDescent="0.2">
      <c r="AI329" s="2"/>
    </row>
    <row r="330" spans="35:35" x14ac:dyDescent="0.2">
      <c r="AI330" s="2"/>
    </row>
    <row r="331" spans="35:35" x14ac:dyDescent="0.2">
      <c r="AI331" s="2"/>
    </row>
    <row r="332" spans="35:35" x14ac:dyDescent="0.2">
      <c r="AI332" s="2"/>
    </row>
    <row r="333" spans="35:35" x14ac:dyDescent="0.2">
      <c r="AI333" s="2"/>
    </row>
    <row r="334" spans="35:35" x14ac:dyDescent="0.2">
      <c r="AI334" s="2"/>
    </row>
    <row r="335" spans="35:35" x14ac:dyDescent="0.2">
      <c r="AI335" s="2"/>
    </row>
    <row r="336" spans="35:35" x14ac:dyDescent="0.2">
      <c r="AI336" s="2"/>
    </row>
    <row r="337" spans="35:35" x14ac:dyDescent="0.2">
      <c r="AI337" s="2"/>
    </row>
    <row r="338" spans="35:35" x14ac:dyDescent="0.2">
      <c r="AI338" s="2"/>
    </row>
    <row r="339" spans="35:35" x14ac:dyDescent="0.2">
      <c r="AI339" s="2"/>
    </row>
    <row r="340" spans="35:35" x14ac:dyDescent="0.2">
      <c r="AI340" s="2"/>
    </row>
    <row r="341" spans="35:35" x14ac:dyDescent="0.2">
      <c r="AI341" s="2"/>
    </row>
    <row r="342" spans="35:35" x14ac:dyDescent="0.2">
      <c r="AI342" s="2"/>
    </row>
    <row r="343" spans="35:35" x14ac:dyDescent="0.2">
      <c r="AI343" s="2"/>
    </row>
    <row r="344" spans="35:35" x14ac:dyDescent="0.2">
      <c r="AI344" s="2"/>
    </row>
    <row r="345" spans="35:35" x14ac:dyDescent="0.2">
      <c r="AI345" s="2"/>
    </row>
    <row r="346" spans="35:35" x14ac:dyDescent="0.2">
      <c r="AI346" s="2"/>
    </row>
    <row r="347" spans="35:35" x14ac:dyDescent="0.2">
      <c r="AI347" s="2"/>
    </row>
    <row r="348" spans="35:35" x14ac:dyDescent="0.2">
      <c r="AI348" s="2"/>
    </row>
    <row r="349" spans="35:35" x14ac:dyDescent="0.2">
      <c r="AI349" s="2"/>
    </row>
    <row r="350" spans="35:35" x14ac:dyDescent="0.2">
      <c r="AI350" s="2"/>
    </row>
    <row r="351" spans="35:35" x14ac:dyDescent="0.2">
      <c r="AI351" s="2"/>
    </row>
    <row r="352" spans="35:35" x14ac:dyDescent="0.2">
      <c r="AI352" s="2"/>
    </row>
    <row r="353" spans="35:35" x14ac:dyDescent="0.2">
      <c r="AI353" s="2"/>
    </row>
    <row r="354" spans="35:35" x14ac:dyDescent="0.2">
      <c r="AI354" s="2"/>
    </row>
    <row r="355" spans="35:35" x14ac:dyDescent="0.2">
      <c r="AI355" s="2"/>
    </row>
    <row r="356" spans="35:35" x14ac:dyDescent="0.2">
      <c r="AI356" s="2"/>
    </row>
    <row r="357" spans="35:35" x14ac:dyDescent="0.2">
      <c r="AI357" s="2"/>
    </row>
    <row r="358" spans="35:35" x14ac:dyDescent="0.2">
      <c r="AI358" s="2"/>
    </row>
    <row r="359" spans="35:35" x14ac:dyDescent="0.2">
      <c r="AI359" s="2"/>
    </row>
    <row r="360" spans="35:35" x14ac:dyDescent="0.2">
      <c r="AI360" s="2"/>
    </row>
    <row r="361" spans="35:35" x14ac:dyDescent="0.2">
      <c r="AI361" s="2"/>
    </row>
    <row r="362" spans="35:35" x14ac:dyDescent="0.2">
      <c r="AI362" s="2"/>
    </row>
    <row r="363" spans="35:35" x14ac:dyDescent="0.2">
      <c r="AI363" s="2"/>
    </row>
    <row r="364" spans="35:35" x14ac:dyDescent="0.2">
      <c r="AI364" s="2"/>
    </row>
    <row r="365" spans="35:35" x14ac:dyDescent="0.2">
      <c r="AI365" s="2"/>
    </row>
    <row r="366" spans="35:35" x14ac:dyDescent="0.2">
      <c r="AI366" s="2"/>
    </row>
    <row r="367" spans="35:35" x14ac:dyDescent="0.2">
      <c r="AI367" s="2"/>
    </row>
    <row r="368" spans="35:35" x14ac:dyDescent="0.2">
      <c r="AI368" s="2"/>
    </row>
    <row r="369" spans="35:35" x14ac:dyDescent="0.2">
      <c r="AI369" s="2"/>
    </row>
    <row r="370" spans="35:35" x14ac:dyDescent="0.2">
      <c r="AI370" s="2"/>
    </row>
    <row r="371" spans="35:35" x14ac:dyDescent="0.2">
      <c r="AI371" s="2"/>
    </row>
    <row r="372" spans="35:35" x14ac:dyDescent="0.2">
      <c r="AI372" s="2"/>
    </row>
    <row r="373" spans="35:35" x14ac:dyDescent="0.2">
      <c r="AI373" s="2"/>
    </row>
    <row r="374" spans="35:35" x14ac:dyDescent="0.2">
      <c r="AI374" s="2"/>
    </row>
    <row r="375" spans="35:35" x14ac:dyDescent="0.2">
      <c r="AI375" s="2"/>
    </row>
    <row r="376" spans="35:35" x14ac:dyDescent="0.2">
      <c r="AI376" s="2"/>
    </row>
    <row r="377" spans="35:35" x14ac:dyDescent="0.2">
      <c r="AI377" s="2"/>
    </row>
    <row r="378" spans="35:35" x14ac:dyDescent="0.2">
      <c r="AI378" s="2"/>
    </row>
    <row r="379" spans="35:35" x14ac:dyDescent="0.2">
      <c r="AI379" s="2"/>
    </row>
    <row r="380" spans="35:35" x14ac:dyDescent="0.2">
      <c r="AI380" s="2"/>
    </row>
    <row r="381" spans="35:35" x14ac:dyDescent="0.2">
      <c r="AI381" s="2"/>
    </row>
    <row r="382" spans="35:35" x14ac:dyDescent="0.2">
      <c r="AI382" s="2"/>
    </row>
    <row r="383" spans="35:35" x14ac:dyDescent="0.2">
      <c r="AI383" s="2"/>
    </row>
    <row r="384" spans="35:35" x14ac:dyDescent="0.2">
      <c r="AI384" s="2"/>
    </row>
    <row r="385" spans="35:35" x14ac:dyDescent="0.2">
      <c r="AI385" s="2"/>
    </row>
    <row r="386" spans="35:35" x14ac:dyDescent="0.2">
      <c r="AI386" s="2"/>
    </row>
    <row r="387" spans="35:35" x14ac:dyDescent="0.2">
      <c r="AI387" s="2"/>
    </row>
    <row r="388" spans="35:35" x14ac:dyDescent="0.2">
      <c r="AI388" s="2"/>
    </row>
    <row r="389" spans="35:35" x14ac:dyDescent="0.2">
      <c r="AI389" s="2"/>
    </row>
    <row r="390" spans="35:35" x14ac:dyDescent="0.2">
      <c r="AI390" s="2"/>
    </row>
    <row r="391" spans="35:35" x14ac:dyDescent="0.2">
      <c r="AI391" s="2"/>
    </row>
    <row r="392" spans="35:35" x14ac:dyDescent="0.2">
      <c r="AI392" s="2"/>
    </row>
    <row r="393" spans="35:35" x14ac:dyDescent="0.2">
      <c r="AI393" s="2"/>
    </row>
    <row r="394" spans="35:35" x14ac:dyDescent="0.2">
      <c r="AI394" s="2"/>
    </row>
    <row r="395" spans="35:35" x14ac:dyDescent="0.2">
      <c r="AI395" s="2"/>
    </row>
    <row r="396" spans="35:35" x14ac:dyDescent="0.2">
      <c r="AI396" s="2"/>
    </row>
    <row r="397" spans="35:35" x14ac:dyDescent="0.2">
      <c r="AI397" s="2"/>
    </row>
    <row r="398" spans="35:35" x14ac:dyDescent="0.2">
      <c r="AI398" s="2"/>
    </row>
    <row r="399" spans="35:35" x14ac:dyDescent="0.2">
      <c r="AI399" s="2"/>
    </row>
    <row r="400" spans="35:35" x14ac:dyDescent="0.2">
      <c r="AI400" s="2"/>
    </row>
    <row r="401" spans="35:35" x14ac:dyDescent="0.2">
      <c r="AI401" s="2"/>
    </row>
    <row r="402" spans="35:35" x14ac:dyDescent="0.2">
      <c r="AI402" s="2"/>
    </row>
    <row r="403" spans="35:35" x14ac:dyDescent="0.2">
      <c r="AI403" s="2"/>
    </row>
    <row r="404" spans="35:35" x14ac:dyDescent="0.2">
      <c r="AI404" s="2"/>
    </row>
    <row r="405" spans="35:35" x14ac:dyDescent="0.2">
      <c r="AI405" s="2"/>
    </row>
    <row r="406" spans="35:35" x14ac:dyDescent="0.2">
      <c r="AI406" s="2"/>
    </row>
    <row r="407" spans="35:35" x14ac:dyDescent="0.2">
      <c r="AI407" s="2"/>
    </row>
    <row r="408" spans="35:35" x14ac:dyDescent="0.2">
      <c r="AI408" s="2"/>
    </row>
    <row r="409" spans="35:35" x14ac:dyDescent="0.2">
      <c r="AI409" s="2"/>
    </row>
    <row r="410" spans="35:35" x14ac:dyDescent="0.2">
      <c r="AI410" s="2"/>
    </row>
    <row r="411" spans="35:35" x14ac:dyDescent="0.2">
      <c r="AI411" s="2"/>
    </row>
    <row r="412" spans="35:35" x14ac:dyDescent="0.2">
      <c r="AI412" s="2"/>
    </row>
    <row r="413" spans="35:35" x14ac:dyDescent="0.2">
      <c r="AI413" s="2"/>
    </row>
    <row r="414" spans="35:35" x14ac:dyDescent="0.2">
      <c r="AI414" s="2"/>
    </row>
    <row r="415" spans="35:35" x14ac:dyDescent="0.2">
      <c r="AI415" s="2"/>
    </row>
    <row r="416" spans="35:35" x14ac:dyDescent="0.2">
      <c r="AI416" s="2"/>
    </row>
    <row r="417" spans="35:35" x14ac:dyDescent="0.2">
      <c r="AI417" s="2"/>
    </row>
    <row r="418" spans="35:35" x14ac:dyDescent="0.2">
      <c r="AI418" s="2"/>
    </row>
    <row r="419" spans="35:35" x14ac:dyDescent="0.2">
      <c r="AI419" s="2"/>
    </row>
    <row r="420" spans="35:35" x14ac:dyDescent="0.2">
      <c r="AI420" s="2"/>
    </row>
    <row r="421" spans="35:35" x14ac:dyDescent="0.2">
      <c r="AI421" s="2"/>
    </row>
    <row r="422" spans="35:35" x14ac:dyDescent="0.2">
      <c r="AI422" s="2"/>
    </row>
    <row r="423" spans="35:35" x14ac:dyDescent="0.2">
      <c r="AI423" s="2"/>
    </row>
    <row r="424" spans="35:35" x14ac:dyDescent="0.2">
      <c r="AI424" s="2"/>
    </row>
    <row r="425" spans="35:35" x14ac:dyDescent="0.2">
      <c r="AI425" s="2"/>
    </row>
    <row r="426" spans="35:35" x14ac:dyDescent="0.2">
      <c r="AI426" s="2"/>
    </row>
    <row r="427" spans="35:35" x14ac:dyDescent="0.2">
      <c r="AI427" s="2"/>
    </row>
    <row r="428" spans="35:35" x14ac:dyDescent="0.2">
      <c r="AI428" s="2"/>
    </row>
    <row r="429" spans="35:35" x14ac:dyDescent="0.2">
      <c r="AI429" s="2"/>
    </row>
    <row r="430" spans="35:35" x14ac:dyDescent="0.2">
      <c r="AI430" s="2"/>
    </row>
    <row r="431" spans="35:35" x14ac:dyDescent="0.2">
      <c r="AI431" s="2"/>
    </row>
    <row r="432" spans="35:35" x14ac:dyDescent="0.2">
      <c r="AI432" s="2"/>
    </row>
    <row r="433" spans="35:35" x14ac:dyDescent="0.2">
      <c r="AI433" s="2"/>
    </row>
    <row r="434" spans="35:35" x14ac:dyDescent="0.2">
      <c r="AI434" s="2"/>
    </row>
    <row r="435" spans="35:35" x14ac:dyDescent="0.2">
      <c r="AI435" s="2"/>
    </row>
    <row r="436" spans="35:35" x14ac:dyDescent="0.2">
      <c r="AI436" s="2"/>
    </row>
    <row r="437" spans="35:35" x14ac:dyDescent="0.2">
      <c r="AI437" s="2"/>
    </row>
    <row r="438" spans="35:35" x14ac:dyDescent="0.2">
      <c r="AI438" s="2"/>
    </row>
    <row r="439" spans="35:35" x14ac:dyDescent="0.2">
      <c r="AI439" s="2"/>
    </row>
    <row r="440" spans="35:35" x14ac:dyDescent="0.2">
      <c r="AI440" s="2"/>
    </row>
    <row r="441" spans="35:35" x14ac:dyDescent="0.2">
      <c r="AI441" s="2"/>
    </row>
    <row r="442" spans="35:35" x14ac:dyDescent="0.2">
      <c r="AI442" s="2"/>
    </row>
    <row r="443" spans="35:35" x14ac:dyDescent="0.2">
      <c r="AI443" s="2"/>
    </row>
    <row r="444" spans="35:35" x14ac:dyDescent="0.2">
      <c r="AI444" s="2"/>
    </row>
    <row r="445" spans="35:35" x14ac:dyDescent="0.2">
      <c r="AI445" s="2"/>
    </row>
    <row r="446" spans="35:35" x14ac:dyDescent="0.2">
      <c r="AI446" s="2"/>
    </row>
    <row r="447" spans="35:35" x14ac:dyDescent="0.2">
      <c r="AI447" s="2"/>
    </row>
    <row r="448" spans="35:35" x14ac:dyDescent="0.2">
      <c r="AI448" s="2"/>
    </row>
    <row r="449" spans="35:35" x14ac:dyDescent="0.2">
      <c r="AI449" s="2"/>
    </row>
    <row r="450" spans="35:35" x14ac:dyDescent="0.2">
      <c r="AI450" s="2"/>
    </row>
    <row r="451" spans="35:35" x14ac:dyDescent="0.2">
      <c r="AI451" s="2"/>
    </row>
    <row r="452" spans="35:35" x14ac:dyDescent="0.2">
      <c r="AI452" s="2"/>
    </row>
    <row r="453" spans="35:35" x14ac:dyDescent="0.2">
      <c r="AI453" s="2"/>
    </row>
    <row r="454" spans="35:35" x14ac:dyDescent="0.2">
      <c r="AI454" s="2"/>
    </row>
    <row r="455" spans="35:35" x14ac:dyDescent="0.2">
      <c r="AI455" s="2"/>
    </row>
    <row r="456" spans="35:35" x14ac:dyDescent="0.2">
      <c r="AI456" s="2"/>
    </row>
    <row r="457" spans="35:35" x14ac:dyDescent="0.2">
      <c r="AI457" s="2"/>
    </row>
    <row r="458" spans="35:35" x14ac:dyDescent="0.2">
      <c r="AI458" s="2"/>
    </row>
    <row r="459" spans="35:35" x14ac:dyDescent="0.2">
      <c r="AI459" s="2"/>
    </row>
    <row r="460" spans="35:35" x14ac:dyDescent="0.2">
      <c r="AI460" s="2"/>
    </row>
    <row r="461" spans="35:35" x14ac:dyDescent="0.2">
      <c r="AI461" s="2"/>
    </row>
    <row r="462" spans="35:35" x14ac:dyDescent="0.2">
      <c r="AI462" s="2"/>
    </row>
    <row r="463" spans="35:35" x14ac:dyDescent="0.2">
      <c r="AI463" s="2"/>
    </row>
    <row r="464" spans="35:35" x14ac:dyDescent="0.2">
      <c r="AI464" s="2"/>
    </row>
    <row r="465" spans="35:35" x14ac:dyDescent="0.2">
      <c r="AI465" s="2"/>
    </row>
    <row r="466" spans="35:35" x14ac:dyDescent="0.2">
      <c r="AI466" s="2"/>
    </row>
    <row r="467" spans="35:35" x14ac:dyDescent="0.2">
      <c r="AI467" s="2"/>
    </row>
    <row r="468" spans="35:35" x14ac:dyDescent="0.2">
      <c r="AI468" s="2"/>
    </row>
    <row r="469" spans="35:35" x14ac:dyDescent="0.2">
      <c r="AI469" s="2"/>
    </row>
    <row r="470" spans="35:35" x14ac:dyDescent="0.2">
      <c r="AI470" s="2"/>
    </row>
    <row r="471" spans="35:35" x14ac:dyDescent="0.2">
      <c r="AI471" s="2"/>
    </row>
    <row r="472" spans="35:35" x14ac:dyDescent="0.2">
      <c r="AI472" s="2"/>
    </row>
    <row r="473" spans="35:35" x14ac:dyDescent="0.2">
      <c r="AI473" s="2"/>
    </row>
    <row r="474" spans="35:35" x14ac:dyDescent="0.2">
      <c r="AI474" s="2"/>
    </row>
    <row r="475" spans="35:35" x14ac:dyDescent="0.2">
      <c r="AI475" s="2"/>
    </row>
    <row r="476" spans="35:35" x14ac:dyDescent="0.2">
      <c r="AI476" s="2"/>
    </row>
    <row r="477" spans="35:35" x14ac:dyDescent="0.2">
      <c r="AI477" s="2"/>
    </row>
    <row r="478" spans="35:35" x14ac:dyDescent="0.2">
      <c r="AI478" s="2"/>
    </row>
    <row r="479" spans="35:35" x14ac:dyDescent="0.2">
      <c r="AI479" s="2"/>
    </row>
    <row r="480" spans="35:35" x14ac:dyDescent="0.2">
      <c r="AI480" s="2"/>
    </row>
    <row r="481" spans="35:35" x14ac:dyDescent="0.2">
      <c r="AI481" s="2"/>
    </row>
    <row r="482" spans="35:35" x14ac:dyDescent="0.2">
      <c r="AI482" s="2"/>
    </row>
    <row r="483" spans="35:35" x14ac:dyDescent="0.2">
      <c r="AI483" s="2"/>
    </row>
    <row r="484" spans="35:35" x14ac:dyDescent="0.2">
      <c r="AI484" s="2"/>
    </row>
    <row r="485" spans="35:35" x14ac:dyDescent="0.2">
      <c r="AI485" s="2"/>
    </row>
    <row r="486" spans="35:35" x14ac:dyDescent="0.2">
      <c r="AI486" s="2"/>
    </row>
    <row r="487" spans="35:35" x14ac:dyDescent="0.2">
      <c r="AI487" s="2"/>
    </row>
    <row r="488" spans="35:35" x14ac:dyDescent="0.2">
      <c r="AI488" s="2"/>
    </row>
    <row r="489" spans="35:35" x14ac:dyDescent="0.2">
      <c r="AI489" s="2"/>
    </row>
    <row r="490" spans="35:35" x14ac:dyDescent="0.2">
      <c r="AI490" s="2"/>
    </row>
    <row r="491" spans="35:35" x14ac:dyDescent="0.2">
      <c r="AI491" s="2"/>
    </row>
    <row r="492" spans="35:35" x14ac:dyDescent="0.2">
      <c r="AI492" s="2"/>
    </row>
    <row r="493" spans="35:35" x14ac:dyDescent="0.2">
      <c r="AI493" s="2"/>
    </row>
    <row r="494" spans="35:35" x14ac:dyDescent="0.2">
      <c r="AI494" s="2"/>
    </row>
    <row r="495" spans="35:35" x14ac:dyDescent="0.2">
      <c r="AI495" s="2"/>
    </row>
    <row r="496" spans="35:35" x14ac:dyDescent="0.2">
      <c r="AI496" s="2"/>
    </row>
    <row r="497" spans="35:35" x14ac:dyDescent="0.2">
      <c r="AI497" s="2"/>
    </row>
    <row r="498" spans="35:35" x14ac:dyDescent="0.2">
      <c r="AI498" s="2"/>
    </row>
    <row r="499" spans="35:35" x14ac:dyDescent="0.2">
      <c r="AI499" s="2"/>
    </row>
    <row r="500" spans="35:35" x14ac:dyDescent="0.2">
      <c r="AI500" s="2"/>
    </row>
    <row r="501" spans="35:35" x14ac:dyDescent="0.2">
      <c r="AI501" s="2"/>
    </row>
    <row r="502" spans="35:35" x14ac:dyDescent="0.2">
      <c r="AI502" s="2"/>
    </row>
    <row r="503" spans="35:35" x14ac:dyDescent="0.2">
      <c r="AI503" s="2"/>
    </row>
    <row r="504" spans="35:35" x14ac:dyDescent="0.2">
      <c r="AI504" s="2"/>
    </row>
    <row r="505" spans="35:35" x14ac:dyDescent="0.2">
      <c r="AI505" s="2"/>
    </row>
    <row r="506" spans="35:35" x14ac:dyDescent="0.2">
      <c r="AI506" s="2"/>
    </row>
    <row r="507" spans="35:35" x14ac:dyDescent="0.2">
      <c r="AI507" s="2"/>
    </row>
    <row r="508" spans="35:35" x14ac:dyDescent="0.2">
      <c r="AI508" s="2"/>
    </row>
    <row r="509" spans="35:35" x14ac:dyDescent="0.2">
      <c r="AI509" s="2"/>
    </row>
    <row r="510" spans="35:35" x14ac:dyDescent="0.2">
      <c r="AI510" s="2"/>
    </row>
    <row r="511" spans="35:35" x14ac:dyDescent="0.2">
      <c r="AI511" s="2"/>
    </row>
    <row r="512" spans="35:35" x14ac:dyDescent="0.2">
      <c r="AI512" s="2"/>
    </row>
    <row r="513" spans="35:35" x14ac:dyDescent="0.2">
      <c r="AI513" s="2"/>
    </row>
    <row r="514" spans="35:35" x14ac:dyDescent="0.2">
      <c r="AI514" s="2"/>
    </row>
    <row r="515" spans="35:35" x14ac:dyDescent="0.2">
      <c r="AI515" s="2"/>
    </row>
    <row r="516" spans="35:35" x14ac:dyDescent="0.2">
      <c r="AI516" s="2"/>
    </row>
    <row r="517" spans="35:35" x14ac:dyDescent="0.2">
      <c r="AI517" s="2"/>
    </row>
    <row r="518" spans="35:35" x14ac:dyDescent="0.2">
      <c r="AI518" s="2"/>
    </row>
    <row r="519" spans="35:35" x14ac:dyDescent="0.2">
      <c r="AI519" s="2"/>
    </row>
    <row r="520" spans="35:35" x14ac:dyDescent="0.2">
      <c r="AI520" s="2"/>
    </row>
    <row r="521" spans="35:35" x14ac:dyDescent="0.2">
      <c r="AI521" s="2"/>
    </row>
    <row r="522" spans="35:35" x14ac:dyDescent="0.2">
      <c r="AI522" s="2"/>
    </row>
    <row r="523" spans="35:35" x14ac:dyDescent="0.2">
      <c r="AI523" s="2"/>
    </row>
    <row r="524" spans="35:35" x14ac:dyDescent="0.2">
      <c r="AI524" s="2"/>
    </row>
    <row r="525" spans="35:35" x14ac:dyDescent="0.2">
      <c r="AI525" s="2"/>
    </row>
    <row r="526" spans="35:35" x14ac:dyDescent="0.2">
      <c r="AI526" s="2"/>
    </row>
    <row r="527" spans="35:35" x14ac:dyDescent="0.2">
      <c r="AI527" s="2"/>
    </row>
    <row r="528" spans="35:35" x14ac:dyDescent="0.2">
      <c r="AI528" s="2"/>
    </row>
    <row r="529" spans="35:35" x14ac:dyDescent="0.2">
      <c r="AI529" s="2"/>
    </row>
    <row r="530" spans="35:35" x14ac:dyDescent="0.2">
      <c r="AI530" s="2"/>
    </row>
    <row r="531" spans="35:35" x14ac:dyDescent="0.2">
      <c r="AI531" s="2"/>
    </row>
    <row r="532" spans="35:35" x14ac:dyDescent="0.2">
      <c r="AI532" s="2"/>
    </row>
    <row r="533" spans="35:35" x14ac:dyDescent="0.2">
      <c r="AI533" s="2"/>
    </row>
    <row r="534" spans="35:35" x14ac:dyDescent="0.2">
      <c r="AI534" s="2"/>
    </row>
    <row r="535" spans="35:35" x14ac:dyDescent="0.2">
      <c r="AI535" s="2"/>
    </row>
    <row r="536" spans="35:35" x14ac:dyDescent="0.2">
      <c r="AI536" s="2"/>
    </row>
    <row r="537" spans="35:35" x14ac:dyDescent="0.2">
      <c r="AI537" s="2"/>
    </row>
    <row r="538" spans="35:35" x14ac:dyDescent="0.2">
      <c r="AI538" s="2"/>
    </row>
    <row r="539" spans="35:35" x14ac:dyDescent="0.2">
      <c r="AI539" s="2"/>
    </row>
    <row r="540" spans="35:35" x14ac:dyDescent="0.2">
      <c r="AI540" s="2"/>
    </row>
    <row r="541" spans="35:35" x14ac:dyDescent="0.2">
      <c r="AI541" s="2"/>
    </row>
    <row r="542" spans="35:35" x14ac:dyDescent="0.2">
      <c r="AI542" s="2"/>
    </row>
    <row r="543" spans="35:35" x14ac:dyDescent="0.2">
      <c r="AI543" s="2"/>
    </row>
    <row r="544" spans="35:35" x14ac:dyDescent="0.2">
      <c r="AI544" s="2"/>
    </row>
    <row r="545" spans="35:35" x14ac:dyDescent="0.2">
      <c r="AI545" s="2"/>
    </row>
    <row r="546" spans="35:35" x14ac:dyDescent="0.2">
      <c r="AI546" s="2"/>
    </row>
  </sheetData>
  <mergeCells count="3">
    <mergeCell ref="G10:L10"/>
    <mergeCell ref="G13:L13"/>
    <mergeCell ref="G16:L16"/>
  </mergeCells>
  <phoneticPr fontId="4" type="noConversion"/>
  <printOptions horizontalCentered="1" verticalCentered="1"/>
  <pageMargins left="0.35433070866141736" right="0.19685039370078741" top="0.23622047244094491" bottom="0.19685039370078741" header="0.51181102362204722" footer="0.27559055118110237"/>
  <pageSetup paperSize="9" scale="69" orientation="landscape" horizontalDpi="4294967294" verticalDpi="360" r:id="rId1"/>
  <headerFooter alignWithMargins="0">
    <oddHeader xml:space="preserve">&amp;C&amp;"Arial,Gras"&amp;24TUNNEL  DU FREJUS
Convergences optiques sur scoth-light&amp;16
&amp;R
</oddHeader>
    <oddFooter xml:space="preserve">&amp;L&amp;"Courier New,Normal"&amp;8F COL
GASCOGNE GENIE CIVIL
BP 45
01580 IZERNORE
04 74 76 55 49&amp;R&amp;F
 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8348-F4E6-49B8-A863-457783762FAC}">
  <sheetPr codeName="Feuil2"/>
  <dimension ref="A1:G14"/>
  <sheetViews>
    <sheetView zoomScale="80" workbookViewId="0">
      <selection activeCell="A13" sqref="A13:D14"/>
    </sheetView>
  </sheetViews>
  <sheetFormatPr baseColWidth="10" defaultRowHeight="12.75" x14ac:dyDescent="0.2"/>
  <cols>
    <col min="1" max="16384" width="11.42578125" style="52"/>
  </cols>
  <sheetData>
    <row r="1" spans="1:7" x14ac:dyDescent="0.2">
      <c r="A1" s="52" t="s">
        <v>17</v>
      </c>
      <c r="B1" s="51" t="s">
        <v>1</v>
      </c>
      <c r="C1" s="51" t="s">
        <v>2</v>
      </c>
      <c r="D1" s="51" t="s">
        <v>4</v>
      </c>
      <c r="E1" s="51" t="s">
        <v>3</v>
      </c>
      <c r="F1" s="51" t="s">
        <v>5</v>
      </c>
      <c r="G1" s="51" t="s">
        <v>16</v>
      </c>
    </row>
    <row r="2" spans="1:7" s="53" customFormat="1" x14ac:dyDescent="0.2">
      <c r="A2" s="67">
        <f>tableau!A42</f>
        <v>40677</v>
      </c>
      <c r="D2" s="53">
        <f>tableau!L42</f>
        <v>0</v>
      </c>
    </row>
    <row r="3" spans="1:7" s="53" customFormat="1" x14ac:dyDescent="0.2">
      <c r="A3" s="67">
        <f>tableau!A43</f>
        <v>41300</v>
      </c>
      <c r="D3" s="53">
        <f>tableau!L43</f>
        <v>-0.2000000000007276</v>
      </c>
    </row>
    <row r="4" spans="1:7" x14ac:dyDescent="0.2">
      <c r="A4" s="67">
        <f>tableau!A44</f>
        <v>41957</v>
      </c>
      <c r="B4" s="53"/>
      <c r="C4" s="53"/>
      <c r="D4" s="53">
        <f>tableau!L44</f>
        <v>4.0124075179846841E-2</v>
      </c>
      <c r="E4" s="53"/>
      <c r="F4" s="53"/>
      <c r="G4" s="53"/>
    </row>
    <row r="5" spans="1:7" x14ac:dyDescent="0.2">
      <c r="A5" s="67">
        <f>tableau!A45</f>
        <v>42438</v>
      </c>
      <c r="B5" s="53"/>
      <c r="C5" s="53"/>
      <c r="D5" s="53">
        <f>tableau!L45</f>
        <v>-0.1000000000003638</v>
      </c>
      <c r="E5" s="53"/>
      <c r="F5" s="53"/>
      <c r="G5" s="53"/>
    </row>
    <row r="6" spans="1:7" x14ac:dyDescent="0.2">
      <c r="A6" s="67">
        <f>tableau!A46</f>
        <v>42817</v>
      </c>
      <c r="B6" s="53"/>
      <c r="C6" s="53"/>
      <c r="D6" s="53">
        <f>tableau!L46</f>
        <v>1.5999999999985448</v>
      </c>
      <c r="E6" s="53"/>
      <c r="F6" s="53"/>
      <c r="G6" s="53"/>
    </row>
    <row r="7" spans="1:7" x14ac:dyDescent="0.2">
      <c r="A7" s="67">
        <f>tableau!A47</f>
        <v>43117</v>
      </c>
      <c r="B7" s="53"/>
      <c r="C7" s="53"/>
      <c r="D7" s="53">
        <f>tableau!L47</f>
        <v>2.0232771923419932</v>
      </c>
      <c r="E7" s="53"/>
      <c r="F7" s="53"/>
      <c r="G7" s="53"/>
    </row>
    <row r="8" spans="1:7" x14ac:dyDescent="0.2">
      <c r="A8" s="67">
        <f>tableau!A48</f>
        <v>43523</v>
      </c>
      <c r="B8" s="53"/>
      <c r="C8" s="53"/>
      <c r="D8" s="53">
        <f>tableau!L48</f>
        <v>1.947191755845779</v>
      </c>
      <c r="E8" s="53"/>
      <c r="F8" s="53"/>
      <c r="G8" s="53"/>
    </row>
    <row r="9" spans="1:7" x14ac:dyDescent="0.2">
      <c r="A9" s="67">
        <f>tableau!A49</f>
        <v>43881</v>
      </c>
      <c r="B9" s="53"/>
      <c r="C9" s="53"/>
      <c r="D9" s="53">
        <f>tableau!L49</f>
        <v>2.0999999999985448</v>
      </c>
      <c r="E9" s="53"/>
      <c r="F9" s="53"/>
      <c r="G9" s="53"/>
    </row>
    <row r="10" spans="1:7" x14ac:dyDescent="0.2">
      <c r="A10" s="67">
        <f>tableau!A50</f>
        <v>44243</v>
      </c>
      <c r="B10" s="53"/>
      <c r="C10" s="53"/>
      <c r="D10" s="53">
        <f>tableau!L50</f>
        <v>1.9374997006998456</v>
      </c>
      <c r="E10" s="53"/>
      <c r="F10" s="53"/>
      <c r="G10" s="53"/>
    </row>
    <row r="11" spans="1:7" x14ac:dyDescent="0.2">
      <c r="A11" s="67">
        <f>tableau!A51</f>
        <v>44636</v>
      </c>
      <c r="B11" s="53"/>
      <c r="C11" s="53"/>
      <c r="D11" s="53">
        <f>tableau!L51</f>
        <v>2.2999999999992724</v>
      </c>
    </row>
    <row r="12" spans="1:7" x14ac:dyDescent="0.2">
      <c r="A12" s="67">
        <f>tableau!A52</f>
        <v>45031</v>
      </c>
      <c r="B12" s="53"/>
      <c r="C12" s="53"/>
      <c r="D12" s="53">
        <f>tableau!L52</f>
        <v>3.0999999999985448</v>
      </c>
    </row>
    <row r="13" spans="1:7" x14ac:dyDescent="0.2">
      <c r="A13" s="67">
        <f>tableau!A53</f>
        <v>45350</v>
      </c>
      <c r="B13" s="53"/>
      <c r="C13" s="53"/>
      <c r="D13" s="53">
        <f>tableau!L53</f>
        <v>3.5203333434183151</v>
      </c>
    </row>
    <row r="14" spans="1:7" x14ac:dyDescent="0.2">
      <c r="A14" s="67">
        <f>tableau!A54</f>
        <v>45761</v>
      </c>
      <c r="B14" s="53"/>
      <c r="C14" s="53"/>
      <c r="D14" s="53">
        <f>tableau!L54</f>
        <v>3.2999999999992724</v>
      </c>
    </row>
  </sheetData>
  <phoneticPr fontId="4" type="noConversion"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5FD0-A9AA-4AF6-80D4-A01E2AD4DB85}">
  <sheetPr codeName="Feuil3"/>
  <dimension ref="K16"/>
  <sheetViews>
    <sheetView tabSelected="1" workbookViewId="0">
      <selection activeCell="N10" sqref="N10"/>
    </sheetView>
  </sheetViews>
  <sheetFormatPr baseColWidth="10" defaultRowHeight="12.75" x14ac:dyDescent="0.2"/>
  <sheetData>
    <row r="16" spans="11:11" x14ac:dyDescent="0.2">
      <c r="K16" s="68"/>
    </row>
  </sheetData>
  <phoneticPr fontId="4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360" verticalDpi="36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</vt:lpstr>
      <vt:lpstr>recap graphique</vt:lpstr>
      <vt:lpstr>graph84mois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</dc:creator>
  <cp:lastModifiedBy>olivier boissard</cp:lastModifiedBy>
  <cp:lastPrinted>2013-03-14T10:13:44Z</cp:lastPrinted>
  <dcterms:created xsi:type="dcterms:W3CDTF">2001-01-10T09:05:43Z</dcterms:created>
  <dcterms:modified xsi:type="dcterms:W3CDTF">2025-07-09T12:43:44Z</dcterms:modified>
</cp:coreProperties>
</file>