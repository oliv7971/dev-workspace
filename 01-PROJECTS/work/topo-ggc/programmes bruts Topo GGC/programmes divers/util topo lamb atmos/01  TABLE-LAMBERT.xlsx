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9135" windowHeight="4455"/>
  </bookViews>
  <sheets>
    <sheet name="Feuil1" sheetId="1" r:id="rId1"/>
    <sheet name="Feuil2" sheetId="2" r:id="rId2"/>
    <sheet name="Feuil3" sheetId="3" r:id="rId3"/>
    <sheet name="Feuil4" sheetId="4" r:id="rId4"/>
    <sheet name="Feuil5" sheetId="5" r:id="rId5"/>
    <sheet name="Feuil6" sheetId="6" r:id="rId6"/>
    <sheet name="Feuil7" sheetId="7" r:id="rId7"/>
    <sheet name="Feuil8" sheetId="8" r:id="rId8"/>
    <sheet name="Feuil9" sheetId="9" r:id="rId9"/>
    <sheet name="Feuil10" sheetId="10" r:id="rId10"/>
    <sheet name="Feuil11" sheetId="11" r:id="rId11"/>
    <sheet name="Feuil12" sheetId="12" r:id="rId12"/>
    <sheet name="Feuil13" sheetId="13" r:id="rId13"/>
    <sheet name="Feuil14" sheetId="14" r:id="rId14"/>
    <sheet name="Feuil15" sheetId="15" r:id="rId15"/>
    <sheet name="Feuil16" sheetId="16" r:id="rId16"/>
  </sheets>
  <calcPr calcId="0"/>
</workbook>
</file>

<file path=xl/calcChain.xml><?xml version="1.0" encoding="utf-8"?>
<calcChain xmlns="http://schemas.openxmlformats.org/spreadsheetml/2006/main">
  <c r="P11" i="1" l="1"/>
  <c r="Q13" i="1"/>
  <c r="R13" i="1"/>
  <c r="P14" i="1"/>
  <c r="P15" i="1"/>
  <c r="P12" i="1" s="1"/>
  <c r="R14" i="1" l="1"/>
  <c r="Q14" i="1"/>
  <c r="R15" i="1"/>
  <c r="R16" i="1" s="1"/>
  <c r="Q15" i="1"/>
  <c r="Q16" i="1" s="1"/>
  <c r="J1" i="1" l="1"/>
</calcChain>
</file>

<file path=xl/sharedStrings.xml><?xml version="1.0" encoding="utf-8"?>
<sst xmlns="http://schemas.openxmlformats.org/spreadsheetml/2006/main" count="21" uniqueCount="6">
  <si>
    <t xml:space="preserve">  système de projection LAMBERT Zone  1,2,3</t>
  </si>
  <si>
    <t>Y</t>
  </si>
  <si>
    <t>X EN KILOMETRES</t>
  </si>
  <si>
    <t>en</t>
  </si>
  <si>
    <t>km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</si>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</sst>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2" formatCode="\+0;\-0"/>
  </numFmts>
  <fonts count="7" x14ac:knownFonts="1">
    <font>
      <sz val="10"/>
      <name val="Arial"/>
    </font>
    <font>
      <sz val="10"/>
      <color indexed="10"/>
      <name val="Arial"/>
      <family val="2"/>
    </font>
    <font>
      <sz val="10"/>
      <color indexed="12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4"/>
      <color indexed="10"/>
      <name val="Arial"/>
      <family val="2"/>
    </font>
    <font>
      <b/>
      <sz val="12"/>
      <color indexed="18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Border="1"/>
    <xf numFmtId="172" fontId="0" fillId="0" borderId="0" xfId="0" applyNumberFormat="1"/>
    <xf numFmtId="0" fontId="0" fillId="0" borderId="1" xfId="0" applyBorder="1" applyAlignment="1">
      <alignment horizontal="center"/>
    </xf>
    <xf numFmtId="172" fontId="0" fillId="0" borderId="1" xfId="0" applyNumberFormat="1" applyBorder="1" applyAlignment="1">
      <alignment horizontal="center"/>
    </xf>
    <xf numFmtId="0" fontId="2" fillId="0" borderId="0" xfId="0" applyFont="1"/>
    <xf numFmtId="0" fontId="1" fillId="0" borderId="0" xfId="0" applyFont="1"/>
    <xf numFmtId="172" fontId="0" fillId="0" borderId="2" xfId="0" applyNumberFormat="1" applyBorder="1"/>
    <xf numFmtId="0" fontId="0" fillId="0" borderId="2" xfId="0" applyBorder="1"/>
    <xf numFmtId="0" fontId="3" fillId="0" borderId="1" xfId="0" applyFont="1" applyBorder="1" applyAlignment="1">
      <alignment horizontal="center"/>
    </xf>
    <xf numFmtId="2" fontId="0" fillId="0" borderId="0" xfId="0" applyNumberFormat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Continuous" vertical="center"/>
    </xf>
    <xf numFmtId="0" fontId="0" fillId="0" borderId="11" xfId="0" applyBorder="1" applyAlignment="1">
      <alignment horizontal="centerContinuous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72" fontId="0" fillId="0" borderId="4" xfId="0" applyNumberFormat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2" fontId="4" fillId="0" borderId="0" xfId="0" applyNumberFormat="1" applyFont="1" applyAlignment="1">
      <alignment vertical="center"/>
    </xf>
    <xf numFmtId="2" fontId="4" fillId="0" borderId="0" xfId="0" applyNumberFormat="1" applyFont="1" applyBorder="1" applyAlignment="1">
      <alignment vertical="center"/>
    </xf>
    <xf numFmtId="0" fontId="5" fillId="0" borderId="18" xfId="0" applyFont="1" applyBorder="1" applyAlignment="1">
      <alignment horizontal="centerContinuous"/>
    </xf>
    <xf numFmtId="0" fontId="5" fillId="0" borderId="19" xfId="0" applyFont="1" applyBorder="1" applyAlignment="1">
      <alignment horizontal="centerContinuous"/>
    </xf>
    <xf numFmtId="0" fontId="0" fillId="0" borderId="20" xfId="0" applyBorder="1"/>
    <xf numFmtId="0" fontId="0" fillId="0" borderId="21" xfId="0" applyBorder="1"/>
    <xf numFmtId="0" fontId="0" fillId="0" borderId="22" xfId="0" applyNumberFormat="1" applyBorder="1"/>
    <xf numFmtId="0" fontId="0" fillId="0" borderId="23" xfId="0" applyBorder="1"/>
    <xf numFmtId="0" fontId="0" fillId="0" borderId="24" xfId="0" applyNumberFormat="1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172" fontId="3" fillId="0" borderId="4" xfId="0" applyNumberFormat="1" applyFont="1" applyBorder="1" applyAlignment="1">
      <alignment horizontal="center"/>
    </xf>
    <xf numFmtId="172" fontId="3" fillId="0" borderId="1" xfId="0" applyNumberFormat="1" applyFont="1" applyBorder="1" applyAlignment="1">
      <alignment horizontal="center"/>
    </xf>
    <xf numFmtId="2" fontId="6" fillId="0" borderId="25" xfId="0" applyNumberFormat="1" applyFont="1" applyBorder="1" applyAlignment="1">
      <alignment horizontal="centerContinuous" vertical="center"/>
    </xf>
    <xf numFmtId="2" fontId="4" fillId="0" borderId="27" xfId="0" applyNumberFormat="1" applyFont="1" applyBorder="1" applyAlignment="1">
      <alignment horizontal="centerContinuous" vertical="center"/>
    </xf>
    <xf numFmtId="0" fontId="0" fillId="0" borderId="18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9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56</xdr:row>
      <xdr:rowOff>152400</xdr:rowOff>
    </xdr:from>
    <xdr:to>
      <xdr:col>14</xdr:col>
      <xdr:colOff>342900</xdr:colOff>
      <xdr:row>60</xdr:row>
      <xdr:rowOff>19050</xdr:rowOff>
    </xdr:to>
    <xdr:sp macro="" textlink="">
      <xdr:nvSpPr>
        <xdr:cNvPr id="1025" name="Texte 1"/>
        <xdr:cNvSpPr txBox="1">
          <a:spLocks noChangeArrowheads="1"/>
        </xdr:cNvSpPr>
      </xdr:nvSpPr>
      <xdr:spPr bwMode="auto">
        <a:xfrm>
          <a:off x="38100" y="9772650"/>
          <a:ext cx="6562725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nota: Tableau donnant pour la France , en fonction des coordonnées X et Y les corrections , avec leur signe , en centimètres par Kilomètre, à apporter aux longeursmesurées sur le terrain avant de les introduire dans les calculs de polygonation .</a:t>
          </a:r>
        </a:p>
        <a:p>
          <a:pPr algn="l" rtl="0">
            <a:defRPr sz="1000"/>
          </a:pPr>
          <a:r>
            <a:rPr lang="fr-F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1"/>
  <sheetViews>
    <sheetView tabSelected="1" topLeftCell="A28" workbookViewId="0">
      <selection activeCell="Q4" sqref="Q4"/>
    </sheetView>
  </sheetViews>
  <sheetFormatPr baseColWidth="10" defaultRowHeight="12.75" x14ac:dyDescent="0.2"/>
  <cols>
    <col min="1" max="9" width="6.7109375" customWidth="1"/>
    <col min="10" max="11" width="4.140625" bestFit="1" customWidth="1"/>
    <col min="12" max="15" width="6.7109375" customWidth="1"/>
  </cols>
  <sheetData>
    <row r="1" spans="1:18" ht="25.5" customHeight="1" thickBot="1" x14ac:dyDescent="0.3">
      <c r="B1" s="5"/>
      <c r="D1" s="45" t="s">
        <v>0</v>
      </c>
      <c r="E1" s="46"/>
      <c r="F1" s="46"/>
      <c r="G1" s="46"/>
      <c r="H1" s="46"/>
      <c r="I1" s="47"/>
      <c r="J1" s="31">
        <f ca="1">((R16-Q16)/100)*((D2/1000)-Q13)+Q16</f>
        <v>20</v>
      </c>
      <c r="K1" s="32"/>
      <c r="L1" s="6"/>
      <c r="N1" s="5"/>
    </row>
    <row r="2" spans="1:18" s="29" customFormat="1" ht="27.75" customHeight="1" thickBot="1" x14ac:dyDescent="0.25">
      <c r="D2" s="43">
        <v>200000</v>
      </c>
      <c r="E2" s="44"/>
      <c r="F2" s="43">
        <v>50000</v>
      </c>
      <c r="G2" s="44"/>
      <c r="H2" s="30"/>
      <c r="I2" s="30"/>
    </row>
    <row r="3" spans="1:18" ht="25.5" customHeight="1" thickBot="1" x14ac:dyDescent="0.25">
      <c r="A3" s="26" t="s">
        <v>1</v>
      </c>
      <c r="B3" s="19"/>
      <c r="C3" s="19"/>
      <c r="D3" s="20" t="s">
        <v>2</v>
      </c>
      <c r="E3" s="20"/>
      <c r="F3" s="20"/>
      <c r="G3" s="20"/>
      <c r="H3" s="20"/>
      <c r="I3" s="20"/>
      <c r="J3" s="20"/>
      <c r="K3" s="21"/>
      <c r="L3" s="19"/>
      <c r="M3" s="19"/>
      <c r="N3" s="22"/>
      <c r="O3" s="26" t="s">
        <v>1</v>
      </c>
      <c r="P3" s="5"/>
    </row>
    <row r="4" spans="1:18" x14ac:dyDescent="0.2">
      <c r="A4" s="27" t="s">
        <v>3</v>
      </c>
      <c r="B4" s="23">
        <v>0</v>
      </c>
      <c r="C4" s="17">
        <v>100</v>
      </c>
      <c r="D4" s="17">
        <v>200</v>
      </c>
      <c r="E4" s="17">
        <v>300</v>
      </c>
      <c r="F4" s="17">
        <v>400</v>
      </c>
      <c r="G4" s="17">
        <v>500</v>
      </c>
      <c r="H4" s="17">
        <v>600</v>
      </c>
      <c r="I4" s="17">
        <v>700</v>
      </c>
      <c r="J4" s="17">
        <v>800</v>
      </c>
      <c r="K4" s="17">
        <v>900</v>
      </c>
      <c r="L4" s="17">
        <v>1000</v>
      </c>
      <c r="M4" s="17">
        <v>1100</v>
      </c>
      <c r="N4" s="17">
        <v>1200</v>
      </c>
      <c r="O4" s="27" t="s">
        <v>3</v>
      </c>
    </row>
    <row r="5" spans="1:18" ht="13.5" thickBot="1" x14ac:dyDescent="0.25">
      <c r="A5" s="28" t="s">
        <v>4</v>
      </c>
      <c r="B5" s="24" t="s">
        <v>5</v>
      </c>
      <c r="C5" s="18" t="s">
        <v>5</v>
      </c>
      <c r="D5" s="18" t="s">
        <v>5</v>
      </c>
      <c r="E5" s="18" t="s">
        <v>5</v>
      </c>
      <c r="F5" s="18" t="s">
        <v>5</v>
      </c>
      <c r="G5" s="18" t="s">
        <v>5</v>
      </c>
      <c r="H5" s="18" t="s">
        <v>5</v>
      </c>
      <c r="I5" s="18" t="s">
        <v>5</v>
      </c>
      <c r="J5" s="18" t="s">
        <v>5</v>
      </c>
      <c r="K5" s="18" t="s">
        <v>5</v>
      </c>
      <c r="L5" s="18" t="s">
        <v>5</v>
      </c>
      <c r="M5" s="18" t="s">
        <v>5</v>
      </c>
      <c r="N5" s="18" t="s">
        <v>5</v>
      </c>
      <c r="O5" s="28" t="s">
        <v>4</v>
      </c>
    </row>
    <row r="6" spans="1:18" x14ac:dyDescent="0.2">
      <c r="A6" s="27">
        <v>0</v>
      </c>
      <c r="B6" s="41">
        <v>53</v>
      </c>
      <c r="C6" s="42">
        <v>48</v>
      </c>
      <c r="D6" s="42">
        <v>44</v>
      </c>
      <c r="E6" s="42">
        <v>41</v>
      </c>
      <c r="F6" s="42">
        <v>39</v>
      </c>
      <c r="G6" s="4">
        <v>37</v>
      </c>
      <c r="H6" s="4">
        <v>37</v>
      </c>
      <c r="I6" s="4">
        <v>37</v>
      </c>
      <c r="J6" s="4">
        <v>39</v>
      </c>
      <c r="K6" s="4">
        <v>41</v>
      </c>
      <c r="L6" s="4">
        <v>44</v>
      </c>
      <c r="M6" s="4">
        <v>48</v>
      </c>
      <c r="N6" s="4">
        <v>53</v>
      </c>
      <c r="O6" s="27">
        <v>0</v>
      </c>
      <c r="P6" s="2"/>
    </row>
    <row r="7" spans="1:18" x14ac:dyDescent="0.2">
      <c r="A7" s="27">
        <v>10</v>
      </c>
      <c r="B7" s="25">
        <v>48</v>
      </c>
      <c r="C7" s="4">
        <v>42</v>
      </c>
      <c r="D7" s="4">
        <v>39</v>
      </c>
      <c r="E7" s="4">
        <v>36</v>
      </c>
      <c r="F7" s="4">
        <v>33</v>
      </c>
      <c r="G7" s="4">
        <v>32</v>
      </c>
      <c r="H7" s="4">
        <v>32</v>
      </c>
      <c r="I7" s="4">
        <v>32</v>
      </c>
      <c r="J7" s="4">
        <v>33</v>
      </c>
      <c r="K7" s="4">
        <v>36</v>
      </c>
      <c r="L7" s="4">
        <v>39</v>
      </c>
      <c r="M7" s="4">
        <v>42</v>
      </c>
      <c r="N7" s="4">
        <v>48</v>
      </c>
      <c r="O7" s="27">
        <v>10</v>
      </c>
      <c r="P7" s="2"/>
      <c r="Q7" s="2"/>
      <c r="R7" s="2"/>
    </row>
    <row r="8" spans="1:18" x14ac:dyDescent="0.2">
      <c r="A8" s="27">
        <v>20</v>
      </c>
      <c r="B8" s="25">
        <v>42</v>
      </c>
      <c r="C8" s="4">
        <v>37</v>
      </c>
      <c r="D8" s="4">
        <v>33</v>
      </c>
      <c r="E8" s="4">
        <v>31</v>
      </c>
      <c r="F8" s="4">
        <v>29</v>
      </c>
      <c r="G8" s="4">
        <v>28</v>
      </c>
      <c r="H8" s="4">
        <v>28</v>
      </c>
      <c r="I8" s="4">
        <v>28</v>
      </c>
      <c r="J8" s="4">
        <v>29</v>
      </c>
      <c r="K8" s="4">
        <v>31</v>
      </c>
      <c r="L8" s="4">
        <v>33</v>
      </c>
      <c r="M8" s="4">
        <v>37</v>
      </c>
      <c r="N8" s="4">
        <v>42</v>
      </c>
      <c r="O8" s="27">
        <v>20</v>
      </c>
      <c r="P8" s="2"/>
      <c r="Q8" s="2"/>
      <c r="R8" s="2"/>
    </row>
    <row r="9" spans="1:18" x14ac:dyDescent="0.2">
      <c r="A9" s="27">
        <v>30</v>
      </c>
      <c r="B9" s="25">
        <v>37</v>
      </c>
      <c r="C9" s="4">
        <v>32</v>
      </c>
      <c r="D9" s="4">
        <v>29</v>
      </c>
      <c r="E9" s="4">
        <v>27</v>
      </c>
      <c r="F9" s="4">
        <v>25</v>
      </c>
      <c r="G9" s="4">
        <v>23</v>
      </c>
      <c r="H9" s="4">
        <v>23</v>
      </c>
      <c r="I9" s="4">
        <v>23</v>
      </c>
      <c r="J9" s="4">
        <v>25</v>
      </c>
      <c r="K9" s="4">
        <v>27</v>
      </c>
      <c r="L9" s="4">
        <v>29</v>
      </c>
      <c r="M9" s="4">
        <v>32</v>
      </c>
      <c r="N9" s="4">
        <v>37</v>
      </c>
      <c r="O9" s="27">
        <v>30</v>
      </c>
      <c r="P9" s="2"/>
    </row>
    <row r="10" spans="1:18" x14ac:dyDescent="0.2">
      <c r="A10" s="27">
        <v>40</v>
      </c>
      <c r="B10" s="25">
        <v>32</v>
      </c>
      <c r="C10" s="4">
        <v>28</v>
      </c>
      <c r="D10" s="4">
        <v>25</v>
      </c>
      <c r="E10" s="4">
        <v>22</v>
      </c>
      <c r="F10" s="4">
        <v>20</v>
      </c>
      <c r="G10" s="4">
        <v>19</v>
      </c>
      <c r="H10" s="4">
        <v>19</v>
      </c>
      <c r="I10" s="4">
        <v>19</v>
      </c>
      <c r="J10" s="4">
        <v>20</v>
      </c>
      <c r="K10" s="4">
        <v>22</v>
      </c>
      <c r="L10" s="4">
        <v>25</v>
      </c>
      <c r="M10" s="4">
        <v>28</v>
      </c>
      <c r="N10" s="4">
        <v>32</v>
      </c>
      <c r="O10" s="27">
        <v>40</v>
      </c>
    </row>
    <row r="11" spans="1:18" x14ac:dyDescent="0.2">
      <c r="A11" s="27">
        <v>50</v>
      </c>
      <c r="B11" s="25">
        <v>28</v>
      </c>
      <c r="C11" s="4">
        <v>23</v>
      </c>
      <c r="D11" s="4">
        <v>20</v>
      </c>
      <c r="E11" s="4">
        <v>18</v>
      </c>
      <c r="F11" s="4">
        <v>17</v>
      </c>
      <c r="G11" s="4">
        <v>16</v>
      </c>
      <c r="H11" s="4">
        <v>16</v>
      </c>
      <c r="I11" s="4">
        <v>16</v>
      </c>
      <c r="J11" s="4">
        <v>17</v>
      </c>
      <c r="K11" s="4">
        <v>18</v>
      </c>
      <c r="L11" s="4">
        <v>20</v>
      </c>
      <c r="M11" s="4">
        <v>23</v>
      </c>
      <c r="N11" s="4">
        <v>28</v>
      </c>
      <c r="O11" s="27">
        <v>50</v>
      </c>
      <c r="P11" s="2">
        <f>MATCH(P14,$A$4:$A$56)-1</f>
        <v>7</v>
      </c>
    </row>
    <row r="12" spans="1:18" x14ac:dyDescent="0.2">
      <c r="A12" s="27">
        <v>60</v>
      </c>
      <c r="B12" s="25">
        <v>23</v>
      </c>
      <c r="C12" s="4">
        <v>19</v>
      </c>
      <c r="D12" s="4">
        <v>17</v>
      </c>
      <c r="E12" s="4">
        <v>15</v>
      </c>
      <c r="F12" s="4">
        <v>13</v>
      </c>
      <c r="G12" s="4">
        <v>12</v>
      </c>
      <c r="H12" s="4">
        <v>12</v>
      </c>
      <c r="I12" s="4">
        <v>12</v>
      </c>
      <c r="J12" s="4">
        <v>13</v>
      </c>
      <c r="K12" s="4">
        <v>15</v>
      </c>
      <c r="L12" s="4">
        <v>17</v>
      </c>
      <c r="M12" s="4">
        <v>19</v>
      </c>
      <c r="N12" s="4">
        <v>23</v>
      </c>
      <c r="O12" s="27">
        <v>60</v>
      </c>
      <c r="P12" s="2">
        <f>MATCH(P15,$A$4:$A$56)-1</f>
        <v>8</v>
      </c>
      <c r="Q12" s="2"/>
      <c r="R12" s="2"/>
    </row>
    <row r="13" spans="1:18" x14ac:dyDescent="0.2">
      <c r="A13" s="27">
        <v>70</v>
      </c>
      <c r="B13" s="25">
        <v>19</v>
      </c>
      <c r="C13" s="4">
        <v>16</v>
      </c>
      <c r="D13" s="4">
        <v>13</v>
      </c>
      <c r="E13" s="4">
        <v>11</v>
      </c>
      <c r="F13" s="4">
        <v>10</v>
      </c>
      <c r="G13" s="4">
        <v>9</v>
      </c>
      <c r="H13" s="4">
        <v>9</v>
      </c>
      <c r="I13" s="4">
        <v>9</v>
      </c>
      <c r="J13" s="4">
        <v>10</v>
      </c>
      <c r="K13" s="4">
        <v>11</v>
      </c>
      <c r="L13" s="4">
        <v>13</v>
      </c>
      <c r="M13" s="4">
        <v>16</v>
      </c>
      <c r="N13" s="4">
        <v>19</v>
      </c>
      <c r="O13" s="27">
        <v>70</v>
      </c>
      <c r="P13" s="7"/>
      <c r="Q13" s="7">
        <f>(HLOOKUP($D$2/1000,$B$4:$N$4,1,1))</f>
        <v>200</v>
      </c>
      <c r="R13" s="7">
        <f>(HLOOKUP($D$2/1000+100,$B$4:$N$4,1,1))</f>
        <v>300</v>
      </c>
    </row>
    <row r="14" spans="1:18" x14ac:dyDescent="0.2">
      <c r="A14" s="27">
        <v>80</v>
      </c>
      <c r="B14" s="25">
        <v>16</v>
      </c>
      <c r="C14" s="4">
        <v>12</v>
      </c>
      <c r="D14" s="4">
        <v>10</v>
      </c>
      <c r="E14" s="4">
        <v>8</v>
      </c>
      <c r="F14" s="4">
        <v>7</v>
      </c>
      <c r="G14" s="4">
        <v>6</v>
      </c>
      <c r="H14" s="4">
        <v>6</v>
      </c>
      <c r="I14" s="4">
        <v>6</v>
      </c>
      <c r="J14" s="4">
        <v>7</v>
      </c>
      <c r="K14" s="4">
        <v>8</v>
      </c>
      <c r="L14" s="4">
        <v>10</v>
      </c>
      <c r="M14" s="4">
        <v>12</v>
      </c>
      <c r="N14" s="4">
        <v>16</v>
      </c>
      <c r="O14" s="27">
        <v>80</v>
      </c>
      <c r="P14" s="7">
        <f>(VLOOKUP($F$2/1000,$A$6:$N$56,1,1))</f>
        <v>50</v>
      </c>
      <c r="Q14" s="8">
        <f ca="1">OFFSET($A$4,$P$11,MATCH(Q$13,$B$4:$N$4))</f>
        <v>20</v>
      </c>
      <c r="R14" s="8">
        <f ca="1">OFFSET($A$4,$P$11,MATCH(R13,$B$4:$N$4))</f>
        <v>18</v>
      </c>
    </row>
    <row r="15" spans="1:18" x14ac:dyDescent="0.2">
      <c r="A15" s="27">
        <v>90</v>
      </c>
      <c r="B15" s="25">
        <v>12</v>
      </c>
      <c r="C15" s="4">
        <v>9</v>
      </c>
      <c r="D15" s="4">
        <v>7</v>
      </c>
      <c r="E15" s="4">
        <v>5</v>
      </c>
      <c r="F15" s="4">
        <v>4</v>
      </c>
      <c r="G15" s="4">
        <v>3</v>
      </c>
      <c r="H15" s="4">
        <v>3</v>
      </c>
      <c r="I15" s="4">
        <v>3</v>
      </c>
      <c r="J15" s="4">
        <v>4</v>
      </c>
      <c r="K15" s="4">
        <v>5</v>
      </c>
      <c r="L15" s="4">
        <v>7</v>
      </c>
      <c r="M15" s="4">
        <v>9</v>
      </c>
      <c r="N15" s="4">
        <v>12</v>
      </c>
      <c r="O15" s="27">
        <v>90</v>
      </c>
      <c r="P15" s="7">
        <f>(VLOOKUP($F$2/1000+10,$A$6:$N$56,1,1))</f>
        <v>60</v>
      </c>
      <c r="Q15" s="8">
        <f ca="1">OFFSET($A$4,$P$12,MATCH(Q$13,$B$4:$N$4))</f>
        <v>17</v>
      </c>
      <c r="R15" s="8">
        <f ca="1">OFFSET($A$4,$P$12,MATCH(R13,$B$4:$N$4))</f>
        <v>15</v>
      </c>
    </row>
    <row r="16" spans="1:18" x14ac:dyDescent="0.2">
      <c r="A16" s="27">
        <v>100</v>
      </c>
      <c r="B16" s="25">
        <v>9</v>
      </c>
      <c r="C16" s="4">
        <v>6</v>
      </c>
      <c r="D16" s="4">
        <v>4</v>
      </c>
      <c r="E16" s="4">
        <v>2</v>
      </c>
      <c r="F16" s="4">
        <v>1</v>
      </c>
      <c r="G16" s="4">
        <v>0</v>
      </c>
      <c r="H16" s="4">
        <v>0</v>
      </c>
      <c r="I16" s="4">
        <v>0</v>
      </c>
      <c r="J16" s="4">
        <v>1</v>
      </c>
      <c r="K16" s="4">
        <v>2</v>
      </c>
      <c r="L16" s="4">
        <v>4</v>
      </c>
      <c r="M16" s="4">
        <v>6</v>
      </c>
      <c r="N16" s="4">
        <v>9</v>
      </c>
      <c r="O16" s="27">
        <v>100</v>
      </c>
      <c r="P16" s="2"/>
      <c r="Q16" s="10">
        <f ca="1">((Q15-Q14)/10)*($F$2/1000-$P14)+Q14</f>
        <v>20</v>
      </c>
      <c r="R16" s="10">
        <f ca="1">((R15-R14)/10)*($F$2/1000-$P14)+R14</f>
        <v>18</v>
      </c>
    </row>
    <row r="17" spans="1:18" x14ac:dyDescent="0.2">
      <c r="A17" s="27">
        <v>110</v>
      </c>
      <c r="B17" s="25">
        <v>6</v>
      </c>
      <c r="C17" s="4">
        <v>3</v>
      </c>
      <c r="D17" s="4">
        <v>1</v>
      </c>
      <c r="E17" s="3">
        <v>-1</v>
      </c>
      <c r="F17" s="3">
        <v>-1</v>
      </c>
      <c r="G17" s="3">
        <v>-2</v>
      </c>
      <c r="H17" s="3">
        <v>-2</v>
      </c>
      <c r="I17" s="3">
        <v>-2</v>
      </c>
      <c r="J17" s="3">
        <v>-1</v>
      </c>
      <c r="K17" s="3">
        <v>-1</v>
      </c>
      <c r="L17" s="4">
        <v>1</v>
      </c>
      <c r="M17" s="4">
        <v>3</v>
      </c>
      <c r="N17" s="4">
        <v>6</v>
      </c>
      <c r="O17" s="27">
        <v>110</v>
      </c>
      <c r="P17" s="2"/>
    </row>
    <row r="18" spans="1:18" ht="13.5" thickBot="1" x14ac:dyDescent="0.25">
      <c r="A18" s="27">
        <v>120</v>
      </c>
      <c r="B18" s="25">
        <v>3</v>
      </c>
      <c r="C18" s="3">
        <v>0</v>
      </c>
      <c r="D18" s="3">
        <v>-1</v>
      </c>
      <c r="E18" s="3">
        <v>-3</v>
      </c>
      <c r="F18" s="3">
        <v>-3</v>
      </c>
      <c r="G18" s="3">
        <v>-4</v>
      </c>
      <c r="H18" s="3">
        <v>-4</v>
      </c>
      <c r="I18" s="3">
        <v>-4</v>
      </c>
      <c r="J18" s="3">
        <v>-3</v>
      </c>
      <c r="K18" s="3">
        <v>-3</v>
      </c>
      <c r="L18" s="3">
        <v>-2</v>
      </c>
      <c r="M18" s="3">
        <v>0</v>
      </c>
      <c r="N18" s="4">
        <v>3</v>
      </c>
      <c r="O18" s="27">
        <v>120</v>
      </c>
      <c r="P18" s="2"/>
      <c r="Q18" s="2"/>
      <c r="R18" s="2"/>
    </row>
    <row r="19" spans="1:18" x14ac:dyDescent="0.2">
      <c r="A19" s="27">
        <v>130</v>
      </c>
      <c r="B19" s="12">
        <v>0</v>
      </c>
      <c r="C19" s="3">
        <v>-2</v>
      </c>
      <c r="D19" s="3">
        <v>-3</v>
      </c>
      <c r="E19" s="3">
        <v>-5</v>
      </c>
      <c r="F19" s="3">
        <v>-5</v>
      </c>
      <c r="G19" s="3">
        <v>-6</v>
      </c>
      <c r="H19" s="11">
        <v>-6</v>
      </c>
      <c r="I19" s="13">
        <v>-8</v>
      </c>
      <c r="J19" s="14">
        <v>-5</v>
      </c>
      <c r="K19" s="12">
        <v>-5</v>
      </c>
      <c r="L19" s="3">
        <v>-3</v>
      </c>
      <c r="M19" s="3">
        <v>-2</v>
      </c>
      <c r="N19" s="3">
        <v>0</v>
      </c>
      <c r="O19" s="27">
        <v>130</v>
      </c>
      <c r="P19" s="2"/>
      <c r="Q19" s="2"/>
      <c r="R19" s="2"/>
    </row>
    <row r="20" spans="1:18" ht="13.5" thickBot="1" x14ac:dyDescent="0.25">
      <c r="A20" s="27">
        <v>140</v>
      </c>
      <c r="B20" s="12">
        <v>-2</v>
      </c>
      <c r="C20" s="3">
        <v>-4</v>
      </c>
      <c r="D20" s="3">
        <v>-5</v>
      </c>
      <c r="E20" s="3">
        <v>-7</v>
      </c>
      <c r="F20" s="3">
        <v>-7</v>
      </c>
      <c r="G20" s="3">
        <v>-8</v>
      </c>
      <c r="H20" s="11">
        <v>-8</v>
      </c>
      <c r="I20" s="15">
        <v>-6</v>
      </c>
      <c r="J20" s="16">
        <v>-7</v>
      </c>
      <c r="K20" s="12">
        <v>-7</v>
      </c>
      <c r="L20" s="3">
        <v>-5</v>
      </c>
      <c r="M20" s="3">
        <v>-4</v>
      </c>
      <c r="N20" s="3">
        <v>-2</v>
      </c>
      <c r="O20" s="27">
        <v>140</v>
      </c>
      <c r="P20" s="2"/>
      <c r="Q20" s="2"/>
      <c r="R20" s="2"/>
    </row>
    <row r="21" spans="1:18" x14ac:dyDescent="0.2">
      <c r="A21" s="27">
        <v>150</v>
      </c>
      <c r="B21" s="12">
        <v>-4</v>
      </c>
      <c r="C21" s="3">
        <v>-6</v>
      </c>
      <c r="D21" s="3">
        <v>-7</v>
      </c>
      <c r="E21" s="3">
        <v>-8</v>
      </c>
      <c r="F21" s="3">
        <v>-9</v>
      </c>
      <c r="G21" s="3">
        <v>-9</v>
      </c>
      <c r="H21" s="3">
        <v>-9</v>
      </c>
      <c r="I21" s="9">
        <v>-9</v>
      </c>
      <c r="J21" s="9">
        <v>-9</v>
      </c>
      <c r="K21" s="3">
        <v>-8</v>
      </c>
      <c r="L21" s="3">
        <v>-7</v>
      </c>
      <c r="M21" s="3">
        <v>-6</v>
      </c>
      <c r="N21" s="3">
        <v>-4</v>
      </c>
      <c r="O21" s="27">
        <v>150</v>
      </c>
      <c r="P21" s="2"/>
      <c r="Q21" s="2"/>
      <c r="R21" s="2"/>
    </row>
    <row r="22" spans="1:18" x14ac:dyDescent="0.2">
      <c r="A22" s="27">
        <v>160</v>
      </c>
      <c r="B22" s="12">
        <v>-6</v>
      </c>
      <c r="C22" s="3">
        <v>-8</v>
      </c>
      <c r="D22" s="3">
        <v>-9</v>
      </c>
      <c r="E22" s="3">
        <v>-9</v>
      </c>
      <c r="F22" s="3">
        <v>-10</v>
      </c>
      <c r="G22" s="3">
        <v>-10</v>
      </c>
      <c r="H22" s="3">
        <v>-10</v>
      </c>
      <c r="I22" s="3">
        <v>-10</v>
      </c>
      <c r="J22" s="3">
        <v>-10</v>
      </c>
      <c r="K22" s="3">
        <v>-9</v>
      </c>
      <c r="L22" s="3">
        <v>-9</v>
      </c>
      <c r="M22" s="3">
        <v>-8</v>
      </c>
      <c r="N22" s="3">
        <v>-6</v>
      </c>
      <c r="O22" s="27">
        <v>160</v>
      </c>
      <c r="P22" s="2"/>
      <c r="Q22" s="2"/>
      <c r="R22" s="2"/>
    </row>
    <row r="23" spans="1:18" x14ac:dyDescent="0.2">
      <c r="A23" s="27">
        <v>170</v>
      </c>
      <c r="B23" s="12">
        <v>-8</v>
      </c>
      <c r="C23" s="3">
        <v>-9</v>
      </c>
      <c r="D23" s="3">
        <v>-10</v>
      </c>
      <c r="E23" s="3">
        <v>-10</v>
      </c>
      <c r="F23" s="3">
        <v>-11</v>
      </c>
      <c r="G23" s="3">
        <v>-11</v>
      </c>
      <c r="H23" s="3">
        <v>-11</v>
      </c>
      <c r="I23" s="3">
        <v>-11</v>
      </c>
      <c r="J23" s="3">
        <v>-11</v>
      </c>
      <c r="K23" s="3">
        <v>-10</v>
      </c>
      <c r="L23" s="3">
        <v>-10</v>
      </c>
      <c r="M23" s="3">
        <v>-9</v>
      </c>
      <c r="N23" s="3">
        <v>-8</v>
      </c>
      <c r="O23" s="27">
        <v>170</v>
      </c>
      <c r="P23" s="2"/>
      <c r="Q23" s="2"/>
      <c r="R23" s="2"/>
    </row>
    <row r="24" spans="1:18" x14ac:dyDescent="0.2">
      <c r="A24" s="27">
        <v>180</v>
      </c>
      <c r="B24" s="12">
        <v>-9</v>
      </c>
      <c r="C24" s="3">
        <v>-10</v>
      </c>
      <c r="D24" s="3">
        <v>-11</v>
      </c>
      <c r="E24" s="3">
        <v>-11</v>
      </c>
      <c r="F24" s="3">
        <v>-12</v>
      </c>
      <c r="G24" s="3">
        <v>-12</v>
      </c>
      <c r="H24" s="3">
        <v>-12</v>
      </c>
      <c r="I24" s="3">
        <v>-12</v>
      </c>
      <c r="J24" s="3">
        <v>-12</v>
      </c>
      <c r="K24" s="3">
        <v>-11</v>
      </c>
      <c r="L24" s="3">
        <v>-11</v>
      </c>
      <c r="M24" s="3">
        <v>-10</v>
      </c>
      <c r="N24" s="3">
        <v>-9</v>
      </c>
      <c r="O24" s="27">
        <v>180</v>
      </c>
      <c r="P24" s="2"/>
      <c r="Q24" s="2"/>
      <c r="R24" s="2"/>
    </row>
    <row r="25" spans="1:18" x14ac:dyDescent="0.2">
      <c r="A25" s="27">
        <v>190</v>
      </c>
      <c r="B25" s="12">
        <v>-10</v>
      </c>
      <c r="C25" s="3">
        <v>-11</v>
      </c>
      <c r="D25" s="3">
        <v>-12</v>
      </c>
      <c r="E25" s="3">
        <v>-12</v>
      </c>
      <c r="F25" s="3">
        <v>-12</v>
      </c>
      <c r="G25" s="3">
        <v>-12</v>
      </c>
      <c r="H25" s="3">
        <v>-12</v>
      </c>
      <c r="I25" s="3">
        <v>-12</v>
      </c>
      <c r="J25" s="3">
        <v>-12</v>
      </c>
      <c r="K25" s="3">
        <v>-12</v>
      </c>
      <c r="L25" s="3">
        <v>-12</v>
      </c>
      <c r="M25" s="3">
        <v>-11</v>
      </c>
      <c r="N25" s="3">
        <v>-10</v>
      </c>
      <c r="O25" s="27">
        <v>190</v>
      </c>
      <c r="P25" s="2"/>
      <c r="Q25" s="2"/>
      <c r="R25" s="2"/>
    </row>
    <row r="26" spans="1:18" x14ac:dyDescent="0.2">
      <c r="A26" s="27">
        <v>200</v>
      </c>
      <c r="B26" s="12">
        <v>-10</v>
      </c>
      <c r="C26" s="3">
        <v>-12</v>
      </c>
      <c r="D26" s="3">
        <v>-12</v>
      </c>
      <c r="E26" s="3">
        <v>-12</v>
      </c>
      <c r="F26" s="3">
        <v>-12</v>
      </c>
      <c r="G26" s="3">
        <v>-12</v>
      </c>
      <c r="H26" s="3">
        <v>-12</v>
      </c>
      <c r="I26" s="3">
        <v>-12</v>
      </c>
      <c r="J26" s="3">
        <v>-12</v>
      </c>
      <c r="K26" s="3">
        <v>-12</v>
      </c>
      <c r="L26" s="3">
        <v>-12</v>
      </c>
      <c r="M26" s="3">
        <v>-12</v>
      </c>
      <c r="N26" s="3">
        <v>-11</v>
      </c>
      <c r="O26" s="27">
        <v>200</v>
      </c>
      <c r="P26" s="2"/>
      <c r="Q26" s="2"/>
      <c r="R26" s="2"/>
    </row>
    <row r="27" spans="1:18" x14ac:dyDescent="0.2">
      <c r="A27" s="27">
        <v>210</v>
      </c>
      <c r="B27" s="12">
        <v>-11</v>
      </c>
      <c r="C27" s="3">
        <v>-12</v>
      </c>
      <c r="D27" s="3">
        <v>-12</v>
      </c>
      <c r="E27" s="3">
        <v>-12</v>
      </c>
      <c r="F27" s="3">
        <v>-12</v>
      </c>
      <c r="G27" s="3">
        <v>-12</v>
      </c>
      <c r="H27" s="3">
        <v>-12</v>
      </c>
      <c r="I27" s="3">
        <v>-12</v>
      </c>
      <c r="J27" s="3">
        <v>-12</v>
      </c>
      <c r="K27" s="3">
        <v>-12</v>
      </c>
      <c r="L27" s="3">
        <v>-12</v>
      </c>
      <c r="M27" s="3">
        <v>-12</v>
      </c>
      <c r="N27" s="3">
        <v>-12</v>
      </c>
      <c r="O27" s="27">
        <v>210</v>
      </c>
      <c r="P27" s="2"/>
      <c r="Q27" s="2"/>
      <c r="R27" s="2"/>
    </row>
    <row r="28" spans="1:18" x14ac:dyDescent="0.2">
      <c r="A28" s="27">
        <v>220</v>
      </c>
      <c r="B28" s="12">
        <v>-12</v>
      </c>
      <c r="C28" s="3">
        <v>-12</v>
      </c>
      <c r="D28" s="3">
        <v>-12</v>
      </c>
      <c r="E28" s="3">
        <v>-12</v>
      </c>
      <c r="F28" s="3">
        <v>-12</v>
      </c>
      <c r="G28" s="3">
        <v>-12</v>
      </c>
      <c r="H28" s="3">
        <v>-12</v>
      </c>
      <c r="I28" s="3">
        <v>-12</v>
      </c>
      <c r="J28" s="3">
        <v>-12</v>
      </c>
      <c r="K28" s="3">
        <v>-12</v>
      </c>
      <c r="L28" s="3">
        <v>-12</v>
      </c>
      <c r="M28" s="3">
        <v>-12</v>
      </c>
      <c r="N28" s="3">
        <v>-12</v>
      </c>
      <c r="O28" s="27">
        <v>220</v>
      </c>
      <c r="P28" s="2"/>
      <c r="Q28" s="2"/>
      <c r="R28" s="2"/>
    </row>
    <row r="29" spans="1:18" x14ac:dyDescent="0.2">
      <c r="A29" s="27">
        <v>230</v>
      </c>
      <c r="B29" s="12">
        <v>-12</v>
      </c>
      <c r="C29" s="3">
        <v>-12</v>
      </c>
      <c r="D29" s="3">
        <v>-12</v>
      </c>
      <c r="E29" s="3">
        <v>-12</v>
      </c>
      <c r="F29" s="3">
        <v>-11</v>
      </c>
      <c r="G29" s="3">
        <v>-11</v>
      </c>
      <c r="H29" s="3">
        <v>-11</v>
      </c>
      <c r="I29" s="3">
        <v>-11</v>
      </c>
      <c r="J29" s="3">
        <v>-11</v>
      </c>
      <c r="K29" s="3">
        <v>-12</v>
      </c>
      <c r="L29" s="3">
        <v>-12</v>
      </c>
      <c r="M29" s="3">
        <v>-12</v>
      </c>
      <c r="N29" s="3">
        <v>-12</v>
      </c>
      <c r="O29" s="27">
        <v>230</v>
      </c>
      <c r="P29" s="2"/>
      <c r="Q29" s="2"/>
      <c r="R29" s="2"/>
    </row>
    <row r="30" spans="1:18" x14ac:dyDescent="0.2">
      <c r="A30" s="27">
        <v>240</v>
      </c>
      <c r="B30" s="12">
        <v>-12</v>
      </c>
      <c r="C30" s="3">
        <v>-12</v>
      </c>
      <c r="D30" s="3">
        <v>-11</v>
      </c>
      <c r="E30" s="3">
        <v>-11</v>
      </c>
      <c r="F30" s="3">
        <v>-10</v>
      </c>
      <c r="G30" s="3">
        <v>-10</v>
      </c>
      <c r="H30" s="3">
        <v>-10</v>
      </c>
      <c r="I30" s="3">
        <v>-10</v>
      </c>
      <c r="J30" s="3">
        <v>-10</v>
      </c>
      <c r="K30" s="3">
        <v>-11</v>
      </c>
      <c r="L30" s="3">
        <v>-11</v>
      </c>
      <c r="M30" s="3">
        <v>-12</v>
      </c>
      <c r="N30" s="3">
        <v>-12</v>
      </c>
      <c r="O30" s="27">
        <v>240</v>
      </c>
      <c r="P30" s="2"/>
      <c r="Q30" s="2"/>
      <c r="R30" s="2"/>
    </row>
    <row r="31" spans="1:18" x14ac:dyDescent="0.2">
      <c r="A31" s="27">
        <v>250</v>
      </c>
      <c r="B31" s="12">
        <v>-12</v>
      </c>
      <c r="C31" s="3">
        <v>-11</v>
      </c>
      <c r="D31" s="3">
        <v>-10</v>
      </c>
      <c r="E31" s="3">
        <v>-10</v>
      </c>
      <c r="F31" s="3">
        <v>-9</v>
      </c>
      <c r="G31" s="3">
        <v>-9</v>
      </c>
      <c r="H31" s="3">
        <v>-9</v>
      </c>
      <c r="I31" s="3">
        <v>-9</v>
      </c>
      <c r="J31" s="3">
        <v>-9</v>
      </c>
      <c r="K31" s="3">
        <v>-10</v>
      </c>
      <c r="L31" s="3">
        <v>-10</v>
      </c>
      <c r="M31" s="3">
        <v>-11</v>
      </c>
      <c r="N31" s="3">
        <v>-12</v>
      </c>
      <c r="O31" s="27">
        <v>250</v>
      </c>
      <c r="P31" s="2"/>
      <c r="Q31" s="2"/>
      <c r="R31" s="2"/>
    </row>
    <row r="32" spans="1:18" x14ac:dyDescent="0.2">
      <c r="A32" s="27">
        <v>260</v>
      </c>
      <c r="B32" s="12">
        <v>-11</v>
      </c>
      <c r="C32" s="3">
        <v>-10</v>
      </c>
      <c r="D32" s="3">
        <v>-9</v>
      </c>
      <c r="E32" s="3">
        <v>-9</v>
      </c>
      <c r="F32" s="3">
        <v>-8</v>
      </c>
      <c r="G32" s="3">
        <v>-8</v>
      </c>
      <c r="H32" s="3">
        <v>-8</v>
      </c>
      <c r="I32" s="3">
        <v>-8</v>
      </c>
      <c r="J32" s="3">
        <v>-8</v>
      </c>
      <c r="K32" s="3">
        <v>-9</v>
      </c>
      <c r="L32" s="3">
        <v>-9</v>
      </c>
      <c r="M32" s="3">
        <v>-10</v>
      </c>
      <c r="N32" s="3">
        <v>-11</v>
      </c>
      <c r="O32" s="27">
        <v>260</v>
      </c>
      <c r="P32" s="2"/>
      <c r="Q32" s="2"/>
      <c r="R32" s="2"/>
    </row>
    <row r="33" spans="1:18" x14ac:dyDescent="0.2">
      <c r="A33" s="27">
        <v>270</v>
      </c>
      <c r="B33" s="12">
        <v>-10</v>
      </c>
      <c r="C33" s="3">
        <v>-9</v>
      </c>
      <c r="D33" s="3">
        <v>-8</v>
      </c>
      <c r="E33" s="3">
        <v>-7</v>
      </c>
      <c r="F33" s="3">
        <v>-7</v>
      </c>
      <c r="G33" s="3">
        <v>-6</v>
      </c>
      <c r="H33" s="3">
        <v>-6</v>
      </c>
      <c r="I33" s="3">
        <v>-6</v>
      </c>
      <c r="J33" s="3">
        <v>-7</v>
      </c>
      <c r="K33" s="3">
        <v>-7</v>
      </c>
      <c r="L33" s="3">
        <v>-8</v>
      </c>
      <c r="M33" s="3">
        <v>-9</v>
      </c>
      <c r="N33" s="3">
        <v>-10</v>
      </c>
      <c r="O33" s="27">
        <v>270</v>
      </c>
      <c r="P33" s="2"/>
      <c r="Q33" s="2"/>
      <c r="R33" s="2"/>
    </row>
    <row r="34" spans="1:18" x14ac:dyDescent="0.2">
      <c r="A34" s="27">
        <v>280</v>
      </c>
      <c r="B34" s="12">
        <v>-9</v>
      </c>
      <c r="C34" s="3">
        <v>-8</v>
      </c>
      <c r="D34" s="3">
        <v>-7</v>
      </c>
      <c r="E34" s="3">
        <v>-5</v>
      </c>
      <c r="F34" s="3">
        <v>-5</v>
      </c>
      <c r="G34" s="3">
        <v>-4</v>
      </c>
      <c r="H34" s="3">
        <v>-4</v>
      </c>
      <c r="I34" s="3">
        <v>-4</v>
      </c>
      <c r="J34" s="3">
        <v>-5</v>
      </c>
      <c r="K34" s="3">
        <v>-5</v>
      </c>
      <c r="L34" s="3">
        <v>-7</v>
      </c>
      <c r="M34" s="3">
        <v>-8</v>
      </c>
      <c r="N34" s="3">
        <v>-9</v>
      </c>
      <c r="O34" s="27">
        <v>280</v>
      </c>
      <c r="P34" s="2"/>
      <c r="Q34" s="2"/>
      <c r="R34" s="2"/>
    </row>
    <row r="35" spans="1:18" x14ac:dyDescent="0.2">
      <c r="A35" s="27">
        <v>290</v>
      </c>
      <c r="B35" s="12">
        <v>-8</v>
      </c>
      <c r="C35" s="3">
        <v>-6</v>
      </c>
      <c r="D35" s="3">
        <v>-5</v>
      </c>
      <c r="E35" s="3">
        <v>-3</v>
      </c>
      <c r="F35" s="3">
        <v>-3</v>
      </c>
      <c r="G35" s="3">
        <v>-2</v>
      </c>
      <c r="H35" s="3">
        <v>-2</v>
      </c>
      <c r="I35" s="3">
        <v>-2</v>
      </c>
      <c r="J35" s="3">
        <v>-3</v>
      </c>
      <c r="K35" s="3">
        <v>-3</v>
      </c>
      <c r="L35" s="3">
        <v>-5</v>
      </c>
      <c r="M35" s="3">
        <v>-6</v>
      </c>
      <c r="N35" s="3">
        <v>-8</v>
      </c>
      <c r="O35" s="27">
        <v>290</v>
      </c>
      <c r="P35" s="2"/>
      <c r="Q35" s="2"/>
      <c r="R35" s="2"/>
    </row>
    <row r="36" spans="1:18" x14ac:dyDescent="0.2">
      <c r="A36" s="27">
        <v>300</v>
      </c>
      <c r="B36" s="12">
        <v>-6</v>
      </c>
      <c r="C36" s="3">
        <v>-4</v>
      </c>
      <c r="D36" s="3">
        <v>-3</v>
      </c>
      <c r="E36" s="3">
        <v>-1</v>
      </c>
      <c r="F36" s="3">
        <v>-1</v>
      </c>
      <c r="G36" s="3">
        <v>0</v>
      </c>
      <c r="H36" s="3">
        <v>0</v>
      </c>
      <c r="I36" s="3">
        <v>0</v>
      </c>
      <c r="J36" s="3">
        <v>-1</v>
      </c>
      <c r="K36" s="3">
        <v>-1</v>
      </c>
      <c r="L36" s="3">
        <v>-3</v>
      </c>
      <c r="M36" s="3">
        <v>-4</v>
      </c>
      <c r="N36" s="3">
        <v>-6</v>
      </c>
      <c r="O36" s="27">
        <v>300</v>
      </c>
      <c r="P36" s="2"/>
      <c r="Q36" s="2"/>
      <c r="R36" s="2"/>
    </row>
    <row r="37" spans="1:18" x14ac:dyDescent="0.2">
      <c r="A37" s="27">
        <v>310</v>
      </c>
      <c r="B37" s="12">
        <v>-4</v>
      </c>
      <c r="C37" s="3">
        <v>-2</v>
      </c>
      <c r="D37" s="3">
        <v>-1</v>
      </c>
      <c r="E37" s="3">
        <v>1</v>
      </c>
      <c r="F37" s="3">
        <v>2</v>
      </c>
      <c r="G37" s="3">
        <v>3</v>
      </c>
      <c r="H37" s="3">
        <v>3</v>
      </c>
      <c r="I37" s="3">
        <v>3</v>
      </c>
      <c r="J37" s="3">
        <v>2</v>
      </c>
      <c r="K37" s="3">
        <v>1</v>
      </c>
      <c r="L37" s="3">
        <v>-1</v>
      </c>
      <c r="M37" s="3">
        <v>-2</v>
      </c>
      <c r="N37" s="3">
        <v>-4</v>
      </c>
      <c r="O37" s="27">
        <v>310</v>
      </c>
      <c r="P37" s="2"/>
      <c r="Q37" s="2"/>
      <c r="R37" s="2"/>
    </row>
    <row r="38" spans="1:18" x14ac:dyDescent="0.2">
      <c r="A38" s="27">
        <v>320</v>
      </c>
      <c r="B38" s="12">
        <v>-2</v>
      </c>
      <c r="C38" s="3">
        <v>0</v>
      </c>
      <c r="D38" s="4">
        <v>2</v>
      </c>
      <c r="E38" s="4">
        <v>4</v>
      </c>
      <c r="F38" s="4">
        <v>5</v>
      </c>
      <c r="G38" s="4">
        <v>6</v>
      </c>
      <c r="H38" s="4">
        <v>6</v>
      </c>
      <c r="I38" s="4">
        <v>6</v>
      </c>
      <c r="J38" s="4">
        <v>5</v>
      </c>
      <c r="K38" s="4">
        <v>4</v>
      </c>
      <c r="L38" s="4">
        <v>2</v>
      </c>
      <c r="M38" s="4">
        <v>0</v>
      </c>
      <c r="N38" s="3">
        <v>-2</v>
      </c>
      <c r="O38" s="27">
        <v>320</v>
      </c>
      <c r="P38" s="2"/>
      <c r="Q38" s="2"/>
      <c r="R38" s="2"/>
    </row>
    <row r="39" spans="1:18" x14ac:dyDescent="0.2">
      <c r="A39" s="27">
        <v>330</v>
      </c>
      <c r="B39" s="25">
        <v>0</v>
      </c>
      <c r="C39" s="4">
        <v>3</v>
      </c>
      <c r="D39" s="4">
        <v>5</v>
      </c>
      <c r="E39" s="4">
        <v>7</v>
      </c>
      <c r="F39" s="4">
        <v>8</v>
      </c>
      <c r="G39" s="4">
        <v>9</v>
      </c>
      <c r="H39" s="4">
        <v>9</v>
      </c>
      <c r="I39" s="4">
        <v>9</v>
      </c>
      <c r="J39" s="4">
        <v>8</v>
      </c>
      <c r="K39" s="4">
        <v>7</v>
      </c>
      <c r="L39" s="4">
        <v>5</v>
      </c>
      <c r="M39" s="4">
        <v>3</v>
      </c>
      <c r="N39" s="4">
        <v>0</v>
      </c>
      <c r="O39" s="27">
        <v>330</v>
      </c>
      <c r="P39" s="2"/>
      <c r="Q39" s="2"/>
      <c r="R39" s="2"/>
    </row>
    <row r="40" spans="1:18" x14ac:dyDescent="0.2">
      <c r="A40" s="27">
        <v>340</v>
      </c>
      <c r="B40" s="25">
        <v>3</v>
      </c>
      <c r="C40" s="4">
        <v>6</v>
      </c>
      <c r="D40" s="4">
        <v>8</v>
      </c>
      <c r="E40" s="4">
        <v>10</v>
      </c>
      <c r="F40" s="4">
        <v>11</v>
      </c>
      <c r="G40" s="4">
        <v>12</v>
      </c>
      <c r="H40" s="4">
        <v>12</v>
      </c>
      <c r="I40" s="4">
        <v>12</v>
      </c>
      <c r="J40" s="4">
        <v>11</v>
      </c>
      <c r="K40" s="4">
        <v>10</v>
      </c>
      <c r="L40" s="4">
        <v>8</v>
      </c>
      <c r="M40" s="4">
        <v>6</v>
      </c>
      <c r="N40" s="4">
        <v>3</v>
      </c>
      <c r="O40" s="27">
        <v>340</v>
      </c>
      <c r="P40" s="2"/>
      <c r="Q40" s="2"/>
      <c r="R40" s="2"/>
    </row>
    <row r="41" spans="1:18" x14ac:dyDescent="0.2">
      <c r="A41" s="27">
        <v>350</v>
      </c>
      <c r="B41" s="25">
        <v>6</v>
      </c>
      <c r="C41" s="4">
        <v>9</v>
      </c>
      <c r="D41" s="4">
        <v>11</v>
      </c>
      <c r="E41" s="4">
        <v>13</v>
      </c>
      <c r="F41" s="4">
        <v>15</v>
      </c>
      <c r="G41" s="4">
        <v>16</v>
      </c>
      <c r="H41" s="4">
        <v>16</v>
      </c>
      <c r="I41" s="4">
        <v>16</v>
      </c>
      <c r="J41" s="4">
        <v>15</v>
      </c>
      <c r="K41" s="4">
        <v>13</v>
      </c>
      <c r="L41" s="4">
        <v>11</v>
      </c>
      <c r="M41" s="4">
        <v>9</v>
      </c>
      <c r="N41" s="4">
        <v>6</v>
      </c>
      <c r="O41" s="27">
        <v>350</v>
      </c>
      <c r="P41" s="2"/>
      <c r="Q41" s="2"/>
      <c r="R41" s="2"/>
    </row>
    <row r="42" spans="1:18" x14ac:dyDescent="0.2">
      <c r="A42" s="27">
        <v>360</v>
      </c>
      <c r="B42" s="25">
        <v>9</v>
      </c>
      <c r="C42" s="4">
        <v>12</v>
      </c>
      <c r="D42" s="4">
        <v>15</v>
      </c>
      <c r="E42" s="4">
        <v>17</v>
      </c>
      <c r="F42" s="4">
        <v>18</v>
      </c>
      <c r="G42" s="4">
        <v>19</v>
      </c>
      <c r="H42" s="4">
        <v>19</v>
      </c>
      <c r="I42" s="4">
        <v>19</v>
      </c>
      <c r="J42" s="4">
        <v>18</v>
      </c>
      <c r="K42" s="4">
        <v>17</v>
      </c>
      <c r="L42" s="4">
        <v>15</v>
      </c>
      <c r="M42" s="4">
        <v>12</v>
      </c>
      <c r="N42" s="4">
        <v>9</v>
      </c>
      <c r="O42" s="27">
        <v>360</v>
      </c>
      <c r="P42" s="2"/>
      <c r="Q42" s="2"/>
      <c r="R42" s="2"/>
    </row>
    <row r="43" spans="1:18" x14ac:dyDescent="0.2">
      <c r="A43" s="27">
        <v>370</v>
      </c>
      <c r="B43" s="25">
        <v>12</v>
      </c>
      <c r="C43" s="4">
        <v>16</v>
      </c>
      <c r="D43" s="4">
        <v>18</v>
      </c>
      <c r="E43" s="4">
        <v>20</v>
      </c>
      <c r="F43" s="4">
        <v>22</v>
      </c>
      <c r="G43" s="4">
        <v>23</v>
      </c>
      <c r="H43" s="4">
        <v>23</v>
      </c>
      <c r="I43" s="4">
        <v>23</v>
      </c>
      <c r="J43" s="4">
        <v>22</v>
      </c>
      <c r="K43" s="4">
        <v>20</v>
      </c>
      <c r="L43" s="4">
        <v>18</v>
      </c>
      <c r="M43" s="4">
        <v>16</v>
      </c>
      <c r="N43" s="4">
        <v>12</v>
      </c>
      <c r="O43" s="27">
        <v>370</v>
      </c>
      <c r="P43" s="2"/>
      <c r="Q43" s="2"/>
      <c r="R43" s="2"/>
    </row>
    <row r="44" spans="1:18" x14ac:dyDescent="0.2">
      <c r="A44" s="27">
        <v>380</v>
      </c>
      <c r="B44" s="25">
        <v>16</v>
      </c>
      <c r="C44" s="4">
        <v>19</v>
      </c>
      <c r="D44" s="4">
        <v>22</v>
      </c>
      <c r="E44" s="4">
        <v>24</v>
      </c>
      <c r="F44" s="4">
        <v>26</v>
      </c>
      <c r="G44" s="4">
        <v>28</v>
      </c>
      <c r="H44" s="4">
        <v>28</v>
      </c>
      <c r="I44" s="4">
        <v>28</v>
      </c>
      <c r="J44" s="4">
        <v>26</v>
      </c>
      <c r="K44" s="4">
        <v>24</v>
      </c>
      <c r="L44" s="4">
        <v>22</v>
      </c>
      <c r="M44" s="4">
        <v>19</v>
      </c>
      <c r="N44" s="4">
        <v>16</v>
      </c>
      <c r="O44" s="27">
        <v>380</v>
      </c>
      <c r="P44" s="2"/>
      <c r="Q44" s="2"/>
      <c r="R44" s="2"/>
    </row>
    <row r="45" spans="1:18" x14ac:dyDescent="0.2">
      <c r="A45" s="27">
        <v>390</v>
      </c>
      <c r="B45" s="25">
        <v>19</v>
      </c>
      <c r="C45" s="4">
        <v>23</v>
      </c>
      <c r="D45" s="4">
        <v>26</v>
      </c>
      <c r="E45" s="4">
        <v>29</v>
      </c>
      <c r="F45" s="4">
        <v>31</v>
      </c>
      <c r="G45" s="4">
        <v>32</v>
      </c>
      <c r="H45" s="4">
        <v>32</v>
      </c>
      <c r="I45" s="4">
        <v>32</v>
      </c>
      <c r="J45" s="4">
        <v>31</v>
      </c>
      <c r="K45" s="4">
        <v>29</v>
      </c>
      <c r="L45" s="4">
        <v>26</v>
      </c>
      <c r="M45" s="4">
        <v>23</v>
      </c>
      <c r="N45" s="4">
        <v>19</v>
      </c>
      <c r="O45" s="27">
        <v>390</v>
      </c>
      <c r="P45" s="2"/>
      <c r="Q45" s="2"/>
      <c r="R45" s="2"/>
    </row>
    <row r="46" spans="1:18" x14ac:dyDescent="0.2">
      <c r="A46" s="27">
        <v>400</v>
      </c>
      <c r="B46" s="25">
        <v>23</v>
      </c>
      <c r="C46" s="4">
        <v>28</v>
      </c>
      <c r="D46" s="4">
        <v>31</v>
      </c>
      <c r="E46" s="4">
        <v>33</v>
      </c>
      <c r="F46" s="4">
        <v>35</v>
      </c>
      <c r="G46" s="4">
        <v>37</v>
      </c>
      <c r="H46" s="4">
        <v>37</v>
      </c>
      <c r="I46" s="4">
        <v>37</v>
      </c>
      <c r="J46" s="4">
        <v>35</v>
      </c>
      <c r="K46" s="4">
        <v>33</v>
      </c>
      <c r="L46" s="4">
        <v>31</v>
      </c>
      <c r="M46" s="4">
        <v>28</v>
      </c>
      <c r="N46" s="4">
        <v>23</v>
      </c>
      <c r="O46" s="27">
        <v>400</v>
      </c>
      <c r="P46" s="2"/>
      <c r="Q46" s="2"/>
      <c r="R46" s="2"/>
    </row>
    <row r="47" spans="1:18" x14ac:dyDescent="0.2">
      <c r="A47" s="27">
        <v>410</v>
      </c>
      <c r="B47" s="25">
        <v>28</v>
      </c>
      <c r="C47" s="4">
        <v>32</v>
      </c>
      <c r="D47" s="4">
        <v>35</v>
      </c>
      <c r="E47" s="4">
        <v>38</v>
      </c>
      <c r="F47" s="4">
        <v>40</v>
      </c>
      <c r="G47" s="4">
        <v>42</v>
      </c>
      <c r="H47" s="4">
        <v>42</v>
      </c>
      <c r="I47" s="4">
        <v>42</v>
      </c>
      <c r="J47" s="4">
        <v>40</v>
      </c>
      <c r="K47" s="4">
        <v>38</v>
      </c>
      <c r="L47" s="4">
        <v>35</v>
      </c>
      <c r="M47" s="4">
        <v>32</v>
      </c>
      <c r="N47" s="4">
        <v>28</v>
      </c>
      <c r="O47" s="27">
        <v>410</v>
      </c>
      <c r="P47" s="2"/>
      <c r="Q47" s="2"/>
      <c r="R47" s="2"/>
    </row>
    <row r="48" spans="1:18" x14ac:dyDescent="0.2">
      <c r="A48" s="27">
        <v>420</v>
      </c>
      <c r="B48" s="25">
        <v>32</v>
      </c>
      <c r="C48" s="4">
        <v>37</v>
      </c>
      <c r="D48" s="4">
        <v>40</v>
      </c>
      <c r="E48" s="4">
        <v>44</v>
      </c>
      <c r="F48" s="4">
        <v>46</v>
      </c>
      <c r="G48" s="4">
        <v>48</v>
      </c>
      <c r="H48" s="4">
        <v>48</v>
      </c>
      <c r="I48" s="4">
        <v>48</v>
      </c>
      <c r="J48" s="4">
        <v>46</v>
      </c>
      <c r="K48" s="4">
        <v>44</v>
      </c>
      <c r="L48" s="4">
        <v>40</v>
      </c>
      <c r="M48" s="4">
        <v>37</v>
      </c>
      <c r="N48" s="4">
        <v>32</v>
      </c>
      <c r="O48" s="27">
        <v>420</v>
      </c>
      <c r="P48" s="2"/>
      <c r="Q48" s="2"/>
      <c r="R48" s="2"/>
    </row>
    <row r="49" spans="1:18" x14ac:dyDescent="0.2">
      <c r="A49" s="27">
        <v>430</v>
      </c>
      <c r="B49" s="25">
        <v>37</v>
      </c>
      <c r="C49" s="4">
        <v>42</v>
      </c>
      <c r="D49" s="4">
        <v>46</v>
      </c>
      <c r="E49" s="4">
        <v>50</v>
      </c>
      <c r="F49" s="4">
        <v>51</v>
      </c>
      <c r="G49" s="4">
        <v>53</v>
      </c>
      <c r="H49" s="4">
        <v>53</v>
      </c>
      <c r="I49" s="4">
        <v>53</v>
      </c>
      <c r="J49" s="4">
        <v>51</v>
      </c>
      <c r="K49" s="4">
        <v>50</v>
      </c>
      <c r="L49" s="4">
        <v>46</v>
      </c>
      <c r="M49" s="4">
        <v>42</v>
      </c>
      <c r="N49" s="4">
        <v>37</v>
      </c>
      <c r="O49" s="27">
        <v>430</v>
      </c>
      <c r="P49" s="2"/>
      <c r="Q49" s="2"/>
      <c r="R49" s="2"/>
    </row>
    <row r="50" spans="1:18" x14ac:dyDescent="0.2">
      <c r="A50" s="27">
        <v>440</v>
      </c>
      <c r="B50" s="25">
        <v>42</v>
      </c>
      <c r="C50" s="4">
        <v>48</v>
      </c>
      <c r="D50" s="4">
        <v>51</v>
      </c>
      <c r="E50" s="4">
        <v>55</v>
      </c>
      <c r="F50" s="4">
        <v>57</v>
      </c>
      <c r="G50" s="4">
        <v>59</v>
      </c>
      <c r="H50" s="4">
        <v>59</v>
      </c>
      <c r="I50" s="4">
        <v>59</v>
      </c>
      <c r="J50" s="4">
        <v>57</v>
      </c>
      <c r="K50" s="4">
        <v>55</v>
      </c>
      <c r="L50" s="4">
        <v>51</v>
      </c>
      <c r="M50" s="4">
        <v>48</v>
      </c>
      <c r="N50" s="4">
        <v>42</v>
      </c>
      <c r="O50" s="27">
        <v>440</v>
      </c>
      <c r="P50" s="2"/>
      <c r="Q50" s="2"/>
      <c r="R50" s="2"/>
    </row>
    <row r="51" spans="1:18" x14ac:dyDescent="0.2">
      <c r="A51" s="27">
        <v>450</v>
      </c>
      <c r="B51" s="25">
        <v>48</v>
      </c>
      <c r="C51" s="4">
        <v>53</v>
      </c>
      <c r="D51" s="4">
        <v>57</v>
      </c>
      <c r="E51" s="4">
        <v>61</v>
      </c>
      <c r="F51" s="4">
        <v>62</v>
      </c>
      <c r="G51" s="4">
        <v>64</v>
      </c>
      <c r="H51" s="4">
        <v>64</v>
      </c>
      <c r="I51" s="4">
        <v>64</v>
      </c>
      <c r="J51" s="4">
        <v>62</v>
      </c>
      <c r="K51" s="4">
        <v>61</v>
      </c>
      <c r="L51" s="4">
        <v>57</v>
      </c>
      <c r="M51" s="4">
        <v>53</v>
      </c>
      <c r="N51" s="4">
        <v>48</v>
      </c>
      <c r="O51" s="27">
        <v>450</v>
      </c>
      <c r="P51" s="2"/>
      <c r="Q51" s="2"/>
      <c r="R51" s="2"/>
    </row>
    <row r="52" spans="1:18" x14ac:dyDescent="0.2">
      <c r="A52" s="27">
        <v>460</v>
      </c>
      <c r="B52" s="25">
        <v>53</v>
      </c>
      <c r="C52" s="4">
        <v>59</v>
      </c>
      <c r="D52" s="4">
        <v>62</v>
      </c>
      <c r="E52" s="4">
        <v>66</v>
      </c>
      <c r="F52" s="4">
        <v>68</v>
      </c>
      <c r="G52" s="4">
        <v>70</v>
      </c>
      <c r="H52" s="4">
        <v>70</v>
      </c>
      <c r="I52" s="4">
        <v>70</v>
      </c>
      <c r="J52" s="4">
        <v>68</v>
      </c>
      <c r="K52" s="4">
        <v>66</v>
      </c>
      <c r="L52" s="4">
        <v>62</v>
      </c>
      <c r="M52" s="4">
        <v>59</v>
      </c>
      <c r="N52" s="4">
        <v>52</v>
      </c>
      <c r="O52" s="27">
        <v>460</v>
      </c>
      <c r="P52" s="2"/>
      <c r="Q52" s="2"/>
      <c r="R52" s="2"/>
    </row>
    <row r="53" spans="1:18" x14ac:dyDescent="0.2">
      <c r="A53" s="27">
        <v>470</v>
      </c>
      <c r="B53" s="25">
        <v>59</v>
      </c>
      <c r="C53" s="4">
        <v>64</v>
      </c>
      <c r="D53" s="4">
        <v>68</v>
      </c>
      <c r="E53" s="4">
        <v>72</v>
      </c>
      <c r="F53" s="4">
        <v>75</v>
      </c>
      <c r="G53" s="4">
        <v>77</v>
      </c>
      <c r="H53" s="4">
        <v>77</v>
      </c>
      <c r="I53" s="4">
        <v>77</v>
      </c>
      <c r="J53" s="4">
        <v>75</v>
      </c>
      <c r="K53" s="4">
        <v>72</v>
      </c>
      <c r="L53" s="4">
        <v>68</v>
      </c>
      <c r="M53" s="4">
        <v>64</v>
      </c>
      <c r="N53" s="4">
        <v>59</v>
      </c>
      <c r="O53" s="27">
        <v>470</v>
      </c>
      <c r="P53" s="2"/>
      <c r="Q53" s="2"/>
      <c r="R53" s="2"/>
    </row>
    <row r="54" spans="1:18" x14ac:dyDescent="0.2">
      <c r="A54" s="27">
        <v>480</v>
      </c>
      <c r="B54" s="25">
        <v>64</v>
      </c>
      <c r="C54" s="4">
        <v>70</v>
      </c>
      <c r="D54" s="4">
        <v>75</v>
      </c>
      <c r="E54" s="4">
        <v>79</v>
      </c>
      <c r="F54" s="4">
        <v>82</v>
      </c>
      <c r="G54" s="4">
        <v>84</v>
      </c>
      <c r="H54" s="4">
        <v>84</v>
      </c>
      <c r="I54" s="4">
        <v>84</v>
      </c>
      <c r="J54" s="4">
        <v>82</v>
      </c>
      <c r="K54" s="4">
        <v>79</v>
      </c>
      <c r="L54" s="4">
        <v>75</v>
      </c>
      <c r="M54" s="4">
        <v>70</v>
      </c>
      <c r="N54" s="4">
        <v>64</v>
      </c>
      <c r="O54" s="27">
        <v>480</v>
      </c>
      <c r="P54" s="2"/>
      <c r="Q54" s="2"/>
      <c r="R54" s="2"/>
    </row>
    <row r="55" spans="1:18" x14ac:dyDescent="0.2">
      <c r="A55" s="27">
        <v>490</v>
      </c>
      <c r="B55" s="25">
        <v>70</v>
      </c>
      <c r="C55" s="4">
        <v>77</v>
      </c>
      <c r="D55" s="4">
        <v>82</v>
      </c>
      <c r="E55" s="4">
        <v>86</v>
      </c>
      <c r="F55" s="4">
        <v>89</v>
      </c>
      <c r="G55" s="4">
        <v>91</v>
      </c>
      <c r="H55" s="4">
        <v>91</v>
      </c>
      <c r="I55" s="4">
        <v>91</v>
      </c>
      <c r="J55" s="4">
        <v>89</v>
      </c>
      <c r="K55" s="4">
        <v>86</v>
      </c>
      <c r="L55" s="4">
        <v>82</v>
      </c>
      <c r="M55" s="4">
        <v>77</v>
      </c>
      <c r="N55" s="4">
        <v>70</v>
      </c>
      <c r="O55" s="27">
        <v>490</v>
      </c>
      <c r="P55" s="2"/>
      <c r="Q55" s="2"/>
      <c r="R55" s="2"/>
    </row>
    <row r="56" spans="1:18" ht="13.5" thickBot="1" x14ac:dyDescent="0.25">
      <c r="A56" s="27">
        <v>500</v>
      </c>
      <c r="B56" s="25">
        <v>77</v>
      </c>
      <c r="C56" s="4">
        <v>84</v>
      </c>
      <c r="D56" s="4">
        <v>89</v>
      </c>
      <c r="E56" s="4">
        <v>93</v>
      </c>
      <c r="F56" s="4">
        <v>96</v>
      </c>
      <c r="G56" s="4">
        <v>98</v>
      </c>
      <c r="H56" s="4">
        <v>98</v>
      </c>
      <c r="I56" s="4">
        <v>98</v>
      </c>
      <c r="J56" s="4">
        <v>96</v>
      </c>
      <c r="K56" s="4">
        <v>93</v>
      </c>
      <c r="L56" s="4">
        <v>89</v>
      </c>
      <c r="M56" s="4">
        <v>84</v>
      </c>
      <c r="N56" s="4">
        <v>77</v>
      </c>
      <c r="O56" s="27">
        <v>500</v>
      </c>
      <c r="P56" s="2"/>
      <c r="Q56" s="2"/>
      <c r="R56" s="2"/>
    </row>
    <row r="57" spans="1:18" x14ac:dyDescent="0.2">
      <c r="A57" s="33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5"/>
    </row>
    <row r="58" spans="1:18" x14ac:dyDescent="0.2">
      <c r="A58" s="36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37"/>
    </row>
    <row r="59" spans="1:18" x14ac:dyDescent="0.2">
      <c r="A59" s="36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37"/>
    </row>
    <row r="60" spans="1:18" x14ac:dyDescent="0.2">
      <c r="A60" s="36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37"/>
    </row>
    <row r="61" spans="1:18" ht="13.5" thickBot="1" x14ac:dyDescent="0.25">
      <c r="A61" s="38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40"/>
    </row>
  </sheetData>
  <pageMargins left="0.24" right="0.24" top="0.3" bottom="0.22" header="0.28000000000000003" footer="0.25"/>
  <pageSetup paperSize="9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rintOptions gridLines="1" gridLinesSet="0"/>
  <pageMargins left="0.78740157499999996" right="0.78740157499999996" top="0.984251969" bottom="0.984251969" header="0.4921259845" footer="0.492125984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16</vt:i4>
      </vt:variant>
    </vt:vector>
  </HeadingPairs>
  <TitlesOfParts>
    <vt:vector size="16" baseType="lpstr">
      <vt:lpstr>Feuil1</vt:lpstr>
      <vt:lpstr>Feuil2</vt:lpstr>
      <vt:lpstr>Feuil3</vt:lpstr>
      <vt:lpstr>Feuil4</vt:lpstr>
      <vt:lpstr>Feuil5</vt:lpstr>
      <vt:lpstr>Feuil6</vt:lpstr>
      <vt:lpstr>Feuil7</vt:lpstr>
      <vt:lpstr>Feuil8</vt:lpstr>
      <vt:lpstr>Feuil9</vt:lpstr>
      <vt:lpstr>Feuil10</vt:lpstr>
      <vt:lpstr>Feuil11</vt:lpstr>
      <vt:lpstr>Feuil12</vt:lpstr>
      <vt:lpstr>Feuil13</vt:lpstr>
      <vt:lpstr>Feuil14</vt:lpstr>
      <vt:lpstr>Feuil15</vt:lpstr>
      <vt:lpstr>Feuil16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projection</dc:title>
  <dc:creator>T W C</dc:creator>
  <cp:lastModifiedBy>fc1</cp:lastModifiedBy>
  <dcterms:created xsi:type="dcterms:W3CDTF">1999-11-15T06:14:50Z</dcterms:created>
  <dcterms:modified xsi:type="dcterms:W3CDTF">2011-06-04T09:40:06Z</dcterms:modified>
</cp:coreProperties>
</file>