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915" windowHeight="8505"/>
  </bookViews>
  <sheets>
    <sheet name="Feuil1" sheetId="1" r:id="rId1"/>
    <sheet name="Feuil2" sheetId="2" r:id="rId2"/>
    <sheet name="Feuil3" sheetId="3" r:id="rId3"/>
  </sheets>
  <calcPr calcId="144525"/>
</workbook>
</file>

<file path=xl/calcChain.xml><?xml version="1.0" encoding="utf-8"?>
<calcChain xmlns="http://schemas.openxmlformats.org/spreadsheetml/2006/main">
  <c r="E38" i="1" l="1"/>
  <c r="A38" i="1"/>
  <c r="E32" i="1"/>
  <c r="E35" i="1" s="1"/>
  <c r="A32" i="1"/>
  <c r="A35" i="1" s="1"/>
  <c r="E27" i="1"/>
  <c r="E41" i="1" l="1"/>
  <c r="A41" i="1"/>
  <c r="H37" i="1"/>
  <c r="H38" i="1" s="1"/>
</calcChain>
</file>

<file path=xl/sharedStrings.xml><?xml version="1.0" encoding="utf-8"?>
<sst xmlns="http://schemas.openxmlformats.org/spreadsheetml/2006/main" count="61" uniqueCount="54">
  <si>
    <t xml:space="preserve">2 Clothoide tangentes en T (courbe en S) partant d'un cercle C1 pour aller vers C2 </t>
  </si>
  <si>
    <t>Le cercle C1 est le premier cercle rencontré dans le sens du projet- Le signe est positif(+) si à droite axe projet</t>
  </si>
  <si>
    <t>Le cercle C2 est le deuxieme cercle rencontré dans le sens du projet - Le signe est négatif (n) si à gauche de l'axe</t>
  </si>
  <si>
    <t>Si enchainement d'un cercle C1&lt;0 vers C2&gt;0, cas n°n, taper n case H22</t>
  </si>
  <si>
    <t>Si enchainement d'un cercle C1&gt;0 vers C2&lt;0, cas n°p, taper p case H22</t>
  </si>
  <si>
    <t>Elements cercle C1</t>
  </si>
  <si>
    <t>Elements clothoide 1 (du pt T1 de C1 vers T)</t>
  </si>
  <si>
    <t>Centre C1</t>
  </si>
  <si>
    <t>XC1</t>
  </si>
  <si>
    <t>longueur element</t>
  </si>
  <si>
    <t>L1</t>
  </si>
  <si>
    <t>YC1</t>
  </si>
  <si>
    <t>parametre</t>
  </si>
  <si>
    <t>A1</t>
  </si>
  <si>
    <t>Pt de tangence T1</t>
  </si>
  <si>
    <t>XT1</t>
  </si>
  <si>
    <t>YT1</t>
  </si>
  <si>
    <t>Elements cercle C2</t>
  </si>
  <si>
    <t>Elements clothoide 2 (du pt T2 de C2 vers T)</t>
  </si>
  <si>
    <t>Centre C2</t>
  </si>
  <si>
    <t>XC2</t>
  </si>
  <si>
    <t>L2</t>
  </si>
  <si>
    <t>YC2</t>
  </si>
  <si>
    <t>A2</t>
  </si>
  <si>
    <t>Pt de tangence T2</t>
  </si>
  <si>
    <t>XT2</t>
  </si>
  <si>
    <t>YT2</t>
  </si>
  <si>
    <t>Cas n°  (n ou p)</t>
  </si>
  <si>
    <t>n</t>
  </si>
  <si>
    <t>Zone de calcul automatique</t>
  </si>
  <si>
    <t>Gist T1 sur T2 (verif si les tangentes sont dans sens projet)</t>
  </si>
  <si>
    <t>Calcul gisement issu cercle 1</t>
  </si>
  <si>
    <t>Calcul gisement issu cercle 2</t>
  </si>
  <si>
    <t>Calcul du gisement en gr de la normale en T1</t>
  </si>
  <si>
    <t>Calcul du gisement en gr de la normale en T2</t>
  </si>
  <si>
    <t>Calcul gisement gr tangente en T1</t>
  </si>
  <si>
    <t xml:space="preserve">Calcul gisement gr tangente en T2 </t>
  </si>
  <si>
    <t>Ecart entre gisements issu C1 et C2</t>
  </si>
  <si>
    <t>est modulo 200gr en theorie</t>
  </si>
  <si>
    <t>Calcul de To1en gr</t>
  </si>
  <si>
    <t>(100xL1xL1)/(pixA1xA1)</t>
  </si>
  <si>
    <t>Calcul de To2 en gr</t>
  </si>
  <si>
    <t>(100xL2xL2)/(pixA2xA2)</t>
  </si>
  <si>
    <t>Calc gismt gr tang en T</t>
  </si>
  <si>
    <t>On retient gist tang en T sens projet</t>
  </si>
  <si>
    <t>grades</t>
  </si>
  <si>
    <t>C2</t>
  </si>
  <si>
    <t>T2</t>
  </si>
  <si>
    <t>To1</t>
  </si>
  <si>
    <t>T</t>
  </si>
  <si>
    <t>To2</t>
  </si>
  <si>
    <t>T1</t>
  </si>
  <si>
    <t>C1</t>
  </si>
  <si>
    <t>Sens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</si>
</sst>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57"/>
      <name val="Arial"/>
      <family val="2"/>
    </font>
    <font>
      <b/>
      <sz val="9"/>
      <name val="Arial"/>
      <family val="2"/>
    </font>
    <font>
      <sz val="10"/>
      <color indexed="53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0" fillId="0" borderId="0" xfId="0" applyProtection="1">
      <protection locked="0"/>
    </xf>
    <xf numFmtId="0" fontId="1" fillId="0" borderId="1" xfId="0" applyFont="1" applyBorder="1" applyProtection="1"/>
    <xf numFmtId="0" fontId="0" fillId="0" borderId="2" xfId="0" applyBorder="1" applyProtection="1"/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/>
    <xf numFmtId="0" fontId="0" fillId="0" borderId="0" xfId="0" applyBorder="1" applyProtection="1"/>
    <xf numFmtId="0" fontId="0" fillId="0" borderId="5" xfId="0" applyBorder="1" applyProtection="1">
      <protection locked="0"/>
    </xf>
    <xf numFmtId="0" fontId="0" fillId="0" borderId="6" xfId="0" applyBorder="1" applyProtection="1"/>
    <xf numFmtId="0" fontId="0" fillId="0" borderId="7" xfId="0" applyBorder="1" applyAlignment="1" applyProtection="1">
      <alignment horizontal="center"/>
    </xf>
    <xf numFmtId="164" fontId="0" fillId="0" borderId="8" xfId="0" applyNumberFormat="1" applyBorder="1" applyProtection="1">
      <protection locked="0"/>
    </xf>
    <xf numFmtId="0" fontId="0" fillId="0" borderId="9" xfId="0" applyBorder="1" applyProtection="1"/>
    <xf numFmtId="0" fontId="0" fillId="0" borderId="10" xfId="0" applyBorder="1" applyAlignment="1" applyProtection="1">
      <alignment horizontal="center"/>
    </xf>
    <xf numFmtId="165" fontId="0" fillId="0" borderId="11" xfId="0" applyNumberFormat="1" applyBorder="1" applyProtection="1">
      <protection locked="0"/>
    </xf>
    <xf numFmtId="166" fontId="0" fillId="0" borderId="11" xfId="0" applyNumberFormat="1" applyBorder="1" applyProtection="1">
      <protection locked="0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>
      <protection locked="0"/>
    </xf>
    <xf numFmtId="0" fontId="0" fillId="0" borderId="13" xfId="0" applyBorder="1" applyAlignment="1" applyProtection="1">
      <alignment horizontal="center"/>
    </xf>
    <xf numFmtId="164" fontId="0" fillId="0" borderId="14" xfId="0" applyNumberFormat="1" applyBorder="1" applyProtection="1">
      <protection locked="0"/>
    </xf>
    <xf numFmtId="0" fontId="0" fillId="0" borderId="0" xfId="0" applyAlignment="1" applyProtection="1">
      <alignment horizontal="center"/>
    </xf>
    <xf numFmtId="164" fontId="0" fillId="0" borderId="0" xfId="0" applyNumberFormat="1" applyProtection="1">
      <protection locked="0"/>
    </xf>
    <xf numFmtId="0" fontId="0" fillId="0" borderId="2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164" fontId="0" fillId="0" borderId="5" xfId="0" applyNumberFormat="1" applyBorder="1" applyProtection="1">
      <protection locked="0"/>
    </xf>
    <xf numFmtId="0" fontId="0" fillId="0" borderId="15" xfId="0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3" fillId="0" borderId="16" xfId="0" applyFont="1" applyBorder="1" applyProtection="1">
      <protection locked="0"/>
    </xf>
    <xf numFmtId="0" fontId="4" fillId="0" borderId="0" xfId="0" applyFont="1"/>
    <xf numFmtId="2" fontId="4" fillId="0" borderId="0" xfId="0" applyNumberFormat="1" applyFont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6" fontId="0" fillId="0" borderId="4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166" fontId="0" fillId="0" borderId="0" xfId="0" applyNumberFormat="1"/>
    <xf numFmtId="0" fontId="0" fillId="0" borderId="1" xfId="0" applyBorder="1"/>
    <xf numFmtId="0" fontId="5" fillId="0" borderId="4" xfId="0" applyFont="1" applyBorder="1"/>
    <xf numFmtId="166" fontId="0" fillId="0" borderId="0" xfId="0" quotePrefix="1" applyNumberFormat="1" applyBorder="1"/>
    <xf numFmtId="166" fontId="5" fillId="0" borderId="4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5" fillId="0" borderId="4" xfId="0" applyFont="1" applyBorder="1" applyAlignment="1">
      <alignment horizontal="center"/>
    </xf>
    <xf numFmtId="166" fontId="6" fillId="0" borderId="4" xfId="0" applyNumberFormat="1" applyFont="1" applyBorder="1"/>
    <xf numFmtId="0" fontId="7" fillId="0" borderId="4" xfId="0" applyFont="1" applyBorder="1" applyAlignment="1">
      <alignment horizontal="left"/>
    </xf>
    <xf numFmtId="166" fontId="7" fillId="0" borderId="4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19</xdr:row>
      <xdr:rowOff>47625</xdr:rowOff>
    </xdr:from>
    <xdr:to>
      <xdr:col>7</xdr:col>
      <xdr:colOff>47625</xdr:colOff>
      <xdr:row>30</xdr:row>
      <xdr:rowOff>47625</xdr:rowOff>
    </xdr:to>
    <xdr:sp macro="" textlink="">
      <xdr:nvSpPr>
        <xdr:cNvPr id="15" name="Oval 1"/>
        <xdr:cNvSpPr>
          <a:spLocks noChangeArrowheads="1"/>
        </xdr:cNvSpPr>
      </xdr:nvSpPr>
      <xdr:spPr bwMode="auto">
        <a:xfrm>
          <a:off x="171450" y="3124200"/>
          <a:ext cx="1609725" cy="178117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15</xdr:col>
      <xdr:colOff>238125</xdr:colOff>
      <xdr:row>5</xdr:row>
      <xdr:rowOff>142875</xdr:rowOff>
    </xdr:from>
    <xdr:to>
      <xdr:col>22</xdr:col>
      <xdr:colOff>47625</xdr:colOff>
      <xdr:row>15</xdr:row>
      <xdr:rowOff>19050</xdr:rowOff>
    </xdr:to>
    <xdr:sp macro="" textlink="">
      <xdr:nvSpPr>
        <xdr:cNvPr id="16" name="Oval 2"/>
        <xdr:cNvSpPr>
          <a:spLocks noChangeArrowheads="1"/>
        </xdr:cNvSpPr>
      </xdr:nvSpPr>
      <xdr:spPr bwMode="auto">
        <a:xfrm>
          <a:off x="3952875" y="952500"/>
          <a:ext cx="1543050" cy="14954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190500</xdr:colOff>
      <xdr:row>14</xdr:row>
      <xdr:rowOff>57150</xdr:rowOff>
    </xdr:from>
    <xdr:to>
      <xdr:col>21</xdr:col>
      <xdr:colOff>180975</xdr:colOff>
      <xdr:row>20</xdr:row>
      <xdr:rowOff>104775</xdr:rowOff>
    </xdr:to>
    <xdr:sp macro="" textlink="">
      <xdr:nvSpPr>
        <xdr:cNvPr id="17" name="Line 3"/>
        <xdr:cNvSpPr>
          <a:spLocks noChangeShapeType="1"/>
        </xdr:cNvSpPr>
      </xdr:nvSpPr>
      <xdr:spPr bwMode="auto">
        <a:xfrm>
          <a:off x="438150" y="2324100"/>
          <a:ext cx="4943475" cy="10191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171450</xdr:colOff>
      <xdr:row>24</xdr:row>
      <xdr:rowOff>114300</xdr:rowOff>
    </xdr:from>
    <xdr:to>
      <xdr:col>4</xdr:col>
      <xdr:colOff>0</xdr:colOff>
      <xdr:row>25</xdr:row>
      <xdr:rowOff>28575</xdr:rowOff>
    </xdr:to>
    <xdr:sp macro="" textlink="">
      <xdr:nvSpPr>
        <xdr:cNvPr id="18" name="Oval 4"/>
        <xdr:cNvSpPr>
          <a:spLocks noChangeArrowheads="1"/>
        </xdr:cNvSpPr>
      </xdr:nvSpPr>
      <xdr:spPr bwMode="auto">
        <a:xfrm>
          <a:off x="914400" y="40005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200025</xdr:colOff>
      <xdr:row>10</xdr:row>
      <xdr:rowOff>66675</xdr:rowOff>
    </xdr:from>
    <xdr:to>
      <xdr:col>19</xdr:col>
      <xdr:colOff>28575</xdr:colOff>
      <xdr:row>10</xdr:row>
      <xdr:rowOff>142875</xdr:rowOff>
    </xdr:to>
    <xdr:sp macro="" textlink="">
      <xdr:nvSpPr>
        <xdr:cNvPr id="19" name="Oval 5"/>
        <xdr:cNvSpPr>
          <a:spLocks noChangeArrowheads="1"/>
        </xdr:cNvSpPr>
      </xdr:nvSpPr>
      <xdr:spPr bwMode="auto">
        <a:xfrm>
          <a:off x="4657725" y="1685925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123825</xdr:colOff>
      <xdr:row>14</xdr:row>
      <xdr:rowOff>38100</xdr:rowOff>
    </xdr:from>
    <xdr:to>
      <xdr:col>20</xdr:col>
      <xdr:colOff>200025</xdr:colOff>
      <xdr:row>14</xdr:row>
      <xdr:rowOff>114300</xdr:rowOff>
    </xdr:to>
    <xdr:sp macro="" textlink="">
      <xdr:nvSpPr>
        <xdr:cNvPr id="20" name="Oval 6"/>
        <xdr:cNvSpPr>
          <a:spLocks noChangeArrowheads="1"/>
        </xdr:cNvSpPr>
      </xdr:nvSpPr>
      <xdr:spPr bwMode="auto">
        <a:xfrm>
          <a:off x="5076825" y="230505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104775</xdr:colOff>
      <xdr:row>16</xdr:row>
      <xdr:rowOff>133350</xdr:rowOff>
    </xdr:from>
    <xdr:to>
      <xdr:col>10</xdr:col>
      <xdr:colOff>180975</xdr:colOff>
      <xdr:row>17</xdr:row>
      <xdr:rowOff>47625</xdr:rowOff>
    </xdr:to>
    <xdr:sp macro="" textlink="">
      <xdr:nvSpPr>
        <xdr:cNvPr id="21" name="Oval 7"/>
        <xdr:cNvSpPr>
          <a:spLocks noChangeArrowheads="1"/>
        </xdr:cNvSpPr>
      </xdr:nvSpPr>
      <xdr:spPr bwMode="auto">
        <a:xfrm>
          <a:off x="2581275" y="272415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20</xdr:row>
      <xdr:rowOff>152400</xdr:rowOff>
    </xdr:from>
    <xdr:to>
      <xdr:col>1</xdr:col>
      <xdr:colOff>152400</xdr:colOff>
      <xdr:row>21</xdr:row>
      <xdr:rowOff>66675</xdr:rowOff>
    </xdr:to>
    <xdr:sp macro="" textlink="">
      <xdr:nvSpPr>
        <xdr:cNvPr id="22" name="Oval 8"/>
        <xdr:cNvSpPr>
          <a:spLocks noChangeArrowheads="1"/>
        </xdr:cNvSpPr>
      </xdr:nvSpPr>
      <xdr:spPr bwMode="auto">
        <a:xfrm>
          <a:off x="323850" y="3390900"/>
          <a:ext cx="76200" cy="762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9525</xdr:colOff>
      <xdr:row>10</xdr:row>
      <xdr:rowOff>123825</xdr:rowOff>
    </xdr:from>
    <xdr:to>
      <xdr:col>20</xdr:col>
      <xdr:colOff>171450</xdr:colOff>
      <xdr:row>14</xdr:row>
      <xdr:rowOff>76200</xdr:rowOff>
    </xdr:to>
    <xdr:sp macro="" textlink="">
      <xdr:nvSpPr>
        <xdr:cNvPr id="23" name="Line 9"/>
        <xdr:cNvSpPr>
          <a:spLocks noChangeShapeType="1"/>
        </xdr:cNvSpPr>
      </xdr:nvSpPr>
      <xdr:spPr bwMode="auto">
        <a:xfrm flipH="1" flipV="1">
          <a:off x="4714875" y="1743075"/>
          <a:ext cx="409575" cy="600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114300</xdr:colOff>
      <xdr:row>12</xdr:row>
      <xdr:rowOff>104775</xdr:rowOff>
    </xdr:from>
    <xdr:to>
      <xdr:col>22</xdr:col>
      <xdr:colOff>238125</xdr:colOff>
      <xdr:row>19</xdr:row>
      <xdr:rowOff>152400</xdr:rowOff>
    </xdr:to>
    <xdr:sp macro="" textlink="">
      <xdr:nvSpPr>
        <xdr:cNvPr id="24" name="Line 11"/>
        <xdr:cNvSpPr>
          <a:spLocks noChangeShapeType="1"/>
        </xdr:cNvSpPr>
      </xdr:nvSpPr>
      <xdr:spPr bwMode="auto">
        <a:xfrm flipV="1">
          <a:off x="3581400" y="2047875"/>
          <a:ext cx="2105025" cy="1181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123825</xdr:colOff>
      <xdr:row>21</xdr:row>
      <xdr:rowOff>57150</xdr:rowOff>
    </xdr:from>
    <xdr:to>
      <xdr:col>3</xdr:col>
      <xdr:colOff>190500</xdr:colOff>
      <xdr:row>24</xdr:row>
      <xdr:rowOff>123825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>
          <a:off x="371475" y="3457575"/>
          <a:ext cx="561975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8</xdr:row>
      <xdr:rowOff>28575</xdr:rowOff>
    </xdr:from>
    <xdr:to>
      <xdr:col>8</xdr:col>
      <xdr:colOff>57150</xdr:colOff>
      <xdr:row>23</xdr:row>
      <xdr:rowOff>104775</xdr:rowOff>
    </xdr:to>
    <xdr:sp macro="" textlink="">
      <xdr:nvSpPr>
        <xdr:cNvPr id="26" name="Line 13"/>
        <xdr:cNvSpPr>
          <a:spLocks noChangeShapeType="1"/>
        </xdr:cNvSpPr>
      </xdr:nvSpPr>
      <xdr:spPr bwMode="auto">
        <a:xfrm flipV="1">
          <a:off x="28575" y="1323975"/>
          <a:ext cx="2009775" cy="2505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104775</xdr:colOff>
      <xdr:row>16</xdr:row>
      <xdr:rowOff>85725</xdr:rowOff>
    </xdr:from>
    <xdr:to>
      <xdr:col>28</xdr:col>
      <xdr:colOff>104775</xdr:colOff>
      <xdr:row>29</xdr:row>
      <xdr:rowOff>152400</xdr:rowOff>
    </xdr:to>
    <xdr:sp macro="" textlink="">
      <xdr:nvSpPr>
        <xdr:cNvPr id="27" name="Line 15"/>
        <xdr:cNvSpPr>
          <a:spLocks noChangeShapeType="1"/>
        </xdr:cNvSpPr>
      </xdr:nvSpPr>
      <xdr:spPr bwMode="auto">
        <a:xfrm flipV="1">
          <a:off x="2828925" y="2676525"/>
          <a:ext cx="4210050" cy="2171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abSelected="1" topLeftCell="A4" zoomScale="75" zoomScaleNormal="75" workbookViewId="0">
      <selection activeCell="E11" sqref="E11"/>
    </sheetView>
  </sheetViews>
  <sheetFormatPr baseColWidth="10" defaultRowHeight="15" x14ac:dyDescent="0.25"/>
  <cols>
    <col min="1" max="1" width="19.85546875" customWidth="1"/>
    <col min="3" max="3" width="13.28515625" bestFit="1" customWidth="1"/>
    <col min="5" max="5" width="41.7109375" bestFit="1" customWidth="1"/>
    <col min="8" max="8" width="32.28515625" bestFit="1" customWidth="1"/>
  </cols>
  <sheetData>
    <row r="2" spans="1:9" x14ac:dyDescent="0.25">
      <c r="A2" s="1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2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4</v>
      </c>
      <c r="B6" s="2"/>
      <c r="C6" s="2"/>
      <c r="D6" s="2"/>
      <c r="E6" s="2"/>
      <c r="F6" s="2"/>
      <c r="G6" s="2"/>
      <c r="H6" s="2"/>
      <c r="I6" s="2"/>
    </row>
    <row r="7" spans="1:9" ht="15.75" thickBot="1" x14ac:dyDescent="0.3">
      <c r="A7" s="2"/>
      <c r="B7" s="2"/>
      <c r="C7" s="4"/>
      <c r="D7" s="4"/>
      <c r="E7" s="4"/>
      <c r="F7" s="2"/>
      <c r="G7" s="2"/>
      <c r="H7" s="4"/>
      <c r="I7" s="4"/>
    </row>
    <row r="8" spans="1:9" x14ac:dyDescent="0.25">
      <c r="A8" s="5" t="s">
        <v>5</v>
      </c>
      <c r="B8" s="6"/>
      <c r="C8" s="7"/>
      <c r="D8" s="4"/>
      <c r="E8" s="4"/>
      <c r="F8" s="5" t="s">
        <v>6</v>
      </c>
      <c r="G8" s="6"/>
      <c r="H8" s="8"/>
      <c r="I8" s="4"/>
    </row>
    <row r="9" spans="1:9" x14ac:dyDescent="0.25">
      <c r="A9" s="9"/>
      <c r="B9" s="10"/>
      <c r="C9" s="11"/>
      <c r="D9" s="4"/>
      <c r="E9" s="4"/>
      <c r="F9" s="9"/>
      <c r="G9" s="10"/>
      <c r="H9" s="11"/>
      <c r="I9" s="4"/>
    </row>
    <row r="10" spans="1:9" x14ac:dyDescent="0.25">
      <c r="A10" s="12" t="s">
        <v>7</v>
      </c>
      <c r="B10" s="13" t="s">
        <v>8</v>
      </c>
      <c r="C10" s="14">
        <v>769774.848</v>
      </c>
      <c r="D10" s="4"/>
      <c r="E10" s="4"/>
      <c r="F10" s="15" t="s">
        <v>9</v>
      </c>
      <c r="G10" s="16" t="s">
        <v>10</v>
      </c>
      <c r="H10" s="17">
        <v>50.75</v>
      </c>
      <c r="I10" s="4"/>
    </row>
    <row r="11" spans="1:9" x14ac:dyDescent="0.25">
      <c r="A11" s="12" t="s">
        <v>7</v>
      </c>
      <c r="B11" s="13" t="s">
        <v>11</v>
      </c>
      <c r="C11" s="14">
        <v>99818.358999999997</v>
      </c>
      <c r="D11" s="4"/>
      <c r="E11" s="4"/>
      <c r="F11" s="15" t="s">
        <v>12</v>
      </c>
      <c r="G11" s="16" t="s">
        <v>13</v>
      </c>
      <c r="H11" s="18">
        <v>87.25</v>
      </c>
      <c r="I11" s="4"/>
    </row>
    <row r="12" spans="1:9" ht="15.75" thickBot="1" x14ac:dyDescent="0.3">
      <c r="A12" s="12"/>
      <c r="B12" s="13"/>
      <c r="C12" s="14"/>
      <c r="D12" s="4"/>
      <c r="E12" s="4"/>
      <c r="F12" s="19"/>
      <c r="G12" s="20"/>
      <c r="H12" s="21"/>
      <c r="I12" s="4"/>
    </row>
    <row r="13" spans="1:9" x14ac:dyDescent="0.25">
      <c r="A13" s="12" t="s">
        <v>14</v>
      </c>
      <c r="B13" s="13" t="s">
        <v>15</v>
      </c>
      <c r="C13" s="14">
        <v>769765.82700000005</v>
      </c>
      <c r="D13" s="4"/>
      <c r="E13" s="4"/>
      <c r="F13" s="2"/>
      <c r="G13" s="2"/>
      <c r="H13" s="4"/>
      <c r="I13" s="4"/>
    </row>
    <row r="14" spans="1:9" x14ac:dyDescent="0.25">
      <c r="A14" s="12" t="s">
        <v>14</v>
      </c>
      <c r="B14" s="13" t="s">
        <v>16</v>
      </c>
      <c r="C14" s="14">
        <v>99668.630999999994</v>
      </c>
      <c r="D14" s="4"/>
      <c r="E14" s="4"/>
      <c r="F14" s="2"/>
      <c r="G14" s="2"/>
      <c r="H14" s="4"/>
      <c r="I14" s="4"/>
    </row>
    <row r="15" spans="1:9" ht="15.75" thickBot="1" x14ac:dyDescent="0.3">
      <c r="A15" s="19"/>
      <c r="B15" s="22"/>
      <c r="C15" s="23"/>
      <c r="D15" s="4"/>
      <c r="E15" s="4"/>
      <c r="F15" s="2"/>
      <c r="G15" s="2"/>
      <c r="H15" s="4"/>
      <c r="I15" s="4"/>
    </row>
    <row r="16" spans="1:9" ht="15.75" thickBot="1" x14ac:dyDescent="0.3">
      <c r="A16" s="2"/>
      <c r="B16" s="24"/>
      <c r="C16" s="25"/>
      <c r="D16" s="4"/>
      <c r="E16" s="4"/>
      <c r="F16" s="2"/>
      <c r="G16" s="2"/>
      <c r="H16" s="4"/>
      <c r="I16" s="4"/>
    </row>
    <row r="17" spans="1:9" x14ac:dyDescent="0.25">
      <c r="A17" s="5" t="s">
        <v>17</v>
      </c>
      <c r="B17" s="26"/>
      <c r="C17" s="7"/>
      <c r="D17" s="4"/>
      <c r="E17" s="4"/>
      <c r="F17" s="5" t="s">
        <v>18</v>
      </c>
      <c r="G17" s="6"/>
      <c r="H17" s="8"/>
      <c r="I17" s="4"/>
    </row>
    <row r="18" spans="1:9" x14ac:dyDescent="0.25">
      <c r="A18" s="9"/>
      <c r="B18" s="27"/>
      <c r="C18" s="28"/>
      <c r="D18" s="4"/>
      <c r="E18" s="4"/>
      <c r="F18" s="9"/>
      <c r="G18" s="10"/>
      <c r="H18" s="11"/>
      <c r="I18" s="4"/>
    </row>
    <row r="19" spans="1:9" x14ac:dyDescent="0.25">
      <c r="A19" s="12" t="s">
        <v>19</v>
      </c>
      <c r="B19" s="13" t="s">
        <v>20</v>
      </c>
      <c r="C19" s="14">
        <v>769846.18</v>
      </c>
      <c r="D19" s="4"/>
      <c r="E19" s="4"/>
      <c r="F19" s="15" t="s">
        <v>9</v>
      </c>
      <c r="G19" s="16" t="s">
        <v>21</v>
      </c>
      <c r="H19" s="17">
        <v>37.86</v>
      </c>
      <c r="I19" s="4"/>
    </row>
    <row r="20" spans="1:9" x14ac:dyDescent="0.25">
      <c r="A20" s="12" t="s">
        <v>19</v>
      </c>
      <c r="B20" s="13" t="s">
        <v>22</v>
      </c>
      <c r="C20" s="14">
        <v>99573.353000000003</v>
      </c>
      <c r="D20" s="4"/>
      <c r="E20" s="4"/>
      <c r="F20" s="15" t="s">
        <v>12</v>
      </c>
      <c r="G20" s="16" t="s">
        <v>23</v>
      </c>
      <c r="H20" s="18">
        <v>61.53</v>
      </c>
      <c r="I20" s="4"/>
    </row>
    <row r="21" spans="1:9" ht="15.75" thickBot="1" x14ac:dyDescent="0.3">
      <c r="A21" s="12"/>
      <c r="B21" s="13"/>
      <c r="C21" s="14"/>
      <c r="D21" s="4"/>
      <c r="E21" s="4"/>
      <c r="F21" s="19"/>
      <c r="G21" s="20"/>
      <c r="H21" s="21"/>
      <c r="I21" s="4"/>
    </row>
    <row r="22" spans="1:9" ht="15.75" thickBot="1" x14ac:dyDescent="0.3">
      <c r="A22" s="12" t="s">
        <v>24</v>
      </c>
      <c r="B22" s="13" t="s">
        <v>25</v>
      </c>
      <c r="C22" s="14">
        <v>769854.20200000005</v>
      </c>
      <c r="D22" s="4"/>
      <c r="E22" s="4"/>
      <c r="F22" s="2"/>
      <c r="G22" s="2"/>
      <c r="H22" s="4"/>
      <c r="I22" s="4"/>
    </row>
    <row r="23" spans="1:9" ht="15.75" thickBot="1" x14ac:dyDescent="0.3">
      <c r="A23" s="12" t="s">
        <v>24</v>
      </c>
      <c r="B23" s="13" t="s">
        <v>26</v>
      </c>
      <c r="C23" s="14">
        <v>99673.031000000003</v>
      </c>
      <c r="D23" s="4"/>
      <c r="E23" s="4"/>
      <c r="F23" s="29" t="s">
        <v>27</v>
      </c>
      <c r="G23" s="30" t="s">
        <v>28</v>
      </c>
      <c r="H23" s="4"/>
      <c r="I23" s="4"/>
    </row>
    <row r="24" spans="1:9" ht="15.75" thickBot="1" x14ac:dyDescent="0.3">
      <c r="A24" s="19"/>
      <c r="B24" s="20"/>
      <c r="C24" s="21"/>
      <c r="D24" s="4"/>
      <c r="E24" s="4"/>
      <c r="F24" s="4"/>
      <c r="G24" s="4"/>
      <c r="H24" s="4"/>
      <c r="I24" s="4"/>
    </row>
    <row r="25" spans="1:9" ht="15.75" thickBot="1" x14ac:dyDescent="0.3">
      <c r="A25" s="31"/>
      <c r="B25" s="31"/>
      <c r="C25" s="31"/>
      <c r="D25" s="31"/>
      <c r="E25" s="32" t="s">
        <v>29</v>
      </c>
      <c r="F25" s="31"/>
      <c r="G25" s="31"/>
      <c r="H25" s="31"/>
      <c r="I25" s="31"/>
    </row>
    <row r="26" spans="1:9" ht="15.75" thickTop="1" x14ac:dyDescent="0.25"/>
    <row r="27" spans="1:9" x14ac:dyDescent="0.25">
      <c r="A27" s="33" t="s">
        <v>30</v>
      </c>
      <c r="B27" s="33"/>
      <c r="C27" s="33"/>
      <c r="D27" s="33"/>
      <c r="E27" s="34">
        <f>MOD(ATAN2(C23-C14,C22-C13)*200/PI()+400,400)</f>
        <v>96.83302299279444</v>
      </c>
    </row>
    <row r="28" spans="1:9" ht="15.75" thickBot="1" x14ac:dyDescent="0.3"/>
    <row r="29" spans="1:9" x14ac:dyDescent="0.25">
      <c r="A29" s="35" t="s">
        <v>31</v>
      </c>
      <c r="B29" s="36"/>
      <c r="C29" s="37"/>
      <c r="E29" s="35" t="s">
        <v>32</v>
      </c>
      <c r="F29" s="37"/>
    </row>
    <row r="30" spans="1:9" x14ac:dyDescent="0.25">
      <c r="A30" s="38"/>
      <c r="B30" s="39"/>
      <c r="C30" s="40"/>
      <c r="E30" s="38"/>
      <c r="F30" s="40"/>
    </row>
    <row r="31" spans="1:9" x14ac:dyDescent="0.25">
      <c r="A31" s="38" t="s">
        <v>33</v>
      </c>
      <c r="B31" s="39"/>
      <c r="C31" s="40"/>
      <c r="E31" s="38" t="s">
        <v>34</v>
      </c>
      <c r="F31" s="40"/>
    </row>
    <row r="32" spans="1:9" ht="15.75" thickBot="1" x14ac:dyDescent="0.3">
      <c r="A32" s="41">
        <f>MOD(ATAN2((C11-C14),(C10-C13))*200/PI()+400,400)</f>
        <v>3.8309555654632845</v>
      </c>
      <c r="B32" s="42"/>
      <c r="C32" s="43"/>
      <c r="D32" s="44"/>
      <c r="E32" s="41">
        <f>MOD(ATAN2((C20-C23),(C19-C22))*200/PI()+400,400)</f>
        <v>205.11244277824778</v>
      </c>
      <c r="F32" s="40"/>
    </row>
    <row r="33" spans="1:9" x14ac:dyDescent="0.25">
      <c r="A33" s="41"/>
      <c r="B33" s="42"/>
      <c r="C33" s="43"/>
      <c r="D33" s="44"/>
      <c r="E33" s="41"/>
      <c r="F33" s="40"/>
      <c r="H33" s="45"/>
      <c r="I33" s="37"/>
    </row>
    <row r="34" spans="1:9" x14ac:dyDescent="0.25">
      <c r="A34" s="41" t="s">
        <v>35</v>
      </c>
      <c r="B34" s="42"/>
      <c r="C34" s="43"/>
      <c r="D34" s="44"/>
      <c r="E34" s="41" t="s">
        <v>36</v>
      </c>
      <c r="F34" s="40"/>
      <c r="H34" s="46" t="s">
        <v>37</v>
      </c>
      <c r="I34" s="40"/>
    </row>
    <row r="35" spans="1:9" x14ac:dyDescent="0.25">
      <c r="A35" s="41">
        <f>IF(A32+100&gt;400,A32-300,A32+100)</f>
        <v>103.83095556546328</v>
      </c>
      <c r="B35" s="42"/>
      <c r="C35" s="43"/>
      <c r="D35" s="44"/>
      <c r="E35" s="41">
        <f>IF(E32+100&gt;400,E32-300,E32+100)</f>
        <v>305.11244277824778</v>
      </c>
      <c r="F35" s="40"/>
      <c r="H35" s="46" t="s">
        <v>38</v>
      </c>
      <c r="I35" s="40"/>
    </row>
    <row r="36" spans="1:9" x14ac:dyDescent="0.25">
      <c r="A36" s="41"/>
      <c r="B36" s="42"/>
      <c r="C36" s="43"/>
      <c r="D36" s="44"/>
      <c r="E36" s="41"/>
      <c r="F36" s="40"/>
      <c r="H36" s="46"/>
      <c r="I36" s="40"/>
    </row>
    <row r="37" spans="1:9" x14ac:dyDescent="0.25">
      <c r="A37" s="41" t="s">
        <v>39</v>
      </c>
      <c r="B37" s="47" t="s">
        <v>40</v>
      </c>
      <c r="C37" s="43"/>
      <c r="D37" s="44"/>
      <c r="E37" s="41" t="s">
        <v>41</v>
      </c>
      <c r="F37" s="40" t="s">
        <v>42</v>
      </c>
      <c r="H37" s="48">
        <f>ABS(E41-A41)</f>
        <v>199.99948286165147</v>
      </c>
      <c r="I37" s="49"/>
    </row>
    <row r="38" spans="1:9" x14ac:dyDescent="0.25">
      <c r="A38" s="41">
        <f>100*H10*H10/(PI()*H11*H11)</f>
        <v>10.769396063864688</v>
      </c>
      <c r="B38" s="42"/>
      <c r="C38" s="43"/>
      <c r="D38" s="44"/>
      <c r="E38" s="41">
        <f>100*H19*H19/(PI()*H20*H20)</f>
        <v>12.051400414997691</v>
      </c>
      <c r="F38" s="40"/>
      <c r="H38" s="50" t="str">
        <f>IF(ABS(H37-200)&lt;0.0001,"okaayy","probleme")</f>
        <v>probleme</v>
      </c>
      <c r="I38" s="40"/>
    </row>
    <row r="39" spans="1:9" x14ac:dyDescent="0.25">
      <c r="A39" s="41"/>
      <c r="B39" s="42"/>
      <c r="C39" s="43"/>
      <c r="D39" s="44"/>
      <c r="E39" s="41"/>
      <c r="F39" s="40"/>
      <c r="H39" s="38"/>
      <c r="I39" s="40"/>
    </row>
    <row r="40" spans="1:9" x14ac:dyDescent="0.25">
      <c r="A40" s="51" t="s">
        <v>43</v>
      </c>
      <c r="B40" s="42"/>
      <c r="C40" s="43"/>
      <c r="D40" s="44"/>
      <c r="E40" s="51" t="s">
        <v>43</v>
      </c>
      <c r="F40" s="40"/>
      <c r="H40" s="52" t="s">
        <v>44</v>
      </c>
      <c r="I40" s="40"/>
    </row>
    <row r="41" spans="1:9" x14ac:dyDescent="0.25">
      <c r="A41" s="51">
        <f>IF(G23="n",A35-A38,A35+A38)</f>
        <v>93.061559501598595</v>
      </c>
      <c r="B41" s="42"/>
      <c r="C41" s="43"/>
      <c r="D41" s="44"/>
      <c r="E41" s="51">
        <f>IF(G23="n",E35-E38,E35+E38)</f>
        <v>293.06104236325007</v>
      </c>
      <c r="F41" s="40"/>
      <c r="H41" s="53"/>
      <c r="I41" s="40" t="s">
        <v>45</v>
      </c>
    </row>
    <row r="42" spans="1:9" ht="15.75" thickBot="1" x14ac:dyDescent="0.3">
      <c r="A42" s="54"/>
      <c r="B42" s="55"/>
      <c r="C42" s="56"/>
      <c r="E42" s="54"/>
      <c r="F42" s="56"/>
      <c r="H42" s="54"/>
      <c r="I42" s="56"/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V25"/>
  <sheetViews>
    <sheetView topLeftCell="A13" workbookViewId="0">
      <selection activeCell="K6" sqref="K6"/>
    </sheetView>
  </sheetViews>
  <sheetFormatPr baseColWidth="10" defaultRowHeight="15" x14ac:dyDescent="0.25"/>
  <cols>
    <col min="1" max="33" width="3.7109375" customWidth="1"/>
  </cols>
  <sheetData>
    <row r="10" spans="4:22" x14ac:dyDescent="0.25">
      <c r="T10" s="57" t="s">
        <v>46</v>
      </c>
    </row>
    <row r="15" spans="4:22" x14ac:dyDescent="0.25">
      <c r="V15" s="57" t="s">
        <v>47</v>
      </c>
    </row>
    <row r="16" spans="4:22" x14ac:dyDescent="0.25">
      <c r="D16" s="58" t="s">
        <v>48</v>
      </c>
    </row>
    <row r="17" spans="2:20" x14ac:dyDescent="0.25">
      <c r="K17" s="59" t="s">
        <v>49</v>
      </c>
    </row>
    <row r="19" spans="2:20" x14ac:dyDescent="0.25">
      <c r="R19" s="58" t="s">
        <v>50</v>
      </c>
    </row>
    <row r="21" spans="2:20" x14ac:dyDescent="0.25">
      <c r="B21" s="57" t="s">
        <v>51</v>
      </c>
    </row>
    <row r="25" spans="2:20" x14ac:dyDescent="0.25">
      <c r="E25" s="57" t="s">
        <v>52</v>
      </c>
      <c r="T25" t="s">
        <v>53</v>
      </c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fc1</dc:creator>
  <cp:lastModifiedBy>fc1</cp:lastModifiedBy>
  <dcterms:created xsi:type="dcterms:W3CDTF">2011-07-20T09:34:30Z</dcterms:created>
  <dcterms:modified xsi:type="dcterms:W3CDTF">2011-07-20T12:53:31Z</dcterms:modified>
</cp:coreProperties>
</file>