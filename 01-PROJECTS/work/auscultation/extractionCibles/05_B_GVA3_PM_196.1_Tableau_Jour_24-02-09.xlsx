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\11-CHANTIERS\BURE\10-ACTIVITES\2025\11\2025-11-06-b-etude referentiel carrefour GCR\identification cibles GMP104\"/>
    </mc:Choice>
  </mc:AlternateContent>
  <xr:revisionPtr revIDLastSave="0" documentId="8_{2FE6DF44-A988-4ECD-8119-6A73DE853F6F}" xr6:coauthVersionLast="47" xr6:coauthVersionMax="47" xr10:uidLastSave="{00000000-0000-0000-0000-000000000000}"/>
  <bookViews>
    <workbookView xWindow="57480" yWindow="-120" windowWidth="25440" windowHeight="15390" xr2:uid="{00000000-000D-0000-FFFF-FFFF00000000}"/>
  </bookViews>
  <sheets>
    <sheet name="Résultats observations" sheetId="1" r:id="rId1"/>
    <sheet name="Convergences" sheetId="2" r:id="rId2"/>
    <sheet name="Déplacements" sheetId="3" r:id="rId3"/>
    <sheet name="Graphiques" sheetId="4" r:id="rId4"/>
    <sheet name="Graph avancement" sheetId="5" r:id="rId5"/>
    <sheet name="commentaires" sheetId="6" r:id="rId6"/>
  </sheets>
  <definedNames>
    <definedName name="cintre">'Résultats observations'!$W$4</definedName>
    <definedName name="date">'Résultats observations'!$A:$A</definedName>
    <definedName name="DH_BD">'Résultats observations'!$DD:$DD</definedName>
    <definedName name="DH_BG">'Résultats observations'!$CL:$CL</definedName>
    <definedName name="DH_HD">'Résultats observations'!$CX:$CX</definedName>
    <definedName name="DH_HG">'Résultats observations'!$CR:$CR</definedName>
    <definedName name="DH_ID">'Résultats observations'!$DA:$DA</definedName>
    <definedName name="DH_IG">'Résultats observations'!$CO:$CO</definedName>
    <definedName name="DHhaut">'Résultats observations'!$CU:$CU</definedName>
    <definedName name="dist">'Résultats observations'!$D:$D</definedName>
    <definedName name="DPM_BD">'Résultats observations'!$DC:$DC</definedName>
    <definedName name="DPM_BG">'Résultats observations'!$CK:$CK</definedName>
    <definedName name="DPM_HD">'Résultats observations'!$CW:$CW</definedName>
    <definedName name="DPM_HG">'Résultats observations'!$CQ:$CQ</definedName>
    <definedName name="DPM_ID">'Résultats observations'!$CZ:$CZ</definedName>
    <definedName name="DPM_IG">'Résultats observations'!$CN:$CN</definedName>
    <definedName name="DPMhaut">'Résultats observations'!$CT:$CT</definedName>
    <definedName name="DZ_BD">'Résultats observations'!$BM:$BM</definedName>
    <definedName name="DZ_BG">'Résultats observations'!$AU:$AU</definedName>
    <definedName name="DZ_HD">'Résultats observations'!$BG:$BG</definedName>
    <definedName name="DZ_HG">'Résultats observations'!$BA:$BA</definedName>
    <definedName name="DZ_ID">'Résultats observations'!$BJ:$BJ</definedName>
    <definedName name="DZ_IG">'Résultats observations'!$AX:$AX</definedName>
    <definedName name="DZhaut">'Résultats observations'!$BD:$BD</definedName>
    <definedName name="Ecart_BD">'Résultats observations'!$AN:$AN</definedName>
    <definedName name="Ecart_BG">'Résultats observations'!$AI:$AI</definedName>
    <definedName name="Ecart_HD">'Résultats observations'!$AL:$AL</definedName>
    <definedName name="Ecart_HG">'Résultats observations'!$AK:$AK</definedName>
    <definedName name="Ecart_ID">'Résultats observations'!$AM:$AM</definedName>
    <definedName name="Ecart_IG">'Résultats observations'!$AJ:$AJ</definedName>
    <definedName name="Ecart_LB">'Résultats observations'!$AQ:$AQ</definedName>
    <definedName name="Ecart_LH">'Résultats observations'!$AO:$AO</definedName>
    <definedName name="Ecart_LI">'Résultats observations'!$AP:$AP</definedName>
    <definedName name="excav">'Résultats observations'!$A$7</definedName>
    <definedName name="front">'Résultats observations'!$C:$C</definedName>
    <definedName name="galerie">'Résultats observations'!$G$4</definedName>
    <definedName name="_xlnm.Print_Titles" localSheetId="1">Convergences!$1:$9</definedName>
    <definedName name="_xlnm.Print_Titles" localSheetId="2">Déplacements!$1:$9</definedName>
    <definedName name="_xlnm.Print_Titles" localSheetId="0">'Résultats observations'!$1:$9</definedName>
    <definedName name="jours">'Résultats observations'!$B:$B</definedName>
    <definedName name="PM">'Résultats observations'!$W$6</definedName>
    <definedName name="Xbasdroit">'Résultats observations'!$W:$W</definedName>
    <definedName name="Xbasgauche">'Résultats observations'!$E:$E</definedName>
    <definedName name="Xhaut">'Résultats observations'!$N:$N</definedName>
    <definedName name="Xhautdroit">'Résultats observations'!$Q:$Q</definedName>
    <definedName name="Xhautgauche">'Résultats observations'!$K:$K</definedName>
    <definedName name="Xinterdroit">'Résultats observations'!$T:$T</definedName>
    <definedName name="Xintergauche">'Résultats observations'!$H:$H</definedName>
    <definedName name="Ybasdroit">'Résultats observations'!$X:$X</definedName>
    <definedName name="Ybasgauche">'Résultats observations'!$F:$F</definedName>
    <definedName name="Yhaut">'Résultats observations'!$O:$O</definedName>
    <definedName name="Yhautdroit">'Résultats observations'!$R:$R</definedName>
    <definedName name="Yhautgauche">'Résultats observations'!$L:$L</definedName>
    <definedName name="Yinterdroit">'Résultats observations'!$U:$U</definedName>
    <definedName name="Yintergauche">'Résultats observations'!$I:$I</definedName>
    <definedName name="Zbasdroit">'Résultats observations'!$Y:$Y</definedName>
    <definedName name="Zbasgauche">'Résultats observations'!$G:$G</definedName>
    <definedName name="Zhaut">'Résultats observations'!$P:$P</definedName>
    <definedName name="Zhautdroit">'Résultats observations'!$S:$S</definedName>
    <definedName name="Zhautgauche">'Résultats observations'!$M:$M</definedName>
    <definedName name="Zinterdroit">'Résultats observations'!$V:$V</definedName>
    <definedName name="Zintergauche">'Résultats observations'!$J:$J</definedName>
    <definedName name="_xlnm.Print_Area" localSheetId="1">Convergences!$A$1:$Z$83</definedName>
    <definedName name="_xlnm.Print_Area" localSheetId="2">Déplacements!$A$1:$W$83</definedName>
    <definedName name="_xlnm.Print_Area" localSheetId="3">Graphiques!$B$2:$L$36,Graphiques!$N$2:$X$36,Graphiques!$B$38:$L$72,Graphiques!$N$38:$X$72,Graphiques!$B$74:$L$107,Graphiques!$N$74:$X$107</definedName>
    <definedName name="_xlnm.Print_Area" localSheetId="0">'Résultats observations'!$A$1:$AH$10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1" i="3" l="1"/>
  <c r="B101" i="3"/>
  <c r="C101" i="3"/>
  <c r="D101" i="3"/>
  <c r="E101" i="3"/>
  <c r="F101" i="3"/>
  <c r="G101" i="3"/>
  <c r="H101" i="3"/>
  <c r="L101" i="3"/>
  <c r="M101" i="3"/>
  <c r="N101" i="3"/>
  <c r="U101" i="3"/>
  <c r="V101" i="3"/>
  <c r="W101" i="3"/>
  <c r="Y101" i="3"/>
  <c r="Z101" i="3"/>
  <c r="A96" i="2"/>
  <c r="B96" i="2"/>
  <c r="Z96" i="2" s="1"/>
  <c r="C96" i="2"/>
  <c r="D96" i="2"/>
  <c r="R97" i="2" s="1"/>
  <c r="E96" i="2"/>
  <c r="S96" i="2" s="1"/>
  <c r="H96" i="2"/>
  <c r="V96" i="2" s="1"/>
  <c r="I96" i="2"/>
  <c r="W96" i="2" s="1"/>
  <c r="K96" i="2"/>
  <c r="Y96" i="2" s="1"/>
  <c r="L96" i="2"/>
  <c r="T96" i="2"/>
  <c r="U96" i="2"/>
  <c r="X96" i="2"/>
  <c r="A97" i="2"/>
  <c r="B97" i="2"/>
  <c r="C97" i="2"/>
  <c r="D97" i="2"/>
  <c r="R98" i="2" s="1"/>
  <c r="E97" i="2"/>
  <c r="S98" i="2" s="1"/>
  <c r="H97" i="2"/>
  <c r="I97" i="2"/>
  <c r="W97" i="2" s="1"/>
  <c r="K97" i="2"/>
  <c r="Y97" i="2" s="1"/>
  <c r="L97" i="2"/>
  <c r="Z97" i="2" s="1"/>
  <c r="T97" i="2"/>
  <c r="U97" i="2"/>
  <c r="V97" i="2"/>
  <c r="X97" i="2"/>
  <c r="A98" i="2"/>
  <c r="B98" i="2"/>
  <c r="C98" i="2"/>
  <c r="D98" i="2"/>
  <c r="E98" i="2"/>
  <c r="H98" i="2"/>
  <c r="I98" i="2"/>
  <c r="K98" i="2"/>
  <c r="L98" i="2"/>
  <c r="T98" i="2"/>
  <c r="U98" i="2"/>
  <c r="V98" i="2"/>
  <c r="W98" i="2"/>
  <c r="X98" i="2"/>
  <c r="Y98" i="2"/>
  <c r="A99" i="2"/>
  <c r="B99" i="2"/>
  <c r="S99" i="2" s="1"/>
  <c r="C99" i="2"/>
  <c r="D99" i="2"/>
  <c r="E99" i="2"/>
  <c r="H99" i="2"/>
  <c r="I99" i="2"/>
  <c r="K99" i="2"/>
  <c r="L99" i="2"/>
  <c r="T99" i="2"/>
  <c r="U99" i="2"/>
  <c r="X99" i="2"/>
  <c r="A100" i="2"/>
  <c r="B100" i="2"/>
  <c r="Z100" i="2" s="1"/>
  <c r="C100" i="2"/>
  <c r="D100" i="2"/>
  <c r="R100" i="2" s="1"/>
  <c r="E100" i="2"/>
  <c r="S100" i="2" s="1"/>
  <c r="H100" i="2"/>
  <c r="V100" i="2" s="1"/>
  <c r="I100" i="2"/>
  <c r="W100" i="2" s="1"/>
  <c r="K100" i="2"/>
  <c r="Y100" i="2" s="1"/>
  <c r="L100" i="2"/>
  <c r="T100" i="2"/>
  <c r="U100" i="2"/>
  <c r="X100" i="2"/>
  <c r="A101" i="2"/>
  <c r="B101" i="2"/>
  <c r="C101" i="2"/>
  <c r="D101" i="2"/>
  <c r="E101" i="2"/>
  <c r="K101" i="2"/>
  <c r="Y101" i="2" s="1"/>
  <c r="R101" i="2"/>
  <c r="S101" i="2"/>
  <c r="T101" i="2"/>
  <c r="U101" i="2"/>
  <c r="X101" i="2"/>
  <c r="CZ101" i="1"/>
  <c r="CP101" i="1"/>
  <c r="CO101" i="1"/>
  <c r="CN101" i="1"/>
  <c r="CM101" i="1"/>
  <c r="CL101" i="1"/>
  <c r="CK101" i="1"/>
  <c r="BM101" i="1"/>
  <c r="AU101" i="1"/>
  <c r="AT101" i="1"/>
  <c r="AS101" i="1"/>
  <c r="CV101" i="1"/>
  <c r="CU101" i="1"/>
  <c r="CT101" i="1"/>
  <c r="AG101" i="1"/>
  <c r="AP101" i="1" s="1"/>
  <c r="DE101" i="1"/>
  <c r="DD101" i="1"/>
  <c r="DC101" i="1"/>
  <c r="DB101" i="1"/>
  <c r="DA101" i="1"/>
  <c r="BL101" i="1"/>
  <c r="BK101" i="1"/>
  <c r="BJ101" i="1"/>
  <c r="BI101" i="1"/>
  <c r="BH101" i="1"/>
  <c r="BD101" i="1"/>
  <c r="BC101" i="1"/>
  <c r="BB101" i="1"/>
  <c r="AX101" i="1"/>
  <c r="AW101" i="1"/>
  <c r="AV101" i="1"/>
  <c r="D101" i="1"/>
  <c r="B101" i="1"/>
  <c r="W100" i="3"/>
  <c r="V100" i="3"/>
  <c r="U100" i="3"/>
  <c r="T100" i="3"/>
  <c r="S100" i="3"/>
  <c r="R100" i="3"/>
  <c r="N100" i="3"/>
  <c r="Y100" i="3" s="1"/>
  <c r="Z100" i="3" s="1"/>
  <c r="M100" i="3"/>
  <c r="L100" i="3"/>
  <c r="H100" i="3"/>
  <c r="G100" i="3"/>
  <c r="F100" i="3"/>
  <c r="E100" i="3"/>
  <c r="D100" i="3"/>
  <c r="C100" i="3"/>
  <c r="B100" i="3"/>
  <c r="A100" i="3"/>
  <c r="DE100" i="1"/>
  <c r="DD100" i="1"/>
  <c r="DC100" i="1"/>
  <c r="DB100" i="1"/>
  <c r="DA100" i="1"/>
  <c r="CZ100" i="1"/>
  <c r="CV100" i="1"/>
  <c r="CU100" i="1"/>
  <c r="CT100" i="1"/>
  <c r="CP100" i="1"/>
  <c r="CO100" i="1"/>
  <c r="CN100" i="1"/>
  <c r="CM100" i="1"/>
  <c r="CL100" i="1"/>
  <c r="CK100" i="1"/>
  <c r="BM100" i="1"/>
  <c r="BL100" i="1"/>
  <c r="BK100" i="1"/>
  <c r="BJ100" i="1"/>
  <c r="BI100" i="1"/>
  <c r="BH100" i="1"/>
  <c r="BD100" i="1"/>
  <c r="BC100" i="1"/>
  <c r="BB100" i="1"/>
  <c r="AX100" i="1"/>
  <c r="AW100" i="1"/>
  <c r="AV100" i="1"/>
  <c r="AU100" i="1"/>
  <c r="AT100" i="1"/>
  <c r="AS100" i="1"/>
  <c r="AH100" i="1"/>
  <c r="AQ100" i="1" s="1"/>
  <c r="AG100" i="1"/>
  <c r="AP100" i="1" s="1"/>
  <c r="AE100" i="1"/>
  <c r="AN100" i="1" s="1"/>
  <c r="AD100" i="1"/>
  <c r="AM100" i="1" s="1"/>
  <c r="AA100" i="1"/>
  <c r="AJ100" i="1" s="1"/>
  <c r="Z100" i="1"/>
  <c r="AI100" i="1" s="1"/>
  <c r="D100" i="1"/>
  <c r="B100" i="1"/>
  <c r="A99" i="3"/>
  <c r="B99" i="3"/>
  <c r="C99" i="3"/>
  <c r="D99" i="3"/>
  <c r="E99" i="3"/>
  <c r="F99" i="3"/>
  <c r="G99" i="3"/>
  <c r="H99" i="3"/>
  <c r="L99" i="3"/>
  <c r="M99" i="3"/>
  <c r="N99" i="3"/>
  <c r="Y99" i="3" s="1"/>
  <c r="Z99" i="3" s="1"/>
  <c r="R99" i="3"/>
  <c r="S99" i="3"/>
  <c r="T99" i="3"/>
  <c r="U99" i="3"/>
  <c r="V99" i="3"/>
  <c r="W99" i="3"/>
  <c r="DE99" i="1"/>
  <c r="DD99" i="1"/>
  <c r="DC99" i="1"/>
  <c r="DB99" i="1"/>
  <c r="DA99" i="1"/>
  <c r="CZ99" i="1"/>
  <c r="CV99" i="1"/>
  <c r="CU99" i="1"/>
  <c r="CT99" i="1"/>
  <c r="CP99" i="1"/>
  <c r="CO99" i="1"/>
  <c r="CN99" i="1"/>
  <c r="CM99" i="1"/>
  <c r="CL99" i="1"/>
  <c r="CK99" i="1"/>
  <c r="BM99" i="1"/>
  <c r="BL99" i="1"/>
  <c r="BK99" i="1"/>
  <c r="BJ99" i="1"/>
  <c r="BI99" i="1"/>
  <c r="BH99" i="1"/>
  <c r="BD99" i="1"/>
  <c r="BC99" i="1"/>
  <c r="BB99" i="1"/>
  <c r="AX99" i="1"/>
  <c r="AW99" i="1"/>
  <c r="AV99" i="1"/>
  <c r="AU99" i="1"/>
  <c r="AT99" i="1"/>
  <c r="AS99" i="1"/>
  <c r="AH99" i="1"/>
  <c r="AQ99" i="1" s="1"/>
  <c r="AG99" i="1"/>
  <c r="AP99" i="1" s="1"/>
  <c r="AE99" i="1"/>
  <c r="AN99" i="1" s="1"/>
  <c r="AD99" i="1"/>
  <c r="AM99" i="1" s="1"/>
  <c r="AA99" i="1"/>
  <c r="AJ99" i="1" s="1"/>
  <c r="Z99" i="1"/>
  <c r="AI99" i="1" s="1"/>
  <c r="D99" i="1"/>
  <c r="B99" i="1"/>
  <c r="A98" i="3"/>
  <c r="B98" i="3"/>
  <c r="C98" i="3"/>
  <c r="D98" i="3"/>
  <c r="E98" i="3"/>
  <c r="F98" i="3"/>
  <c r="G98" i="3"/>
  <c r="H98" i="3"/>
  <c r="L98" i="3"/>
  <c r="M98" i="3"/>
  <c r="N98" i="3"/>
  <c r="Y98" i="3" s="1"/>
  <c r="Z98" i="3" s="1"/>
  <c r="R98" i="3"/>
  <c r="S98" i="3"/>
  <c r="T98" i="3"/>
  <c r="U98" i="3"/>
  <c r="V98" i="3"/>
  <c r="W98" i="3"/>
  <c r="DE98" i="1"/>
  <c r="DD98" i="1"/>
  <c r="DC98" i="1"/>
  <c r="DB98" i="1"/>
  <c r="DA98" i="1"/>
  <c r="CZ98" i="1"/>
  <c r="CV98" i="1"/>
  <c r="CU98" i="1"/>
  <c r="CT98" i="1"/>
  <c r="CP98" i="1"/>
  <c r="CO98" i="1"/>
  <c r="CN98" i="1"/>
  <c r="CM98" i="1"/>
  <c r="CL98" i="1"/>
  <c r="CK98" i="1"/>
  <c r="BM98" i="1"/>
  <c r="BL98" i="1"/>
  <c r="BK98" i="1"/>
  <c r="BJ98" i="1"/>
  <c r="BI98" i="1"/>
  <c r="BH98" i="1"/>
  <c r="BD98" i="1"/>
  <c r="BC98" i="1"/>
  <c r="BB98" i="1"/>
  <c r="AX98" i="1"/>
  <c r="AW98" i="1"/>
  <c r="AV98" i="1"/>
  <c r="AU98" i="1"/>
  <c r="AT98" i="1"/>
  <c r="AS98" i="1"/>
  <c r="AH98" i="1"/>
  <c r="AQ98" i="1" s="1"/>
  <c r="AG98" i="1"/>
  <c r="AP98" i="1" s="1"/>
  <c r="AE98" i="1"/>
  <c r="AN98" i="1" s="1"/>
  <c r="AD98" i="1"/>
  <c r="AM98" i="1" s="1"/>
  <c r="AA98" i="1"/>
  <c r="AJ98" i="1" s="1"/>
  <c r="Z98" i="1"/>
  <c r="AI98" i="1" s="1"/>
  <c r="D98" i="1"/>
  <c r="B98" i="1"/>
  <c r="B97" i="3"/>
  <c r="C97" i="3"/>
  <c r="D97" i="3"/>
  <c r="E97" i="3"/>
  <c r="U97" i="3"/>
  <c r="V97" i="3"/>
  <c r="W97" i="3"/>
  <c r="DE97" i="1"/>
  <c r="DD97" i="1"/>
  <c r="DC97" i="1"/>
  <c r="CM97" i="1"/>
  <c r="CL97" i="1"/>
  <c r="CK97" i="1"/>
  <c r="BM97" i="1"/>
  <c r="BL97" i="1"/>
  <c r="BK97" i="1"/>
  <c r="AU97" i="1"/>
  <c r="AT97" i="1"/>
  <c r="AS97" i="1"/>
  <c r="AH97" i="1"/>
  <c r="AG97" i="1"/>
  <c r="AE97" i="1"/>
  <c r="AD97" i="1"/>
  <c r="AA97" i="1"/>
  <c r="Z97" i="1"/>
  <c r="D97" i="1"/>
  <c r="B96" i="3"/>
  <c r="C96" i="3"/>
  <c r="D96" i="3"/>
  <c r="E96" i="3"/>
  <c r="U96" i="3"/>
  <c r="V96" i="3"/>
  <c r="W96" i="3"/>
  <c r="DE96" i="1"/>
  <c r="DD96" i="1"/>
  <c r="DC96" i="1"/>
  <c r="CM96" i="1"/>
  <c r="CL96" i="1"/>
  <c r="CK96" i="1"/>
  <c r="BM96" i="1"/>
  <c r="BL96" i="1"/>
  <c r="BK96" i="1"/>
  <c r="AU96" i="1"/>
  <c r="AT96" i="1"/>
  <c r="AS96" i="1"/>
  <c r="AH96" i="1"/>
  <c r="AG96" i="1"/>
  <c r="AE96" i="1"/>
  <c r="AD96" i="1"/>
  <c r="AA96" i="1"/>
  <c r="Z96" i="1"/>
  <c r="D96" i="1"/>
  <c r="Z98" i="2" l="1"/>
  <c r="R99" i="2"/>
  <c r="R96" i="2"/>
  <c r="S97" i="2"/>
  <c r="Z99" i="2"/>
  <c r="Y99" i="2"/>
  <c r="W99" i="2"/>
  <c r="V99" i="2"/>
  <c r="AE101" i="1"/>
  <c r="AN101" i="1" s="1"/>
  <c r="I101" i="2" s="1"/>
  <c r="W101" i="2" s="1"/>
  <c r="Z101" i="1"/>
  <c r="AI101" i="1" s="1"/>
  <c r="AA101" i="1"/>
  <c r="AJ101" i="1" s="1"/>
  <c r="AD101" i="1"/>
  <c r="AM101" i="1" s="1"/>
  <c r="H101" i="2" s="1"/>
  <c r="V101" i="2" s="1"/>
  <c r="AH101" i="1"/>
  <c r="AQ101" i="1" s="1"/>
  <c r="L101" i="2" s="1"/>
  <c r="Z101" i="2" s="1"/>
  <c r="B95" i="3"/>
  <c r="U95" i="3"/>
  <c r="W95" i="3"/>
  <c r="B95" i="2"/>
  <c r="T95" i="2"/>
  <c r="U95" i="2"/>
  <c r="X95" i="2"/>
  <c r="DE95" i="1"/>
  <c r="DD95" i="1"/>
  <c r="V95" i="3" s="1"/>
  <c r="DC95" i="1"/>
  <c r="CM95" i="1"/>
  <c r="CL95" i="1"/>
  <c r="D95" i="3" s="1"/>
  <c r="CK95" i="1"/>
  <c r="C95" i="3" s="1"/>
  <c r="BM95" i="1"/>
  <c r="BL95" i="1"/>
  <c r="BK95" i="1"/>
  <c r="AU95" i="1"/>
  <c r="E95" i="3" s="1"/>
  <c r="AT95" i="1"/>
  <c r="AS95" i="1"/>
  <c r="AH95" i="1"/>
  <c r="AG95" i="1"/>
  <c r="AE95" i="1"/>
  <c r="AD95" i="1"/>
  <c r="AA95" i="1"/>
  <c r="Z95" i="1"/>
  <c r="D95" i="1"/>
  <c r="C95" i="2" s="1"/>
  <c r="B94" i="3" l="1"/>
  <c r="C94" i="3"/>
  <c r="D94" i="3"/>
  <c r="E94" i="3"/>
  <c r="B94" i="2"/>
  <c r="T94" i="2"/>
  <c r="U94" i="2"/>
  <c r="X94" i="2"/>
  <c r="DE94" i="1"/>
  <c r="DD94" i="1"/>
  <c r="V94" i="3" s="1"/>
  <c r="DC94" i="1"/>
  <c r="U94" i="3" s="1"/>
  <c r="CM94" i="1"/>
  <c r="CL94" i="1"/>
  <c r="CK94" i="1"/>
  <c r="BM94" i="1"/>
  <c r="W94" i="3" s="1"/>
  <c r="BL94" i="1"/>
  <c r="BK94" i="1"/>
  <c r="AU94" i="1"/>
  <c r="AT94" i="1"/>
  <c r="AS94" i="1"/>
  <c r="AH94" i="1"/>
  <c r="AG94" i="1"/>
  <c r="AE94" i="1"/>
  <c r="AD94" i="1"/>
  <c r="AA94" i="1"/>
  <c r="Z94" i="1"/>
  <c r="D94" i="1"/>
  <c r="C94" i="2" s="1"/>
  <c r="B93" i="3" l="1"/>
  <c r="E93" i="3"/>
  <c r="U93" i="3"/>
  <c r="B93" i="2"/>
  <c r="C93" i="2"/>
  <c r="T93" i="2"/>
  <c r="U93" i="2"/>
  <c r="X93" i="2"/>
  <c r="DE93" i="1"/>
  <c r="DD93" i="1"/>
  <c r="V93" i="3" s="1"/>
  <c r="DC93" i="1"/>
  <c r="CM93" i="1"/>
  <c r="CL93" i="1"/>
  <c r="D93" i="3" s="1"/>
  <c r="CK93" i="1"/>
  <c r="C93" i="3" s="1"/>
  <c r="BM93" i="1"/>
  <c r="W93" i="3" s="1"/>
  <c r="BL93" i="1"/>
  <c r="BK93" i="1"/>
  <c r="AU93" i="1"/>
  <c r="AT93" i="1"/>
  <c r="AS93" i="1"/>
  <c r="AH93" i="1"/>
  <c r="AG93" i="1"/>
  <c r="AE93" i="1"/>
  <c r="AD93" i="1"/>
  <c r="AA93" i="1"/>
  <c r="Z93" i="1"/>
  <c r="D93" i="1"/>
  <c r="B92" i="3" l="1"/>
  <c r="B92" i="2"/>
  <c r="T92" i="2"/>
  <c r="U92" i="2"/>
  <c r="X92" i="2"/>
  <c r="DE92" i="1" l="1"/>
  <c r="DD92" i="1"/>
  <c r="V92" i="3" s="1"/>
  <c r="DC92" i="1"/>
  <c r="U92" i="3" s="1"/>
  <c r="CM92" i="1"/>
  <c r="CL92" i="1"/>
  <c r="D92" i="3" s="1"/>
  <c r="CK92" i="1"/>
  <c r="C92" i="3" s="1"/>
  <c r="BM92" i="1"/>
  <c r="W92" i="3" s="1"/>
  <c r="BL92" i="1"/>
  <c r="BK92" i="1"/>
  <c r="AU92" i="1"/>
  <c r="E92" i="3" s="1"/>
  <c r="AT92" i="1"/>
  <c r="AS92" i="1"/>
  <c r="AH92" i="1"/>
  <c r="AG92" i="1"/>
  <c r="AE92" i="1"/>
  <c r="AD92" i="1"/>
  <c r="AA92" i="1"/>
  <c r="Z92" i="1"/>
  <c r="D92" i="1"/>
  <c r="C92" i="2" s="1"/>
  <c r="B91" i="3" l="1"/>
  <c r="B91" i="2"/>
  <c r="T91" i="2"/>
  <c r="U91" i="2"/>
  <c r="X91" i="2"/>
  <c r="DE91" i="1"/>
  <c r="DD91" i="1"/>
  <c r="V91" i="3" s="1"/>
  <c r="DC91" i="1"/>
  <c r="U91" i="3" s="1"/>
  <c r="CM91" i="1"/>
  <c r="CL91" i="1"/>
  <c r="D91" i="3" s="1"/>
  <c r="CK91" i="1"/>
  <c r="C91" i="3" s="1"/>
  <c r="BM91" i="1"/>
  <c r="W91" i="3" s="1"/>
  <c r="BL91" i="1"/>
  <c r="BK91" i="1"/>
  <c r="AU91" i="1"/>
  <c r="E91" i="3" s="1"/>
  <c r="AT91" i="1"/>
  <c r="AS91" i="1"/>
  <c r="AH91" i="1"/>
  <c r="AG91" i="1"/>
  <c r="AE91" i="1"/>
  <c r="AD91" i="1"/>
  <c r="AA91" i="1"/>
  <c r="Z91" i="1"/>
  <c r="D91" i="1"/>
  <c r="C91" i="2" s="1"/>
  <c r="B90" i="3" l="1"/>
  <c r="B90" i="2"/>
  <c r="T90" i="2"/>
  <c r="U90" i="2"/>
  <c r="X90" i="2"/>
  <c r="DE90" i="1"/>
  <c r="DD90" i="1"/>
  <c r="V90" i="3" s="1"/>
  <c r="DC90" i="1"/>
  <c r="U90" i="3" s="1"/>
  <c r="CM90" i="1"/>
  <c r="CL90" i="1"/>
  <c r="D90" i="3" s="1"/>
  <c r="CK90" i="1"/>
  <c r="C90" i="3" s="1"/>
  <c r="BM90" i="1"/>
  <c r="W90" i="3" s="1"/>
  <c r="BL90" i="1"/>
  <c r="BK90" i="1"/>
  <c r="AU90" i="1"/>
  <c r="E90" i="3" s="1"/>
  <c r="AT90" i="1"/>
  <c r="AS90" i="1"/>
  <c r="AH90" i="1"/>
  <c r="AG90" i="1"/>
  <c r="AE90" i="1"/>
  <c r="AD90" i="1"/>
  <c r="AA90" i="1"/>
  <c r="Z90" i="1"/>
  <c r="D90" i="1"/>
  <c r="C90" i="2" s="1"/>
  <c r="B89" i="3" l="1"/>
  <c r="B89" i="2"/>
  <c r="T89" i="2"/>
  <c r="U89" i="2"/>
  <c r="X89" i="2"/>
  <c r="CM89" i="1"/>
  <c r="CL89" i="1"/>
  <c r="D89" i="3" s="1"/>
  <c r="DE89" i="1"/>
  <c r="DD89" i="1"/>
  <c r="V89" i="3" s="1"/>
  <c r="DC89" i="1"/>
  <c r="U89" i="3" s="1"/>
  <c r="CK89" i="1"/>
  <c r="C89" i="3" s="1"/>
  <c r="BM89" i="1"/>
  <c r="W89" i="3" s="1"/>
  <c r="BL89" i="1"/>
  <c r="BK89" i="1"/>
  <c r="AU89" i="1"/>
  <c r="E89" i="3" s="1"/>
  <c r="AT89" i="1"/>
  <c r="AS89" i="1"/>
  <c r="AH89" i="1"/>
  <c r="AG89" i="1"/>
  <c r="AE89" i="1"/>
  <c r="AD89" i="1"/>
  <c r="AA89" i="1"/>
  <c r="Z89" i="1"/>
  <c r="D89" i="1"/>
  <c r="C89" i="2" s="1"/>
  <c r="B88" i="3"/>
  <c r="B88" i="2"/>
  <c r="T88" i="2"/>
  <c r="U88" i="2"/>
  <c r="X88" i="2"/>
  <c r="DE88" i="1"/>
  <c r="DD88" i="1"/>
  <c r="V88" i="3" s="1"/>
  <c r="DC88" i="1"/>
  <c r="U88" i="3" s="1"/>
  <c r="CM88" i="1"/>
  <c r="CL88" i="1"/>
  <c r="D88" i="3" s="1"/>
  <c r="CK88" i="1"/>
  <c r="C88" i="3" s="1"/>
  <c r="BM88" i="1"/>
  <c r="W88" i="3" s="1"/>
  <c r="BL88" i="1"/>
  <c r="BK88" i="1"/>
  <c r="AU88" i="1"/>
  <c r="E88" i="3" s="1"/>
  <c r="AT88" i="1"/>
  <c r="AS88" i="1"/>
  <c r="AH88" i="1"/>
  <c r="AG88" i="1"/>
  <c r="AE88" i="1"/>
  <c r="AD88" i="1"/>
  <c r="AA88" i="1"/>
  <c r="Z88" i="1"/>
  <c r="D88" i="1"/>
  <c r="C88" i="2" s="1"/>
  <c r="B87" i="3"/>
  <c r="X87" i="2"/>
  <c r="U87" i="2"/>
  <c r="T87" i="2"/>
  <c r="B87" i="2"/>
  <c r="DE87" i="1"/>
  <c r="DD87" i="1"/>
  <c r="V87" i="3" s="1"/>
  <c r="DC87" i="1"/>
  <c r="U87" i="3" s="1"/>
  <c r="CM87" i="1"/>
  <c r="CL87" i="1"/>
  <c r="D87" i="3" s="1"/>
  <c r="CK87" i="1"/>
  <c r="C87" i="3" s="1"/>
  <c r="BM87" i="1"/>
  <c r="W87" i="3" s="1"/>
  <c r="BL87" i="1"/>
  <c r="BK87" i="1"/>
  <c r="AU87" i="1"/>
  <c r="E87" i="3" s="1"/>
  <c r="AT87" i="1"/>
  <c r="AS87" i="1"/>
  <c r="AH87" i="1"/>
  <c r="AG87" i="1"/>
  <c r="AE87" i="1"/>
  <c r="AD87" i="1"/>
  <c r="AA87" i="1"/>
  <c r="Z87" i="1"/>
  <c r="D87" i="1"/>
  <c r="C87" i="2" s="1"/>
  <c r="B86" i="3"/>
  <c r="B86" i="2"/>
  <c r="T86" i="2"/>
  <c r="U86" i="2"/>
  <c r="X86" i="2"/>
  <c r="DE86" i="1"/>
  <c r="DD86" i="1"/>
  <c r="DC86" i="1"/>
  <c r="CM86" i="1"/>
  <c r="CL86" i="1"/>
  <c r="CK86" i="1"/>
  <c r="BM86" i="1"/>
  <c r="BL86" i="1"/>
  <c r="BK86" i="1"/>
  <c r="AU86" i="1"/>
  <c r="AT86" i="1"/>
  <c r="AS86" i="1"/>
  <c r="AH86" i="1"/>
  <c r="AQ86" i="1" s="1"/>
  <c r="AG86" i="1"/>
  <c r="AE86" i="1"/>
  <c r="AN86" i="1" s="1"/>
  <c r="AD86" i="1"/>
  <c r="AA86" i="1"/>
  <c r="Z86" i="1"/>
  <c r="AI86" i="1" s="1"/>
  <c r="D86" i="1"/>
  <c r="C86" i="2" s="1"/>
  <c r="B85" i="3"/>
  <c r="B85" i="2"/>
  <c r="T85" i="2"/>
  <c r="U85" i="2"/>
  <c r="X85" i="2"/>
  <c r="CK85" i="1"/>
  <c r="C85" i="3" s="1"/>
  <c r="CL85" i="1"/>
  <c r="D85" i="3" s="1"/>
  <c r="CM85" i="1"/>
  <c r="DC85" i="1"/>
  <c r="U85" i="3" s="1"/>
  <c r="DD85" i="1"/>
  <c r="V85" i="3" s="1"/>
  <c r="DE85" i="1"/>
  <c r="AS85" i="1"/>
  <c r="AT85" i="1"/>
  <c r="AU85" i="1"/>
  <c r="E85" i="3" s="1"/>
  <c r="BK85" i="1"/>
  <c r="BL85" i="1"/>
  <c r="BM85" i="1"/>
  <c r="W85" i="3" s="1"/>
  <c r="Z85" i="1"/>
  <c r="AA85" i="1"/>
  <c r="AD85" i="1"/>
  <c r="AE85" i="1"/>
  <c r="AG85" i="1"/>
  <c r="AH85" i="1"/>
  <c r="D85" i="1"/>
  <c r="C85" i="2" s="1"/>
  <c r="B84" i="3" l="1"/>
  <c r="B84" i="2"/>
  <c r="T84" i="2"/>
  <c r="U84" i="2"/>
  <c r="X84" i="2"/>
  <c r="CK84" i="1"/>
  <c r="C84" i="3" s="1"/>
  <c r="CL84" i="1"/>
  <c r="D84" i="3" s="1"/>
  <c r="CM84" i="1"/>
  <c r="DC84" i="1"/>
  <c r="U84" i="3" s="1"/>
  <c r="DD84" i="1"/>
  <c r="V84" i="3" s="1"/>
  <c r="DE84" i="1"/>
  <c r="AS84" i="1"/>
  <c r="AT84" i="1"/>
  <c r="AU84" i="1"/>
  <c r="E84" i="3" s="1"/>
  <c r="BK84" i="1"/>
  <c r="BL84" i="1"/>
  <c r="BM84" i="1"/>
  <c r="W84" i="3" s="1"/>
  <c r="Z84" i="1"/>
  <c r="AA84" i="1"/>
  <c r="AD84" i="1"/>
  <c r="AE84" i="1"/>
  <c r="AG84" i="1"/>
  <c r="AH84" i="1"/>
  <c r="D84" i="1"/>
  <c r="C84" i="2" s="1"/>
  <c r="CK83" i="1" l="1"/>
  <c r="C83" i="3" s="1"/>
  <c r="CL83" i="1"/>
  <c r="CM83" i="1"/>
  <c r="DC83" i="1"/>
  <c r="DD83" i="1"/>
  <c r="DE83" i="1"/>
  <c r="B83" i="3"/>
  <c r="D83" i="3"/>
  <c r="U83" i="3"/>
  <c r="V83" i="3"/>
  <c r="B83" i="2"/>
  <c r="T83" i="2"/>
  <c r="U83" i="2"/>
  <c r="X83" i="2"/>
  <c r="AS83" i="1" l="1"/>
  <c r="AT83" i="1"/>
  <c r="AU83" i="1"/>
  <c r="E83" i="3" s="1"/>
  <c r="BK83" i="1"/>
  <c r="BL83" i="1"/>
  <c r="BM83" i="1"/>
  <c r="W83" i="3" s="1"/>
  <c r="Z83" i="1"/>
  <c r="AA83" i="1"/>
  <c r="AD83" i="1"/>
  <c r="AE83" i="1"/>
  <c r="AG83" i="1"/>
  <c r="AH83" i="1"/>
  <c r="D83" i="1"/>
  <c r="C83" i="2" s="1"/>
  <c r="B82" i="3" l="1"/>
  <c r="W80" i="2"/>
  <c r="Y80" i="2"/>
  <c r="X73" i="2"/>
  <c r="X74" i="2"/>
  <c r="X75" i="2"/>
  <c r="X76" i="2"/>
  <c r="X77" i="2"/>
  <c r="X78" i="2"/>
  <c r="X79" i="2"/>
  <c r="V80" i="2"/>
  <c r="X80" i="2"/>
  <c r="X81" i="2"/>
  <c r="X82" i="2"/>
  <c r="B82" i="2"/>
  <c r="CK82" i="1"/>
  <c r="C82" i="3" s="1"/>
  <c r="CL82" i="1"/>
  <c r="D82" i="3" s="1"/>
  <c r="CM82" i="1"/>
  <c r="DC82" i="1"/>
  <c r="U82" i="3" s="1"/>
  <c r="DD82" i="1"/>
  <c r="V82" i="3" s="1"/>
  <c r="DE82" i="1"/>
  <c r="AS82" i="1"/>
  <c r="AT82" i="1"/>
  <c r="AU82" i="1"/>
  <c r="E82" i="3" s="1"/>
  <c r="BK82" i="1"/>
  <c r="BL82" i="1"/>
  <c r="BM82" i="1"/>
  <c r="W82" i="3" s="1"/>
  <c r="Z82" i="1"/>
  <c r="AA82" i="1"/>
  <c r="AD82" i="1"/>
  <c r="AE82" i="1"/>
  <c r="AG82" i="1"/>
  <c r="AH82" i="1"/>
  <c r="D82" i="1"/>
  <c r="C82" i="2" s="1"/>
  <c r="Z80" i="2" l="1"/>
  <c r="B81" i="3"/>
  <c r="U81" i="2"/>
  <c r="T81" i="2"/>
  <c r="B81" i="2"/>
  <c r="DE81" i="1"/>
  <c r="DD81" i="1"/>
  <c r="V81" i="3" s="1"/>
  <c r="DC81" i="1"/>
  <c r="U81" i="3" s="1"/>
  <c r="CM81" i="1"/>
  <c r="CL81" i="1"/>
  <c r="D81" i="3" s="1"/>
  <c r="CK81" i="1"/>
  <c r="C81" i="3" s="1"/>
  <c r="BM81" i="1"/>
  <c r="W81" i="3" s="1"/>
  <c r="BL81" i="1"/>
  <c r="BK81" i="1"/>
  <c r="AU81" i="1"/>
  <c r="E81" i="3" s="1"/>
  <c r="AT81" i="1"/>
  <c r="AS81" i="1"/>
  <c r="AH81" i="1"/>
  <c r="AG81" i="1"/>
  <c r="AE81" i="1"/>
  <c r="AD81" i="1"/>
  <c r="AA81" i="1"/>
  <c r="Z81" i="1"/>
  <c r="D81" i="1"/>
  <c r="C81" i="2" s="1"/>
  <c r="B79" i="3" l="1"/>
  <c r="B80" i="3"/>
  <c r="B80" i="2"/>
  <c r="CK80" i="1"/>
  <c r="C80" i="3" s="1"/>
  <c r="CL80" i="1"/>
  <c r="D80" i="3" s="1"/>
  <c r="CM80" i="1"/>
  <c r="CK79" i="1"/>
  <c r="C79" i="3" s="1"/>
  <c r="CL79" i="1"/>
  <c r="D79" i="3" s="1"/>
  <c r="CM79" i="1"/>
  <c r="AS80" i="1"/>
  <c r="AT80" i="1"/>
  <c r="AU80" i="1"/>
  <c r="E80" i="3" s="1"/>
  <c r="BH80" i="1"/>
  <c r="BI80" i="1"/>
  <c r="BJ80" i="1"/>
  <c r="BK80" i="1"/>
  <c r="BL80" i="1"/>
  <c r="BM80" i="1"/>
  <c r="Z80" i="1"/>
  <c r="AA80" i="1"/>
  <c r="AH80" i="1"/>
  <c r="AQ80" i="1" s="1"/>
  <c r="AM80" i="1"/>
  <c r="AN80" i="1"/>
  <c r="AP80" i="1"/>
  <c r="D80" i="1"/>
  <c r="C80" i="2" s="1"/>
  <c r="B79" i="2"/>
  <c r="AS79" i="1"/>
  <c r="AT79" i="1"/>
  <c r="AU79" i="1"/>
  <c r="E79" i="3" s="1"/>
  <c r="BH79" i="1"/>
  <c r="BI79" i="1"/>
  <c r="BJ79" i="1"/>
  <c r="BK79" i="1"/>
  <c r="BL79" i="1"/>
  <c r="BM79" i="1"/>
  <c r="Z79" i="1"/>
  <c r="AA79" i="1"/>
  <c r="AM79" i="1"/>
  <c r="AN79" i="1"/>
  <c r="AH79" i="1"/>
  <c r="AQ79" i="1" s="1"/>
  <c r="AP79" i="1"/>
  <c r="D79" i="1"/>
  <c r="C79" i="2" s="1"/>
  <c r="B78" i="3" l="1"/>
  <c r="U78" i="2"/>
  <c r="T78" i="2"/>
  <c r="B78" i="2"/>
  <c r="DE78" i="1"/>
  <c r="DD78" i="1"/>
  <c r="V78" i="3" s="1"/>
  <c r="DC78" i="1"/>
  <c r="U78" i="3" s="1"/>
  <c r="CM78" i="1"/>
  <c r="CL78" i="1"/>
  <c r="D78" i="3" s="1"/>
  <c r="CK78" i="1"/>
  <c r="C78" i="3" s="1"/>
  <c r="BM78" i="1"/>
  <c r="W78" i="3" s="1"/>
  <c r="BL78" i="1"/>
  <c r="BK78" i="1"/>
  <c r="AU78" i="1"/>
  <c r="E78" i="3" s="1"/>
  <c r="AT78" i="1"/>
  <c r="AS78" i="1"/>
  <c r="AH78" i="1"/>
  <c r="AG78" i="1"/>
  <c r="AE78" i="1"/>
  <c r="AD78" i="1"/>
  <c r="AA78" i="1"/>
  <c r="Z78" i="1"/>
  <c r="D78" i="1"/>
  <c r="C78" i="2" s="1"/>
  <c r="B77" i="3" l="1"/>
  <c r="B77" i="2"/>
  <c r="T77" i="2"/>
  <c r="U77" i="2"/>
  <c r="CK77" i="1"/>
  <c r="C77" i="3" s="1"/>
  <c r="CL77" i="1"/>
  <c r="D77" i="3" s="1"/>
  <c r="CM77" i="1"/>
  <c r="DC77" i="1"/>
  <c r="U77" i="3" s="1"/>
  <c r="DD77" i="1"/>
  <c r="V77" i="3" s="1"/>
  <c r="DE77" i="1"/>
  <c r="BK77" i="1"/>
  <c r="BL77" i="1"/>
  <c r="BM77" i="1"/>
  <c r="W77" i="3" s="1"/>
  <c r="AS77" i="1"/>
  <c r="AT77" i="1"/>
  <c r="AU77" i="1"/>
  <c r="E77" i="3" s="1"/>
  <c r="Z77" i="1"/>
  <c r="AA77" i="1"/>
  <c r="AD77" i="1"/>
  <c r="AE77" i="1"/>
  <c r="AG77" i="1"/>
  <c r="AH77" i="1"/>
  <c r="D77" i="1"/>
  <c r="C77" i="2" s="1"/>
  <c r="B76" i="3"/>
  <c r="B76" i="2"/>
  <c r="T76" i="2"/>
  <c r="U76" i="2"/>
  <c r="CK76" i="1"/>
  <c r="C76" i="3" s="1"/>
  <c r="CL76" i="1"/>
  <c r="D76" i="3" s="1"/>
  <c r="CM76" i="1"/>
  <c r="DC76" i="1"/>
  <c r="U76" i="3" s="1"/>
  <c r="DD76" i="1"/>
  <c r="V76" i="3" s="1"/>
  <c r="DE76" i="1"/>
  <c r="BB75" i="1"/>
  <c r="BC75" i="1"/>
  <c r="BD75" i="1"/>
  <c r="AS76" i="1"/>
  <c r="AT76" i="1"/>
  <c r="AU76" i="1"/>
  <c r="E76" i="3" s="1"/>
  <c r="BK76" i="1"/>
  <c r="BL76" i="1"/>
  <c r="BM76" i="1"/>
  <c r="W76" i="3" s="1"/>
  <c r="Z75" i="1"/>
  <c r="AI75" i="1" s="1"/>
  <c r="AA75" i="1"/>
  <c r="AJ75" i="1" s="1"/>
  <c r="AD75" i="1"/>
  <c r="AM75" i="1" s="1"/>
  <c r="AE75" i="1"/>
  <c r="AN75" i="1" s="1"/>
  <c r="Z76" i="1"/>
  <c r="AA76" i="1"/>
  <c r="AD76" i="1"/>
  <c r="AE76" i="1"/>
  <c r="AG76" i="1"/>
  <c r="AH76" i="1"/>
  <c r="D76" i="1"/>
  <c r="C76" i="2" s="1"/>
  <c r="B75" i="3"/>
  <c r="B75" i="2"/>
  <c r="CK75" i="1"/>
  <c r="C75" i="3" s="1"/>
  <c r="CL75" i="1"/>
  <c r="D75" i="3" s="1"/>
  <c r="CM75" i="1"/>
  <c r="DC75" i="1"/>
  <c r="U75" i="3" s="1"/>
  <c r="DD75" i="1"/>
  <c r="V75" i="3" s="1"/>
  <c r="DE75" i="1"/>
  <c r="D75" i="1"/>
  <c r="C75" i="2" s="1"/>
  <c r="E75" i="1"/>
  <c r="AS75" i="1" s="1"/>
  <c r="Y49" i="2" l="1"/>
  <c r="Y58" i="2"/>
  <c r="B74" i="3"/>
  <c r="T69" i="2"/>
  <c r="X68" i="2"/>
  <c r="X70" i="2"/>
  <c r="X72" i="2"/>
  <c r="T73" i="2"/>
  <c r="U73" i="2"/>
  <c r="B74" i="2"/>
  <c r="CK74" i="1"/>
  <c r="C74" i="3" s="1"/>
  <c r="CL74" i="1"/>
  <c r="D74" i="3" s="1"/>
  <c r="CM74" i="1"/>
  <c r="DC74" i="1"/>
  <c r="U74" i="3" s="1"/>
  <c r="DD74" i="1"/>
  <c r="V74" i="3" s="1"/>
  <c r="DE74" i="1"/>
  <c r="BK74" i="1"/>
  <c r="BL74" i="1"/>
  <c r="BM74" i="1"/>
  <c r="W74" i="3" s="1"/>
  <c r="AS74" i="1"/>
  <c r="AT74" i="1"/>
  <c r="AU74" i="1"/>
  <c r="E74" i="3" s="1"/>
  <c r="Z74" i="1"/>
  <c r="AA74" i="1"/>
  <c r="AD74" i="1"/>
  <c r="AE74" i="1"/>
  <c r="AG74" i="1"/>
  <c r="AH74" i="1"/>
  <c r="D74" i="1"/>
  <c r="C74" i="2" s="1"/>
  <c r="B73" i="3"/>
  <c r="B73" i="2"/>
  <c r="CK73" i="1"/>
  <c r="C73" i="3" s="1"/>
  <c r="CL73" i="1"/>
  <c r="D73" i="3" s="1"/>
  <c r="CM73" i="1"/>
  <c r="DC73" i="1"/>
  <c r="U73" i="3" s="1"/>
  <c r="DD73" i="1"/>
  <c r="V73" i="3" s="1"/>
  <c r="DE73" i="1"/>
  <c r="AS73" i="1"/>
  <c r="AT73" i="1"/>
  <c r="AU73" i="1"/>
  <c r="E73" i="3" s="1"/>
  <c r="BK73" i="1"/>
  <c r="BL73" i="1"/>
  <c r="BM73" i="1"/>
  <c r="W73" i="3" s="1"/>
  <c r="Z73" i="1"/>
  <c r="AA73" i="1"/>
  <c r="AD73" i="1"/>
  <c r="AE73" i="1"/>
  <c r="AG73" i="1"/>
  <c r="AH73" i="1"/>
  <c r="D73" i="1"/>
  <c r="C73" i="2" s="1"/>
  <c r="B72" i="3"/>
  <c r="B72" i="2"/>
  <c r="T72" i="2"/>
  <c r="U72" i="2"/>
  <c r="DE72" i="1"/>
  <c r="DD72" i="1"/>
  <c r="V72" i="3" s="1"/>
  <c r="DC72" i="1"/>
  <c r="U72" i="3" s="1"/>
  <c r="CM72" i="1"/>
  <c r="CL72" i="1"/>
  <c r="D72" i="3" s="1"/>
  <c r="CK72" i="1"/>
  <c r="C72" i="3" s="1"/>
  <c r="AS72" i="1"/>
  <c r="AT72" i="1"/>
  <c r="AU72" i="1"/>
  <c r="E72" i="3" s="1"/>
  <c r="BK72" i="1"/>
  <c r="BL72" i="1"/>
  <c r="BM72" i="1"/>
  <c r="W72" i="3" s="1"/>
  <c r="Z72" i="1"/>
  <c r="AA72" i="1"/>
  <c r="AD72" i="1"/>
  <c r="AE72" i="1"/>
  <c r="AG72" i="1"/>
  <c r="AH72" i="1"/>
  <c r="D72" i="1"/>
  <c r="C72" i="2" s="1"/>
  <c r="B71" i="3"/>
  <c r="B71" i="2"/>
  <c r="T71" i="2"/>
  <c r="U71" i="2"/>
  <c r="X71" i="2"/>
  <c r="DE71" i="1"/>
  <c r="DD71" i="1"/>
  <c r="V71" i="3" s="1"/>
  <c r="DC71" i="1"/>
  <c r="U71" i="3" s="1"/>
  <c r="CM71" i="1"/>
  <c r="CL71" i="1"/>
  <c r="D71" i="3" s="1"/>
  <c r="CK71" i="1"/>
  <c r="C71" i="3" s="1"/>
  <c r="BM71" i="1"/>
  <c r="W71" i="3" s="1"/>
  <c r="BL71" i="1"/>
  <c r="BK71" i="1"/>
  <c r="AU71" i="1"/>
  <c r="E71" i="3" s="1"/>
  <c r="AT71" i="1"/>
  <c r="AS71" i="1"/>
  <c r="AH71" i="1"/>
  <c r="AG71" i="1"/>
  <c r="AE71" i="1"/>
  <c r="AD71" i="1"/>
  <c r="AA71" i="1"/>
  <c r="Z71" i="1"/>
  <c r="D71" i="1"/>
  <c r="C71" i="2" s="1"/>
  <c r="B70" i="3"/>
  <c r="B70" i="2"/>
  <c r="T70" i="2"/>
  <c r="U70" i="2"/>
  <c r="CK70" i="1"/>
  <c r="C70" i="3" s="1"/>
  <c r="CL70" i="1"/>
  <c r="D70" i="3" s="1"/>
  <c r="CM70" i="1"/>
  <c r="DC70" i="1"/>
  <c r="U70" i="3" s="1"/>
  <c r="DD70" i="1"/>
  <c r="V70" i="3" s="1"/>
  <c r="DE70" i="1"/>
  <c r="AS70" i="1"/>
  <c r="AT70" i="1"/>
  <c r="AU70" i="1"/>
  <c r="E70" i="3" s="1"/>
  <c r="BK70" i="1"/>
  <c r="BL70" i="1"/>
  <c r="BM70" i="1"/>
  <c r="W70" i="3" s="1"/>
  <c r="Z70" i="1"/>
  <c r="AA70" i="1"/>
  <c r="AD70" i="1"/>
  <c r="AE70" i="1"/>
  <c r="AG70" i="1"/>
  <c r="AH70" i="1"/>
  <c r="D70" i="1"/>
  <c r="C70" i="2" s="1"/>
  <c r="B69" i="3"/>
  <c r="B69" i="2"/>
  <c r="U69" i="2"/>
  <c r="CK69" i="1"/>
  <c r="C69" i="3" s="1"/>
  <c r="CL69" i="1"/>
  <c r="D69" i="3" s="1"/>
  <c r="CM69" i="1"/>
  <c r="DC69" i="1"/>
  <c r="U69" i="3" s="1"/>
  <c r="DD69" i="1"/>
  <c r="V69" i="3" s="1"/>
  <c r="DE69" i="1"/>
  <c r="AS69" i="1"/>
  <c r="AT69" i="1"/>
  <c r="AU69" i="1"/>
  <c r="E69" i="3" s="1"/>
  <c r="BK69" i="1"/>
  <c r="BL69" i="1"/>
  <c r="BM69" i="1"/>
  <c r="W69" i="3" s="1"/>
  <c r="Z69" i="1"/>
  <c r="AA69" i="1"/>
  <c r="AD69" i="1"/>
  <c r="AE69" i="1"/>
  <c r="AG69" i="1"/>
  <c r="AH69" i="1"/>
  <c r="D69" i="1"/>
  <c r="C69" i="2" s="1"/>
  <c r="B68" i="3"/>
  <c r="B68" i="2"/>
  <c r="T68" i="2"/>
  <c r="U68" i="2"/>
  <c r="CK68" i="1"/>
  <c r="C68" i="3" s="1"/>
  <c r="CL68" i="1"/>
  <c r="D68" i="3" s="1"/>
  <c r="CM68" i="1"/>
  <c r="DC68" i="1"/>
  <c r="U68" i="3" s="1"/>
  <c r="DD68" i="1"/>
  <c r="V68" i="3" s="1"/>
  <c r="DE68" i="1"/>
  <c r="BM68" i="1"/>
  <c r="W68" i="3" s="1"/>
  <c r="BL68" i="1"/>
  <c r="BK68" i="1"/>
  <c r="AS68" i="1"/>
  <c r="AT68" i="1"/>
  <c r="AU68" i="1"/>
  <c r="E68" i="3" s="1"/>
  <c r="Z68" i="1"/>
  <c r="AA68" i="1"/>
  <c r="AD68" i="1"/>
  <c r="AE68" i="1"/>
  <c r="AG68" i="1"/>
  <c r="AH68" i="1"/>
  <c r="D68" i="1"/>
  <c r="C68" i="2" s="1"/>
  <c r="CK67" i="1"/>
  <c r="C67" i="3" s="1"/>
  <c r="CL67" i="1"/>
  <c r="D67" i="3" s="1"/>
  <c r="CM67" i="1"/>
  <c r="DE67" i="1"/>
  <c r="DD67" i="1"/>
  <c r="V67" i="3" s="1"/>
  <c r="DC67" i="1"/>
  <c r="U67" i="3" s="1"/>
  <c r="B67" i="3"/>
  <c r="B67" i="2"/>
  <c r="T67" i="2"/>
  <c r="U67" i="2"/>
  <c r="X67" i="2"/>
  <c r="BM67" i="1"/>
  <c r="W67" i="3" s="1"/>
  <c r="BL67" i="1"/>
  <c r="BK67" i="1"/>
  <c r="AS67" i="1"/>
  <c r="AT67" i="1"/>
  <c r="AU67" i="1"/>
  <c r="E67" i="3" s="1"/>
  <c r="AH67" i="1"/>
  <c r="AG67" i="1"/>
  <c r="AE67" i="1"/>
  <c r="AD67" i="1"/>
  <c r="Z67" i="1"/>
  <c r="AA67" i="1"/>
  <c r="D67" i="1"/>
  <c r="C67" i="2" s="1"/>
  <c r="U74" i="2" l="1"/>
  <c r="X69" i="2"/>
  <c r="T74" i="2"/>
  <c r="B66" i="3"/>
  <c r="B66" i="2"/>
  <c r="T66" i="2"/>
  <c r="U66" i="2"/>
  <c r="W66" i="2"/>
  <c r="X66" i="2"/>
  <c r="Z66" i="2"/>
  <c r="CK66" i="1"/>
  <c r="C66" i="3" s="1"/>
  <c r="CL66" i="1"/>
  <c r="D66" i="3" s="1"/>
  <c r="CM66" i="1"/>
  <c r="AS66" i="1"/>
  <c r="AT66" i="1"/>
  <c r="AU66" i="1"/>
  <c r="E66" i="3" s="1"/>
  <c r="BK66" i="1"/>
  <c r="BL66" i="1"/>
  <c r="BM66" i="1"/>
  <c r="AN66" i="1"/>
  <c r="Z66" i="1"/>
  <c r="AA66" i="1"/>
  <c r="AD66" i="1"/>
  <c r="AF66" i="1"/>
  <c r="AO66" i="1" s="1"/>
  <c r="AG66" i="1"/>
  <c r="AH66" i="1"/>
  <c r="AQ66" i="1" s="1"/>
  <c r="D66" i="1"/>
  <c r="C66" i="2" s="1"/>
  <c r="B65" i="3" l="1"/>
  <c r="B65" i="2"/>
  <c r="T65" i="2"/>
  <c r="U65" i="2"/>
  <c r="X65" i="2"/>
  <c r="CK65" i="1"/>
  <c r="C65" i="3" s="1"/>
  <c r="CL65" i="1"/>
  <c r="D65" i="3" s="1"/>
  <c r="CM65" i="1"/>
  <c r="BK65" i="1"/>
  <c r="BL65" i="1"/>
  <c r="BM65" i="1"/>
  <c r="AS65" i="1"/>
  <c r="AT65" i="1"/>
  <c r="AU65" i="1"/>
  <c r="E65" i="3" s="1"/>
  <c r="Z65" i="1"/>
  <c r="AA65" i="1"/>
  <c r="AD65" i="1"/>
  <c r="AF65" i="1"/>
  <c r="AO65" i="1" s="1"/>
  <c r="AG65" i="1"/>
  <c r="AH65" i="1"/>
  <c r="AQ65" i="1" s="1"/>
  <c r="AN65" i="1"/>
  <c r="D65" i="1"/>
  <c r="C65" i="2" s="1"/>
  <c r="B64" i="3" l="1"/>
  <c r="B64" i="2"/>
  <c r="T64" i="2"/>
  <c r="U64" i="2"/>
  <c r="X64" i="2"/>
  <c r="CK64" i="1"/>
  <c r="C64" i="3" s="1"/>
  <c r="CL64" i="1"/>
  <c r="D64" i="3" s="1"/>
  <c r="CM64" i="1"/>
  <c r="DC64" i="1"/>
  <c r="U64" i="3" s="1"/>
  <c r="DD64" i="1"/>
  <c r="V64" i="3" s="1"/>
  <c r="DE64" i="1"/>
  <c r="AS64" i="1"/>
  <c r="AT64" i="1"/>
  <c r="AU64" i="1"/>
  <c r="E64" i="3" s="1"/>
  <c r="BE64" i="1"/>
  <c r="BF64" i="1"/>
  <c r="BG64" i="1"/>
  <c r="BK64" i="1"/>
  <c r="BL64" i="1"/>
  <c r="BM64" i="1"/>
  <c r="W64" i="3" s="1"/>
  <c r="AG64" i="1"/>
  <c r="AH64" i="1"/>
  <c r="AF64" i="1"/>
  <c r="AO64" i="1" s="1"/>
  <c r="AD64" i="1"/>
  <c r="AE64" i="1"/>
  <c r="Z64" i="1"/>
  <c r="AA64" i="1"/>
  <c r="D64" i="1"/>
  <c r="C64" i="2" s="1"/>
  <c r="F75" i="1" l="1"/>
  <c r="AT75" i="1" s="1"/>
  <c r="G75" i="1" l="1"/>
  <c r="AU75" i="1" l="1"/>
  <c r="H75" i="1"/>
  <c r="AV75" i="1" s="1"/>
  <c r="U63" i="2"/>
  <c r="X63" i="2"/>
  <c r="T63" i="2"/>
  <c r="AE63" i="1"/>
  <c r="AE59" i="1"/>
  <c r="Z59" i="1"/>
  <c r="R59" i="2"/>
  <c r="T59" i="2"/>
  <c r="U59" i="2"/>
  <c r="X59" i="2"/>
  <c r="U60" i="2"/>
  <c r="R60" i="2"/>
  <c r="T60" i="2"/>
  <c r="X60" i="2"/>
  <c r="T61" i="2"/>
  <c r="X61" i="2"/>
  <c r="R61" i="2"/>
  <c r="W61" i="2"/>
  <c r="Z61" i="2"/>
  <c r="W62" i="2"/>
  <c r="R62" i="2"/>
  <c r="U62" i="2"/>
  <c r="Z62" i="2"/>
  <c r="AF63" i="1"/>
  <c r="AO63" i="1" s="1"/>
  <c r="AH63" i="1"/>
  <c r="AG63" i="1"/>
  <c r="AD63" i="1"/>
  <c r="AL63" i="1"/>
  <c r="AA63" i="1"/>
  <c r="Z63" i="1"/>
  <c r="B63" i="3"/>
  <c r="B63" i="2"/>
  <c r="CM63" i="1"/>
  <c r="CL63" i="1"/>
  <c r="D63" i="3" s="1"/>
  <c r="CK63" i="1"/>
  <c r="C63" i="3" s="1"/>
  <c r="DE63" i="1"/>
  <c r="DD63" i="1"/>
  <c r="V63" i="3" s="1"/>
  <c r="DC63" i="1"/>
  <c r="U63" i="3" s="1"/>
  <c r="BM63" i="1"/>
  <c r="W63" i="3" s="1"/>
  <c r="BL63" i="1"/>
  <c r="BK63" i="1"/>
  <c r="BG63" i="1"/>
  <c r="BF63" i="1"/>
  <c r="BE63" i="1"/>
  <c r="AU63" i="1"/>
  <c r="E63" i="3" s="1"/>
  <c r="AT63" i="1"/>
  <c r="AS63" i="1"/>
  <c r="AK63" i="1"/>
  <c r="D63" i="1"/>
  <c r="C63" i="2" s="1"/>
  <c r="I75" i="1" l="1"/>
  <c r="AW75" i="1" s="1"/>
  <c r="X62" i="2"/>
  <c r="T62" i="2"/>
  <c r="U61" i="2"/>
  <c r="X58" i="2"/>
  <c r="B62" i="3"/>
  <c r="B62" i="2"/>
  <c r="CQ62" i="1"/>
  <c r="CR62" i="1"/>
  <c r="CS62" i="1"/>
  <c r="AY62" i="1"/>
  <c r="AZ62" i="1"/>
  <c r="BA62" i="1"/>
  <c r="AA62" i="1"/>
  <c r="D62" i="1"/>
  <c r="C62" i="2" s="1"/>
  <c r="J75" i="1" l="1"/>
  <c r="AX75" i="1" s="1"/>
  <c r="B61" i="3"/>
  <c r="B61" i="2"/>
  <c r="DE61" i="1" l="1"/>
  <c r="DD61" i="1"/>
  <c r="DC61" i="1"/>
  <c r="CY61" i="1"/>
  <c r="CX61" i="1"/>
  <c r="CW61" i="1"/>
  <c r="CS61" i="1"/>
  <c r="CR61" i="1"/>
  <c r="CQ61" i="1"/>
  <c r="CM61" i="1"/>
  <c r="CL61" i="1"/>
  <c r="CK61" i="1"/>
  <c r="BM61" i="1"/>
  <c r="BL61" i="1"/>
  <c r="BK61" i="1"/>
  <c r="BG61" i="1"/>
  <c r="BF61" i="1"/>
  <c r="BE61" i="1"/>
  <c r="BA61" i="1"/>
  <c r="AZ61" i="1"/>
  <c r="AY61" i="1"/>
  <c r="AU61" i="1"/>
  <c r="AT61" i="1"/>
  <c r="AS61" i="1"/>
  <c r="AG61" i="1"/>
  <c r="AD61" i="1"/>
  <c r="AA61" i="1"/>
  <c r="D61" i="1"/>
  <c r="C61" i="2" s="1"/>
  <c r="B60" i="3" l="1"/>
  <c r="B60" i="2"/>
  <c r="AG60" i="1"/>
  <c r="AD60" i="1"/>
  <c r="AA60" i="1"/>
  <c r="D60" i="1"/>
  <c r="C60" i="2" s="1"/>
  <c r="B57" i="3"/>
  <c r="B59" i="3"/>
  <c r="B57" i="2"/>
  <c r="B59" i="2"/>
  <c r="AA59" i="1"/>
  <c r="D59" i="1"/>
  <c r="C59" i="2" s="1"/>
  <c r="CX56" i="1" l="1"/>
  <c r="P56" i="3" s="1"/>
  <c r="CX57" i="1"/>
  <c r="P57" i="3" s="1"/>
  <c r="CK57" i="1"/>
  <c r="C57" i="3" s="1"/>
  <c r="CL57" i="1"/>
  <c r="D57" i="3" s="1"/>
  <c r="CM57" i="1"/>
  <c r="CO57" i="1"/>
  <c r="CP57" i="1"/>
  <c r="CQ57" i="1"/>
  <c r="CR57" i="1"/>
  <c r="CS57" i="1"/>
  <c r="CT57" i="1"/>
  <c r="CU57" i="1"/>
  <c r="CV57" i="1"/>
  <c r="CV59" i="1" s="1"/>
  <c r="CW57" i="1"/>
  <c r="O57" i="3" s="1"/>
  <c r="CY57" i="1"/>
  <c r="CZ57" i="1"/>
  <c r="DA57" i="1"/>
  <c r="DB57" i="1"/>
  <c r="DB59" i="1" s="1"/>
  <c r="DC57" i="1"/>
  <c r="DD57" i="1"/>
  <c r="DE57" i="1"/>
  <c r="AS57" i="1"/>
  <c r="AT57" i="1"/>
  <c r="AU57" i="1"/>
  <c r="E57" i="3" s="1"/>
  <c r="AV57" i="1"/>
  <c r="AW57" i="1"/>
  <c r="AX57" i="1"/>
  <c r="AY57" i="1"/>
  <c r="AZ57" i="1"/>
  <c r="BA57" i="1"/>
  <c r="BB57" i="1"/>
  <c r="BB59" i="1" s="1"/>
  <c r="BC57" i="1"/>
  <c r="BC59" i="1" s="1"/>
  <c r="BD57" i="1"/>
  <c r="BE57" i="1"/>
  <c r="BF57" i="1"/>
  <c r="BG57" i="1"/>
  <c r="Q57" i="3" s="1"/>
  <c r="BH57" i="1"/>
  <c r="BH59" i="1" s="1"/>
  <c r="BI57" i="1"/>
  <c r="BI59" i="1" s="1"/>
  <c r="BJ57" i="1"/>
  <c r="BK57" i="1"/>
  <c r="BL57" i="1"/>
  <c r="BM57" i="1"/>
  <c r="D57" i="1"/>
  <c r="C57" i="2" s="1"/>
  <c r="CV96" i="1" l="1"/>
  <c r="CV97" i="1"/>
  <c r="CV95" i="1"/>
  <c r="CV94" i="1"/>
  <c r="BB96" i="1"/>
  <c r="BB97" i="1"/>
  <c r="BB95" i="1"/>
  <c r="BB94" i="1"/>
  <c r="BC96" i="1"/>
  <c r="BC97" i="1"/>
  <c r="BC95" i="1"/>
  <c r="BC94" i="1"/>
  <c r="BI96" i="1"/>
  <c r="BI97" i="1"/>
  <c r="BI95" i="1"/>
  <c r="BI94" i="1"/>
  <c r="BH96" i="1"/>
  <c r="BH97" i="1"/>
  <c r="BH95" i="1"/>
  <c r="BH94" i="1"/>
  <c r="DB96" i="1"/>
  <c r="DB97" i="1"/>
  <c r="DB95" i="1"/>
  <c r="DB94" i="1"/>
  <c r="BC93" i="1"/>
  <c r="BC92" i="1"/>
  <c r="BC91" i="1"/>
  <c r="BC90" i="1"/>
  <c r="BC88" i="1"/>
  <c r="BC87" i="1"/>
  <c r="BC86" i="1"/>
  <c r="BC89" i="1"/>
  <c r="BB93" i="1"/>
  <c r="BB92" i="1"/>
  <c r="BB91" i="1"/>
  <c r="BB90" i="1"/>
  <c r="BB89" i="1"/>
  <c r="BB88" i="1"/>
  <c r="BB87" i="1"/>
  <c r="BB86" i="1"/>
  <c r="BI93" i="1"/>
  <c r="BI92" i="1"/>
  <c r="BI91" i="1"/>
  <c r="BI90" i="1"/>
  <c r="BI89" i="1"/>
  <c r="BI88" i="1"/>
  <c r="BI87" i="1"/>
  <c r="BI86" i="1"/>
  <c r="DB93" i="1"/>
  <c r="DB92" i="1"/>
  <c r="DB91" i="1"/>
  <c r="DB90" i="1"/>
  <c r="DB89" i="1"/>
  <c r="DB88" i="1"/>
  <c r="DB87" i="1"/>
  <c r="DB86" i="1"/>
  <c r="BH93" i="1"/>
  <c r="BH92" i="1"/>
  <c r="BH91" i="1"/>
  <c r="BH90" i="1"/>
  <c r="BH88" i="1"/>
  <c r="BH87" i="1"/>
  <c r="BH86" i="1"/>
  <c r="BH89" i="1"/>
  <c r="CV93" i="1"/>
  <c r="CV92" i="1"/>
  <c r="CV91" i="1"/>
  <c r="CV90" i="1"/>
  <c r="CV89" i="1"/>
  <c r="CV88" i="1"/>
  <c r="CV87" i="1"/>
  <c r="CV86" i="1"/>
  <c r="BB82" i="1"/>
  <c r="BB85" i="1"/>
  <c r="BB84" i="1"/>
  <c r="BB83" i="1"/>
  <c r="BH82" i="1"/>
  <c r="BH85" i="1"/>
  <c r="BH84" i="1"/>
  <c r="BH83" i="1"/>
  <c r="CV82" i="1"/>
  <c r="CV85" i="1"/>
  <c r="CV84" i="1"/>
  <c r="CV83" i="1"/>
  <c r="BC82" i="1"/>
  <c r="BC85" i="1"/>
  <c r="BC84" i="1"/>
  <c r="BC83" i="1"/>
  <c r="BI82" i="1"/>
  <c r="BI85" i="1"/>
  <c r="BI84" i="1"/>
  <c r="BI83" i="1"/>
  <c r="DB82" i="1"/>
  <c r="DB85" i="1"/>
  <c r="DB84" i="1"/>
  <c r="DB83" i="1"/>
  <c r="BB74" i="1"/>
  <c r="BB81" i="1"/>
  <c r="BB80" i="1"/>
  <c r="BB79" i="1"/>
  <c r="BB78" i="1"/>
  <c r="BB76" i="1"/>
  <c r="BB77" i="1"/>
  <c r="BC74" i="1"/>
  <c r="BC81" i="1"/>
  <c r="BC79" i="1"/>
  <c r="BC80" i="1"/>
  <c r="BC78" i="1"/>
  <c r="BC77" i="1"/>
  <c r="BC76" i="1"/>
  <c r="DB81" i="1"/>
  <c r="DB78" i="1"/>
  <c r="DB77" i="1"/>
  <c r="DB76" i="1"/>
  <c r="BI74" i="1"/>
  <c r="BI81" i="1"/>
  <c r="BI78" i="1"/>
  <c r="BI77" i="1"/>
  <c r="BI76" i="1"/>
  <c r="BH74" i="1"/>
  <c r="BH81" i="1"/>
  <c r="BH78" i="1"/>
  <c r="BH77" i="1"/>
  <c r="BH76" i="1"/>
  <c r="CV81" i="1"/>
  <c r="CV80" i="1"/>
  <c r="CV79" i="1"/>
  <c r="CV78" i="1"/>
  <c r="CV77" i="1"/>
  <c r="CV76" i="1"/>
  <c r="DB75" i="1"/>
  <c r="DB74" i="1"/>
  <c r="CV75" i="1"/>
  <c r="CV74" i="1"/>
  <c r="BH72" i="1"/>
  <c r="BH73" i="1"/>
  <c r="BH69" i="1"/>
  <c r="BH68" i="1"/>
  <c r="BH70" i="1"/>
  <c r="BH71" i="1"/>
  <c r="CV73" i="1"/>
  <c r="CV71" i="1"/>
  <c r="CV69" i="1"/>
  <c r="CV68" i="1"/>
  <c r="CV72" i="1"/>
  <c r="CV70" i="1"/>
  <c r="BC73" i="1"/>
  <c r="BC71" i="1"/>
  <c r="BC70" i="1"/>
  <c r="BC72" i="1"/>
  <c r="BC69" i="1"/>
  <c r="BC68" i="1"/>
  <c r="BB70" i="1"/>
  <c r="BB68" i="1"/>
  <c r="BB72" i="1"/>
  <c r="BB73" i="1"/>
  <c r="BB71" i="1"/>
  <c r="BB69" i="1"/>
  <c r="BI70" i="1"/>
  <c r="BI68" i="1"/>
  <c r="BI72" i="1"/>
  <c r="BI73" i="1"/>
  <c r="BI71" i="1"/>
  <c r="BI69" i="1"/>
  <c r="DB73" i="1"/>
  <c r="DB69" i="1"/>
  <c r="DB68" i="1"/>
  <c r="DB71" i="1"/>
  <c r="DB70" i="1"/>
  <c r="DB72" i="1"/>
  <c r="BI67" i="1"/>
  <c r="BI66" i="1"/>
  <c r="BI65" i="1"/>
  <c r="BI64" i="1"/>
  <c r="BI63" i="1"/>
  <c r="BI62" i="1"/>
  <c r="BI61" i="1"/>
  <c r="BI60" i="1"/>
  <c r="DB67" i="1"/>
  <c r="DB66" i="1"/>
  <c r="DB65" i="1"/>
  <c r="DB64" i="1"/>
  <c r="DB63" i="1"/>
  <c r="DB62" i="1"/>
  <c r="DB61" i="1"/>
  <c r="DB60" i="1"/>
  <c r="BH67" i="1"/>
  <c r="BH66" i="1"/>
  <c r="BH65" i="1"/>
  <c r="BH64" i="1"/>
  <c r="BH63" i="1"/>
  <c r="BH62" i="1"/>
  <c r="BH61" i="1"/>
  <c r="BH60" i="1"/>
  <c r="CV67" i="1"/>
  <c r="CV66" i="1"/>
  <c r="CV65" i="1"/>
  <c r="CV64" i="1"/>
  <c r="CV63" i="1"/>
  <c r="CV62" i="1"/>
  <c r="CV61" i="1"/>
  <c r="CV60" i="1"/>
  <c r="BC67" i="1"/>
  <c r="BC66" i="1"/>
  <c r="BC65" i="1"/>
  <c r="BC64" i="1"/>
  <c r="BC63" i="1"/>
  <c r="BC62" i="1"/>
  <c r="BC61" i="1"/>
  <c r="BC60" i="1"/>
  <c r="BB67" i="1"/>
  <c r="BB66" i="1"/>
  <c r="BB65" i="1"/>
  <c r="BB64" i="1"/>
  <c r="BB63" i="1"/>
  <c r="BB62" i="1"/>
  <c r="BB61" i="1"/>
  <c r="BB60" i="1"/>
  <c r="L57" i="3"/>
  <c r="CT59" i="1"/>
  <c r="M57" i="3"/>
  <c r="CU59" i="1"/>
  <c r="S57" i="3"/>
  <c r="DA59" i="1"/>
  <c r="CZ59" i="1"/>
  <c r="R57" i="3"/>
  <c r="N57" i="3"/>
  <c r="Y57" i="3" s="1"/>
  <c r="BD59" i="1"/>
  <c r="BJ59" i="1"/>
  <c r="T57" i="3"/>
  <c r="B56" i="3"/>
  <c r="B56" i="2"/>
  <c r="Z56" i="1"/>
  <c r="AA56" i="1"/>
  <c r="AB56" i="1"/>
  <c r="AC56" i="1"/>
  <c r="AD56" i="1"/>
  <c r="AE56" i="1"/>
  <c r="AF56" i="1"/>
  <c r="AG56" i="1"/>
  <c r="AH56" i="1"/>
  <c r="D56" i="1"/>
  <c r="C56" i="2" s="1"/>
  <c r="CU96" i="1" l="1"/>
  <c r="M96" i="3" s="1"/>
  <c r="CU97" i="1"/>
  <c r="M97" i="3" s="1"/>
  <c r="CU95" i="1"/>
  <c r="M95" i="3" s="1"/>
  <c r="CU94" i="1"/>
  <c r="M94" i="3" s="1"/>
  <c r="CT96" i="1"/>
  <c r="L96" i="3" s="1"/>
  <c r="CT97" i="1"/>
  <c r="L97" i="3" s="1"/>
  <c r="CT95" i="1"/>
  <c r="L95" i="3" s="1"/>
  <c r="CT94" i="1"/>
  <c r="L94" i="3" s="1"/>
  <c r="BJ97" i="1"/>
  <c r="T97" i="3" s="1"/>
  <c r="BJ96" i="1"/>
  <c r="T96" i="3" s="1"/>
  <c r="BJ95" i="1"/>
  <c r="T95" i="3" s="1"/>
  <c r="BJ94" i="1"/>
  <c r="T94" i="3" s="1"/>
  <c r="BD96" i="1"/>
  <c r="N96" i="3" s="1"/>
  <c r="Y96" i="3" s="1"/>
  <c r="BD97" i="1"/>
  <c r="N97" i="3" s="1"/>
  <c r="Y97" i="3" s="1"/>
  <c r="Z97" i="3" s="1"/>
  <c r="BD95" i="1"/>
  <c r="N95" i="3" s="1"/>
  <c r="Y95" i="3" s="1"/>
  <c r="BD94" i="1"/>
  <c r="N94" i="3" s="1"/>
  <c r="Y94" i="3" s="1"/>
  <c r="DA96" i="1"/>
  <c r="S96" i="3" s="1"/>
  <c r="DA97" i="1"/>
  <c r="S97" i="3" s="1"/>
  <c r="DA95" i="1"/>
  <c r="S95" i="3" s="1"/>
  <c r="DA94" i="1"/>
  <c r="S94" i="3" s="1"/>
  <c r="CZ96" i="1"/>
  <c r="R96" i="3" s="1"/>
  <c r="CZ97" i="1"/>
  <c r="R97" i="3" s="1"/>
  <c r="CZ95" i="1"/>
  <c r="R95" i="3" s="1"/>
  <c r="CZ94" i="1"/>
  <c r="R94" i="3" s="1"/>
  <c r="CU93" i="1"/>
  <c r="M93" i="3" s="1"/>
  <c r="CU92" i="1"/>
  <c r="M92" i="3" s="1"/>
  <c r="CU91" i="1"/>
  <c r="M91" i="3" s="1"/>
  <c r="CU90" i="1"/>
  <c r="M90" i="3" s="1"/>
  <c r="CU88" i="1"/>
  <c r="M88" i="3" s="1"/>
  <c r="CU89" i="1"/>
  <c r="M89" i="3" s="1"/>
  <c r="CU87" i="1"/>
  <c r="M87" i="3" s="1"/>
  <c r="CU86" i="1"/>
  <c r="M86" i="3" s="1"/>
  <c r="BD93" i="1"/>
  <c r="N93" i="3" s="1"/>
  <c r="Y93" i="3" s="1"/>
  <c r="BD92" i="1"/>
  <c r="N92" i="3" s="1"/>
  <c r="Y92" i="3" s="1"/>
  <c r="BD91" i="1"/>
  <c r="N91" i="3" s="1"/>
  <c r="Y91" i="3" s="1"/>
  <c r="BD90" i="1"/>
  <c r="N90" i="3" s="1"/>
  <c r="Y90" i="3" s="1"/>
  <c r="BD88" i="1"/>
  <c r="N88" i="3" s="1"/>
  <c r="Y88" i="3" s="1"/>
  <c r="BD87" i="1"/>
  <c r="N87" i="3" s="1"/>
  <c r="Y87" i="3" s="1"/>
  <c r="BD86" i="1"/>
  <c r="N86" i="3" s="1"/>
  <c r="Y86" i="3" s="1"/>
  <c r="BD89" i="1"/>
  <c r="N89" i="3" s="1"/>
  <c r="Y89" i="3" s="1"/>
  <c r="Z89" i="3" s="1"/>
  <c r="DA93" i="1"/>
  <c r="S93" i="3" s="1"/>
  <c r="DA92" i="1"/>
  <c r="S92" i="3" s="1"/>
  <c r="DA91" i="1"/>
  <c r="S91" i="3" s="1"/>
  <c r="DA90" i="1"/>
  <c r="S90" i="3" s="1"/>
  <c r="DA88" i="1"/>
  <c r="S88" i="3" s="1"/>
  <c r="DA87" i="1"/>
  <c r="S87" i="3" s="1"/>
  <c r="DA86" i="1"/>
  <c r="S86" i="3" s="1"/>
  <c r="DA89" i="1"/>
  <c r="S89" i="3" s="1"/>
  <c r="CT93" i="1"/>
  <c r="L93" i="3" s="1"/>
  <c r="CT92" i="1"/>
  <c r="L92" i="3" s="1"/>
  <c r="CT91" i="1"/>
  <c r="L91" i="3" s="1"/>
  <c r="CT90" i="1"/>
  <c r="L90" i="3" s="1"/>
  <c r="CT88" i="1"/>
  <c r="L88" i="3" s="1"/>
  <c r="CT87" i="1"/>
  <c r="L87" i="3" s="1"/>
  <c r="CT86" i="1"/>
  <c r="L86" i="3" s="1"/>
  <c r="CT89" i="1"/>
  <c r="L89" i="3" s="1"/>
  <c r="BJ93" i="1"/>
  <c r="T93" i="3" s="1"/>
  <c r="BJ92" i="1"/>
  <c r="T92" i="3" s="1"/>
  <c r="BJ91" i="1"/>
  <c r="T91" i="3" s="1"/>
  <c r="BJ90" i="1"/>
  <c r="T90" i="3" s="1"/>
  <c r="BJ88" i="1"/>
  <c r="T88" i="3" s="1"/>
  <c r="BJ87" i="1"/>
  <c r="T87" i="3" s="1"/>
  <c r="BJ86" i="1"/>
  <c r="T86" i="3" s="1"/>
  <c r="BJ89" i="1"/>
  <c r="T89" i="3" s="1"/>
  <c r="CZ93" i="1"/>
  <c r="R93" i="3" s="1"/>
  <c r="CZ92" i="1"/>
  <c r="R92" i="3" s="1"/>
  <c r="CZ91" i="1"/>
  <c r="R91" i="3" s="1"/>
  <c r="CZ90" i="1"/>
  <c r="R90" i="3" s="1"/>
  <c r="CZ88" i="1"/>
  <c r="R88" i="3" s="1"/>
  <c r="CZ87" i="1"/>
  <c r="R87" i="3" s="1"/>
  <c r="CZ86" i="1"/>
  <c r="R86" i="3" s="1"/>
  <c r="CZ89" i="1"/>
  <c r="R89" i="3" s="1"/>
  <c r="BD82" i="1"/>
  <c r="N82" i="3" s="1"/>
  <c r="Y82" i="3" s="1"/>
  <c r="BD85" i="1"/>
  <c r="N85" i="3" s="1"/>
  <c r="Y85" i="3" s="1"/>
  <c r="BD84" i="1"/>
  <c r="N84" i="3" s="1"/>
  <c r="Y84" i="3" s="1"/>
  <c r="BD83" i="1"/>
  <c r="N83" i="3" s="1"/>
  <c r="Y83" i="3" s="1"/>
  <c r="Z83" i="3" s="1"/>
  <c r="CT82" i="1"/>
  <c r="L82" i="3" s="1"/>
  <c r="CT85" i="1"/>
  <c r="L85" i="3" s="1"/>
  <c r="CT84" i="1"/>
  <c r="L84" i="3" s="1"/>
  <c r="CT83" i="1"/>
  <c r="L83" i="3" s="1"/>
  <c r="CU82" i="1"/>
  <c r="M82" i="3" s="1"/>
  <c r="CU85" i="1"/>
  <c r="M85" i="3" s="1"/>
  <c r="CU84" i="1"/>
  <c r="M84" i="3" s="1"/>
  <c r="CU83" i="1"/>
  <c r="M83" i="3" s="1"/>
  <c r="DA82" i="1"/>
  <c r="S82" i="3" s="1"/>
  <c r="DA85" i="1"/>
  <c r="S85" i="3" s="1"/>
  <c r="DA84" i="1"/>
  <c r="S84" i="3" s="1"/>
  <c r="DA83" i="1"/>
  <c r="S83" i="3" s="1"/>
  <c r="BJ82" i="1"/>
  <c r="T82" i="3" s="1"/>
  <c r="BJ85" i="1"/>
  <c r="T85" i="3" s="1"/>
  <c r="BJ84" i="1"/>
  <c r="T84" i="3" s="1"/>
  <c r="BJ83" i="1"/>
  <c r="T83" i="3" s="1"/>
  <c r="CZ82" i="1"/>
  <c r="R82" i="3" s="1"/>
  <c r="CZ85" i="1"/>
  <c r="R85" i="3" s="1"/>
  <c r="CZ84" i="1"/>
  <c r="R84" i="3" s="1"/>
  <c r="CZ83" i="1"/>
  <c r="R83" i="3" s="1"/>
  <c r="BD74" i="1"/>
  <c r="N74" i="3" s="1"/>
  <c r="Y74" i="3" s="1"/>
  <c r="BD81" i="1"/>
  <c r="N81" i="3" s="1"/>
  <c r="Y81" i="3" s="1"/>
  <c r="Z82" i="3" s="1"/>
  <c r="BD79" i="1"/>
  <c r="N79" i="3" s="1"/>
  <c r="Y79" i="3" s="1"/>
  <c r="BD80" i="1"/>
  <c r="N80" i="3" s="1"/>
  <c r="Y80" i="3" s="1"/>
  <c r="BD78" i="1"/>
  <c r="N78" i="3" s="1"/>
  <c r="Y78" i="3" s="1"/>
  <c r="BD77" i="1"/>
  <c r="N77" i="3" s="1"/>
  <c r="Y77" i="3" s="1"/>
  <c r="BD76" i="1"/>
  <c r="N76" i="3" s="1"/>
  <c r="Y76" i="3" s="1"/>
  <c r="CT81" i="1"/>
  <c r="L81" i="3" s="1"/>
  <c r="CT79" i="1"/>
  <c r="L79" i="3" s="1"/>
  <c r="CT80" i="1"/>
  <c r="L80" i="3" s="1"/>
  <c r="CT78" i="1"/>
  <c r="L78" i="3" s="1"/>
  <c r="CT77" i="1"/>
  <c r="L77" i="3" s="1"/>
  <c r="CT76" i="1"/>
  <c r="L76" i="3" s="1"/>
  <c r="CU81" i="1"/>
  <c r="M81" i="3" s="1"/>
  <c r="CU79" i="1"/>
  <c r="M79" i="3" s="1"/>
  <c r="CU80" i="1"/>
  <c r="M80" i="3" s="1"/>
  <c r="CU78" i="1"/>
  <c r="M78" i="3" s="1"/>
  <c r="CU77" i="1"/>
  <c r="M77" i="3" s="1"/>
  <c r="CU76" i="1"/>
  <c r="M76" i="3" s="1"/>
  <c r="DA81" i="1"/>
  <c r="S81" i="3" s="1"/>
  <c r="DA78" i="1"/>
  <c r="S78" i="3" s="1"/>
  <c r="DA76" i="1"/>
  <c r="S76" i="3" s="1"/>
  <c r="DA77" i="1"/>
  <c r="S77" i="3" s="1"/>
  <c r="BJ74" i="1"/>
  <c r="T74" i="3" s="1"/>
  <c r="BJ81" i="1"/>
  <c r="T81" i="3" s="1"/>
  <c r="BJ78" i="1"/>
  <c r="T78" i="3" s="1"/>
  <c r="BJ77" i="1"/>
  <c r="T77" i="3" s="1"/>
  <c r="BJ76" i="1"/>
  <c r="T76" i="3" s="1"/>
  <c r="CZ81" i="1"/>
  <c r="R81" i="3" s="1"/>
  <c r="CZ78" i="1"/>
  <c r="R78" i="3" s="1"/>
  <c r="CZ77" i="1"/>
  <c r="R77" i="3" s="1"/>
  <c r="CZ76" i="1"/>
  <c r="R76" i="3" s="1"/>
  <c r="CT75" i="1"/>
  <c r="L75" i="3" s="1"/>
  <c r="CT74" i="1"/>
  <c r="L74" i="3" s="1"/>
  <c r="CU75" i="1"/>
  <c r="M75" i="3" s="1"/>
  <c r="CU74" i="1"/>
  <c r="M74" i="3" s="1"/>
  <c r="DA75" i="1"/>
  <c r="S75" i="3" s="1"/>
  <c r="DA74" i="1"/>
  <c r="S74" i="3" s="1"/>
  <c r="CZ75" i="1"/>
  <c r="R75" i="3" s="1"/>
  <c r="CZ74" i="1"/>
  <c r="R74" i="3" s="1"/>
  <c r="CU73" i="1"/>
  <c r="M73" i="3" s="1"/>
  <c r="CU69" i="1"/>
  <c r="M69" i="3" s="1"/>
  <c r="CU68" i="1"/>
  <c r="M68" i="3" s="1"/>
  <c r="CU71" i="1"/>
  <c r="M71" i="3" s="1"/>
  <c r="CU70" i="1"/>
  <c r="M70" i="3" s="1"/>
  <c r="CU72" i="1"/>
  <c r="M72" i="3" s="1"/>
  <c r="BJ71" i="1"/>
  <c r="T71" i="3" s="1"/>
  <c r="BJ70" i="1"/>
  <c r="T70" i="3" s="1"/>
  <c r="BJ73" i="1"/>
  <c r="T73" i="3" s="1"/>
  <c r="BJ72" i="1"/>
  <c r="T72" i="3" s="1"/>
  <c r="BJ68" i="1"/>
  <c r="T68" i="3" s="1"/>
  <c r="BJ69" i="1"/>
  <c r="T69" i="3" s="1"/>
  <c r="CZ71" i="1"/>
  <c r="R71" i="3" s="1"/>
  <c r="CZ70" i="1"/>
  <c r="R70" i="3" s="1"/>
  <c r="CZ72" i="1"/>
  <c r="R72" i="3" s="1"/>
  <c r="CZ73" i="1"/>
  <c r="R73" i="3" s="1"/>
  <c r="CZ69" i="1"/>
  <c r="R69" i="3" s="1"/>
  <c r="CZ68" i="1"/>
  <c r="R68" i="3" s="1"/>
  <c r="BD73" i="1"/>
  <c r="N73" i="3" s="1"/>
  <c r="Y73" i="3" s="1"/>
  <c r="BD71" i="1"/>
  <c r="N71" i="3" s="1"/>
  <c r="Y71" i="3" s="1"/>
  <c r="BD69" i="1"/>
  <c r="N69" i="3" s="1"/>
  <c r="Y69" i="3" s="1"/>
  <c r="BD70" i="1"/>
  <c r="N70" i="3" s="1"/>
  <c r="Y70" i="3" s="1"/>
  <c r="Z70" i="3" s="1"/>
  <c r="BD68" i="1"/>
  <c r="N68" i="3" s="1"/>
  <c r="Y68" i="3" s="1"/>
  <c r="BD72" i="1"/>
  <c r="N72" i="3" s="1"/>
  <c r="Y72" i="3" s="1"/>
  <c r="Z72" i="3" s="1"/>
  <c r="DA72" i="1"/>
  <c r="S72" i="3" s="1"/>
  <c r="DA73" i="1"/>
  <c r="S73" i="3" s="1"/>
  <c r="DA70" i="1"/>
  <c r="S70" i="3" s="1"/>
  <c r="DA71" i="1"/>
  <c r="S71" i="3" s="1"/>
  <c r="DA69" i="1"/>
  <c r="S69" i="3" s="1"/>
  <c r="DA68" i="1"/>
  <c r="S68" i="3" s="1"/>
  <c r="CT72" i="1"/>
  <c r="L72" i="3" s="1"/>
  <c r="CT70" i="1"/>
  <c r="L70" i="3" s="1"/>
  <c r="CT73" i="1"/>
  <c r="L73" i="3" s="1"/>
  <c r="CT69" i="1"/>
  <c r="L69" i="3" s="1"/>
  <c r="CT68" i="1"/>
  <c r="L68" i="3" s="1"/>
  <c r="CT71" i="1"/>
  <c r="L71" i="3" s="1"/>
  <c r="M59" i="3"/>
  <c r="CU67" i="1"/>
  <c r="M67" i="3" s="1"/>
  <c r="CU66" i="1"/>
  <c r="M66" i="3" s="1"/>
  <c r="CU65" i="1"/>
  <c r="M65" i="3" s="1"/>
  <c r="CU64" i="1"/>
  <c r="M64" i="3" s="1"/>
  <c r="CU63" i="1"/>
  <c r="M63" i="3" s="1"/>
  <c r="CU62" i="1"/>
  <c r="M62" i="3" s="1"/>
  <c r="CU61" i="1"/>
  <c r="M61" i="3" s="1"/>
  <c r="CU60" i="1"/>
  <c r="M60" i="3" s="1"/>
  <c r="T59" i="3"/>
  <c r="BJ67" i="1"/>
  <c r="T67" i="3" s="1"/>
  <c r="BJ66" i="1"/>
  <c r="T66" i="3" s="1"/>
  <c r="BJ65" i="1"/>
  <c r="T65" i="3" s="1"/>
  <c r="BJ64" i="1"/>
  <c r="T64" i="3" s="1"/>
  <c r="BJ63" i="1"/>
  <c r="T63" i="3" s="1"/>
  <c r="BJ62" i="1"/>
  <c r="T62" i="3" s="1"/>
  <c r="BJ61" i="1"/>
  <c r="T61" i="3" s="1"/>
  <c r="BJ60" i="1"/>
  <c r="T60" i="3" s="1"/>
  <c r="R59" i="3"/>
  <c r="CZ67" i="1"/>
  <c r="R67" i="3" s="1"/>
  <c r="CZ66" i="1"/>
  <c r="R66" i="3" s="1"/>
  <c r="CZ65" i="1"/>
  <c r="R65" i="3" s="1"/>
  <c r="CZ64" i="1"/>
  <c r="R64" i="3" s="1"/>
  <c r="CZ63" i="1"/>
  <c r="R63" i="3" s="1"/>
  <c r="CZ62" i="1"/>
  <c r="R62" i="3" s="1"/>
  <c r="CZ61" i="1"/>
  <c r="R61" i="3" s="1"/>
  <c r="CZ60" i="1"/>
  <c r="R60" i="3" s="1"/>
  <c r="N59" i="3"/>
  <c r="Y59" i="3" s="1"/>
  <c r="Z59" i="3" s="1"/>
  <c r="BD67" i="1"/>
  <c r="N67" i="3" s="1"/>
  <c r="Y67" i="3" s="1"/>
  <c r="BD66" i="1"/>
  <c r="N66" i="3" s="1"/>
  <c r="Y66" i="3" s="1"/>
  <c r="BD65" i="1"/>
  <c r="N65" i="3" s="1"/>
  <c r="Y65" i="3" s="1"/>
  <c r="BD64" i="1"/>
  <c r="N64" i="3" s="1"/>
  <c r="Y64" i="3" s="1"/>
  <c r="BD63" i="1"/>
  <c r="N63" i="3" s="1"/>
  <c r="Y63" i="3" s="1"/>
  <c r="BD62" i="1"/>
  <c r="N62" i="3" s="1"/>
  <c r="Y62" i="3" s="1"/>
  <c r="BD61" i="1"/>
  <c r="N61" i="3" s="1"/>
  <c r="Y61" i="3" s="1"/>
  <c r="BD60" i="1"/>
  <c r="N60" i="3" s="1"/>
  <c r="Y60" i="3" s="1"/>
  <c r="Z60" i="3" s="1"/>
  <c r="S59" i="3"/>
  <c r="DA67" i="1"/>
  <c r="S67" i="3" s="1"/>
  <c r="DA66" i="1"/>
  <c r="S66" i="3" s="1"/>
  <c r="DA65" i="1"/>
  <c r="S65" i="3" s="1"/>
  <c r="DA64" i="1"/>
  <c r="S64" i="3" s="1"/>
  <c r="DA63" i="1"/>
  <c r="S63" i="3" s="1"/>
  <c r="DA62" i="1"/>
  <c r="S62" i="3" s="1"/>
  <c r="DA61" i="1"/>
  <c r="S61" i="3" s="1"/>
  <c r="DA60" i="1"/>
  <c r="S60" i="3" s="1"/>
  <c r="L59" i="3"/>
  <c r="CT67" i="1"/>
  <c r="L67" i="3" s="1"/>
  <c r="CT66" i="1"/>
  <c r="L66" i="3" s="1"/>
  <c r="CT65" i="1"/>
  <c r="L65" i="3" s="1"/>
  <c r="CT64" i="1"/>
  <c r="L64" i="3" s="1"/>
  <c r="CT63" i="1"/>
  <c r="L63" i="3" s="1"/>
  <c r="CT62" i="1"/>
  <c r="L62" i="3" s="1"/>
  <c r="CT61" i="1"/>
  <c r="L61" i="3" s="1"/>
  <c r="CT60" i="1"/>
  <c r="L60" i="3" s="1"/>
  <c r="B54" i="3"/>
  <c r="B55" i="3"/>
  <c r="B54" i="2"/>
  <c r="B55" i="2"/>
  <c r="AH55" i="1"/>
  <c r="AG55" i="1"/>
  <c r="AF55" i="1"/>
  <c r="AE55" i="1"/>
  <c r="AD55" i="1"/>
  <c r="AC55" i="1"/>
  <c r="AB55" i="1"/>
  <c r="AA55" i="1"/>
  <c r="D55" i="1"/>
  <c r="C55" i="2" s="1"/>
  <c r="Z96" i="3" l="1"/>
  <c r="Z95" i="3"/>
  <c r="Z74" i="3"/>
  <c r="Z94" i="3"/>
  <c r="Z91" i="3"/>
  <c r="Z87" i="3"/>
  <c r="Z92" i="3"/>
  <c r="Z80" i="3"/>
  <c r="Z90" i="3"/>
  <c r="Z86" i="3"/>
  <c r="Z88" i="3"/>
  <c r="Z93" i="3"/>
  <c r="Z84" i="3"/>
  <c r="Z85" i="3"/>
  <c r="Z79" i="3"/>
  <c r="Z77" i="3"/>
  <c r="Z81" i="3"/>
  <c r="Z78" i="3"/>
  <c r="Z68" i="3"/>
  <c r="Z71" i="3"/>
  <c r="Z73" i="3"/>
  <c r="Z69" i="3"/>
  <c r="Z61" i="3"/>
  <c r="Z65" i="3"/>
  <c r="Z62" i="3"/>
  <c r="Z66" i="3"/>
  <c r="Z64" i="3"/>
  <c r="Z63" i="3"/>
  <c r="Z67" i="3"/>
  <c r="CK54" i="1"/>
  <c r="C54" i="3" s="1"/>
  <c r="CL54" i="1"/>
  <c r="D54" i="3" s="1"/>
  <c r="CM54" i="1"/>
  <c r="CN54" i="1"/>
  <c r="F54" i="3" s="1"/>
  <c r="CO54" i="1"/>
  <c r="G54" i="3" s="1"/>
  <c r="CP54" i="1"/>
  <c r="CT54" i="1"/>
  <c r="L54" i="3" s="1"/>
  <c r="CU54" i="1"/>
  <c r="M54" i="3" s="1"/>
  <c r="CV54" i="1"/>
  <c r="CW54" i="1"/>
  <c r="O54" i="3" s="1"/>
  <c r="CX54" i="1"/>
  <c r="P54" i="3" s="1"/>
  <c r="CY54" i="1"/>
  <c r="CZ54" i="1"/>
  <c r="R54" i="3" s="1"/>
  <c r="DA54" i="1"/>
  <c r="S54" i="3" s="1"/>
  <c r="DB54" i="1"/>
  <c r="AQ54" i="1"/>
  <c r="AG54" i="1"/>
  <c r="AO54" i="1"/>
  <c r="AN54" i="1"/>
  <c r="AD54" i="1"/>
  <c r="AC54" i="1"/>
  <c r="AK54" i="1"/>
  <c r="AA54" i="1"/>
  <c r="Z54" i="1"/>
  <c r="D54" i="1"/>
  <c r="C54" i="2" s="1"/>
  <c r="B53" i="3"/>
  <c r="B53" i="2"/>
  <c r="Z53" i="1"/>
  <c r="AA53" i="1"/>
  <c r="AB53" i="1"/>
  <c r="AC53" i="1"/>
  <c r="AD53" i="1"/>
  <c r="AE53" i="1"/>
  <c r="AF53" i="1"/>
  <c r="AG53" i="1"/>
  <c r="AH53" i="1"/>
  <c r="AS53" i="1"/>
  <c r="AT53" i="1"/>
  <c r="AU53" i="1"/>
  <c r="E53" i="3" s="1"/>
  <c r="AV53" i="1"/>
  <c r="AW53" i="1"/>
  <c r="AX53" i="1"/>
  <c r="H53" i="3" s="1"/>
  <c r="AY53" i="1"/>
  <c r="AZ53" i="1"/>
  <c r="BA53" i="1"/>
  <c r="K53" i="3" s="1"/>
  <c r="BB53" i="1"/>
  <c r="BC53" i="1"/>
  <c r="BD53" i="1"/>
  <c r="N53" i="3" s="1"/>
  <c r="Y53" i="3" s="1"/>
  <c r="BE53" i="1"/>
  <c r="BF53" i="1"/>
  <c r="BG53" i="1"/>
  <c r="Q53" i="3" s="1"/>
  <c r="BH53" i="1"/>
  <c r="BI53" i="1"/>
  <c r="BJ53" i="1"/>
  <c r="T53" i="3" s="1"/>
  <c r="BK53" i="1"/>
  <c r="BL53" i="1"/>
  <c r="BM53" i="1"/>
  <c r="W53" i="3" s="1"/>
  <c r="D53" i="1"/>
  <c r="C53" i="2" s="1"/>
  <c r="B52" i="3"/>
  <c r="B52" i="2"/>
  <c r="CR52" i="1"/>
  <c r="AZ52" i="1"/>
  <c r="Z52" i="1"/>
  <c r="AA52" i="1"/>
  <c r="AB52" i="1"/>
  <c r="AC52" i="1"/>
  <c r="AD52" i="1"/>
  <c r="AE52" i="1"/>
  <c r="AF52" i="1"/>
  <c r="AG52" i="1"/>
  <c r="AH52" i="1"/>
  <c r="D52" i="1"/>
  <c r="C52" i="2" s="1"/>
  <c r="N6" i="4"/>
  <c r="B6" i="4"/>
  <c r="R10" i="3"/>
  <c r="S10" i="3"/>
  <c r="B51" i="3"/>
  <c r="B51" i="2"/>
  <c r="Z51" i="1"/>
  <c r="AA51" i="1"/>
  <c r="AB51" i="1"/>
  <c r="AC51" i="1"/>
  <c r="AD51" i="1"/>
  <c r="AE51" i="1"/>
  <c r="AF51" i="1"/>
  <c r="AG51" i="1"/>
  <c r="AH51" i="1"/>
  <c r="D51" i="1"/>
  <c r="C51" i="2" s="1"/>
  <c r="N42" i="4" l="1"/>
  <c r="AD28" i="4" l="1"/>
  <c r="AD27" i="4"/>
  <c r="AD26" i="4"/>
  <c r="AD25" i="4"/>
  <c r="AD24" i="4"/>
  <c r="AD22" i="4"/>
  <c r="AD18" i="4"/>
  <c r="AD16" i="4"/>
  <c r="B50" i="3"/>
  <c r="B50" i="2"/>
  <c r="AJ48" i="1"/>
  <c r="AJ49" i="1"/>
  <c r="AA50" i="1"/>
  <c r="D50" i="1"/>
  <c r="C50" i="2" s="1"/>
  <c r="B49" i="3"/>
  <c r="B49" i="2"/>
  <c r="S49" i="2"/>
  <c r="D49" i="1"/>
  <c r="C49" i="2" s="1"/>
  <c r="B48" i="3"/>
  <c r="B48" i="2"/>
  <c r="D48" i="1"/>
  <c r="C48" i="2" s="1"/>
  <c r="B47" i="3"/>
  <c r="B47" i="2"/>
  <c r="Z47" i="1"/>
  <c r="AA47" i="1"/>
  <c r="AB47" i="1"/>
  <c r="AC47" i="1"/>
  <c r="AD47" i="1"/>
  <c r="AE47" i="1"/>
  <c r="AF47" i="1"/>
  <c r="AG47" i="1"/>
  <c r="AH47" i="1"/>
  <c r="D47" i="1"/>
  <c r="C47" i="2" s="1"/>
  <c r="B46" i="3"/>
  <c r="B46" i="2"/>
  <c r="AA46" i="1"/>
  <c r="D46" i="1"/>
  <c r="C46" i="2" s="1"/>
  <c r="B45" i="3"/>
  <c r="B45" i="2"/>
  <c r="Z45" i="1"/>
  <c r="AA45" i="1"/>
  <c r="AB45" i="1"/>
  <c r="AC45" i="1"/>
  <c r="AD45" i="1"/>
  <c r="AE45" i="1"/>
  <c r="AF45" i="1"/>
  <c r="AG45" i="1"/>
  <c r="AH45" i="1"/>
  <c r="D45" i="1"/>
  <c r="C45" i="2" s="1"/>
  <c r="B42" i="4"/>
  <c r="B44" i="3"/>
  <c r="B44" i="2"/>
  <c r="AA44" i="1"/>
  <c r="D44" i="1"/>
  <c r="C44" i="2" s="1"/>
  <c r="B43" i="3"/>
  <c r="B43" i="2"/>
  <c r="Z43" i="1"/>
  <c r="AA43" i="1"/>
  <c r="AB43" i="1"/>
  <c r="AC43" i="1"/>
  <c r="AD43" i="1"/>
  <c r="AE43" i="1"/>
  <c r="AF43" i="1"/>
  <c r="AG43" i="1"/>
  <c r="AH43" i="1"/>
  <c r="D43" i="1"/>
  <c r="C43" i="2" s="1"/>
  <c r="B42" i="3"/>
  <c r="B42" i="2"/>
  <c r="AH42" i="1"/>
  <c r="AG42" i="1"/>
  <c r="AF42" i="1"/>
  <c r="AE42" i="1"/>
  <c r="AD42" i="1"/>
  <c r="AC42" i="1"/>
  <c r="AB42" i="1"/>
  <c r="AA42" i="1"/>
  <c r="Z42" i="1"/>
  <c r="D42" i="1"/>
  <c r="C42" i="2" s="1"/>
  <c r="B41" i="3"/>
  <c r="B41" i="2"/>
  <c r="AA41" i="1"/>
  <c r="D41" i="1"/>
  <c r="C41" i="2" s="1"/>
  <c r="CP40" i="1"/>
  <c r="CO40" i="1"/>
  <c r="G40" i="3" s="1"/>
  <c r="CN40" i="1"/>
  <c r="F40" i="3" s="1"/>
  <c r="B40" i="3"/>
  <c r="B40" i="2"/>
  <c r="CK40" i="1"/>
  <c r="C40" i="3" s="1"/>
  <c r="CL40" i="1"/>
  <c r="D40" i="3" s="1"/>
  <c r="CM40" i="1"/>
  <c r="CQ40" i="1"/>
  <c r="I40" i="3" s="1"/>
  <c r="CR40" i="1"/>
  <c r="J40" i="3" s="1"/>
  <c r="CS40" i="1"/>
  <c r="CT40" i="1"/>
  <c r="L40" i="3" s="1"/>
  <c r="CU40" i="1"/>
  <c r="M40" i="3" s="1"/>
  <c r="CV40" i="1"/>
  <c r="CW40" i="1"/>
  <c r="O40" i="3" s="1"/>
  <c r="CX40" i="1"/>
  <c r="P40" i="3" s="1"/>
  <c r="CY40" i="1"/>
  <c r="CZ40" i="1"/>
  <c r="R40" i="3" s="1"/>
  <c r="DA40" i="1"/>
  <c r="S40" i="3" s="1"/>
  <c r="DB40" i="1"/>
  <c r="DC40" i="1"/>
  <c r="U40" i="3" s="1"/>
  <c r="DD40" i="1"/>
  <c r="V40" i="3" s="1"/>
  <c r="DE40" i="1"/>
  <c r="AA40" i="1"/>
  <c r="D40" i="1"/>
  <c r="C40" i="2" s="1"/>
  <c r="B39" i="3"/>
  <c r="B39" i="2"/>
  <c r="CK39" i="1"/>
  <c r="C39" i="3" s="1"/>
  <c r="CL39" i="1"/>
  <c r="D39" i="3" s="1"/>
  <c r="CM39" i="1"/>
  <c r="CQ39" i="1"/>
  <c r="I39" i="3" s="1"/>
  <c r="CR39" i="1"/>
  <c r="J39" i="3" s="1"/>
  <c r="CS39" i="1"/>
  <c r="CT39" i="1"/>
  <c r="L39" i="3" s="1"/>
  <c r="CU39" i="1"/>
  <c r="M39" i="3" s="1"/>
  <c r="CV39" i="1"/>
  <c r="CW39" i="1"/>
  <c r="O39" i="3" s="1"/>
  <c r="CX39" i="1"/>
  <c r="CY39" i="1"/>
  <c r="CZ39" i="1"/>
  <c r="R39" i="3" s="1"/>
  <c r="DA39" i="1"/>
  <c r="S39" i="3" s="1"/>
  <c r="DB39" i="1"/>
  <c r="DC39" i="1"/>
  <c r="U39" i="3" s="1"/>
  <c r="DD39" i="1"/>
  <c r="V39" i="3" s="1"/>
  <c r="DE39" i="1"/>
  <c r="Z39" i="1"/>
  <c r="AJ39" i="1"/>
  <c r="AB39" i="1"/>
  <c r="AC39" i="1"/>
  <c r="AD39" i="1"/>
  <c r="AE39" i="1"/>
  <c r="AF39" i="1"/>
  <c r="AP39" i="1"/>
  <c r="AH39" i="1"/>
  <c r="D39" i="1"/>
  <c r="C39" i="2" s="1"/>
  <c r="B38" i="3"/>
  <c r="B38" i="2"/>
  <c r="AG38" i="1"/>
  <c r="AG40" i="1"/>
  <c r="AG41" i="1"/>
  <c r="AG44" i="1"/>
  <c r="AG46" i="1"/>
  <c r="AG50" i="1"/>
  <c r="AG58" i="1"/>
  <c r="AG59" i="1"/>
  <c r="AG62" i="1"/>
  <c r="AD38" i="1"/>
  <c r="AD40" i="1"/>
  <c r="AD41" i="1"/>
  <c r="AD44" i="1"/>
  <c r="AD46" i="1"/>
  <c r="AD48" i="1"/>
  <c r="AD49" i="1"/>
  <c r="AD50" i="1"/>
  <c r="AD57" i="1"/>
  <c r="AD58" i="1"/>
  <c r="AD59" i="1"/>
  <c r="AD62" i="1"/>
  <c r="AA38" i="1"/>
  <c r="B37" i="3"/>
  <c r="B37" i="2"/>
  <c r="Z37" i="1"/>
  <c r="AA37" i="1"/>
  <c r="AB37" i="1"/>
  <c r="AC37" i="1"/>
  <c r="AD37" i="1"/>
  <c r="AE37" i="1"/>
  <c r="AF37" i="1"/>
  <c r="AG37" i="1"/>
  <c r="AH37" i="1"/>
  <c r="B36" i="3"/>
  <c r="B36" i="2"/>
  <c r="Z36" i="1"/>
  <c r="AA36" i="1"/>
  <c r="AB36" i="1"/>
  <c r="AC36" i="1"/>
  <c r="AD36" i="1"/>
  <c r="AE36" i="1"/>
  <c r="AF36" i="1"/>
  <c r="AG36" i="1"/>
  <c r="AH36" i="1"/>
  <c r="B35" i="3"/>
  <c r="B35" i="2"/>
  <c r="AG35" i="1"/>
  <c r="AD35" i="1"/>
  <c r="AA35" i="1"/>
  <c r="B34" i="3"/>
  <c r="B34" i="2"/>
  <c r="CK34" i="1"/>
  <c r="C34" i="3" s="1"/>
  <c r="CL34" i="1"/>
  <c r="D34" i="3" s="1"/>
  <c r="CM34" i="1"/>
  <c r="CN34" i="1"/>
  <c r="F34" i="3" s="1"/>
  <c r="CO34" i="1"/>
  <c r="G34" i="3" s="1"/>
  <c r="CP34" i="1"/>
  <c r="CQ34" i="1"/>
  <c r="I34" i="3" s="1"/>
  <c r="CR34" i="1"/>
  <c r="J34" i="3" s="1"/>
  <c r="CS34" i="1"/>
  <c r="CT34" i="1"/>
  <c r="L34" i="3" s="1"/>
  <c r="CU34" i="1"/>
  <c r="M34" i="3" s="1"/>
  <c r="CV34" i="1"/>
  <c r="CW34" i="1"/>
  <c r="O34" i="3" s="1"/>
  <c r="CX34" i="1"/>
  <c r="P34" i="3" s="1"/>
  <c r="CY34" i="1"/>
  <c r="CZ34" i="1"/>
  <c r="R34" i="3" s="1"/>
  <c r="DA34" i="1"/>
  <c r="S34" i="3" s="1"/>
  <c r="DB34" i="1"/>
  <c r="DC34" i="1"/>
  <c r="U34" i="3" s="1"/>
  <c r="DD34" i="1"/>
  <c r="V34" i="3" s="1"/>
  <c r="DE34" i="1"/>
  <c r="AS34" i="1"/>
  <c r="AT34" i="1"/>
  <c r="AU34" i="1"/>
  <c r="E34" i="3" s="1"/>
  <c r="AV34" i="1"/>
  <c r="AW34" i="1"/>
  <c r="AX34" i="1"/>
  <c r="H34" i="3" s="1"/>
  <c r="AY34" i="1"/>
  <c r="AZ34" i="1"/>
  <c r="BA34" i="1"/>
  <c r="K34" i="3" s="1"/>
  <c r="BB34" i="1"/>
  <c r="BC34" i="1"/>
  <c r="BD34" i="1"/>
  <c r="N34" i="3" s="1"/>
  <c r="Y34" i="3" s="1"/>
  <c r="BE34" i="1"/>
  <c r="BF34" i="1"/>
  <c r="BG34" i="1"/>
  <c r="Q34" i="3" s="1"/>
  <c r="BH34" i="1"/>
  <c r="BI34" i="1"/>
  <c r="BJ34" i="1"/>
  <c r="T34" i="3" s="1"/>
  <c r="BK34" i="1"/>
  <c r="BL34" i="1"/>
  <c r="BM34" i="1"/>
  <c r="W34" i="3" s="1"/>
  <c r="Z34" i="1"/>
  <c r="AA34" i="1"/>
  <c r="AB34" i="1"/>
  <c r="AC34" i="1"/>
  <c r="AD34" i="1"/>
  <c r="AE34" i="1"/>
  <c r="AF34" i="1"/>
  <c r="AG34" i="1"/>
  <c r="AH34" i="1"/>
  <c r="P39" i="3" l="1"/>
  <c r="D34" i="1"/>
  <c r="C34" i="2" s="1"/>
  <c r="B34" i="1"/>
  <c r="B33" i="3"/>
  <c r="B33" i="2"/>
  <c r="CK33" i="1"/>
  <c r="C33" i="3" s="1"/>
  <c r="CL33" i="1"/>
  <c r="D33" i="3" s="1"/>
  <c r="CM33" i="1"/>
  <c r="CN33" i="1"/>
  <c r="F33" i="3" s="1"/>
  <c r="CO33" i="1"/>
  <c r="G33" i="3" s="1"/>
  <c r="CP33" i="1"/>
  <c r="CQ33" i="1"/>
  <c r="I33" i="3" s="1"/>
  <c r="CR33" i="1"/>
  <c r="J33" i="3" s="1"/>
  <c r="CS33" i="1"/>
  <c r="CT33" i="1"/>
  <c r="L33" i="3" s="1"/>
  <c r="CU33" i="1"/>
  <c r="M33" i="3" s="1"/>
  <c r="CV33" i="1"/>
  <c r="CW33" i="1"/>
  <c r="CX33" i="1"/>
  <c r="P33" i="3" s="1"/>
  <c r="CY33" i="1"/>
  <c r="CZ33" i="1"/>
  <c r="R33" i="3" s="1"/>
  <c r="DA33" i="1"/>
  <c r="S33" i="3" s="1"/>
  <c r="DB33" i="1"/>
  <c r="DC33" i="1"/>
  <c r="U33" i="3" s="1"/>
  <c r="DD33" i="1"/>
  <c r="V33" i="3" s="1"/>
  <c r="DE33" i="1"/>
  <c r="AS33" i="1"/>
  <c r="AT33" i="1"/>
  <c r="AU33" i="1"/>
  <c r="E33" i="3" s="1"/>
  <c r="AV33" i="1"/>
  <c r="AW33" i="1"/>
  <c r="AX33" i="1"/>
  <c r="H33" i="3" s="1"/>
  <c r="AY33" i="1"/>
  <c r="AZ33" i="1"/>
  <c r="BA33" i="1"/>
  <c r="K33" i="3" s="1"/>
  <c r="BB33" i="1"/>
  <c r="BC33" i="1"/>
  <c r="BD33" i="1"/>
  <c r="N33" i="3" s="1"/>
  <c r="Y33" i="3" s="1"/>
  <c r="BE33" i="1"/>
  <c r="BF33" i="1"/>
  <c r="BG33" i="1"/>
  <c r="Q33" i="3" s="1"/>
  <c r="BH33" i="1"/>
  <c r="BI33" i="1"/>
  <c r="BJ33" i="1"/>
  <c r="T33" i="3" s="1"/>
  <c r="BK33" i="1"/>
  <c r="BL33" i="1"/>
  <c r="BM33" i="1"/>
  <c r="W33" i="3" s="1"/>
  <c r="Z33" i="1"/>
  <c r="AA33" i="1"/>
  <c r="AB33" i="1"/>
  <c r="AC33" i="1"/>
  <c r="AD33" i="1"/>
  <c r="AE33" i="1"/>
  <c r="AF33" i="1"/>
  <c r="AG33" i="1"/>
  <c r="AH33" i="1"/>
  <c r="D33" i="1"/>
  <c r="C33" i="2" s="1"/>
  <c r="B33" i="1"/>
  <c r="A33" i="3" s="1"/>
  <c r="B32" i="3"/>
  <c r="B32" i="2"/>
  <c r="CK32" i="1"/>
  <c r="C32" i="3" s="1"/>
  <c r="CL32" i="1"/>
  <c r="D32" i="3" s="1"/>
  <c r="CM32" i="1"/>
  <c r="CN32" i="1"/>
  <c r="F32" i="3" s="1"/>
  <c r="CO32" i="1"/>
  <c r="G32" i="3" s="1"/>
  <c r="CP32" i="1"/>
  <c r="CQ32" i="1"/>
  <c r="I32" i="3" s="1"/>
  <c r="CR32" i="1"/>
  <c r="J32" i="3" s="1"/>
  <c r="CS32" i="1"/>
  <c r="CT32" i="1"/>
  <c r="L32" i="3" s="1"/>
  <c r="CU32" i="1"/>
  <c r="M32" i="3" s="1"/>
  <c r="CV32" i="1"/>
  <c r="CW32" i="1"/>
  <c r="CX32" i="1"/>
  <c r="CY32" i="1"/>
  <c r="CZ32" i="1"/>
  <c r="R32" i="3" s="1"/>
  <c r="DA32" i="1"/>
  <c r="S32" i="3" s="1"/>
  <c r="DB32" i="1"/>
  <c r="DC32" i="1"/>
  <c r="U32" i="3" s="1"/>
  <c r="DD32" i="1"/>
  <c r="V32" i="3" s="1"/>
  <c r="DE32" i="1"/>
  <c r="AS32" i="1"/>
  <c r="AT32" i="1"/>
  <c r="AU32" i="1"/>
  <c r="E32" i="3" s="1"/>
  <c r="AV32" i="1"/>
  <c r="AW32" i="1"/>
  <c r="AX32" i="1"/>
  <c r="H32" i="3" s="1"/>
  <c r="AY32" i="1"/>
  <c r="AZ32" i="1"/>
  <c r="BA32" i="1"/>
  <c r="K32" i="3" s="1"/>
  <c r="BB32" i="1"/>
  <c r="BC32" i="1"/>
  <c r="BD32" i="1"/>
  <c r="N32" i="3" s="1"/>
  <c r="Y32" i="3" s="1"/>
  <c r="BE32" i="1"/>
  <c r="BF32" i="1"/>
  <c r="BG32" i="1"/>
  <c r="Q32" i="3" s="1"/>
  <c r="BH32" i="1"/>
  <c r="BI32" i="1"/>
  <c r="BJ32" i="1"/>
  <c r="T32" i="3" s="1"/>
  <c r="BK32" i="1"/>
  <c r="BL32" i="1"/>
  <c r="BM32" i="1"/>
  <c r="W32" i="3" s="1"/>
  <c r="Z32" i="1"/>
  <c r="AA32" i="1"/>
  <c r="AB32" i="1"/>
  <c r="AC32" i="1"/>
  <c r="AD32" i="1"/>
  <c r="AE32" i="1"/>
  <c r="AF32" i="1"/>
  <c r="AG32" i="1"/>
  <c r="AH32" i="1"/>
  <c r="D32" i="1"/>
  <c r="C32" i="2" s="1"/>
  <c r="B32" i="1"/>
  <c r="A32" i="2" s="1"/>
  <c r="B31" i="3"/>
  <c r="B31" i="2"/>
  <c r="CK31" i="1"/>
  <c r="C31" i="3" s="1"/>
  <c r="CL31" i="1"/>
  <c r="D31" i="3" s="1"/>
  <c r="CM31" i="1"/>
  <c r="CN31" i="1"/>
  <c r="F31" i="3" s="1"/>
  <c r="CO31" i="1"/>
  <c r="G31" i="3" s="1"/>
  <c r="CP31" i="1"/>
  <c r="CQ31" i="1"/>
  <c r="I31" i="3" s="1"/>
  <c r="CR31" i="1"/>
  <c r="J31" i="3" s="1"/>
  <c r="CS31" i="1"/>
  <c r="CT31" i="1"/>
  <c r="L31" i="3" s="1"/>
  <c r="CU31" i="1"/>
  <c r="M31" i="3" s="1"/>
  <c r="CV31" i="1"/>
  <c r="CW31" i="1"/>
  <c r="O31" i="3" s="1"/>
  <c r="CX31" i="1"/>
  <c r="P31" i="3" s="1"/>
  <c r="CY31" i="1"/>
  <c r="CZ31" i="1"/>
  <c r="R31" i="3" s="1"/>
  <c r="DA31" i="1"/>
  <c r="S31" i="3" s="1"/>
  <c r="DB31" i="1"/>
  <c r="DC31" i="1"/>
  <c r="U31" i="3" s="1"/>
  <c r="DD31" i="1"/>
  <c r="V31" i="3" s="1"/>
  <c r="DE31" i="1"/>
  <c r="AS31" i="1"/>
  <c r="AT31" i="1"/>
  <c r="AU31" i="1"/>
  <c r="E31" i="3" s="1"/>
  <c r="AV31" i="1"/>
  <c r="AW31" i="1"/>
  <c r="AX31" i="1"/>
  <c r="H31" i="3" s="1"/>
  <c r="AY31" i="1"/>
  <c r="AZ31" i="1"/>
  <c r="BA31" i="1"/>
  <c r="K31" i="3" s="1"/>
  <c r="BB31" i="1"/>
  <c r="BC31" i="1"/>
  <c r="BD31" i="1"/>
  <c r="N31" i="3" s="1"/>
  <c r="Y31" i="3" s="1"/>
  <c r="BE31" i="1"/>
  <c r="BF31" i="1"/>
  <c r="BG31" i="1"/>
  <c r="Q31" i="3" s="1"/>
  <c r="BH31" i="1"/>
  <c r="BI31" i="1"/>
  <c r="BJ31" i="1"/>
  <c r="T31" i="3" s="1"/>
  <c r="BK31" i="1"/>
  <c r="BL31" i="1"/>
  <c r="BM31" i="1"/>
  <c r="W31" i="3" s="1"/>
  <c r="Z31" i="1"/>
  <c r="AA31" i="1"/>
  <c r="AB31" i="1"/>
  <c r="AC31" i="1"/>
  <c r="AD31" i="1"/>
  <c r="AE31" i="1"/>
  <c r="AF31" i="1"/>
  <c r="AG31" i="1"/>
  <c r="AH31" i="1"/>
  <c r="D31" i="1"/>
  <c r="C31" i="2" s="1"/>
  <c r="B31" i="1"/>
  <c r="A31" i="2" s="1"/>
  <c r="B30" i="3"/>
  <c r="B30" i="2"/>
  <c r="CK30" i="1"/>
  <c r="C30" i="3" s="1"/>
  <c r="CL30" i="1"/>
  <c r="D30" i="3" s="1"/>
  <c r="CM30" i="1"/>
  <c r="CN30" i="1"/>
  <c r="F30" i="3" s="1"/>
  <c r="CO30" i="1"/>
  <c r="G30" i="3" s="1"/>
  <c r="CP30" i="1"/>
  <c r="CQ30" i="1"/>
  <c r="I30" i="3" s="1"/>
  <c r="CR30" i="1"/>
  <c r="J30" i="3" s="1"/>
  <c r="CS30" i="1"/>
  <c r="CT30" i="1"/>
  <c r="L30" i="3" s="1"/>
  <c r="CU30" i="1"/>
  <c r="M30" i="3" s="1"/>
  <c r="CV30" i="1"/>
  <c r="CW30" i="1"/>
  <c r="CX30" i="1"/>
  <c r="P30" i="3" s="1"/>
  <c r="CY30" i="1"/>
  <c r="CZ30" i="1"/>
  <c r="R30" i="3" s="1"/>
  <c r="DA30" i="1"/>
  <c r="S30" i="3" s="1"/>
  <c r="DB30" i="1"/>
  <c r="DC30" i="1"/>
  <c r="U30" i="3" s="1"/>
  <c r="DD30" i="1"/>
  <c r="V30" i="3" s="1"/>
  <c r="DE30" i="1"/>
  <c r="Z30" i="1"/>
  <c r="AA30" i="1"/>
  <c r="AB30" i="1"/>
  <c r="AC30" i="1"/>
  <c r="AD30" i="1"/>
  <c r="AE30" i="1"/>
  <c r="AF30" i="1"/>
  <c r="AG30" i="1"/>
  <c r="AH30" i="1"/>
  <c r="D30" i="1"/>
  <c r="C30" i="2" s="1"/>
  <c r="B30" i="1"/>
  <c r="A30" i="3" s="1"/>
  <c r="AH29" i="1"/>
  <c r="AG29" i="1"/>
  <c r="AF29" i="1"/>
  <c r="AE29" i="1"/>
  <c r="AD29" i="1"/>
  <c r="AC29" i="1"/>
  <c r="AB29" i="1"/>
  <c r="AA29" i="1"/>
  <c r="Z29" i="1"/>
  <c r="AS30" i="1"/>
  <c r="AT30" i="1"/>
  <c r="AU30" i="1"/>
  <c r="E30" i="3" s="1"/>
  <c r="AV30" i="1"/>
  <c r="AW30" i="1"/>
  <c r="AX30" i="1"/>
  <c r="H30" i="3" s="1"/>
  <c r="AY30" i="1"/>
  <c r="AZ30" i="1"/>
  <c r="BA30" i="1"/>
  <c r="K30" i="3" s="1"/>
  <c r="BB30" i="1"/>
  <c r="BC30" i="1"/>
  <c r="BD30" i="1"/>
  <c r="N30" i="3" s="1"/>
  <c r="Y30" i="3" s="1"/>
  <c r="BE30" i="1"/>
  <c r="BF30" i="1"/>
  <c r="BG30" i="1"/>
  <c r="Q30" i="3" s="1"/>
  <c r="BH30" i="1"/>
  <c r="BI30" i="1"/>
  <c r="BJ30" i="1"/>
  <c r="T30" i="3" s="1"/>
  <c r="BK30" i="1"/>
  <c r="BL30" i="1"/>
  <c r="BM30" i="1"/>
  <c r="W30" i="3" s="1"/>
  <c r="B29" i="3"/>
  <c r="B29" i="2"/>
  <c r="CK29" i="1"/>
  <c r="C29" i="3" s="1"/>
  <c r="CL29" i="1"/>
  <c r="D29" i="3" s="1"/>
  <c r="CM29" i="1"/>
  <c r="CN29" i="1"/>
  <c r="F29" i="3" s="1"/>
  <c r="CO29" i="1"/>
  <c r="G29" i="3" s="1"/>
  <c r="CP29" i="1"/>
  <c r="CQ29" i="1"/>
  <c r="I29" i="3" s="1"/>
  <c r="CR29" i="1"/>
  <c r="J29" i="3" s="1"/>
  <c r="CS29" i="1"/>
  <c r="CT29" i="1"/>
  <c r="L29" i="3" s="1"/>
  <c r="CU29" i="1"/>
  <c r="M29" i="3" s="1"/>
  <c r="CV29" i="1"/>
  <c r="CW29" i="1"/>
  <c r="O29" i="3" s="1"/>
  <c r="CX29" i="1"/>
  <c r="CY29" i="1"/>
  <c r="CZ29" i="1"/>
  <c r="R29" i="3" s="1"/>
  <c r="DA29" i="1"/>
  <c r="S29" i="3" s="1"/>
  <c r="DB29" i="1"/>
  <c r="DC29" i="1"/>
  <c r="U29" i="3" s="1"/>
  <c r="DD29" i="1"/>
  <c r="V29" i="3" s="1"/>
  <c r="DE29" i="1"/>
  <c r="T75" i="1" l="1"/>
  <c r="A32" i="3"/>
  <c r="Z34" i="3"/>
  <c r="Z31" i="3"/>
  <c r="Z32" i="3"/>
  <c r="Z33" i="3"/>
  <c r="P32" i="3"/>
  <c r="A30" i="2"/>
  <c r="O30" i="3"/>
  <c r="O33" i="3"/>
  <c r="P29" i="3"/>
  <c r="A31" i="3"/>
  <c r="O32" i="3"/>
  <c r="A34" i="3"/>
  <c r="A34" i="2"/>
  <c r="A33" i="2"/>
  <c r="AS29" i="1"/>
  <c r="AT29" i="1"/>
  <c r="AU29" i="1"/>
  <c r="E29" i="3" s="1"/>
  <c r="AV29" i="1"/>
  <c r="AW29" i="1"/>
  <c r="AX29" i="1"/>
  <c r="H29" i="3" s="1"/>
  <c r="AY29" i="1"/>
  <c r="AZ29" i="1"/>
  <c r="BA29" i="1"/>
  <c r="K29" i="3" s="1"/>
  <c r="BB29" i="1"/>
  <c r="BC29" i="1"/>
  <c r="BD29" i="1"/>
  <c r="N29" i="3" s="1"/>
  <c r="Y29" i="3" s="1"/>
  <c r="BE29" i="1"/>
  <c r="BF29" i="1"/>
  <c r="BG29" i="1"/>
  <c r="Q29" i="3" s="1"/>
  <c r="BH29" i="1"/>
  <c r="BI29" i="1"/>
  <c r="BJ29" i="1"/>
  <c r="T29" i="3" s="1"/>
  <c r="BK29" i="1"/>
  <c r="BL29" i="1"/>
  <c r="BM29" i="1"/>
  <c r="W29" i="3" s="1"/>
  <c r="D29" i="1"/>
  <c r="C29" i="2" s="1"/>
  <c r="B29" i="1"/>
  <c r="B28" i="3"/>
  <c r="B28" i="2"/>
  <c r="CK28" i="1"/>
  <c r="C28" i="3" s="1"/>
  <c r="CL28" i="1"/>
  <c r="D28" i="3" s="1"/>
  <c r="CM28" i="1"/>
  <c r="CN28" i="1"/>
  <c r="F28" i="3" s="1"/>
  <c r="CO28" i="1"/>
  <c r="G28" i="3" s="1"/>
  <c r="CP28" i="1"/>
  <c r="CQ28" i="1"/>
  <c r="I28" i="3" s="1"/>
  <c r="CR28" i="1"/>
  <c r="J28" i="3" s="1"/>
  <c r="CS28" i="1"/>
  <c r="CT28" i="1"/>
  <c r="L28" i="3" s="1"/>
  <c r="CU28" i="1"/>
  <c r="M28" i="3" s="1"/>
  <c r="CV28" i="1"/>
  <c r="CW28" i="1"/>
  <c r="CX28" i="1"/>
  <c r="P28" i="3" s="1"/>
  <c r="CY28" i="1"/>
  <c r="CZ28" i="1"/>
  <c r="R28" i="3" s="1"/>
  <c r="DA28" i="1"/>
  <c r="S28" i="3" s="1"/>
  <c r="DB28" i="1"/>
  <c r="DC28" i="1"/>
  <c r="U28" i="3" s="1"/>
  <c r="DD28" i="1"/>
  <c r="V28" i="3" s="1"/>
  <c r="DE28" i="1"/>
  <c r="AS28" i="1"/>
  <c r="AT28" i="1"/>
  <c r="AU28" i="1"/>
  <c r="E28" i="3" s="1"/>
  <c r="AV28" i="1"/>
  <c r="AW28" i="1"/>
  <c r="AX28" i="1"/>
  <c r="H28" i="3" s="1"/>
  <c r="AY28" i="1"/>
  <c r="AZ28" i="1"/>
  <c r="BA28" i="1"/>
  <c r="K28" i="3" s="1"/>
  <c r="BB28" i="1"/>
  <c r="BC28" i="1"/>
  <c r="BD28" i="1"/>
  <c r="N28" i="3" s="1"/>
  <c r="Y28" i="3" s="1"/>
  <c r="BE28" i="1"/>
  <c r="BF28" i="1"/>
  <c r="BG28" i="1"/>
  <c r="Q28" i="3" s="1"/>
  <c r="BH28" i="1"/>
  <c r="BI28" i="1"/>
  <c r="BJ28" i="1"/>
  <c r="T28" i="3" s="1"/>
  <c r="BK28" i="1"/>
  <c r="BL28" i="1"/>
  <c r="BM28" i="1"/>
  <c r="W28" i="3" s="1"/>
  <c r="Z28" i="1"/>
  <c r="AA28" i="1"/>
  <c r="AB28" i="1"/>
  <c r="AC28" i="1"/>
  <c r="AD28" i="1"/>
  <c r="AE28" i="1"/>
  <c r="AF28" i="1"/>
  <c r="AG28" i="1"/>
  <c r="AH28" i="1"/>
  <c r="D28" i="1"/>
  <c r="C28" i="2" s="1"/>
  <c r="B28" i="1"/>
  <c r="A28" i="3" s="1"/>
  <c r="B27" i="3"/>
  <c r="B27" i="2"/>
  <c r="CK27" i="1"/>
  <c r="C27" i="3" s="1"/>
  <c r="CL27" i="1"/>
  <c r="D27" i="3" s="1"/>
  <c r="CM27" i="1"/>
  <c r="CN27" i="1"/>
  <c r="F27" i="3" s="1"/>
  <c r="CO27" i="1"/>
  <c r="G27" i="3" s="1"/>
  <c r="CP27" i="1"/>
  <c r="CQ27" i="1"/>
  <c r="I27" i="3" s="1"/>
  <c r="CR27" i="1"/>
  <c r="J27" i="3" s="1"/>
  <c r="CS27" i="1"/>
  <c r="CT27" i="1"/>
  <c r="L27" i="3" s="1"/>
  <c r="CU27" i="1"/>
  <c r="M27" i="3" s="1"/>
  <c r="CV27" i="1"/>
  <c r="CW27" i="1"/>
  <c r="CX27" i="1"/>
  <c r="P27" i="3" s="1"/>
  <c r="CY27" i="1"/>
  <c r="CZ27" i="1"/>
  <c r="R27" i="3" s="1"/>
  <c r="DA27" i="1"/>
  <c r="S27" i="3" s="1"/>
  <c r="DB27" i="1"/>
  <c r="DC27" i="1"/>
  <c r="U27" i="3" s="1"/>
  <c r="DD27" i="1"/>
  <c r="V27" i="3" s="1"/>
  <c r="DE27" i="1"/>
  <c r="AS27" i="1"/>
  <c r="AT27" i="1"/>
  <c r="AU27" i="1"/>
  <c r="E27" i="3" s="1"/>
  <c r="AV27" i="1"/>
  <c r="AW27" i="1"/>
  <c r="AX27" i="1"/>
  <c r="H27" i="3" s="1"/>
  <c r="AY27" i="1"/>
  <c r="AZ27" i="1"/>
  <c r="BA27" i="1"/>
  <c r="K27" i="3" s="1"/>
  <c r="BB27" i="1"/>
  <c r="BC27" i="1"/>
  <c r="BD27" i="1"/>
  <c r="N27" i="3" s="1"/>
  <c r="Y27" i="3" s="1"/>
  <c r="BE27" i="1"/>
  <c r="BF27" i="1"/>
  <c r="BG27" i="1"/>
  <c r="Q27" i="3" s="1"/>
  <c r="BH27" i="1"/>
  <c r="BI27" i="1"/>
  <c r="BJ27" i="1"/>
  <c r="T27" i="3" s="1"/>
  <c r="BK27" i="1"/>
  <c r="BL27" i="1"/>
  <c r="BM27" i="1"/>
  <c r="W27" i="3" s="1"/>
  <c r="Z27" i="1"/>
  <c r="AA27" i="1"/>
  <c r="AB27" i="1"/>
  <c r="AC27" i="1"/>
  <c r="AD27" i="1"/>
  <c r="AE27" i="1"/>
  <c r="AF27" i="1"/>
  <c r="AG27" i="1"/>
  <c r="AH27" i="1"/>
  <c r="D27" i="1"/>
  <c r="C27" i="2" s="1"/>
  <c r="B27" i="1"/>
  <c r="A27" i="3" s="1"/>
  <c r="BH75" i="1" l="1"/>
  <c r="U75" i="1"/>
  <c r="BI75" i="1" s="1"/>
  <c r="Z28" i="3"/>
  <c r="Z29" i="3"/>
  <c r="Z30" i="3"/>
  <c r="A27" i="2"/>
  <c r="O27" i="3"/>
  <c r="O28" i="3"/>
  <c r="A29" i="3"/>
  <c r="A29" i="2"/>
  <c r="A28" i="2"/>
  <c r="B26" i="3"/>
  <c r="B26" i="2"/>
  <c r="DE26" i="1"/>
  <c r="DD26" i="1"/>
  <c r="V26" i="3" s="1"/>
  <c r="DC26" i="1"/>
  <c r="U26" i="3" s="1"/>
  <c r="DB26" i="1"/>
  <c r="DA26" i="1"/>
  <c r="S26" i="3" s="1"/>
  <c r="CZ26" i="1"/>
  <c r="R26" i="3" s="1"/>
  <c r="CY26" i="1"/>
  <c r="CX26" i="1"/>
  <c r="P26" i="3" s="1"/>
  <c r="CW26" i="1"/>
  <c r="O26" i="3" s="1"/>
  <c r="CV26" i="1"/>
  <c r="CU26" i="1"/>
  <c r="M26" i="3" s="1"/>
  <c r="CT26" i="1"/>
  <c r="L26" i="3" s="1"/>
  <c r="CS26" i="1"/>
  <c r="CR26" i="1"/>
  <c r="J26" i="3" s="1"/>
  <c r="CQ26" i="1"/>
  <c r="I26" i="3" s="1"/>
  <c r="CP26" i="1"/>
  <c r="CO26" i="1"/>
  <c r="G26" i="3" s="1"/>
  <c r="CN26" i="1"/>
  <c r="F26" i="3" s="1"/>
  <c r="CM26" i="1"/>
  <c r="CL26" i="1"/>
  <c r="D26" i="3" s="1"/>
  <c r="CK26" i="1"/>
  <c r="C26" i="3" s="1"/>
  <c r="BM26" i="1"/>
  <c r="W26" i="3" s="1"/>
  <c r="BL26" i="1"/>
  <c r="BK26" i="1"/>
  <c r="BJ26" i="1"/>
  <c r="T26" i="3" s="1"/>
  <c r="BI26" i="1"/>
  <c r="BH26" i="1"/>
  <c r="BG26" i="1"/>
  <c r="Q26" i="3" s="1"/>
  <c r="BF26" i="1"/>
  <c r="BE26" i="1"/>
  <c r="BD26" i="1"/>
  <c r="N26" i="3" s="1"/>
  <c r="Y26" i="3" s="1"/>
  <c r="BC26" i="1"/>
  <c r="BB26" i="1"/>
  <c r="BA26" i="1"/>
  <c r="K26" i="3" s="1"/>
  <c r="AZ26" i="1"/>
  <c r="AY26" i="1"/>
  <c r="AX26" i="1"/>
  <c r="H26" i="3" s="1"/>
  <c r="AW26" i="1"/>
  <c r="AV26" i="1"/>
  <c r="AU26" i="1"/>
  <c r="E26" i="3" s="1"/>
  <c r="AT26" i="1"/>
  <c r="AS26" i="1"/>
  <c r="AH26" i="1"/>
  <c r="AG26" i="1"/>
  <c r="AF26" i="1"/>
  <c r="AE26" i="1"/>
  <c r="AD26" i="1"/>
  <c r="AC26" i="1"/>
  <c r="AB26" i="1"/>
  <c r="AA26" i="1"/>
  <c r="Z26" i="1"/>
  <c r="D26" i="1"/>
  <c r="C26" i="2" s="1"/>
  <c r="B26" i="1"/>
  <c r="A26" i="3" s="1"/>
  <c r="V75" i="1" l="1"/>
  <c r="BJ75" i="1" s="1"/>
  <c r="A26" i="2"/>
  <c r="Z27" i="3"/>
  <c r="B25" i="3"/>
  <c r="B25" i="2"/>
  <c r="DE25" i="1"/>
  <c r="DD25" i="1"/>
  <c r="V25" i="3" s="1"/>
  <c r="DC25" i="1"/>
  <c r="U25" i="3" s="1"/>
  <c r="DB25" i="1"/>
  <c r="DA25" i="1"/>
  <c r="S25" i="3" s="1"/>
  <c r="CZ25" i="1"/>
  <c r="R25" i="3" s="1"/>
  <c r="CY25" i="1"/>
  <c r="CX25" i="1"/>
  <c r="P25" i="3" s="1"/>
  <c r="CW25" i="1"/>
  <c r="CV25" i="1"/>
  <c r="CU25" i="1"/>
  <c r="M25" i="3" s="1"/>
  <c r="CT25" i="1"/>
  <c r="L25" i="3" s="1"/>
  <c r="CS25" i="1"/>
  <c r="CR25" i="1"/>
  <c r="J25" i="3" s="1"/>
  <c r="CQ25" i="1"/>
  <c r="I25" i="3" s="1"/>
  <c r="CP25" i="1"/>
  <c r="CO25" i="1"/>
  <c r="G25" i="3" s="1"/>
  <c r="CN25" i="1"/>
  <c r="F25" i="3" s="1"/>
  <c r="CM25" i="1"/>
  <c r="CL25" i="1"/>
  <c r="D25" i="3" s="1"/>
  <c r="CK25" i="1"/>
  <c r="C25" i="3" s="1"/>
  <c r="BM25" i="1"/>
  <c r="W25" i="3" s="1"/>
  <c r="BL25" i="1"/>
  <c r="BK25" i="1"/>
  <c r="BJ25" i="1"/>
  <c r="T25" i="3" s="1"/>
  <c r="BI25" i="1"/>
  <c r="BH25" i="1"/>
  <c r="BG25" i="1"/>
  <c r="Q25" i="3" s="1"/>
  <c r="BF25" i="1"/>
  <c r="BE25" i="1"/>
  <c r="BD25" i="1"/>
  <c r="N25" i="3" s="1"/>
  <c r="Y25" i="3" s="1"/>
  <c r="Z26" i="3" s="1"/>
  <c r="BC25" i="1"/>
  <c r="BB25" i="1"/>
  <c r="BA25" i="1"/>
  <c r="K25" i="3" s="1"/>
  <c r="AZ25" i="1"/>
  <c r="AY25" i="1"/>
  <c r="AX25" i="1"/>
  <c r="H25" i="3" s="1"/>
  <c r="AW25" i="1"/>
  <c r="AV25" i="1"/>
  <c r="AU25" i="1"/>
  <c r="E25" i="3" s="1"/>
  <c r="AT25" i="1"/>
  <c r="AS25" i="1"/>
  <c r="AH25" i="1"/>
  <c r="AG25" i="1"/>
  <c r="AF25" i="1"/>
  <c r="AE25" i="1"/>
  <c r="AD25" i="1"/>
  <c r="AC25" i="1"/>
  <c r="AB25" i="1"/>
  <c r="AA25" i="1"/>
  <c r="Z25" i="1"/>
  <c r="D25" i="1"/>
  <c r="C25" i="2" s="1"/>
  <c r="B25" i="1"/>
  <c r="A25" i="3" s="1"/>
  <c r="B24" i="3"/>
  <c r="B24" i="2"/>
  <c r="CK24" i="1"/>
  <c r="C24" i="3" s="1"/>
  <c r="CL24" i="1"/>
  <c r="D24" i="3" s="1"/>
  <c r="CM24" i="1"/>
  <c r="CN24" i="1"/>
  <c r="F24" i="3" s="1"/>
  <c r="CO24" i="1"/>
  <c r="G24" i="3" s="1"/>
  <c r="CP24" i="1"/>
  <c r="CQ24" i="1"/>
  <c r="I24" i="3" s="1"/>
  <c r="CR24" i="1"/>
  <c r="J24" i="3" s="1"/>
  <c r="CS24" i="1"/>
  <c r="CT24" i="1"/>
  <c r="L24" i="3" s="1"/>
  <c r="CU24" i="1"/>
  <c r="M24" i="3" s="1"/>
  <c r="CV24" i="1"/>
  <c r="CW24" i="1"/>
  <c r="CX24" i="1"/>
  <c r="P24" i="3" s="1"/>
  <c r="CY24" i="1"/>
  <c r="CZ24" i="1"/>
  <c r="R24" i="3" s="1"/>
  <c r="DA24" i="1"/>
  <c r="S24" i="3" s="1"/>
  <c r="DB24" i="1"/>
  <c r="DC24" i="1"/>
  <c r="U24" i="3" s="1"/>
  <c r="DD24" i="1"/>
  <c r="V24" i="3" s="1"/>
  <c r="DE24" i="1"/>
  <c r="AS24" i="1"/>
  <c r="AT24" i="1"/>
  <c r="AU24" i="1"/>
  <c r="E24" i="3" s="1"/>
  <c r="AV24" i="1"/>
  <c r="AW24" i="1"/>
  <c r="AX24" i="1"/>
  <c r="H24" i="3" s="1"/>
  <c r="AY24" i="1"/>
  <c r="AZ24" i="1"/>
  <c r="BA24" i="1"/>
  <c r="K24" i="3" s="1"/>
  <c r="BB24" i="1"/>
  <c r="BC24" i="1"/>
  <c r="BD24" i="1"/>
  <c r="N24" i="3" s="1"/>
  <c r="Y24" i="3" s="1"/>
  <c r="BE24" i="1"/>
  <c r="BF24" i="1"/>
  <c r="BG24" i="1"/>
  <c r="Q24" i="3" s="1"/>
  <c r="BH24" i="1"/>
  <c r="BI24" i="1"/>
  <c r="BJ24" i="1"/>
  <c r="T24" i="3" s="1"/>
  <c r="BK24" i="1"/>
  <c r="BL24" i="1"/>
  <c r="BM24" i="1"/>
  <c r="W24" i="3" s="1"/>
  <c r="Z24" i="1"/>
  <c r="AA24" i="1"/>
  <c r="AB24" i="1"/>
  <c r="AC24" i="1"/>
  <c r="AD24" i="1"/>
  <c r="AE24" i="1"/>
  <c r="AF24" i="1"/>
  <c r="AG24" i="1"/>
  <c r="AH24" i="1"/>
  <c r="D24" i="1"/>
  <c r="C24" i="2" s="1"/>
  <c r="B24" i="1"/>
  <c r="A24" i="3" s="1"/>
  <c r="B23" i="3"/>
  <c r="B23" i="2"/>
  <c r="CK23" i="1"/>
  <c r="C23" i="3" s="1"/>
  <c r="CL23" i="1"/>
  <c r="D23" i="3" s="1"/>
  <c r="CM23" i="1"/>
  <c r="CN23" i="1"/>
  <c r="F23" i="3" s="1"/>
  <c r="CO23" i="1"/>
  <c r="G23" i="3" s="1"/>
  <c r="CP23" i="1"/>
  <c r="CQ23" i="1"/>
  <c r="I23" i="3" s="1"/>
  <c r="CR23" i="1"/>
  <c r="J23" i="3" s="1"/>
  <c r="CS23" i="1"/>
  <c r="CT23" i="1"/>
  <c r="L23" i="3" s="1"/>
  <c r="CU23" i="1"/>
  <c r="M23" i="3" s="1"/>
  <c r="CV23" i="1"/>
  <c r="CW23" i="1"/>
  <c r="CX23" i="1"/>
  <c r="P23" i="3" s="1"/>
  <c r="CY23" i="1"/>
  <c r="CZ23" i="1"/>
  <c r="R23" i="3" s="1"/>
  <c r="DA23" i="1"/>
  <c r="S23" i="3" s="1"/>
  <c r="DB23" i="1"/>
  <c r="DC23" i="1"/>
  <c r="U23" i="3" s="1"/>
  <c r="DD23" i="1"/>
  <c r="V23" i="3" s="1"/>
  <c r="DE23" i="1"/>
  <c r="AS23" i="1"/>
  <c r="AT23" i="1"/>
  <c r="AU23" i="1"/>
  <c r="E23" i="3" s="1"/>
  <c r="AV23" i="1"/>
  <c r="AW23" i="1"/>
  <c r="AX23" i="1"/>
  <c r="H23" i="3" s="1"/>
  <c r="AY23" i="1"/>
  <c r="AZ23" i="1"/>
  <c r="BA23" i="1"/>
  <c r="K23" i="3" s="1"/>
  <c r="BB23" i="1"/>
  <c r="BC23" i="1"/>
  <c r="BD23" i="1"/>
  <c r="N23" i="3" s="1"/>
  <c r="Y23" i="3" s="1"/>
  <c r="BE23" i="1"/>
  <c r="BF23" i="1"/>
  <c r="BG23" i="1"/>
  <c r="Q23" i="3" s="1"/>
  <c r="BH23" i="1"/>
  <c r="BI23" i="1"/>
  <c r="BJ23" i="1"/>
  <c r="T23" i="3" s="1"/>
  <c r="BK23" i="1"/>
  <c r="BL23" i="1"/>
  <c r="BM23" i="1"/>
  <c r="W23" i="3" s="1"/>
  <c r="Z23" i="1"/>
  <c r="AA23" i="1"/>
  <c r="AB23" i="1"/>
  <c r="AC23" i="1"/>
  <c r="AD23" i="1"/>
  <c r="AE23" i="1"/>
  <c r="AF23" i="1"/>
  <c r="AG23" i="1"/>
  <c r="AH23" i="1"/>
  <c r="D23" i="1"/>
  <c r="C23" i="2" s="1"/>
  <c r="B23" i="1"/>
  <c r="A23" i="3" s="1"/>
  <c r="B22" i="3"/>
  <c r="Z22" i="1"/>
  <c r="B22" i="2"/>
  <c r="CK22" i="1"/>
  <c r="C22" i="3" s="1"/>
  <c r="CL22" i="1"/>
  <c r="D22" i="3" s="1"/>
  <c r="CM22" i="1"/>
  <c r="CN22" i="1"/>
  <c r="F22" i="3" s="1"/>
  <c r="CO22" i="1"/>
  <c r="G22" i="3" s="1"/>
  <c r="CP22" i="1"/>
  <c r="CQ22" i="1"/>
  <c r="I22" i="3" s="1"/>
  <c r="CR22" i="1"/>
  <c r="J22" i="3" s="1"/>
  <c r="CS22" i="1"/>
  <c r="CT22" i="1"/>
  <c r="L22" i="3" s="1"/>
  <c r="CU22" i="1"/>
  <c r="M22" i="3" s="1"/>
  <c r="CV22" i="1"/>
  <c r="CW22" i="1"/>
  <c r="O22" i="3" s="1"/>
  <c r="CX22" i="1"/>
  <c r="P22" i="3" s="1"/>
  <c r="CY22" i="1"/>
  <c r="CZ22" i="1"/>
  <c r="R22" i="3" s="1"/>
  <c r="DA22" i="1"/>
  <c r="S22" i="3" s="1"/>
  <c r="DB22" i="1"/>
  <c r="DC22" i="1"/>
  <c r="U22" i="3" s="1"/>
  <c r="DD22" i="1"/>
  <c r="V22" i="3" s="1"/>
  <c r="DE22" i="1"/>
  <c r="BM22" i="1"/>
  <c r="W22" i="3" s="1"/>
  <c r="BL22" i="1"/>
  <c r="BK22" i="1"/>
  <c r="BJ22" i="1"/>
  <c r="T22" i="3" s="1"/>
  <c r="BI22" i="1"/>
  <c r="BH22" i="1"/>
  <c r="BG22" i="1"/>
  <c r="Q22" i="3" s="1"/>
  <c r="BF22" i="1"/>
  <c r="BE22" i="1"/>
  <c r="BD22" i="1"/>
  <c r="N22" i="3" s="1"/>
  <c r="Y22" i="3" s="1"/>
  <c r="BC22" i="1"/>
  <c r="BB22" i="1"/>
  <c r="BA22" i="1"/>
  <c r="K22" i="3" s="1"/>
  <c r="AZ22" i="1"/>
  <c r="AY22" i="1"/>
  <c r="AX22" i="1"/>
  <c r="H22" i="3" s="1"/>
  <c r="AW22" i="1"/>
  <c r="AV22" i="1"/>
  <c r="AU22" i="1"/>
  <c r="E22" i="3" s="1"/>
  <c r="AT22" i="1"/>
  <c r="AS22" i="1"/>
  <c r="AH22" i="1"/>
  <c r="AG22" i="1"/>
  <c r="AF22" i="1"/>
  <c r="AE22" i="1"/>
  <c r="AD22" i="1"/>
  <c r="AC22" i="1"/>
  <c r="AB22" i="1"/>
  <c r="AA22" i="1"/>
  <c r="D22" i="1"/>
  <c r="C22" i="2" s="1"/>
  <c r="B22" i="1"/>
  <c r="A22" i="3" s="1"/>
  <c r="B21" i="3"/>
  <c r="B21" i="2"/>
  <c r="CK21" i="1"/>
  <c r="C21" i="3" s="1"/>
  <c r="CL21" i="1"/>
  <c r="D21" i="3" s="1"/>
  <c r="CM21" i="1"/>
  <c r="CN21" i="1"/>
  <c r="F21" i="3" s="1"/>
  <c r="CO21" i="1"/>
  <c r="G21" i="3" s="1"/>
  <c r="CP21" i="1"/>
  <c r="CQ21" i="1"/>
  <c r="I21" i="3" s="1"/>
  <c r="CR21" i="1"/>
  <c r="J21" i="3" s="1"/>
  <c r="CS21" i="1"/>
  <c r="CT21" i="1"/>
  <c r="L21" i="3" s="1"/>
  <c r="CU21" i="1"/>
  <c r="M21" i="3" s="1"/>
  <c r="CV21" i="1"/>
  <c r="CW21" i="1"/>
  <c r="CX21" i="1"/>
  <c r="CY21" i="1"/>
  <c r="CZ21" i="1"/>
  <c r="R21" i="3" s="1"/>
  <c r="DA21" i="1"/>
  <c r="S21" i="3" s="1"/>
  <c r="DB21" i="1"/>
  <c r="DC21" i="1"/>
  <c r="U21" i="3" s="1"/>
  <c r="DD21" i="1"/>
  <c r="V21" i="3" s="1"/>
  <c r="DE21" i="1"/>
  <c r="BM21" i="1"/>
  <c r="W21" i="3" s="1"/>
  <c r="BL21" i="1"/>
  <c r="BK21" i="1"/>
  <c r="BJ21" i="1"/>
  <c r="T21" i="3" s="1"/>
  <c r="BI21" i="1"/>
  <c r="BH21" i="1"/>
  <c r="BG21" i="1"/>
  <c r="Q21" i="3" s="1"/>
  <c r="BF21" i="1"/>
  <c r="BE21" i="1"/>
  <c r="BD21" i="1"/>
  <c r="N21" i="3" s="1"/>
  <c r="Y21" i="3" s="1"/>
  <c r="BC21" i="1"/>
  <c r="BB21" i="1"/>
  <c r="BA21" i="1"/>
  <c r="K21" i="3" s="1"/>
  <c r="AZ21" i="1"/>
  <c r="AY21" i="1"/>
  <c r="AX21" i="1"/>
  <c r="H21" i="3" s="1"/>
  <c r="AW21" i="1"/>
  <c r="AV21" i="1"/>
  <c r="AU21" i="1"/>
  <c r="E21" i="3" s="1"/>
  <c r="AT21" i="1"/>
  <c r="AS21" i="1"/>
  <c r="AH21" i="1"/>
  <c r="AG21" i="1"/>
  <c r="AF21" i="1"/>
  <c r="AE21" i="1"/>
  <c r="AD21" i="1"/>
  <c r="AC21" i="1"/>
  <c r="AB21" i="1"/>
  <c r="AA21" i="1"/>
  <c r="Z21" i="1"/>
  <c r="D21" i="1"/>
  <c r="C21" i="2" s="1"/>
  <c r="B21" i="1"/>
  <c r="A21" i="3" s="1"/>
  <c r="B20" i="3"/>
  <c r="B20" i="2"/>
  <c r="CK20" i="1"/>
  <c r="C20" i="3" s="1"/>
  <c r="CL20" i="1"/>
  <c r="D20" i="3" s="1"/>
  <c r="CM20" i="1"/>
  <c r="CN20" i="1"/>
  <c r="F20" i="3" s="1"/>
  <c r="CO20" i="1"/>
  <c r="G20" i="3" s="1"/>
  <c r="CP20" i="1"/>
  <c r="CQ20" i="1"/>
  <c r="I20" i="3" s="1"/>
  <c r="CR20" i="1"/>
  <c r="J20" i="3" s="1"/>
  <c r="CS20" i="1"/>
  <c r="CT20" i="1"/>
  <c r="L20" i="3" s="1"/>
  <c r="CU20" i="1"/>
  <c r="M20" i="3" s="1"/>
  <c r="CV20" i="1"/>
  <c r="CW20" i="1"/>
  <c r="O20" i="3" s="1"/>
  <c r="CX20" i="1"/>
  <c r="P20" i="3" s="1"/>
  <c r="CY20" i="1"/>
  <c r="CZ20" i="1"/>
  <c r="R20" i="3" s="1"/>
  <c r="DA20" i="1"/>
  <c r="S20" i="3" s="1"/>
  <c r="DB20" i="1"/>
  <c r="DC20" i="1"/>
  <c r="U20" i="3" s="1"/>
  <c r="DD20" i="1"/>
  <c r="V20" i="3" s="1"/>
  <c r="DE20" i="1"/>
  <c r="AS20" i="1"/>
  <c r="AT20" i="1"/>
  <c r="AU20" i="1"/>
  <c r="E20" i="3" s="1"/>
  <c r="AV20" i="1"/>
  <c r="AW20" i="1"/>
  <c r="AX20" i="1"/>
  <c r="H20" i="3" s="1"/>
  <c r="AY20" i="1"/>
  <c r="AZ20" i="1"/>
  <c r="BA20" i="1"/>
  <c r="K20" i="3" s="1"/>
  <c r="BB20" i="1"/>
  <c r="BC20" i="1"/>
  <c r="BD20" i="1"/>
  <c r="N20" i="3" s="1"/>
  <c r="Y20" i="3" s="1"/>
  <c r="BE20" i="1"/>
  <c r="BF20" i="1"/>
  <c r="BG20" i="1"/>
  <c r="Q20" i="3" s="1"/>
  <c r="BH20" i="1"/>
  <c r="BI20" i="1"/>
  <c r="BJ20" i="1"/>
  <c r="T20" i="3" s="1"/>
  <c r="BK20" i="1"/>
  <c r="BL20" i="1"/>
  <c r="BM20" i="1"/>
  <c r="W20" i="3" s="1"/>
  <c r="Z20" i="1"/>
  <c r="AA20" i="1"/>
  <c r="AB20" i="1"/>
  <c r="AC20" i="1"/>
  <c r="AD20" i="1"/>
  <c r="AE20" i="1"/>
  <c r="AF20" i="1"/>
  <c r="AG20" i="1"/>
  <c r="AH20" i="1"/>
  <c r="D20" i="1"/>
  <c r="C20" i="2" s="1"/>
  <c r="Z19" i="1"/>
  <c r="AA19" i="1"/>
  <c r="AB19" i="1"/>
  <c r="AC19" i="1"/>
  <c r="AD19" i="1"/>
  <c r="AE19" i="1"/>
  <c r="AF19" i="1"/>
  <c r="AG19" i="1"/>
  <c r="AH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T19" i="3" s="1"/>
  <c r="BK19" i="1"/>
  <c r="BL19" i="1"/>
  <c r="BM19" i="1"/>
  <c r="CK19" i="1"/>
  <c r="CL19" i="1"/>
  <c r="CM19" i="1"/>
  <c r="CN19" i="1"/>
  <c r="CO19" i="1"/>
  <c r="CP19" i="1"/>
  <c r="CQ19" i="1"/>
  <c r="CR19" i="1"/>
  <c r="B20" i="1"/>
  <c r="A20" i="2" s="1"/>
  <c r="B19" i="3"/>
  <c r="B19" i="2"/>
  <c r="D19" i="1"/>
  <c r="C19" i="2" s="1"/>
  <c r="B19" i="1"/>
  <c r="A19" i="3" s="1"/>
  <c r="B18" i="3"/>
  <c r="B18" i="2"/>
  <c r="DE18" i="1"/>
  <c r="DD18" i="1"/>
  <c r="V18" i="3" s="1"/>
  <c r="DC18" i="1"/>
  <c r="U18" i="3" s="1"/>
  <c r="DB18" i="1"/>
  <c r="DA18" i="1"/>
  <c r="S18" i="3" s="1"/>
  <c r="CZ18" i="1"/>
  <c r="R18" i="3" s="1"/>
  <c r="CY18" i="1"/>
  <c r="CX18" i="1"/>
  <c r="CW18" i="1"/>
  <c r="O18" i="3" s="1"/>
  <c r="CV18" i="1"/>
  <c r="CU18" i="1"/>
  <c r="M18" i="3" s="1"/>
  <c r="CT18" i="1"/>
  <c r="L18" i="3" s="1"/>
  <c r="CS18" i="1"/>
  <c r="CR18" i="1"/>
  <c r="J18" i="3" s="1"/>
  <c r="CQ18" i="1"/>
  <c r="I18" i="3" s="1"/>
  <c r="CP18" i="1"/>
  <c r="CO18" i="1"/>
  <c r="G18" i="3" s="1"/>
  <c r="CN18" i="1"/>
  <c r="F18" i="3" s="1"/>
  <c r="CM18" i="1"/>
  <c r="CL18" i="1"/>
  <c r="D18" i="3" s="1"/>
  <c r="CK18" i="1"/>
  <c r="C18" i="3" s="1"/>
  <c r="AS18" i="1"/>
  <c r="AT18" i="1"/>
  <c r="AU18" i="1"/>
  <c r="E18" i="3" s="1"/>
  <c r="AV18" i="1"/>
  <c r="AW18" i="1"/>
  <c r="AX18" i="1"/>
  <c r="H18" i="3" s="1"/>
  <c r="AY18" i="1"/>
  <c r="AZ18" i="1"/>
  <c r="BA18" i="1"/>
  <c r="K18" i="3" s="1"/>
  <c r="BB18" i="1"/>
  <c r="BC18" i="1"/>
  <c r="BD18" i="1"/>
  <c r="N18" i="3" s="1"/>
  <c r="Y18" i="3" s="1"/>
  <c r="BE18" i="1"/>
  <c r="BF18" i="1"/>
  <c r="BG18" i="1"/>
  <c r="Q18" i="3" s="1"/>
  <c r="BH18" i="1"/>
  <c r="BI18" i="1"/>
  <c r="BJ18" i="1"/>
  <c r="T18" i="3" s="1"/>
  <c r="BK18" i="1"/>
  <c r="BL18" i="1"/>
  <c r="BM18" i="1"/>
  <c r="W18" i="3" s="1"/>
  <c r="Z18" i="1"/>
  <c r="AA18" i="1"/>
  <c r="AB18" i="1"/>
  <c r="AC18" i="1"/>
  <c r="AD18" i="1"/>
  <c r="AE18" i="1"/>
  <c r="AF18" i="1"/>
  <c r="AG18" i="1"/>
  <c r="AH18" i="1"/>
  <c r="D18" i="1"/>
  <c r="C18" i="2" s="1"/>
  <c r="B18" i="1"/>
  <c r="A18" i="2" s="1"/>
  <c r="B78" i="4"/>
  <c r="N78" i="4"/>
  <c r="B17" i="3"/>
  <c r="B17" i="2"/>
  <c r="CK17" i="1"/>
  <c r="C17" i="3" s="1"/>
  <c r="CL17" i="1"/>
  <c r="D17" i="3" s="1"/>
  <c r="CM17" i="1"/>
  <c r="CN17" i="1"/>
  <c r="F17" i="3" s="1"/>
  <c r="CO17" i="1"/>
  <c r="G17" i="3" s="1"/>
  <c r="CP17" i="1"/>
  <c r="CQ17" i="1"/>
  <c r="I17" i="3" s="1"/>
  <c r="CR17" i="1"/>
  <c r="J17" i="3" s="1"/>
  <c r="CS17" i="1"/>
  <c r="CT17" i="1"/>
  <c r="L17" i="3" s="1"/>
  <c r="CU17" i="1"/>
  <c r="M17" i="3" s="1"/>
  <c r="CV17" i="1"/>
  <c r="CW17" i="1"/>
  <c r="O17" i="3" s="1"/>
  <c r="CX17" i="1"/>
  <c r="CY17" i="1"/>
  <c r="CZ17" i="1"/>
  <c r="R17" i="3" s="1"/>
  <c r="DA17" i="1"/>
  <c r="S17" i="3" s="1"/>
  <c r="DB17" i="1"/>
  <c r="DC17" i="1"/>
  <c r="U17" i="3" s="1"/>
  <c r="DD17" i="1"/>
  <c r="V17" i="3" s="1"/>
  <c r="DE17" i="1"/>
  <c r="AS17" i="1"/>
  <c r="AT17" i="1"/>
  <c r="AU17" i="1"/>
  <c r="E17" i="3" s="1"/>
  <c r="AV17" i="1"/>
  <c r="AW17" i="1"/>
  <c r="AX17" i="1"/>
  <c r="H17" i="3" s="1"/>
  <c r="AY17" i="1"/>
  <c r="AZ17" i="1"/>
  <c r="BA17" i="1"/>
  <c r="K17" i="3" s="1"/>
  <c r="BB17" i="1"/>
  <c r="BC17" i="1"/>
  <c r="BD17" i="1"/>
  <c r="N17" i="3" s="1"/>
  <c r="Y17" i="3" s="1"/>
  <c r="BE17" i="1"/>
  <c r="BF17" i="1"/>
  <c r="BG17" i="1"/>
  <c r="Q17" i="3" s="1"/>
  <c r="BH17" i="1"/>
  <c r="BI17" i="1"/>
  <c r="BJ17" i="1"/>
  <c r="T17" i="3" s="1"/>
  <c r="BK17" i="1"/>
  <c r="BL17" i="1"/>
  <c r="BM17" i="1"/>
  <c r="W17" i="3" s="1"/>
  <c r="Z17" i="1"/>
  <c r="AA17" i="1"/>
  <c r="AB17" i="1"/>
  <c r="AC17" i="1"/>
  <c r="AD17" i="1"/>
  <c r="AE17" i="1"/>
  <c r="AF17" i="1"/>
  <c r="AG17" i="1"/>
  <c r="AH17" i="1"/>
  <c r="D13" i="1"/>
  <c r="D14" i="1"/>
  <c r="D15" i="1"/>
  <c r="D16" i="1"/>
  <c r="D17" i="1"/>
  <c r="C17" i="2" s="1"/>
  <c r="B12" i="1"/>
  <c r="B13" i="1"/>
  <c r="B14" i="1"/>
  <c r="B15" i="1"/>
  <c r="B16" i="1"/>
  <c r="B17" i="1"/>
  <c r="A17" i="2" s="1"/>
  <c r="AG75" i="1" l="1"/>
  <c r="AP75" i="1" s="1"/>
  <c r="W75" i="1"/>
  <c r="A19" i="2"/>
  <c r="A25" i="2"/>
  <c r="Z18" i="3"/>
  <c r="Z23" i="3"/>
  <c r="Z24" i="3"/>
  <c r="Z25" i="3"/>
  <c r="Z22" i="3"/>
  <c r="Z21" i="3"/>
  <c r="O23" i="3"/>
  <c r="A20" i="3"/>
  <c r="A22" i="2"/>
  <c r="O25" i="3"/>
  <c r="P17" i="3"/>
  <c r="A17" i="3"/>
  <c r="O21" i="3"/>
  <c r="A23" i="2"/>
  <c r="A21" i="2"/>
  <c r="P21" i="3"/>
  <c r="O24" i="3"/>
  <c r="A18" i="3"/>
  <c r="P18" i="3"/>
  <c r="A24" i="2"/>
  <c r="BK75" i="1" l="1"/>
  <c r="X75" i="1"/>
  <c r="BL75" i="1" s="1"/>
  <c r="A13" i="3"/>
  <c r="B13" i="3"/>
  <c r="A14" i="3"/>
  <c r="B14" i="3"/>
  <c r="A15" i="3"/>
  <c r="B15" i="3"/>
  <c r="A16" i="3"/>
  <c r="B16" i="3"/>
  <c r="A16" i="2"/>
  <c r="B16" i="2"/>
  <c r="C16" i="2"/>
  <c r="A13" i="2"/>
  <c r="B13" i="2"/>
  <c r="C13" i="2"/>
  <c r="A14" i="2"/>
  <c r="B14" i="2"/>
  <c r="C14" i="2"/>
  <c r="A15" i="2"/>
  <c r="B15" i="2"/>
  <c r="C15" i="2"/>
  <c r="CK13" i="1"/>
  <c r="C13" i="3" s="1"/>
  <c r="CL13" i="1"/>
  <c r="D13" i="3" s="1"/>
  <c r="CM13" i="1"/>
  <c r="CN13" i="1"/>
  <c r="F13" i="3" s="1"/>
  <c r="CO13" i="1"/>
  <c r="G13" i="3" s="1"/>
  <c r="CP13" i="1"/>
  <c r="CQ13" i="1"/>
  <c r="I13" i="3" s="1"/>
  <c r="CR13" i="1"/>
  <c r="J13" i="3" s="1"/>
  <c r="CS13" i="1"/>
  <c r="CT13" i="1"/>
  <c r="L13" i="3" s="1"/>
  <c r="CU13" i="1"/>
  <c r="M13" i="3" s="1"/>
  <c r="CV13" i="1"/>
  <c r="CW13" i="1"/>
  <c r="CX13" i="1"/>
  <c r="P13" i="3" s="1"/>
  <c r="CY13" i="1"/>
  <c r="CZ13" i="1"/>
  <c r="R13" i="3" s="1"/>
  <c r="DA13" i="1"/>
  <c r="S13" i="3" s="1"/>
  <c r="DB13" i="1"/>
  <c r="DC13" i="1"/>
  <c r="U13" i="3" s="1"/>
  <c r="DD13" i="1"/>
  <c r="V13" i="3" s="1"/>
  <c r="DE13" i="1"/>
  <c r="CK14" i="1"/>
  <c r="C14" i="3" s="1"/>
  <c r="CL14" i="1"/>
  <c r="D14" i="3" s="1"/>
  <c r="CM14" i="1"/>
  <c r="CN14" i="1"/>
  <c r="F14" i="3" s="1"/>
  <c r="CO14" i="1"/>
  <c r="G14" i="3" s="1"/>
  <c r="CP14" i="1"/>
  <c r="CQ14" i="1"/>
  <c r="I14" i="3" s="1"/>
  <c r="CR14" i="1"/>
  <c r="J14" i="3" s="1"/>
  <c r="CS14" i="1"/>
  <c r="CT14" i="1"/>
  <c r="L14" i="3" s="1"/>
  <c r="CU14" i="1"/>
  <c r="M14" i="3" s="1"/>
  <c r="CV14" i="1"/>
  <c r="CW14" i="1"/>
  <c r="CX14" i="1"/>
  <c r="CY14" i="1"/>
  <c r="CZ14" i="1"/>
  <c r="R14" i="3" s="1"/>
  <c r="DA14" i="1"/>
  <c r="S14" i="3" s="1"/>
  <c r="DB14" i="1"/>
  <c r="DC14" i="1"/>
  <c r="U14" i="3" s="1"/>
  <c r="DD14" i="1"/>
  <c r="V14" i="3" s="1"/>
  <c r="DE14" i="1"/>
  <c r="CK15" i="1"/>
  <c r="C15" i="3" s="1"/>
  <c r="CL15" i="1"/>
  <c r="D15" i="3" s="1"/>
  <c r="CM15" i="1"/>
  <c r="CN15" i="1"/>
  <c r="F15" i="3" s="1"/>
  <c r="CO15" i="1"/>
  <c r="G15" i="3" s="1"/>
  <c r="CP15" i="1"/>
  <c r="CQ15" i="1"/>
  <c r="I15" i="3" s="1"/>
  <c r="CR15" i="1"/>
  <c r="J15" i="3" s="1"/>
  <c r="CS15" i="1"/>
  <c r="CT15" i="1"/>
  <c r="L15" i="3" s="1"/>
  <c r="CU15" i="1"/>
  <c r="M15" i="3" s="1"/>
  <c r="CV15" i="1"/>
  <c r="CW15" i="1"/>
  <c r="CX15" i="1"/>
  <c r="CY15" i="1"/>
  <c r="CZ15" i="1"/>
  <c r="R15" i="3" s="1"/>
  <c r="DA15" i="1"/>
  <c r="S15" i="3" s="1"/>
  <c r="DB15" i="1"/>
  <c r="DC15" i="1"/>
  <c r="U15" i="3" s="1"/>
  <c r="DD15" i="1"/>
  <c r="V15" i="3" s="1"/>
  <c r="DE15" i="1"/>
  <c r="CK16" i="1"/>
  <c r="C16" i="3" s="1"/>
  <c r="CL16" i="1"/>
  <c r="D16" i="3" s="1"/>
  <c r="CM16" i="1"/>
  <c r="CN16" i="1"/>
  <c r="F16" i="3" s="1"/>
  <c r="CO16" i="1"/>
  <c r="G16" i="3" s="1"/>
  <c r="CP16" i="1"/>
  <c r="CQ16" i="1"/>
  <c r="I16" i="3" s="1"/>
  <c r="CR16" i="1"/>
  <c r="J16" i="3" s="1"/>
  <c r="CS16" i="1"/>
  <c r="CT16" i="1"/>
  <c r="L16" i="3" s="1"/>
  <c r="CU16" i="1"/>
  <c r="M16" i="3" s="1"/>
  <c r="CV16" i="1"/>
  <c r="CW16" i="1"/>
  <c r="O16" i="3" s="1"/>
  <c r="CX16" i="1"/>
  <c r="CY16" i="1"/>
  <c r="CZ16" i="1"/>
  <c r="R16" i="3" s="1"/>
  <c r="DA16" i="1"/>
  <c r="S16" i="3" s="1"/>
  <c r="DB16" i="1"/>
  <c r="DC16" i="1"/>
  <c r="U16" i="3" s="1"/>
  <c r="DD16" i="1"/>
  <c r="V16" i="3" s="1"/>
  <c r="DE16" i="1"/>
  <c r="AS13" i="1"/>
  <c r="AT13" i="1"/>
  <c r="AU13" i="1"/>
  <c r="E13" i="3" s="1"/>
  <c r="AV13" i="1"/>
  <c r="AW13" i="1"/>
  <c r="AX13" i="1"/>
  <c r="H13" i="3" s="1"/>
  <c r="AY13" i="1"/>
  <c r="AZ13" i="1"/>
  <c r="BA13" i="1"/>
  <c r="K13" i="3" s="1"/>
  <c r="BB13" i="1"/>
  <c r="BC13" i="1"/>
  <c r="BD13" i="1"/>
  <c r="N13" i="3" s="1"/>
  <c r="Y13" i="3" s="1"/>
  <c r="BE13" i="1"/>
  <c r="BF13" i="1"/>
  <c r="BG13" i="1"/>
  <c r="Q13" i="3" s="1"/>
  <c r="BH13" i="1"/>
  <c r="BI13" i="1"/>
  <c r="BJ13" i="1"/>
  <c r="T13" i="3" s="1"/>
  <c r="BK13" i="1"/>
  <c r="BL13" i="1"/>
  <c r="BM13" i="1"/>
  <c r="W13" i="3" s="1"/>
  <c r="AS14" i="1"/>
  <c r="AT14" i="1"/>
  <c r="AU14" i="1"/>
  <c r="E14" i="3" s="1"/>
  <c r="AV14" i="1"/>
  <c r="AW14" i="1"/>
  <c r="AX14" i="1"/>
  <c r="H14" i="3" s="1"/>
  <c r="AY14" i="1"/>
  <c r="AZ14" i="1"/>
  <c r="BA14" i="1"/>
  <c r="K14" i="3" s="1"/>
  <c r="BB14" i="1"/>
  <c r="BC14" i="1"/>
  <c r="BD14" i="1"/>
  <c r="N14" i="3" s="1"/>
  <c r="Y14" i="3" s="1"/>
  <c r="BE14" i="1"/>
  <c r="BF14" i="1"/>
  <c r="BG14" i="1"/>
  <c r="Q14" i="3" s="1"/>
  <c r="BH14" i="1"/>
  <c r="BI14" i="1"/>
  <c r="BJ14" i="1"/>
  <c r="T14" i="3" s="1"/>
  <c r="BK14" i="1"/>
  <c r="BL14" i="1"/>
  <c r="BM14" i="1"/>
  <c r="W14" i="3" s="1"/>
  <c r="AS15" i="1"/>
  <c r="AT15" i="1"/>
  <c r="AU15" i="1"/>
  <c r="E15" i="3" s="1"/>
  <c r="AV15" i="1"/>
  <c r="AW15" i="1"/>
  <c r="AX15" i="1"/>
  <c r="H15" i="3" s="1"/>
  <c r="AY15" i="1"/>
  <c r="AZ15" i="1"/>
  <c r="BA15" i="1"/>
  <c r="K15" i="3" s="1"/>
  <c r="BB15" i="1"/>
  <c r="BC15" i="1"/>
  <c r="BD15" i="1"/>
  <c r="N15" i="3" s="1"/>
  <c r="Y15" i="3" s="1"/>
  <c r="BE15" i="1"/>
  <c r="BF15" i="1"/>
  <c r="BG15" i="1"/>
  <c r="Q15" i="3" s="1"/>
  <c r="BH15" i="1"/>
  <c r="BI15" i="1"/>
  <c r="BJ15" i="1"/>
  <c r="T15" i="3" s="1"/>
  <c r="BK15" i="1"/>
  <c r="BL15" i="1"/>
  <c r="BM15" i="1"/>
  <c r="W15" i="3" s="1"/>
  <c r="AS16" i="1"/>
  <c r="AT16" i="1"/>
  <c r="AU16" i="1"/>
  <c r="E16" i="3" s="1"/>
  <c r="AV16" i="1"/>
  <c r="AW16" i="1"/>
  <c r="AX16" i="1"/>
  <c r="H16" i="3" s="1"/>
  <c r="AY16" i="1"/>
  <c r="AZ16" i="1"/>
  <c r="BA16" i="1"/>
  <c r="K16" i="3" s="1"/>
  <c r="BB16" i="1"/>
  <c r="BC16" i="1"/>
  <c r="BD16" i="1"/>
  <c r="N16" i="3" s="1"/>
  <c r="Y16" i="3" s="1"/>
  <c r="BE16" i="1"/>
  <c r="BF16" i="1"/>
  <c r="BG16" i="1"/>
  <c r="Q16" i="3" s="1"/>
  <c r="BH16" i="1"/>
  <c r="BI16" i="1"/>
  <c r="BJ16" i="1"/>
  <c r="T16" i="3" s="1"/>
  <c r="BK16" i="1"/>
  <c r="BL16" i="1"/>
  <c r="BM16" i="1"/>
  <c r="W16" i="3" s="1"/>
  <c r="Z13" i="1"/>
  <c r="AA13" i="1"/>
  <c r="AB13" i="1"/>
  <c r="AC13" i="1"/>
  <c r="AD13" i="1"/>
  <c r="AE13" i="1"/>
  <c r="AF13" i="1"/>
  <c r="AG13" i="1"/>
  <c r="AH13" i="1"/>
  <c r="Z14" i="1"/>
  <c r="AA14" i="1"/>
  <c r="AB14" i="1"/>
  <c r="AC14" i="1"/>
  <c r="AD14" i="1"/>
  <c r="AE14" i="1"/>
  <c r="AF14" i="1"/>
  <c r="AG14" i="1"/>
  <c r="AH14" i="1"/>
  <c r="Z15" i="1"/>
  <c r="AA15" i="1"/>
  <c r="AB15" i="1"/>
  <c r="AC15" i="1"/>
  <c r="AD15" i="1"/>
  <c r="AE15" i="1"/>
  <c r="AF15" i="1"/>
  <c r="AG15" i="1"/>
  <c r="AH15" i="1"/>
  <c r="Z16" i="1"/>
  <c r="AA16" i="1"/>
  <c r="AB16" i="1"/>
  <c r="AC16" i="1"/>
  <c r="AD16" i="1"/>
  <c r="AE16" i="1"/>
  <c r="AF16" i="1"/>
  <c r="AG16" i="1"/>
  <c r="AH16" i="1"/>
  <c r="Y75" i="1" l="1"/>
  <c r="Z14" i="3"/>
  <c r="Z15" i="3"/>
  <c r="Z16" i="3"/>
  <c r="Z17" i="3"/>
  <c r="O15" i="3"/>
  <c r="P14" i="3"/>
  <c r="O13" i="3"/>
  <c r="P15" i="3"/>
  <c r="O14" i="3"/>
  <c r="P16" i="3"/>
  <c r="A5" i="3"/>
  <c r="A5" i="2"/>
  <c r="BM75" i="1" l="1"/>
  <c r="AH75" i="1"/>
  <c r="AQ75" i="1" s="1"/>
  <c r="CK11" i="1"/>
  <c r="CL11" i="1"/>
  <c r="CM11" i="1"/>
  <c r="CN11" i="1"/>
  <c r="CK12" i="1"/>
  <c r="CL12" i="1"/>
  <c r="CM12" i="1"/>
  <c r="CN12" i="1"/>
  <c r="AE18" i="4" l="1"/>
  <c r="AE22" i="4" s="1"/>
  <c r="AE24" i="4" s="1"/>
  <c r="AE17" i="4"/>
  <c r="AE21" i="4" l="1"/>
  <c r="AE23" i="4" s="1"/>
  <c r="AE26" i="4"/>
  <c r="AE28" i="4" s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T12" i="3" s="1"/>
  <c r="BK12" i="1"/>
  <c r="BL12" i="1"/>
  <c r="BM12" i="1"/>
  <c r="Z12" i="1"/>
  <c r="AA12" i="1"/>
  <c r="AB12" i="1"/>
  <c r="AC12" i="1"/>
  <c r="AD12" i="1"/>
  <c r="AE12" i="1"/>
  <c r="AF12" i="1"/>
  <c r="AG12" i="1"/>
  <c r="AH12" i="1"/>
  <c r="AE25" i="4" l="1"/>
  <c r="AE27" i="4" s="1"/>
  <c r="B12" i="3"/>
  <c r="B12" i="2"/>
  <c r="DE12" i="1"/>
  <c r="DD12" i="1"/>
  <c r="V12" i="3" s="1"/>
  <c r="DC12" i="1"/>
  <c r="U12" i="3" s="1"/>
  <c r="DB12" i="1"/>
  <c r="DA12" i="1"/>
  <c r="S12" i="3" s="1"/>
  <c r="CZ12" i="1"/>
  <c r="R12" i="3" s="1"/>
  <c r="CY12" i="1"/>
  <c r="CX12" i="1"/>
  <c r="P12" i="3" s="1"/>
  <c r="CW12" i="1"/>
  <c r="O12" i="3" s="1"/>
  <c r="CV12" i="1"/>
  <c r="CU12" i="1"/>
  <c r="M12" i="3" s="1"/>
  <c r="CT12" i="1"/>
  <c r="L12" i="3" s="1"/>
  <c r="CS12" i="1"/>
  <c r="CR12" i="1"/>
  <c r="J12" i="3" s="1"/>
  <c r="CQ12" i="1"/>
  <c r="I12" i="3" s="1"/>
  <c r="CP12" i="1"/>
  <c r="CO12" i="1"/>
  <c r="G12" i="3" s="1"/>
  <c r="F12" i="3"/>
  <c r="D12" i="3"/>
  <c r="C12" i="3"/>
  <c r="DE11" i="1"/>
  <c r="DD11" i="1"/>
  <c r="DC11" i="1"/>
  <c r="DB11" i="1"/>
  <c r="DA11" i="1"/>
  <c r="S11" i="3" s="1"/>
  <c r="CZ11" i="1"/>
  <c r="R11" i="3" s="1"/>
  <c r="CY11" i="1"/>
  <c r="CX11" i="1"/>
  <c r="CW11" i="1"/>
  <c r="CV11" i="1"/>
  <c r="CU11" i="1"/>
  <c r="CT11" i="1"/>
  <c r="CS11" i="1"/>
  <c r="CR11" i="1"/>
  <c r="CQ11" i="1"/>
  <c r="CP11" i="1"/>
  <c r="CO11" i="1"/>
  <c r="W12" i="3"/>
  <c r="Q12" i="3"/>
  <c r="N12" i="3"/>
  <c r="Y12" i="3" s="1"/>
  <c r="K12" i="3"/>
  <c r="H12" i="3"/>
  <c r="E12" i="3"/>
  <c r="BM11" i="1"/>
  <c r="BL11" i="1"/>
  <c r="BK11" i="1"/>
  <c r="BJ11" i="1"/>
  <c r="T11" i="3" s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Z13" i="3" l="1"/>
  <c r="E19" i="3"/>
  <c r="AH11" i="1"/>
  <c r="AG11" i="1"/>
  <c r="AF11" i="1"/>
  <c r="AE11" i="1"/>
  <c r="AD11" i="1"/>
  <c r="AC11" i="1"/>
  <c r="AB11" i="1"/>
  <c r="AA11" i="1"/>
  <c r="Z11" i="1"/>
  <c r="D12" i="1"/>
  <c r="C12" i="2" s="1"/>
  <c r="B11" i="1"/>
  <c r="H19" i="3" l="1"/>
  <c r="A12" i="3"/>
  <c r="A12" i="2"/>
  <c r="D11" i="1"/>
  <c r="A5" i="5"/>
  <c r="L37" i="5"/>
  <c r="A37" i="5"/>
  <c r="L5" i="5"/>
  <c r="A7" i="1"/>
  <c r="F1" i="1"/>
  <c r="B96" i="1" l="1"/>
  <c r="B97" i="1"/>
  <c r="B95" i="1"/>
  <c r="B94" i="1"/>
  <c r="B93" i="1"/>
  <c r="B92" i="1"/>
  <c r="B91" i="1"/>
  <c r="B90" i="1"/>
  <c r="B88" i="1"/>
  <c r="B87" i="1"/>
  <c r="B86" i="1"/>
  <c r="B89" i="1"/>
  <c r="B82" i="1"/>
  <c r="A82" i="3" s="1"/>
  <c r="B85" i="1"/>
  <c r="B84" i="1"/>
  <c r="B83" i="1"/>
  <c r="B81" i="1"/>
  <c r="A81" i="3" s="1"/>
  <c r="B80" i="1"/>
  <c r="B79" i="1"/>
  <c r="B78" i="1"/>
  <c r="B76" i="1"/>
  <c r="B77" i="1"/>
  <c r="B75" i="1"/>
  <c r="B74" i="1"/>
  <c r="B70" i="1"/>
  <c r="B72" i="1"/>
  <c r="B73" i="1"/>
  <c r="B71" i="1"/>
  <c r="B68" i="1"/>
  <c r="B69" i="1"/>
  <c r="B59" i="1"/>
  <c r="A59" i="2" s="1"/>
  <c r="B67" i="1"/>
  <c r="B66" i="1"/>
  <c r="B65" i="1"/>
  <c r="B64" i="1"/>
  <c r="B63" i="1"/>
  <c r="B61" i="1"/>
  <c r="K19" i="3"/>
  <c r="T10" i="3"/>
  <c r="H10" i="3"/>
  <c r="G10" i="3"/>
  <c r="F10" i="3"/>
  <c r="K10" i="2"/>
  <c r="H10" i="2"/>
  <c r="E10" i="2"/>
  <c r="H11" i="3"/>
  <c r="CP58" i="1"/>
  <c r="CO58" i="1"/>
  <c r="CN58" i="1"/>
  <c r="CP56" i="1"/>
  <c r="CP59" i="1" s="1"/>
  <c r="CO56" i="1"/>
  <c r="CN56" i="1"/>
  <c r="CP55" i="1"/>
  <c r="CO55" i="1"/>
  <c r="G55" i="3" s="1"/>
  <c r="CN55" i="1"/>
  <c r="F55" i="3" s="1"/>
  <c r="CP53" i="1"/>
  <c r="CO53" i="1"/>
  <c r="G53" i="3" s="1"/>
  <c r="CN53" i="1"/>
  <c r="F53" i="3" s="1"/>
  <c r="CP52" i="1"/>
  <c r="CO52" i="1"/>
  <c r="CN52" i="1"/>
  <c r="CP51" i="1"/>
  <c r="CO51" i="1"/>
  <c r="G51" i="3" s="1"/>
  <c r="CN51" i="1"/>
  <c r="F51" i="3" s="1"/>
  <c r="CP50" i="1"/>
  <c r="CO50" i="1"/>
  <c r="G50" i="3" s="1"/>
  <c r="CN50" i="1"/>
  <c r="F50" i="3" s="1"/>
  <c r="CP47" i="1"/>
  <c r="CO47" i="1"/>
  <c r="G47" i="3" s="1"/>
  <c r="CN47" i="1"/>
  <c r="F47" i="3" s="1"/>
  <c r="CP46" i="1"/>
  <c r="CO46" i="1"/>
  <c r="G46" i="3" s="1"/>
  <c r="CN46" i="1"/>
  <c r="F46" i="3" s="1"/>
  <c r="CP45" i="1"/>
  <c r="CO45" i="1"/>
  <c r="G45" i="3" s="1"/>
  <c r="CN45" i="1"/>
  <c r="F45" i="3" s="1"/>
  <c r="CP44" i="1"/>
  <c r="CO44" i="1"/>
  <c r="G44" i="3" s="1"/>
  <c r="CN44" i="1"/>
  <c r="F44" i="3" s="1"/>
  <c r="CP43" i="1"/>
  <c r="CO43" i="1"/>
  <c r="G43" i="3" s="1"/>
  <c r="CN43" i="1"/>
  <c r="F43" i="3" s="1"/>
  <c r="CP42" i="1"/>
  <c r="CO42" i="1"/>
  <c r="G42" i="3" s="1"/>
  <c r="CN42" i="1"/>
  <c r="F42" i="3" s="1"/>
  <c r="CP41" i="1"/>
  <c r="CO41" i="1"/>
  <c r="G41" i="3" s="1"/>
  <c r="CN41" i="1"/>
  <c r="F41" i="3" s="1"/>
  <c r="CP38" i="1"/>
  <c r="CO38" i="1"/>
  <c r="G38" i="3" s="1"/>
  <c r="CN38" i="1"/>
  <c r="F38" i="3" s="1"/>
  <c r="CP37" i="1"/>
  <c r="CO37" i="1"/>
  <c r="G37" i="3" s="1"/>
  <c r="CN37" i="1"/>
  <c r="F37" i="3" s="1"/>
  <c r="CP36" i="1"/>
  <c r="CO36" i="1"/>
  <c r="G36" i="3" s="1"/>
  <c r="CN36" i="1"/>
  <c r="F36" i="3" s="1"/>
  <c r="CP35" i="1"/>
  <c r="CO35" i="1"/>
  <c r="G35" i="3" s="1"/>
  <c r="CN35" i="1"/>
  <c r="F35" i="3" s="1"/>
  <c r="G11" i="3"/>
  <c r="F11" i="3"/>
  <c r="DB58" i="1"/>
  <c r="DA58" i="1"/>
  <c r="CZ58" i="1"/>
  <c r="DB56" i="1"/>
  <c r="DA56" i="1"/>
  <c r="S56" i="3" s="1"/>
  <c r="CZ56" i="1"/>
  <c r="R56" i="3" s="1"/>
  <c r="DB55" i="1"/>
  <c r="DA55" i="1"/>
  <c r="S55" i="3" s="1"/>
  <c r="CZ55" i="1"/>
  <c r="R55" i="3" s="1"/>
  <c r="DB53" i="1"/>
  <c r="DA53" i="1"/>
  <c r="S53" i="3" s="1"/>
  <c r="CZ53" i="1"/>
  <c r="R53" i="3" s="1"/>
  <c r="DB52" i="1"/>
  <c r="DA52" i="1"/>
  <c r="CZ52" i="1"/>
  <c r="DB51" i="1"/>
  <c r="DA51" i="1"/>
  <c r="S51" i="3" s="1"/>
  <c r="CZ51" i="1"/>
  <c r="R51" i="3" s="1"/>
  <c r="DB50" i="1"/>
  <c r="DA50" i="1"/>
  <c r="S50" i="3" s="1"/>
  <c r="CZ50" i="1"/>
  <c r="R50" i="3" s="1"/>
  <c r="DB49" i="1"/>
  <c r="DA49" i="1"/>
  <c r="S49" i="3" s="1"/>
  <c r="CZ49" i="1"/>
  <c r="R49" i="3" s="1"/>
  <c r="DB48" i="1"/>
  <c r="DA48" i="1"/>
  <c r="S48" i="3" s="1"/>
  <c r="CZ48" i="1"/>
  <c r="R48" i="3" s="1"/>
  <c r="DB47" i="1"/>
  <c r="DA47" i="1"/>
  <c r="S47" i="3" s="1"/>
  <c r="CZ47" i="1"/>
  <c r="R47" i="3" s="1"/>
  <c r="DB46" i="1"/>
  <c r="DA46" i="1"/>
  <c r="S46" i="3" s="1"/>
  <c r="CZ46" i="1"/>
  <c r="R46" i="3" s="1"/>
  <c r="DB45" i="1"/>
  <c r="DA45" i="1"/>
  <c r="S45" i="3" s="1"/>
  <c r="CZ45" i="1"/>
  <c r="R45" i="3" s="1"/>
  <c r="DB44" i="1"/>
  <c r="DA44" i="1"/>
  <c r="S44" i="3" s="1"/>
  <c r="CZ44" i="1"/>
  <c r="R44" i="3" s="1"/>
  <c r="DB43" i="1"/>
  <c r="DA43" i="1"/>
  <c r="S43" i="3" s="1"/>
  <c r="CZ43" i="1"/>
  <c r="R43" i="3" s="1"/>
  <c r="DB42" i="1"/>
  <c r="DA42" i="1"/>
  <c r="S42" i="3" s="1"/>
  <c r="CZ42" i="1"/>
  <c r="R42" i="3" s="1"/>
  <c r="DB41" i="1"/>
  <c r="DA41" i="1"/>
  <c r="S41" i="3" s="1"/>
  <c r="CZ41" i="1"/>
  <c r="R41" i="3" s="1"/>
  <c r="DB38" i="1"/>
  <c r="DA38" i="1"/>
  <c r="S38" i="3" s="1"/>
  <c r="CZ38" i="1"/>
  <c r="R38" i="3" s="1"/>
  <c r="DB37" i="1"/>
  <c r="DA37" i="1"/>
  <c r="S37" i="3" s="1"/>
  <c r="CZ37" i="1"/>
  <c r="R37" i="3" s="1"/>
  <c r="DB36" i="1"/>
  <c r="DA36" i="1"/>
  <c r="S36" i="3" s="1"/>
  <c r="CZ36" i="1"/>
  <c r="R36" i="3" s="1"/>
  <c r="DB35" i="1"/>
  <c r="DA35" i="1"/>
  <c r="S35" i="3" s="1"/>
  <c r="CZ35" i="1"/>
  <c r="R35" i="3" s="1"/>
  <c r="BJ58" i="1"/>
  <c r="BI58" i="1"/>
  <c r="BH58" i="1"/>
  <c r="BJ56" i="1"/>
  <c r="T56" i="3" s="1"/>
  <c r="BI56" i="1"/>
  <c r="BH56" i="1"/>
  <c r="BJ55" i="1"/>
  <c r="T55" i="3" s="1"/>
  <c r="BI55" i="1"/>
  <c r="BH55" i="1"/>
  <c r="BJ54" i="1"/>
  <c r="T54" i="3" s="1"/>
  <c r="BI54" i="1"/>
  <c r="BH54" i="1"/>
  <c r="BJ52" i="1"/>
  <c r="BI52" i="1"/>
  <c r="BH52" i="1"/>
  <c r="BJ51" i="1"/>
  <c r="T51" i="3" s="1"/>
  <c r="BI51" i="1"/>
  <c r="BH51" i="1"/>
  <c r="BJ50" i="1"/>
  <c r="T50" i="3" s="1"/>
  <c r="BI50" i="1"/>
  <c r="BH50" i="1"/>
  <c r="BJ49" i="1"/>
  <c r="T49" i="3" s="1"/>
  <c r="BI49" i="1"/>
  <c r="BH49" i="1"/>
  <c r="BJ48" i="1"/>
  <c r="T48" i="3" s="1"/>
  <c r="BI48" i="1"/>
  <c r="BH48" i="1"/>
  <c r="BJ47" i="1"/>
  <c r="T47" i="3" s="1"/>
  <c r="BI47" i="1"/>
  <c r="BH47" i="1"/>
  <c r="BJ46" i="1"/>
  <c r="T46" i="3" s="1"/>
  <c r="BI46" i="1"/>
  <c r="BH46" i="1"/>
  <c r="BJ45" i="1"/>
  <c r="T45" i="3" s="1"/>
  <c r="BI45" i="1"/>
  <c r="BH45" i="1"/>
  <c r="BJ44" i="1"/>
  <c r="T44" i="3" s="1"/>
  <c r="BI44" i="1"/>
  <c r="BH44" i="1"/>
  <c r="BJ43" i="1"/>
  <c r="T43" i="3" s="1"/>
  <c r="BI43" i="1"/>
  <c r="BH43" i="1"/>
  <c r="BJ42" i="1"/>
  <c r="T42" i="3" s="1"/>
  <c r="BI42" i="1"/>
  <c r="BH42" i="1"/>
  <c r="BJ41" i="1"/>
  <c r="T41" i="3" s="1"/>
  <c r="BI41" i="1"/>
  <c r="BH41" i="1"/>
  <c r="BJ40" i="1"/>
  <c r="T40" i="3" s="1"/>
  <c r="BI40" i="1"/>
  <c r="BH40" i="1"/>
  <c r="BJ39" i="1"/>
  <c r="T39" i="3" s="1"/>
  <c r="BI39" i="1"/>
  <c r="BH39" i="1"/>
  <c r="BJ38" i="1"/>
  <c r="T38" i="3" s="1"/>
  <c r="BI38" i="1"/>
  <c r="BH38" i="1"/>
  <c r="BJ37" i="1"/>
  <c r="T37" i="3" s="1"/>
  <c r="BI37" i="1"/>
  <c r="BH37" i="1"/>
  <c r="BJ36" i="1"/>
  <c r="T36" i="3" s="1"/>
  <c r="BI36" i="1"/>
  <c r="BH36" i="1"/>
  <c r="BJ35" i="1"/>
  <c r="T35" i="3" s="1"/>
  <c r="BI35" i="1"/>
  <c r="BH35" i="1"/>
  <c r="AX58" i="1"/>
  <c r="AW58" i="1"/>
  <c r="AV58" i="1"/>
  <c r="AX56" i="1"/>
  <c r="AW56" i="1"/>
  <c r="AW59" i="1" s="1"/>
  <c r="AV56" i="1"/>
  <c r="AV59" i="1" s="1"/>
  <c r="AX55" i="1"/>
  <c r="H55" i="3" s="1"/>
  <c r="AW55" i="1"/>
  <c r="AV55" i="1"/>
  <c r="AX54" i="1"/>
  <c r="H54" i="3" s="1"/>
  <c r="AW54" i="1"/>
  <c r="AV54" i="1"/>
  <c r="AX52" i="1"/>
  <c r="AW52" i="1"/>
  <c r="AV52" i="1"/>
  <c r="AX51" i="1"/>
  <c r="H51" i="3" s="1"/>
  <c r="AW51" i="1"/>
  <c r="AV51" i="1"/>
  <c r="AX50" i="1"/>
  <c r="H50" i="3" s="1"/>
  <c r="AW50" i="1"/>
  <c r="AV50" i="1"/>
  <c r="AX49" i="1"/>
  <c r="AW49" i="1"/>
  <c r="AV49" i="1"/>
  <c r="AX48" i="1"/>
  <c r="AW48" i="1"/>
  <c r="AV48" i="1"/>
  <c r="AX47" i="1"/>
  <c r="H47" i="3" s="1"/>
  <c r="AW47" i="1"/>
  <c r="AV47" i="1"/>
  <c r="AX46" i="1"/>
  <c r="H46" i="3" s="1"/>
  <c r="AW46" i="1"/>
  <c r="AV46" i="1"/>
  <c r="AX45" i="1"/>
  <c r="H45" i="3" s="1"/>
  <c r="AW45" i="1"/>
  <c r="AV45" i="1"/>
  <c r="AX44" i="1"/>
  <c r="H44" i="3" s="1"/>
  <c r="AW44" i="1"/>
  <c r="AV44" i="1"/>
  <c r="AX43" i="1"/>
  <c r="H43" i="3" s="1"/>
  <c r="AW43" i="1"/>
  <c r="AV43" i="1"/>
  <c r="AX42" i="1"/>
  <c r="H42" i="3" s="1"/>
  <c r="AW42" i="1"/>
  <c r="AV42" i="1"/>
  <c r="AX41" i="1"/>
  <c r="H41" i="3" s="1"/>
  <c r="AW41" i="1"/>
  <c r="AV41" i="1"/>
  <c r="AX40" i="1"/>
  <c r="H40" i="3" s="1"/>
  <c r="AW40" i="1"/>
  <c r="AV40" i="1"/>
  <c r="AX39" i="1"/>
  <c r="AW39" i="1"/>
  <c r="AV39" i="1"/>
  <c r="AX38" i="1"/>
  <c r="H38" i="3" s="1"/>
  <c r="AW38" i="1"/>
  <c r="AV38" i="1"/>
  <c r="AX37" i="1"/>
  <c r="H37" i="3" s="1"/>
  <c r="AW37" i="1"/>
  <c r="AV37" i="1"/>
  <c r="AX36" i="1"/>
  <c r="H36" i="3" s="1"/>
  <c r="AW36" i="1"/>
  <c r="AV36" i="1"/>
  <c r="AX35" i="1"/>
  <c r="H35" i="3" s="1"/>
  <c r="AW35" i="1"/>
  <c r="AV35" i="1"/>
  <c r="AP58" i="1"/>
  <c r="AP57" i="1"/>
  <c r="AP49" i="1"/>
  <c r="AP48" i="1"/>
  <c r="AH10" i="1"/>
  <c r="AH35" i="1"/>
  <c r="AH38" i="1"/>
  <c r="AH40" i="1"/>
  <c r="AH41" i="1"/>
  <c r="AH44" i="1"/>
  <c r="AH46" i="1"/>
  <c r="AH48" i="1"/>
  <c r="AH49" i="1"/>
  <c r="AH50" i="1"/>
  <c r="AH57" i="1"/>
  <c r="AH58" i="1"/>
  <c r="AH59" i="1"/>
  <c r="AH62" i="1"/>
  <c r="AM58" i="1"/>
  <c r="H58" i="2" s="1"/>
  <c r="AJ58" i="1"/>
  <c r="E58" i="2" s="1"/>
  <c r="S58" i="2" s="1"/>
  <c r="AJ57" i="1"/>
  <c r="AG10" i="1"/>
  <c r="AP46" i="1" s="1"/>
  <c r="K46" i="2" s="1"/>
  <c r="AD10" i="1"/>
  <c r="AA10" i="1"/>
  <c r="AV96" i="1" l="1"/>
  <c r="AV97" i="1"/>
  <c r="AV95" i="1"/>
  <c r="AV94" i="1"/>
  <c r="CP96" i="1"/>
  <c r="CP97" i="1"/>
  <c r="CP95" i="1"/>
  <c r="CP94" i="1"/>
  <c r="A94" i="2"/>
  <c r="A94" i="3"/>
  <c r="A95" i="3"/>
  <c r="A95" i="2"/>
  <c r="AW96" i="1"/>
  <c r="AW97" i="1"/>
  <c r="AW95" i="1"/>
  <c r="AW94" i="1"/>
  <c r="A82" i="2"/>
  <c r="A97" i="3"/>
  <c r="A96" i="3"/>
  <c r="A89" i="3"/>
  <c r="A89" i="2"/>
  <c r="AW93" i="1"/>
  <c r="AW92" i="1"/>
  <c r="AW91" i="1"/>
  <c r="AW90" i="1"/>
  <c r="AW88" i="1"/>
  <c r="AW87" i="1"/>
  <c r="AW86" i="1"/>
  <c r="AW89" i="1"/>
  <c r="A86" i="3"/>
  <c r="A86" i="2"/>
  <c r="A91" i="3"/>
  <c r="A91" i="2"/>
  <c r="A87" i="2"/>
  <c r="A87" i="3"/>
  <c r="A92" i="2"/>
  <c r="A92" i="3"/>
  <c r="AV93" i="1"/>
  <c r="AV92" i="1"/>
  <c r="AV91" i="1"/>
  <c r="AV90" i="1"/>
  <c r="AV88" i="1"/>
  <c r="AV87" i="1"/>
  <c r="AV86" i="1"/>
  <c r="AV89" i="1"/>
  <c r="CP93" i="1"/>
  <c r="CP92" i="1"/>
  <c r="CP91" i="1"/>
  <c r="CP90" i="1"/>
  <c r="CP89" i="1"/>
  <c r="CP88" i="1"/>
  <c r="CP87" i="1"/>
  <c r="CP86" i="1"/>
  <c r="A90" i="3"/>
  <c r="A90" i="2"/>
  <c r="A88" i="2"/>
  <c r="A88" i="3"/>
  <c r="A93" i="3"/>
  <c r="A93" i="2"/>
  <c r="CP82" i="1"/>
  <c r="CP85" i="1"/>
  <c r="CP84" i="1"/>
  <c r="CP83" i="1"/>
  <c r="AW82" i="1"/>
  <c r="AW85" i="1"/>
  <c r="AW84" i="1"/>
  <c r="AW83" i="1"/>
  <c r="A84" i="3"/>
  <c r="A84" i="2"/>
  <c r="AV82" i="1"/>
  <c r="AV85" i="1"/>
  <c r="AV84" i="1"/>
  <c r="AV83" i="1"/>
  <c r="A83" i="2"/>
  <c r="A83" i="3"/>
  <c r="A85" i="3"/>
  <c r="A85" i="2"/>
  <c r="A78" i="3"/>
  <c r="A78" i="2"/>
  <c r="A79" i="2"/>
  <c r="A79" i="3"/>
  <c r="AV81" i="1"/>
  <c r="AV79" i="1"/>
  <c r="AV80" i="1"/>
  <c r="AV78" i="1"/>
  <c r="AV77" i="1"/>
  <c r="AV76" i="1"/>
  <c r="CP81" i="1"/>
  <c r="CP80" i="1"/>
  <c r="CP79" i="1"/>
  <c r="CP78" i="1"/>
  <c r="CP77" i="1"/>
  <c r="CP76" i="1"/>
  <c r="A77" i="2"/>
  <c r="A77" i="3"/>
  <c r="A80" i="3"/>
  <c r="A80" i="2"/>
  <c r="AW81" i="1"/>
  <c r="AW79" i="1"/>
  <c r="AW80" i="1"/>
  <c r="AW78" i="1"/>
  <c r="AW76" i="1"/>
  <c r="AW77" i="1"/>
  <c r="A76" i="3"/>
  <c r="A76" i="2"/>
  <c r="A81" i="2"/>
  <c r="AV74" i="1"/>
  <c r="CP75" i="1"/>
  <c r="CP74" i="1"/>
  <c r="AW74" i="1"/>
  <c r="A74" i="3"/>
  <c r="A74" i="2"/>
  <c r="A75" i="3"/>
  <c r="A75" i="2"/>
  <c r="AV68" i="1"/>
  <c r="AV71" i="1"/>
  <c r="AV70" i="1"/>
  <c r="AV72" i="1"/>
  <c r="AV73" i="1"/>
  <c r="AV69" i="1"/>
  <c r="A71" i="2"/>
  <c r="A71" i="3"/>
  <c r="CP71" i="1"/>
  <c r="CP70" i="1"/>
  <c r="CP72" i="1"/>
  <c r="CP73" i="1"/>
  <c r="CP69" i="1"/>
  <c r="CP68" i="1"/>
  <c r="A73" i="3"/>
  <c r="A73" i="2"/>
  <c r="AW73" i="1"/>
  <c r="AW71" i="1"/>
  <c r="AW69" i="1"/>
  <c r="AW68" i="1"/>
  <c r="AW70" i="1"/>
  <c r="AW72" i="1"/>
  <c r="A59" i="3"/>
  <c r="A69" i="3"/>
  <c r="A69" i="2"/>
  <c r="A72" i="2"/>
  <c r="A72" i="3"/>
  <c r="A68" i="3"/>
  <c r="A68" i="2"/>
  <c r="A70" i="2"/>
  <c r="A70" i="3"/>
  <c r="A61" i="3"/>
  <c r="A61" i="2"/>
  <c r="A66" i="3"/>
  <c r="A66" i="2"/>
  <c r="AV67" i="1"/>
  <c r="AV66" i="1"/>
  <c r="AV65" i="1"/>
  <c r="AV64" i="1"/>
  <c r="AV63" i="1"/>
  <c r="AV62" i="1"/>
  <c r="AV61" i="1"/>
  <c r="AV60" i="1"/>
  <c r="CP67" i="1"/>
  <c r="CP66" i="1"/>
  <c r="CP65" i="1"/>
  <c r="CP64" i="1"/>
  <c r="CP63" i="1"/>
  <c r="CP62" i="1"/>
  <c r="CP61" i="1"/>
  <c r="CP60" i="1"/>
  <c r="A63" i="2"/>
  <c r="A63" i="3"/>
  <c r="A67" i="2"/>
  <c r="A67" i="3"/>
  <c r="AW67" i="1"/>
  <c r="AW66" i="1"/>
  <c r="AW65" i="1"/>
  <c r="AW64" i="1"/>
  <c r="AW63" i="1"/>
  <c r="AW62" i="1"/>
  <c r="AW61" i="1"/>
  <c r="AW60" i="1"/>
  <c r="A64" i="2"/>
  <c r="A64" i="3"/>
  <c r="A65" i="2"/>
  <c r="A65" i="3"/>
  <c r="CN59" i="1"/>
  <c r="F56" i="3"/>
  <c r="AX59" i="1"/>
  <c r="H56" i="3"/>
  <c r="CO59" i="1"/>
  <c r="G56" i="3"/>
  <c r="AP56" i="1"/>
  <c r="AP55" i="1"/>
  <c r="K55" i="2" s="1"/>
  <c r="AP54" i="1"/>
  <c r="K54" i="2" s="1"/>
  <c r="AJ56" i="1"/>
  <c r="AJ55" i="1"/>
  <c r="E55" i="2" s="1"/>
  <c r="AJ54" i="1"/>
  <c r="E54" i="2" s="1"/>
  <c r="AQ56" i="1"/>
  <c r="L56" i="2" s="1"/>
  <c r="AQ55" i="1"/>
  <c r="L55" i="2" s="1"/>
  <c r="Z55" i="2" s="1"/>
  <c r="AM48" i="1"/>
  <c r="H48" i="2" s="1"/>
  <c r="AM56" i="1"/>
  <c r="H56" i="2" s="1"/>
  <c r="AM55" i="1"/>
  <c r="H55" i="2" s="1"/>
  <c r="AM54" i="1"/>
  <c r="H54" i="2" s="1"/>
  <c r="AM57" i="1"/>
  <c r="H57" i="2" s="1"/>
  <c r="V58" i="2" s="1"/>
  <c r="AQ53" i="1"/>
  <c r="L53" i="2" s="1"/>
  <c r="Z54" i="2" s="1"/>
  <c r="AQ51" i="1"/>
  <c r="L51" i="2" s="1"/>
  <c r="AQ52" i="1"/>
  <c r="L52" i="2" s="1"/>
  <c r="AJ52" i="1"/>
  <c r="E52" i="2" s="1"/>
  <c r="AJ51" i="1"/>
  <c r="E51" i="2" s="1"/>
  <c r="AJ53" i="1"/>
  <c r="E53" i="2" s="1"/>
  <c r="AJ40" i="1"/>
  <c r="E40" i="2" s="1"/>
  <c r="S40" i="2" s="1"/>
  <c r="AJ44" i="1"/>
  <c r="E44" i="2" s="1"/>
  <c r="AM40" i="1"/>
  <c r="H40" i="2" s="1"/>
  <c r="AM50" i="1"/>
  <c r="H50" i="2" s="1"/>
  <c r="AM51" i="1"/>
  <c r="H51" i="2" s="1"/>
  <c r="AM52" i="1"/>
  <c r="H52" i="2" s="1"/>
  <c r="AM53" i="1"/>
  <c r="H53" i="2" s="1"/>
  <c r="AP41" i="1"/>
  <c r="K41" i="2" s="1"/>
  <c r="AP52" i="1"/>
  <c r="K52" i="2" s="1"/>
  <c r="AP53" i="1"/>
  <c r="K53" i="2" s="1"/>
  <c r="AP51" i="1"/>
  <c r="K51" i="2" s="1"/>
  <c r="AJ35" i="1"/>
  <c r="E35" i="2" s="1"/>
  <c r="AJ43" i="1"/>
  <c r="E43" i="2" s="1"/>
  <c r="AJ45" i="1"/>
  <c r="E45" i="2" s="1"/>
  <c r="AJ50" i="1"/>
  <c r="E50" i="2" s="1"/>
  <c r="AJ42" i="1"/>
  <c r="E42" i="2" s="1"/>
  <c r="AJ47" i="1"/>
  <c r="E47" i="2" s="1"/>
  <c r="AJ41" i="1"/>
  <c r="E41" i="2" s="1"/>
  <c r="AM41" i="1"/>
  <c r="H41" i="2" s="1"/>
  <c r="AM49" i="1"/>
  <c r="H49" i="2" s="1"/>
  <c r="AP40" i="1"/>
  <c r="K40" i="2" s="1"/>
  <c r="Y40" i="2" s="1"/>
  <c r="AM44" i="1"/>
  <c r="H44" i="2" s="1"/>
  <c r="AQ43" i="1"/>
  <c r="L43" i="2" s="1"/>
  <c r="AQ45" i="1"/>
  <c r="L45" i="2" s="1"/>
  <c r="AQ47" i="1"/>
  <c r="L47" i="2" s="1"/>
  <c r="AQ42" i="1"/>
  <c r="L42" i="2" s="1"/>
  <c r="AM35" i="1"/>
  <c r="H35" i="2" s="1"/>
  <c r="AM43" i="1"/>
  <c r="H43" i="2" s="1"/>
  <c r="AM47" i="1"/>
  <c r="H47" i="2" s="1"/>
  <c r="AM42" i="1"/>
  <c r="H42" i="2" s="1"/>
  <c r="AM45" i="1"/>
  <c r="H45" i="2" s="1"/>
  <c r="AP35" i="1"/>
  <c r="K35" i="2" s="1"/>
  <c r="AP47" i="1"/>
  <c r="K47" i="2" s="1"/>
  <c r="AP42" i="1"/>
  <c r="K42" i="2" s="1"/>
  <c r="AP43" i="1"/>
  <c r="K43" i="2" s="1"/>
  <c r="AP45" i="1"/>
  <c r="K45" i="2" s="1"/>
  <c r="Y46" i="2" s="1"/>
  <c r="AJ46" i="1"/>
  <c r="E46" i="2" s="1"/>
  <c r="AM46" i="1"/>
  <c r="H46" i="2" s="1"/>
  <c r="AP44" i="1"/>
  <c r="K44" i="2" s="1"/>
  <c r="AP50" i="1"/>
  <c r="K50" i="2" s="1"/>
  <c r="Y50" i="2" s="1"/>
  <c r="AJ38" i="1"/>
  <c r="E38" i="2" s="1"/>
  <c r="AP38" i="1"/>
  <c r="K38" i="2" s="1"/>
  <c r="AM34" i="1"/>
  <c r="H34" i="2" s="1"/>
  <c r="AM36" i="1"/>
  <c r="H36" i="2" s="1"/>
  <c r="AM37" i="1"/>
  <c r="H37" i="2" s="1"/>
  <c r="AM39" i="1"/>
  <c r="H39" i="2" s="1"/>
  <c r="AM29" i="1"/>
  <c r="H29" i="2" s="1"/>
  <c r="AM32" i="1"/>
  <c r="H32" i="2" s="1"/>
  <c r="AM33" i="1"/>
  <c r="H33" i="2" s="1"/>
  <c r="AM30" i="1"/>
  <c r="H30" i="2" s="1"/>
  <c r="AM31" i="1"/>
  <c r="H31" i="2" s="1"/>
  <c r="AM28" i="1"/>
  <c r="H28" i="2" s="1"/>
  <c r="AM27" i="1"/>
  <c r="H27" i="2" s="1"/>
  <c r="AM26" i="1"/>
  <c r="H26" i="2" s="1"/>
  <c r="AM25" i="1"/>
  <c r="H25" i="2" s="1"/>
  <c r="AJ36" i="1"/>
  <c r="E36" i="2" s="1"/>
  <c r="AJ34" i="1"/>
  <c r="E34" i="2" s="1"/>
  <c r="AJ37" i="1"/>
  <c r="E37" i="2" s="1"/>
  <c r="AJ29" i="1"/>
  <c r="E29" i="2" s="1"/>
  <c r="AJ30" i="1"/>
  <c r="E30" i="2" s="1"/>
  <c r="AJ32" i="1"/>
  <c r="E32" i="2" s="1"/>
  <c r="AJ33" i="1"/>
  <c r="E33" i="2" s="1"/>
  <c r="AJ31" i="1"/>
  <c r="E31" i="2" s="1"/>
  <c r="AJ27" i="1"/>
  <c r="E27" i="2" s="1"/>
  <c r="AJ28" i="1"/>
  <c r="E28" i="2" s="1"/>
  <c r="AJ26" i="1"/>
  <c r="E26" i="2" s="1"/>
  <c r="AJ25" i="1"/>
  <c r="E25" i="2" s="1"/>
  <c r="AP34" i="1"/>
  <c r="K34" i="2" s="1"/>
  <c r="AP36" i="1"/>
  <c r="K36" i="2" s="1"/>
  <c r="AP37" i="1"/>
  <c r="K37" i="2" s="1"/>
  <c r="AP32" i="1"/>
  <c r="K32" i="2" s="1"/>
  <c r="AP30" i="1"/>
  <c r="K30" i="2" s="1"/>
  <c r="AP29" i="1"/>
  <c r="K29" i="2" s="1"/>
  <c r="AP31" i="1"/>
  <c r="K31" i="2" s="1"/>
  <c r="AP33" i="1"/>
  <c r="K33" i="2" s="1"/>
  <c r="AP28" i="1"/>
  <c r="K28" i="2" s="1"/>
  <c r="AP27" i="1"/>
  <c r="K27" i="2" s="1"/>
  <c r="AP26" i="1"/>
  <c r="K26" i="2" s="1"/>
  <c r="AP25" i="1"/>
  <c r="K25" i="2" s="1"/>
  <c r="AQ34" i="1"/>
  <c r="L34" i="2" s="1"/>
  <c r="AQ37" i="1"/>
  <c r="L37" i="2" s="1"/>
  <c r="AQ29" i="1"/>
  <c r="L29" i="2" s="1"/>
  <c r="AQ31" i="1"/>
  <c r="L31" i="2" s="1"/>
  <c r="AQ39" i="1"/>
  <c r="L39" i="2" s="1"/>
  <c r="AQ36" i="1"/>
  <c r="L36" i="2" s="1"/>
  <c r="AQ30" i="1"/>
  <c r="L30" i="2" s="1"/>
  <c r="AQ28" i="1"/>
  <c r="L28" i="2" s="1"/>
  <c r="AQ32" i="1"/>
  <c r="L32" i="2" s="1"/>
  <c r="AQ33" i="1"/>
  <c r="L33" i="2" s="1"/>
  <c r="AQ27" i="1"/>
  <c r="L27" i="2" s="1"/>
  <c r="AQ26" i="1"/>
  <c r="L26" i="2" s="1"/>
  <c r="AQ25" i="1"/>
  <c r="L25" i="2" s="1"/>
  <c r="AM38" i="1"/>
  <c r="H38" i="2" s="1"/>
  <c r="V38" i="2" s="1"/>
  <c r="AP21" i="1"/>
  <c r="K21" i="2" s="1"/>
  <c r="AP17" i="1"/>
  <c r="K17" i="2" s="1"/>
  <c r="AP18" i="1"/>
  <c r="K18" i="2" s="1"/>
  <c r="AP19" i="1"/>
  <c r="K19" i="2" s="1"/>
  <c r="AP24" i="1"/>
  <c r="K24" i="2" s="1"/>
  <c r="AP22" i="1"/>
  <c r="K22" i="2" s="1"/>
  <c r="AP23" i="1"/>
  <c r="K23" i="2" s="1"/>
  <c r="AP20" i="1"/>
  <c r="K20" i="2" s="1"/>
  <c r="AP14" i="1"/>
  <c r="K14" i="2" s="1"/>
  <c r="AP15" i="1"/>
  <c r="K15" i="2" s="1"/>
  <c r="AP16" i="1"/>
  <c r="K16" i="2" s="1"/>
  <c r="AP13" i="1"/>
  <c r="K13" i="2" s="1"/>
  <c r="AQ21" i="1"/>
  <c r="L21" i="2" s="1"/>
  <c r="AQ18" i="1"/>
  <c r="L18" i="2" s="1"/>
  <c r="AQ20" i="1"/>
  <c r="L20" i="2" s="1"/>
  <c r="AQ19" i="1"/>
  <c r="L19" i="2" s="1"/>
  <c r="AQ24" i="1"/>
  <c r="L24" i="2" s="1"/>
  <c r="AQ23" i="1"/>
  <c r="L23" i="2" s="1"/>
  <c r="AQ17" i="1"/>
  <c r="L17" i="2" s="1"/>
  <c r="AQ22" i="1"/>
  <c r="L22" i="2" s="1"/>
  <c r="AQ15" i="1"/>
  <c r="L15" i="2" s="1"/>
  <c r="AQ14" i="1"/>
  <c r="L14" i="2" s="1"/>
  <c r="AQ13" i="1"/>
  <c r="L13" i="2" s="1"/>
  <c r="AQ16" i="1"/>
  <c r="L16" i="2" s="1"/>
  <c r="AJ23" i="1"/>
  <c r="E23" i="2" s="1"/>
  <c r="AJ20" i="1"/>
  <c r="E20" i="2" s="1"/>
  <c r="AJ24" i="1"/>
  <c r="E24" i="2" s="1"/>
  <c r="AJ18" i="1"/>
  <c r="E18" i="2" s="1"/>
  <c r="AJ17" i="1"/>
  <c r="E17" i="2" s="1"/>
  <c r="AJ19" i="1"/>
  <c r="E19" i="2" s="1"/>
  <c r="AJ22" i="1"/>
  <c r="E22" i="2" s="1"/>
  <c r="AJ21" i="1"/>
  <c r="E21" i="2" s="1"/>
  <c r="AJ13" i="1"/>
  <c r="E13" i="2" s="1"/>
  <c r="AJ15" i="1"/>
  <c r="E15" i="2" s="1"/>
  <c r="AJ16" i="1"/>
  <c r="E16" i="2" s="1"/>
  <c r="AJ14" i="1"/>
  <c r="E14" i="2" s="1"/>
  <c r="AM20" i="1"/>
  <c r="H20" i="2" s="1"/>
  <c r="AM23" i="1"/>
  <c r="H23" i="2" s="1"/>
  <c r="AM19" i="1"/>
  <c r="H19" i="2" s="1"/>
  <c r="AM22" i="1"/>
  <c r="H22" i="2" s="1"/>
  <c r="AM21" i="1"/>
  <c r="H21" i="2" s="1"/>
  <c r="AM18" i="1"/>
  <c r="H18" i="2" s="1"/>
  <c r="AM24" i="1"/>
  <c r="H24" i="2" s="1"/>
  <c r="AM17" i="1"/>
  <c r="H17" i="2" s="1"/>
  <c r="AM15" i="1"/>
  <c r="H15" i="2" s="1"/>
  <c r="AM14" i="1"/>
  <c r="H14" i="2" s="1"/>
  <c r="AM13" i="1"/>
  <c r="H13" i="2" s="1"/>
  <c r="AM16" i="1"/>
  <c r="H16" i="2" s="1"/>
  <c r="N19" i="3"/>
  <c r="Y19" i="3" s="1"/>
  <c r="AM12" i="1"/>
  <c r="H12" i="2" s="1"/>
  <c r="AP12" i="1"/>
  <c r="K12" i="2" s="1"/>
  <c r="AQ12" i="1"/>
  <c r="L12" i="2" s="1"/>
  <c r="AJ12" i="1"/>
  <c r="E12" i="2" s="1"/>
  <c r="AJ11" i="1"/>
  <c r="E11" i="2" s="1"/>
  <c r="AP11" i="1"/>
  <c r="K11" i="2" s="1"/>
  <c r="AQ11" i="1"/>
  <c r="AM11" i="1"/>
  <c r="H11" i="2" s="1"/>
  <c r="C11" i="2"/>
  <c r="D10" i="1"/>
  <c r="C10" i="2" s="1"/>
  <c r="CO96" i="1" l="1"/>
  <c r="G96" i="3" s="1"/>
  <c r="CO97" i="1"/>
  <c r="G97" i="3" s="1"/>
  <c r="CO95" i="1"/>
  <c r="G95" i="3" s="1"/>
  <c r="CO94" i="1"/>
  <c r="G94" i="3" s="1"/>
  <c r="AX96" i="1"/>
  <c r="H96" i="3" s="1"/>
  <c r="AX97" i="1"/>
  <c r="H97" i="3" s="1"/>
  <c r="AX95" i="1"/>
  <c r="H95" i="3" s="1"/>
  <c r="AX94" i="1"/>
  <c r="H94" i="3" s="1"/>
  <c r="S36" i="2"/>
  <c r="CN97" i="1"/>
  <c r="F97" i="3" s="1"/>
  <c r="CN96" i="1"/>
  <c r="F96" i="3" s="1"/>
  <c r="CN95" i="1"/>
  <c r="F95" i="3" s="1"/>
  <c r="CN94" i="1"/>
  <c r="F94" i="3" s="1"/>
  <c r="CO93" i="1"/>
  <c r="G93" i="3" s="1"/>
  <c r="CO92" i="1"/>
  <c r="G92" i="3" s="1"/>
  <c r="CO91" i="1"/>
  <c r="G91" i="3" s="1"/>
  <c r="CO90" i="1"/>
  <c r="G90" i="3" s="1"/>
  <c r="CO89" i="1"/>
  <c r="G89" i="3" s="1"/>
  <c r="CO88" i="1"/>
  <c r="G88" i="3" s="1"/>
  <c r="CO87" i="1"/>
  <c r="G87" i="3" s="1"/>
  <c r="CO86" i="1"/>
  <c r="G86" i="3" s="1"/>
  <c r="CN93" i="1"/>
  <c r="F93" i="3" s="1"/>
  <c r="CN92" i="1"/>
  <c r="F92" i="3" s="1"/>
  <c r="CN91" i="1"/>
  <c r="F91" i="3" s="1"/>
  <c r="CN90" i="1"/>
  <c r="F90" i="3" s="1"/>
  <c r="CN87" i="1"/>
  <c r="F87" i="3" s="1"/>
  <c r="CN89" i="1"/>
  <c r="F89" i="3" s="1"/>
  <c r="CN88" i="1"/>
  <c r="F88" i="3" s="1"/>
  <c r="CN86" i="1"/>
  <c r="F86" i="3" s="1"/>
  <c r="AX93" i="1"/>
  <c r="H93" i="3" s="1"/>
  <c r="AX92" i="1"/>
  <c r="H92" i="3" s="1"/>
  <c r="AX91" i="1"/>
  <c r="H91" i="3" s="1"/>
  <c r="AX90" i="1"/>
  <c r="H90" i="3" s="1"/>
  <c r="AX88" i="1"/>
  <c r="H88" i="3" s="1"/>
  <c r="AX87" i="1"/>
  <c r="H87" i="3" s="1"/>
  <c r="AX86" i="1"/>
  <c r="H86" i="3" s="1"/>
  <c r="AX89" i="1"/>
  <c r="H89" i="3" s="1"/>
  <c r="CO82" i="1"/>
  <c r="G82" i="3" s="1"/>
  <c r="CO85" i="1"/>
  <c r="G85" i="3" s="1"/>
  <c r="CO84" i="1"/>
  <c r="G84" i="3" s="1"/>
  <c r="CO83" i="1"/>
  <c r="G83" i="3" s="1"/>
  <c r="CN82" i="1"/>
  <c r="F82" i="3" s="1"/>
  <c r="CN85" i="1"/>
  <c r="F85" i="3" s="1"/>
  <c r="CN84" i="1"/>
  <c r="F84" i="3" s="1"/>
  <c r="CN83" i="1"/>
  <c r="F83" i="3" s="1"/>
  <c r="AX82" i="1"/>
  <c r="H82" i="3" s="1"/>
  <c r="AX85" i="1"/>
  <c r="H85" i="3" s="1"/>
  <c r="AX84" i="1"/>
  <c r="H84" i="3" s="1"/>
  <c r="AX83" i="1"/>
  <c r="H83" i="3" s="1"/>
  <c r="CO81" i="1"/>
  <c r="G81" i="3" s="1"/>
  <c r="CO80" i="1"/>
  <c r="G80" i="3" s="1"/>
  <c r="CO79" i="1"/>
  <c r="G79" i="3" s="1"/>
  <c r="CO78" i="1"/>
  <c r="G78" i="3" s="1"/>
  <c r="CO77" i="1"/>
  <c r="G77" i="3" s="1"/>
  <c r="CO76" i="1"/>
  <c r="G76" i="3" s="1"/>
  <c r="CN81" i="1"/>
  <c r="F81" i="3" s="1"/>
  <c r="CN79" i="1"/>
  <c r="F79" i="3" s="1"/>
  <c r="CN80" i="1"/>
  <c r="F80" i="3" s="1"/>
  <c r="CN78" i="1"/>
  <c r="F78" i="3" s="1"/>
  <c r="CN77" i="1"/>
  <c r="F77" i="3" s="1"/>
  <c r="CN76" i="1"/>
  <c r="F76" i="3" s="1"/>
  <c r="AX81" i="1"/>
  <c r="H81" i="3" s="1"/>
  <c r="AX80" i="1"/>
  <c r="H80" i="3" s="1"/>
  <c r="AX79" i="1"/>
  <c r="H79" i="3" s="1"/>
  <c r="AX78" i="1"/>
  <c r="H78" i="3" s="1"/>
  <c r="AX76" i="1"/>
  <c r="H76" i="3" s="1"/>
  <c r="AX77" i="1"/>
  <c r="H77" i="3" s="1"/>
  <c r="CO75" i="1"/>
  <c r="G75" i="3" s="1"/>
  <c r="CO74" i="1"/>
  <c r="G74" i="3" s="1"/>
  <c r="CN75" i="1"/>
  <c r="F75" i="3" s="1"/>
  <c r="CN74" i="1"/>
  <c r="F74" i="3" s="1"/>
  <c r="Y51" i="2"/>
  <c r="Y53" i="2"/>
  <c r="AX74" i="1"/>
  <c r="H74" i="3" s="1"/>
  <c r="Y54" i="2"/>
  <c r="Y44" i="2"/>
  <c r="Y55" i="2"/>
  <c r="Y47" i="2"/>
  <c r="Y48" i="2"/>
  <c r="Y52" i="2"/>
  <c r="Y35" i="2"/>
  <c r="AX72" i="1"/>
  <c r="H72" i="3" s="1"/>
  <c r="AX73" i="1"/>
  <c r="H73" i="3" s="1"/>
  <c r="AX69" i="1"/>
  <c r="H69" i="3" s="1"/>
  <c r="AX68" i="1"/>
  <c r="H68" i="3" s="1"/>
  <c r="AX70" i="1"/>
  <c r="H70" i="3" s="1"/>
  <c r="AX71" i="1"/>
  <c r="H71" i="3" s="1"/>
  <c r="CO73" i="1"/>
  <c r="G73" i="3" s="1"/>
  <c r="CO71" i="1"/>
  <c r="G71" i="3" s="1"/>
  <c r="CO69" i="1"/>
  <c r="G69" i="3" s="1"/>
  <c r="CO68" i="1"/>
  <c r="G68" i="3" s="1"/>
  <c r="CO72" i="1"/>
  <c r="G72" i="3" s="1"/>
  <c r="CO70" i="1"/>
  <c r="G70" i="3" s="1"/>
  <c r="CN73" i="1"/>
  <c r="F73" i="3" s="1"/>
  <c r="CN69" i="1"/>
  <c r="F69" i="3" s="1"/>
  <c r="CN68" i="1"/>
  <c r="F68" i="3" s="1"/>
  <c r="CN71" i="1"/>
  <c r="F71" i="3" s="1"/>
  <c r="CN70" i="1"/>
  <c r="F70" i="3" s="1"/>
  <c r="CN72" i="1"/>
  <c r="F72" i="3" s="1"/>
  <c r="G59" i="3"/>
  <c r="CO67" i="1"/>
  <c r="G67" i="3" s="1"/>
  <c r="CO66" i="1"/>
  <c r="G66" i="3" s="1"/>
  <c r="CO65" i="1"/>
  <c r="G65" i="3" s="1"/>
  <c r="CO64" i="1"/>
  <c r="G64" i="3" s="1"/>
  <c r="CO63" i="1"/>
  <c r="G63" i="3" s="1"/>
  <c r="CO62" i="1"/>
  <c r="G62" i="3" s="1"/>
  <c r="CO61" i="1"/>
  <c r="G61" i="3" s="1"/>
  <c r="CO60" i="1"/>
  <c r="G60" i="3" s="1"/>
  <c r="F59" i="3"/>
  <c r="CN67" i="1"/>
  <c r="F67" i="3" s="1"/>
  <c r="CN66" i="1"/>
  <c r="F66" i="3" s="1"/>
  <c r="CN65" i="1"/>
  <c r="F65" i="3" s="1"/>
  <c r="CN64" i="1"/>
  <c r="F64" i="3" s="1"/>
  <c r="CN63" i="1"/>
  <c r="F63" i="3" s="1"/>
  <c r="CN62" i="1"/>
  <c r="F62" i="3" s="1"/>
  <c r="CN61" i="1"/>
  <c r="F61" i="3" s="1"/>
  <c r="CN60" i="1"/>
  <c r="F60" i="3" s="1"/>
  <c r="V56" i="2"/>
  <c r="S54" i="2"/>
  <c r="V40" i="2"/>
  <c r="Y42" i="2"/>
  <c r="S41" i="2"/>
  <c r="V52" i="2"/>
  <c r="V57" i="2"/>
  <c r="H59" i="3"/>
  <c r="AX67" i="1"/>
  <c r="H67" i="3" s="1"/>
  <c r="AX66" i="1"/>
  <c r="H66" i="3" s="1"/>
  <c r="AX65" i="1"/>
  <c r="H65" i="3" s="1"/>
  <c r="AX64" i="1"/>
  <c r="H64" i="3" s="1"/>
  <c r="AX63" i="1"/>
  <c r="H63" i="3" s="1"/>
  <c r="AX62" i="1"/>
  <c r="H62" i="3" s="1"/>
  <c r="AX61" i="1"/>
  <c r="H61" i="3" s="1"/>
  <c r="AX60" i="1"/>
  <c r="H60" i="3" s="1"/>
  <c r="K56" i="2"/>
  <c r="AP59" i="1"/>
  <c r="V51" i="2"/>
  <c r="Z56" i="2"/>
  <c r="AM59" i="1"/>
  <c r="E56" i="2"/>
  <c r="S57" i="2" s="1"/>
  <c r="AJ59" i="1"/>
  <c r="V55" i="2"/>
  <c r="S14" i="2"/>
  <c r="S34" i="2"/>
  <c r="S46" i="2"/>
  <c r="V49" i="2"/>
  <c r="S24" i="2"/>
  <c r="V36" i="2"/>
  <c r="Z52" i="2"/>
  <c r="S55" i="2"/>
  <c r="S44" i="2"/>
  <c r="Y15" i="2"/>
  <c r="V45" i="2"/>
  <c r="V41" i="2"/>
  <c r="V54" i="2"/>
  <c r="S38" i="2"/>
  <c r="Y32" i="2"/>
  <c r="Z19" i="3"/>
  <c r="Z20" i="3"/>
  <c r="Z30" i="2"/>
  <c r="V46" i="2"/>
  <c r="V22" i="2"/>
  <c r="Y20" i="2"/>
  <c r="Y27" i="2"/>
  <c r="Y36" i="2"/>
  <c r="V27" i="2"/>
  <c r="V47" i="2"/>
  <c r="S45" i="2"/>
  <c r="V53" i="2"/>
  <c r="S53" i="2"/>
  <c r="Z28" i="2"/>
  <c r="Y22" i="2"/>
  <c r="Z31" i="2"/>
  <c r="Y33" i="2"/>
  <c r="V31" i="2"/>
  <c r="Y43" i="2"/>
  <c r="S52" i="2"/>
  <c r="S27" i="2"/>
  <c r="Z53" i="2"/>
  <c r="S50" i="2"/>
  <c r="S51" i="2"/>
  <c r="Z25" i="2"/>
  <c r="Z34" i="2"/>
  <c r="Y28" i="2"/>
  <c r="Y30" i="2"/>
  <c r="V28" i="2"/>
  <c r="Y45" i="2"/>
  <c r="V43" i="2"/>
  <c r="V48" i="2"/>
  <c r="Y25" i="2"/>
  <c r="Z43" i="2"/>
  <c r="S48" i="2"/>
  <c r="S47" i="2"/>
  <c r="S43" i="2"/>
  <c r="Y41" i="2"/>
  <c r="V39" i="2"/>
  <c r="V42" i="2"/>
  <c r="V44" i="2"/>
  <c r="S42" i="2"/>
  <c r="V50" i="2"/>
  <c r="V14" i="2"/>
  <c r="V23" i="2"/>
  <c r="S19" i="2"/>
  <c r="Z14" i="2"/>
  <c r="Z18" i="2"/>
  <c r="Z26" i="2"/>
  <c r="S25" i="2"/>
  <c r="S31" i="2"/>
  <c r="S29" i="2"/>
  <c r="V25" i="2"/>
  <c r="V29" i="2"/>
  <c r="V34" i="2"/>
  <c r="Y16" i="2"/>
  <c r="Y34" i="2"/>
  <c r="S30" i="2"/>
  <c r="S21" i="2"/>
  <c r="V20" i="2"/>
  <c r="S17" i="2"/>
  <c r="Z21" i="2"/>
  <c r="Y24" i="2"/>
  <c r="Z27" i="2"/>
  <c r="Z29" i="2"/>
  <c r="Y26" i="2"/>
  <c r="Y31" i="2"/>
  <c r="Y37" i="2"/>
  <c r="S26" i="2"/>
  <c r="S33" i="2"/>
  <c r="S37" i="2"/>
  <c r="V26" i="2"/>
  <c r="V30" i="2"/>
  <c r="Y38" i="2"/>
  <c r="S35" i="2"/>
  <c r="S16" i="2"/>
  <c r="Y18" i="2"/>
  <c r="Z32" i="2"/>
  <c r="V32" i="2"/>
  <c r="V35" i="2"/>
  <c r="Y19" i="2"/>
  <c r="Z33" i="2"/>
  <c r="Z37" i="2"/>
  <c r="Y29" i="2"/>
  <c r="S28" i="2"/>
  <c r="S32" i="2"/>
  <c r="V33" i="2"/>
  <c r="V37" i="2"/>
  <c r="V15" i="2"/>
  <c r="V16" i="2"/>
  <c r="Z16" i="2"/>
  <c r="Z19" i="2"/>
  <c r="V13" i="2"/>
  <c r="V19" i="2"/>
  <c r="S22" i="2"/>
  <c r="Z13" i="2"/>
  <c r="Z20" i="2"/>
  <c r="Y23" i="2"/>
  <c r="V17" i="2"/>
  <c r="S18" i="2"/>
  <c r="Z22" i="2"/>
  <c r="Y13" i="2"/>
  <c r="V24" i="2"/>
  <c r="Z17" i="2"/>
  <c r="V18" i="2"/>
  <c r="S15" i="2"/>
  <c r="S20" i="2"/>
  <c r="Z23" i="2"/>
  <c r="Y17" i="2"/>
  <c r="Z15" i="2"/>
  <c r="V21" i="2"/>
  <c r="S13" i="2"/>
  <c r="S23" i="2"/>
  <c r="Z24" i="2"/>
  <c r="Y14" i="2"/>
  <c r="Y21" i="2"/>
  <c r="Q19" i="3"/>
  <c r="L11" i="3"/>
  <c r="M11" i="3"/>
  <c r="Z10" i="1"/>
  <c r="AB10" i="1"/>
  <c r="AC10" i="1"/>
  <c r="AE10" i="1"/>
  <c r="AF10" i="1"/>
  <c r="A11" i="3"/>
  <c r="B11" i="3"/>
  <c r="B11" i="2"/>
  <c r="CK35" i="1"/>
  <c r="C35" i="3" s="1"/>
  <c r="CL35" i="1"/>
  <c r="D35" i="3" s="1"/>
  <c r="CM35" i="1"/>
  <c r="CK36" i="1"/>
  <c r="C36" i="3" s="1"/>
  <c r="CL36" i="1"/>
  <c r="D36" i="3" s="1"/>
  <c r="CM36" i="1"/>
  <c r="CK37" i="1"/>
  <c r="C37" i="3" s="1"/>
  <c r="CL37" i="1"/>
  <c r="D37" i="3" s="1"/>
  <c r="CM37" i="1"/>
  <c r="CK38" i="1"/>
  <c r="C38" i="3" s="1"/>
  <c r="CL38" i="1"/>
  <c r="D38" i="3" s="1"/>
  <c r="CM38" i="1"/>
  <c r="CK41" i="1"/>
  <c r="C41" i="3" s="1"/>
  <c r="CL41" i="1"/>
  <c r="D41" i="3" s="1"/>
  <c r="CM41" i="1"/>
  <c r="CK42" i="1"/>
  <c r="C42" i="3" s="1"/>
  <c r="CL42" i="1"/>
  <c r="D42" i="3" s="1"/>
  <c r="CM42" i="1"/>
  <c r="CK43" i="1"/>
  <c r="C43" i="3" s="1"/>
  <c r="CL43" i="1"/>
  <c r="D43" i="3" s="1"/>
  <c r="CM43" i="1"/>
  <c r="CK44" i="1"/>
  <c r="C44" i="3" s="1"/>
  <c r="CL44" i="1"/>
  <c r="D44" i="3" s="1"/>
  <c r="CM44" i="1"/>
  <c r="CK45" i="1"/>
  <c r="C45" i="3" s="1"/>
  <c r="CL45" i="1"/>
  <c r="D45" i="3" s="1"/>
  <c r="CM45" i="1"/>
  <c r="CK46" i="1"/>
  <c r="C46" i="3" s="1"/>
  <c r="CL46" i="1"/>
  <c r="D46" i="3" s="1"/>
  <c r="CM46" i="1"/>
  <c r="CK47" i="1"/>
  <c r="C47" i="3" s="1"/>
  <c r="CL47" i="1"/>
  <c r="D47" i="3" s="1"/>
  <c r="CM47" i="1"/>
  <c r="CK48" i="1"/>
  <c r="C48" i="3" s="1"/>
  <c r="CL48" i="1"/>
  <c r="D48" i="3" s="1"/>
  <c r="CM48" i="1"/>
  <c r="CK49" i="1"/>
  <c r="C49" i="3" s="1"/>
  <c r="CL49" i="1"/>
  <c r="D49" i="3" s="1"/>
  <c r="CM49" i="1"/>
  <c r="CK50" i="1"/>
  <c r="C50" i="3" s="1"/>
  <c r="CL50" i="1"/>
  <c r="D50" i="3" s="1"/>
  <c r="CM50" i="1"/>
  <c r="CK51" i="1"/>
  <c r="C51" i="3" s="1"/>
  <c r="CL51" i="1"/>
  <c r="D51" i="3" s="1"/>
  <c r="CM51" i="1"/>
  <c r="CK52" i="1"/>
  <c r="CL52" i="1"/>
  <c r="CM52" i="1"/>
  <c r="CK53" i="1"/>
  <c r="C53" i="3" s="1"/>
  <c r="CL53" i="1"/>
  <c r="D53" i="3" s="1"/>
  <c r="CM53" i="1"/>
  <c r="CK55" i="1"/>
  <c r="C55" i="3" s="1"/>
  <c r="CL55" i="1"/>
  <c r="D55" i="3" s="1"/>
  <c r="CM55" i="1"/>
  <c r="CK56" i="1"/>
  <c r="C56" i="3" s="1"/>
  <c r="CL56" i="1"/>
  <c r="D56" i="3" s="1"/>
  <c r="CM56" i="1"/>
  <c r="CK58" i="1"/>
  <c r="CL58" i="1"/>
  <c r="CM58" i="1"/>
  <c r="CK59" i="1"/>
  <c r="CL59" i="1"/>
  <c r="CM59" i="1"/>
  <c r="CK60" i="1"/>
  <c r="CL60" i="1"/>
  <c r="CM60" i="1"/>
  <c r="CK62" i="1"/>
  <c r="CL62" i="1"/>
  <c r="CM62" i="1"/>
  <c r="W11" i="3"/>
  <c r="V11" i="3"/>
  <c r="U11" i="3"/>
  <c r="Q11" i="3"/>
  <c r="N11" i="3"/>
  <c r="Y11" i="3" s="1"/>
  <c r="K11" i="3"/>
  <c r="J11" i="3"/>
  <c r="I11" i="3"/>
  <c r="E11" i="3"/>
  <c r="D11" i="3"/>
  <c r="C11" i="3"/>
  <c r="D10" i="2"/>
  <c r="B10" i="2"/>
  <c r="X11" i="3"/>
  <c r="X10" i="3"/>
  <c r="B10" i="3"/>
  <c r="A10" i="3"/>
  <c r="K10" i="3"/>
  <c r="J10" i="3"/>
  <c r="I10" i="3"/>
  <c r="Q10" i="3"/>
  <c r="P10" i="3"/>
  <c r="O10" i="3"/>
  <c r="W10" i="3"/>
  <c r="V10" i="3"/>
  <c r="U10" i="3"/>
  <c r="E10" i="3"/>
  <c r="D10" i="3"/>
  <c r="C10" i="3"/>
  <c r="F10" i="2"/>
  <c r="G10" i="2"/>
  <c r="I10" i="2"/>
  <c r="J10" i="2"/>
  <c r="L10" i="2"/>
  <c r="DE62" i="1"/>
  <c r="DD62" i="1"/>
  <c r="DC62" i="1"/>
  <c r="CY62" i="1"/>
  <c r="CX62" i="1"/>
  <c r="CW62" i="1"/>
  <c r="DE60" i="1"/>
  <c r="DD60" i="1"/>
  <c r="DC60" i="1"/>
  <c r="CY60" i="1"/>
  <c r="CX60" i="1"/>
  <c r="CW60" i="1"/>
  <c r="CS60" i="1"/>
  <c r="CR60" i="1"/>
  <c r="CQ60" i="1"/>
  <c r="DE59" i="1"/>
  <c r="DD59" i="1"/>
  <c r="DC59" i="1"/>
  <c r="CY59" i="1"/>
  <c r="CX59" i="1"/>
  <c r="CW59" i="1"/>
  <c r="CS59" i="1"/>
  <c r="CR59" i="1"/>
  <c r="CQ59" i="1"/>
  <c r="DE58" i="1"/>
  <c r="DD58" i="1"/>
  <c r="DC58" i="1"/>
  <c r="CY58" i="1"/>
  <c r="CX58" i="1"/>
  <c r="CW58" i="1"/>
  <c r="CV58" i="1"/>
  <c r="CU58" i="1"/>
  <c r="CT58" i="1"/>
  <c r="CS58" i="1"/>
  <c r="CR58" i="1"/>
  <c r="CQ58" i="1"/>
  <c r="DE56" i="1"/>
  <c r="DD56" i="1"/>
  <c r="DC56" i="1"/>
  <c r="CY56" i="1"/>
  <c r="CW56" i="1"/>
  <c r="O56" i="3" s="1"/>
  <c r="CV56" i="1"/>
  <c r="CU56" i="1"/>
  <c r="M56" i="3" s="1"/>
  <c r="CT56" i="1"/>
  <c r="L56" i="3" s="1"/>
  <c r="CS56" i="1"/>
  <c r="CR56" i="1"/>
  <c r="CQ56" i="1"/>
  <c r="DE55" i="1"/>
  <c r="DD55" i="1"/>
  <c r="V55" i="3" s="1"/>
  <c r="DC55" i="1"/>
  <c r="U55" i="3" s="1"/>
  <c r="CY55" i="1"/>
  <c r="CX55" i="1"/>
  <c r="P55" i="3" s="1"/>
  <c r="CW55" i="1"/>
  <c r="O55" i="3" s="1"/>
  <c r="CV55" i="1"/>
  <c r="CU55" i="1"/>
  <c r="M55" i="3" s="1"/>
  <c r="CT55" i="1"/>
  <c r="L55" i="3" s="1"/>
  <c r="CS55" i="1"/>
  <c r="CR55" i="1"/>
  <c r="J55" i="3" s="1"/>
  <c r="CQ55" i="1"/>
  <c r="I55" i="3" s="1"/>
  <c r="DE53" i="1"/>
  <c r="DD53" i="1"/>
  <c r="V53" i="3" s="1"/>
  <c r="DC53" i="1"/>
  <c r="U53" i="3" s="1"/>
  <c r="CY53" i="1"/>
  <c r="CX53" i="1"/>
  <c r="P53" i="3" s="1"/>
  <c r="CW53" i="1"/>
  <c r="O53" i="3" s="1"/>
  <c r="CV53" i="1"/>
  <c r="CU53" i="1"/>
  <c r="M53" i="3" s="1"/>
  <c r="CT53" i="1"/>
  <c r="L53" i="3" s="1"/>
  <c r="CS53" i="1"/>
  <c r="CR53" i="1"/>
  <c r="J53" i="3" s="1"/>
  <c r="CQ53" i="1"/>
  <c r="I53" i="3" s="1"/>
  <c r="DE52" i="1"/>
  <c r="DD52" i="1"/>
  <c r="DC52" i="1"/>
  <c r="CY52" i="1"/>
  <c r="CX52" i="1"/>
  <c r="CW52" i="1"/>
  <c r="CV52" i="1"/>
  <c r="CU52" i="1"/>
  <c r="CT52" i="1"/>
  <c r="CS52" i="1"/>
  <c r="CQ52" i="1"/>
  <c r="DE51" i="1"/>
  <c r="DD51" i="1"/>
  <c r="V51" i="3" s="1"/>
  <c r="DC51" i="1"/>
  <c r="U51" i="3" s="1"/>
  <c r="CY51" i="1"/>
  <c r="CX51" i="1"/>
  <c r="P51" i="3" s="1"/>
  <c r="CW51" i="1"/>
  <c r="O51" i="3" s="1"/>
  <c r="CV51" i="1"/>
  <c r="CU51" i="1"/>
  <c r="M51" i="3" s="1"/>
  <c r="CT51" i="1"/>
  <c r="L51" i="3" s="1"/>
  <c r="CS51" i="1"/>
  <c r="CR51" i="1"/>
  <c r="J51" i="3" s="1"/>
  <c r="CQ51" i="1"/>
  <c r="I51" i="3" s="1"/>
  <c r="DE50" i="1"/>
  <c r="DD50" i="1"/>
  <c r="V50" i="3" s="1"/>
  <c r="DC50" i="1"/>
  <c r="U50" i="3" s="1"/>
  <c r="CY50" i="1"/>
  <c r="CX50" i="1"/>
  <c r="CW50" i="1"/>
  <c r="CV50" i="1"/>
  <c r="CU50" i="1"/>
  <c r="M50" i="3" s="1"/>
  <c r="CT50" i="1"/>
  <c r="L50" i="3" s="1"/>
  <c r="CS50" i="1"/>
  <c r="CR50" i="1"/>
  <c r="J50" i="3" s="1"/>
  <c r="CQ50" i="1"/>
  <c r="I50" i="3" s="1"/>
  <c r="DE49" i="1"/>
  <c r="DD49" i="1"/>
  <c r="V49" i="3" s="1"/>
  <c r="DC49" i="1"/>
  <c r="U49" i="3" s="1"/>
  <c r="CY49" i="1"/>
  <c r="CX49" i="1"/>
  <c r="CW49" i="1"/>
  <c r="CV49" i="1"/>
  <c r="CU49" i="1"/>
  <c r="M49" i="3" s="1"/>
  <c r="CT49" i="1"/>
  <c r="L49" i="3" s="1"/>
  <c r="CS49" i="1"/>
  <c r="CR49" i="1"/>
  <c r="J49" i="3" s="1"/>
  <c r="CQ49" i="1"/>
  <c r="I49" i="3" s="1"/>
  <c r="DE48" i="1"/>
  <c r="DD48" i="1"/>
  <c r="V48" i="3" s="1"/>
  <c r="DC48" i="1"/>
  <c r="U48" i="3" s="1"/>
  <c r="CY48" i="1"/>
  <c r="CX48" i="1"/>
  <c r="CW48" i="1"/>
  <c r="CV48" i="1"/>
  <c r="CU48" i="1"/>
  <c r="M48" i="3" s="1"/>
  <c r="CT48" i="1"/>
  <c r="L48" i="3" s="1"/>
  <c r="CS48" i="1"/>
  <c r="CR48" i="1"/>
  <c r="J48" i="3" s="1"/>
  <c r="CQ48" i="1"/>
  <c r="I48" i="3" s="1"/>
  <c r="DE47" i="1"/>
  <c r="DD47" i="1"/>
  <c r="V47" i="3" s="1"/>
  <c r="DC47" i="1"/>
  <c r="U47" i="3" s="1"/>
  <c r="CY47" i="1"/>
  <c r="CX47" i="1"/>
  <c r="CW47" i="1"/>
  <c r="CV47" i="1"/>
  <c r="CU47" i="1"/>
  <c r="M47" i="3" s="1"/>
  <c r="CT47" i="1"/>
  <c r="L47" i="3" s="1"/>
  <c r="CS47" i="1"/>
  <c r="CR47" i="1"/>
  <c r="J47" i="3" s="1"/>
  <c r="CQ47" i="1"/>
  <c r="I47" i="3" s="1"/>
  <c r="DE46" i="1"/>
  <c r="DD46" i="1"/>
  <c r="V46" i="3" s="1"/>
  <c r="DC46" i="1"/>
  <c r="U46" i="3" s="1"/>
  <c r="CY46" i="1"/>
  <c r="CX46" i="1"/>
  <c r="CW46" i="1"/>
  <c r="CV46" i="1"/>
  <c r="CU46" i="1"/>
  <c r="M46" i="3" s="1"/>
  <c r="CT46" i="1"/>
  <c r="L46" i="3" s="1"/>
  <c r="CS46" i="1"/>
  <c r="CR46" i="1"/>
  <c r="J46" i="3" s="1"/>
  <c r="CQ46" i="1"/>
  <c r="I46" i="3" s="1"/>
  <c r="DE45" i="1"/>
  <c r="DD45" i="1"/>
  <c r="V45" i="3" s="1"/>
  <c r="DC45" i="1"/>
  <c r="U45" i="3" s="1"/>
  <c r="CY45" i="1"/>
  <c r="CX45" i="1"/>
  <c r="CW45" i="1"/>
  <c r="CV45" i="1"/>
  <c r="CU45" i="1"/>
  <c r="M45" i="3" s="1"/>
  <c r="CT45" i="1"/>
  <c r="L45" i="3" s="1"/>
  <c r="CS45" i="1"/>
  <c r="CR45" i="1"/>
  <c r="J45" i="3" s="1"/>
  <c r="CQ45" i="1"/>
  <c r="I45" i="3" s="1"/>
  <c r="DE44" i="1"/>
  <c r="DD44" i="1"/>
  <c r="V44" i="3" s="1"/>
  <c r="DC44" i="1"/>
  <c r="U44" i="3" s="1"/>
  <c r="CY44" i="1"/>
  <c r="CX44" i="1"/>
  <c r="CW44" i="1"/>
  <c r="CV44" i="1"/>
  <c r="CU44" i="1"/>
  <c r="M44" i="3" s="1"/>
  <c r="CT44" i="1"/>
  <c r="L44" i="3" s="1"/>
  <c r="CS44" i="1"/>
  <c r="CR44" i="1"/>
  <c r="J44" i="3" s="1"/>
  <c r="CQ44" i="1"/>
  <c r="I44" i="3" s="1"/>
  <c r="DE43" i="1"/>
  <c r="DD43" i="1"/>
  <c r="V43" i="3" s="1"/>
  <c r="DC43" i="1"/>
  <c r="U43" i="3" s="1"/>
  <c r="CY43" i="1"/>
  <c r="CX43" i="1"/>
  <c r="CW43" i="1"/>
  <c r="CV43" i="1"/>
  <c r="CU43" i="1"/>
  <c r="M43" i="3" s="1"/>
  <c r="CT43" i="1"/>
  <c r="L43" i="3" s="1"/>
  <c r="CS43" i="1"/>
  <c r="CR43" i="1"/>
  <c r="J43" i="3" s="1"/>
  <c r="CQ43" i="1"/>
  <c r="I43" i="3" s="1"/>
  <c r="DE42" i="1"/>
  <c r="DD42" i="1"/>
  <c r="V42" i="3" s="1"/>
  <c r="DC42" i="1"/>
  <c r="U42" i="3" s="1"/>
  <c r="CY42" i="1"/>
  <c r="CX42" i="1"/>
  <c r="CW42" i="1"/>
  <c r="CV42" i="1"/>
  <c r="CU42" i="1"/>
  <c r="M42" i="3" s="1"/>
  <c r="CT42" i="1"/>
  <c r="L42" i="3" s="1"/>
  <c r="CS42" i="1"/>
  <c r="CR42" i="1"/>
  <c r="J42" i="3" s="1"/>
  <c r="CQ42" i="1"/>
  <c r="I42" i="3" s="1"/>
  <c r="DE41" i="1"/>
  <c r="DD41" i="1"/>
  <c r="V41" i="3" s="1"/>
  <c r="DC41" i="1"/>
  <c r="U41" i="3" s="1"/>
  <c r="CY41" i="1"/>
  <c r="CX41" i="1"/>
  <c r="CW41" i="1"/>
  <c r="CV41" i="1"/>
  <c r="CU41" i="1"/>
  <c r="M41" i="3" s="1"/>
  <c r="CT41" i="1"/>
  <c r="L41" i="3" s="1"/>
  <c r="CS41" i="1"/>
  <c r="CR41" i="1"/>
  <c r="J41" i="3" s="1"/>
  <c r="CQ41" i="1"/>
  <c r="I41" i="3" s="1"/>
  <c r="DE38" i="1"/>
  <c r="DD38" i="1"/>
  <c r="V38" i="3" s="1"/>
  <c r="DC38" i="1"/>
  <c r="U38" i="3" s="1"/>
  <c r="CY38" i="1"/>
  <c r="CX38" i="1"/>
  <c r="CW38" i="1"/>
  <c r="CV38" i="1"/>
  <c r="CU38" i="1"/>
  <c r="M38" i="3" s="1"/>
  <c r="CT38" i="1"/>
  <c r="L38" i="3" s="1"/>
  <c r="CS38" i="1"/>
  <c r="CR38" i="1"/>
  <c r="J38" i="3" s="1"/>
  <c r="CQ38" i="1"/>
  <c r="I38" i="3" s="1"/>
  <c r="DE37" i="1"/>
  <c r="DD37" i="1"/>
  <c r="V37" i="3" s="1"/>
  <c r="DC37" i="1"/>
  <c r="U37" i="3" s="1"/>
  <c r="CY37" i="1"/>
  <c r="CX37" i="1"/>
  <c r="CW37" i="1"/>
  <c r="CV37" i="1"/>
  <c r="CU37" i="1"/>
  <c r="M37" i="3" s="1"/>
  <c r="CT37" i="1"/>
  <c r="L37" i="3" s="1"/>
  <c r="CS37" i="1"/>
  <c r="CR37" i="1"/>
  <c r="J37" i="3" s="1"/>
  <c r="CQ37" i="1"/>
  <c r="I37" i="3" s="1"/>
  <c r="DE36" i="1"/>
  <c r="DD36" i="1"/>
  <c r="V36" i="3" s="1"/>
  <c r="DC36" i="1"/>
  <c r="U36" i="3" s="1"/>
  <c r="CY36" i="1"/>
  <c r="CX36" i="1"/>
  <c r="CW36" i="1"/>
  <c r="CV36" i="1"/>
  <c r="CU36" i="1"/>
  <c r="M36" i="3" s="1"/>
  <c r="CT36" i="1"/>
  <c r="L36" i="3" s="1"/>
  <c r="CS36" i="1"/>
  <c r="CR36" i="1"/>
  <c r="J36" i="3" s="1"/>
  <c r="CQ36" i="1"/>
  <c r="I36" i="3" s="1"/>
  <c r="DE35" i="1"/>
  <c r="DD35" i="1"/>
  <c r="V35" i="3" s="1"/>
  <c r="DC35" i="1"/>
  <c r="U35" i="3" s="1"/>
  <c r="CY35" i="1"/>
  <c r="CX35" i="1"/>
  <c r="CW35" i="1"/>
  <c r="CV35" i="1"/>
  <c r="CU35" i="1"/>
  <c r="M35" i="3" s="1"/>
  <c r="CT35" i="1"/>
  <c r="L35" i="3" s="1"/>
  <c r="CS35" i="1"/>
  <c r="CR35" i="1"/>
  <c r="J35" i="3" s="1"/>
  <c r="CQ35" i="1"/>
  <c r="I35" i="3" s="1"/>
  <c r="BM62" i="1"/>
  <c r="BL62" i="1"/>
  <c r="BK62" i="1"/>
  <c r="BG62" i="1"/>
  <c r="BF62" i="1"/>
  <c r="BE62" i="1"/>
  <c r="AU62" i="1"/>
  <c r="AT62" i="1"/>
  <c r="AS62" i="1"/>
  <c r="BM60" i="1"/>
  <c r="BL60" i="1"/>
  <c r="BK60" i="1"/>
  <c r="BG60" i="1"/>
  <c r="BF60" i="1"/>
  <c r="BE60" i="1"/>
  <c r="BA60" i="1"/>
  <c r="AZ60" i="1"/>
  <c r="AY60" i="1"/>
  <c r="AU60" i="1"/>
  <c r="AT60" i="1"/>
  <c r="AS60" i="1"/>
  <c r="BM59" i="1"/>
  <c r="BL59" i="1"/>
  <c r="BK59" i="1"/>
  <c r="BM58" i="1"/>
  <c r="BL58" i="1"/>
  <c r="BK58" i="1"/>
  <c r="BG58" i="1"/>
  <c r="BF58" i="1"/>
  <c r="BE58" i="1"/>
  <c r="BD58" i="1"/>
  <c r="BC58" i="1"/>
  <c r="BB58" i="1"/>
  <c r="BA58" i="1"/>
  <c r="AZ58" i="1"/>
  <c r="AY58" i="1"/>
  <c r="AU58" i="1"/>
  <c r="AT58" i="1"/>
  <c r="AS58" i="1"/>
  <c r="BM56" i="1"/>
  <c r="BL56" i="1"/>
  <c r="BK56" i="1"/>
  <c r="BG56" i="1"/>
  <c r="Q56" i="3" s="1"/>
  <c r="BF56" i="1"/>
  <c r="BE56" i="1"/>
  <c r="BD56" i="1"/>
  <c r="N56" i="3" s="1"/>
  <c r="Y56" i="3" s="1"/>
  <c r="BC56" i="1"/>
  <c r="BB56" i="1"/>
  <c r="BA56" i="1"/>
  <c r="AZ56" i="1"/>
  <c r="AY56" i="1"/>
  <c r="AU56" i="1"/>
  <c r="E56" i="3" s="1"/>
  <c r="AT56" i="1"/>
  <c r="AS56" i="1"/>
  <c r="BM55" i="1"/>
  <c r="W55" i="3" s="1"/>
  <c r="BL55" i="1"/>
  <c r="BK55" i="1"/>
  <c r="BG55" i="1"/>
  <c r="Q55" i="3" s="1"/>
  <c r="BF55" i="1"/>
  <c r="BE55" i="1"/>
  <c r="BD55" i="1"/>
  <c r="N55" i="3" s="1"/>
  <c r="Y55" i="3" s="1"/>
  <c r="BC55" i="1"/>
  <c r="BB55" i="1"/>
  <c r="BA55" i="1"/>
  <c r="K55" i="3" s="1"/>
  <c r="AZ55" i="1"/>
  <c r="AY55" i="1"/>
  <c r="AU55" i="1"/>
  <c r="E55" i="3" s="1"/>
  <c r="AT55" i="1"/>
  <c r="AS55" i="1"/>
  <c r="BG54" i="1"/>
  <c r="Q54" i="3" s="1"/>
  <c r="BF54" i="1"/>
  <c r="BE54" i="1"/>
  <c r="BD54" i="1"/>
  <c r="N54" i="3" s="1"/>
  <c r="Y54" i="3" s="1"/>
  <c r="Z54" i="3" s="1"/>
  <c r="BC54" i="1"/>
  <c r="BB54" i="1"/>
  <c r="AU54" i="1"/>
  <c r="E54" i="3" s="1"/>
  <c r="AT54" i="1"/>
  <c r="AS54" i="1"/>
  <c r="BM52" i="1"/>
  <c r="BL52" i="1"/>
  <c r="BK52" i="1"/>
  <c r="BG52" i="1"/>
  <c r="BF52" i="1"/>
  <c r="BE52" i="1"/>
  <c r="BD52" i="1"/>
  <c r="BC52" i="1"/>
  <c r="BB52" i="1"/>
  <c r="BA52" i="1"/>
  <c r="AY52" i="1"/>
  <c r="AU52" i="1"/>
  <c r="AT52" i="1"/>
  <c r="AS52" i="1"/>
  <c r="BM51" i="1"/>
  <c r="W51" i="3" s="1"/>
  <c r="BL51" i="1"/>
  <c r="BK51" i="1"/>
  <c r="BG51" i="1"/>
  <c r="Q51" i="3" s="1"/>
  <c r="BF51" i="1"/>
  <c r="BE51" i="1"/>
  <c r="BD51" i="1"/>
  <c r="N51" i="3" s="1"/>
  <c r="Y51" i="3" s="1"/>
  <c r="BC51" i="1"/>
  <c r="BB51" i="1"/>
  <c r="BA51" i="1"/>
  <c r="K51" i="3" s="1"/>
  <c r="AZ51" i="1"/>
  <c r="AY51" i="1"/>
  <c r="AU51" i="1"/>
  <c r="E51" i="3" s="1"/>
  <c r="AT51" i="1"/>
  <c r="AS51" i="1"/>
  <c r="BM50" i="1"/>
  <c r="W50" i="3" s="1"/>
  <c r="BL50" i="1"/>
  <c r="BK50" i="1"/>
  <c r="BG50" i="1"/>
  <c r="Q50" i="3" s="1"/>
  <c r="BF50" i="1"/>
  <c r="BE50" i="1"/>
  <c r="BD50" i="1"/>
  <c r="N50" i="3" s="1"/>
  <c r="Y50" i="3" s="1"/>
  <c r="BC50" i="1"/>
  <c r="BB50" i="1"/>
  <c r="BA50" i="1"/>
  <c r="K50" i="3" s="1"/>
  <c r="AZ50" i="1"/>
  <c r="AY50" i="1"/>
  <c r="AU50" i="1"/>
  <c r="E50" i="3" s="1"/>
  <c r="AT50" i="1"/>
  <c r="AS50" i="1"/>
  <c r="BM49" i="1"/>
  <c r="W49" i="3" s="1"/>
  <c r="BL49" i="1"/>
  <c r="BK49" i="1"/>
  <c r="BG49" i="1"/>
  <c r="Q49" i="3" s="1"/>
  <c r="BF49" i="1"/>
  <c r="BE49" i="1"/>
  <c r="BD49" i="1"/>
  <c r="N49" i="3" s="1"/>
  <c r="Y49" i="3" s="1"/>
  <c r="BC49" i="1"/>
  <c r="BB49" i="1"/>
  <c r="BA49" i="1"/>
  <c r="K49" i="3" s="1"/>
  <c r="AZ49" i="1"/>
  <c r="AY49" i="1"/>
  <c r="AU49" i="1"/>
  <c r="E49" i="3" s="1"/>
  <c r="AT49" i="1"/>
  <c r="AS49" i="1"/>
  <c r="BM48" i="1"/>
  <c r="W48" i="3" s="1"/>
  <c r="BL48" i="1"/>
  <c r="BK48" i="1"/>
  <c r="BG48" i="1"/>
  <c r="Q48" i="3" s="1"/>
  <c r="BF48" i="1"/>
  <c r="BE48" i="1"/>
  <c r="BD48" i="1"/>
  <c r="N48" i="3" s="1"/>
  <c r="Y48" i="3" s="1"/>
  <c r="BC48" i="1"/>
  <c r="BB48" i="1"/>
  <c r="BA48" i="1"/>
  <c r="K48" i="3" s="1"/>
  <c r="AZ48" i="1"/>
  <c r="AY48" i="1"/>
  <c r="AU48" i="1"/>
  <c r="E48" i="3" s="1"/>
  <c r="AT48" i="1"/>
  <c r="AS48" i="1"/>
  <c r="BM47" i="1"/>
  <c r="W47" i="3" s="1"/>
  <c r="BL47" i="1"/>
  <c r="BK47" i="1"/>
  <c r="BG47" i="1"/>
  <c r="Q47" i="3" s="1"/>
  <c r="BF47" i="1"/>
  <c r="BE47" i="1"/>
  <c r="BD47" i="1"/>
  <c r="N47" i="3" s="1"/>
  <c r="Y47" i="3" s="1"/>
  <c r="BC47" i="1"/>
  <c r="BB47" i="1"/>
  <c r="BA47" i="1"/>
  <c r="K47" i="3" s="1"/>
  <c r="AZ47" i="1"/>
  <c r="AY47" i="1"/>
  <c r="AU47" i="1"/>
  <c r="E47" i="3" s="1"/>
  <c r="AT47" i="1"/>
  <c r="AS47" i="1"/>
  <c r="BM46" i="1"/>
  <c r="W46" i="3" s="1"/>
  <c r="BL46" i="1"/>
  <c r="BK46" i="1"/>
  <c r="BG46" i="1"/>
  <c r="Q46" i="3" s="1"/>
  <c r="BF46" i="1"/>
  <c r="BE46" i="1"/>
  <c r="BD46" i="1"/>
  <c r="N46" i="3" s="1"/>
  <c r="Y46" i="3" s="1"/>
  <c r="BC46" i="1"/>
  <c r="BB46" i="1"/>
  <c r="BA46" i="1"/>
  <c r="K46" i="3" s="1"/>
  <c r="AZ46" i="1"/>
  <c r="AY46" i="1"/>
  <c r="AU46" i="1"/>
  <c r="E46" i="3" s="1"/>
  <c r="AT46" i="1"/>
  <c r="AS46" i="1"/>
  <c r="BM45" i="1"/>
  <c r="W45" i="3" s="1"/>
  <c r="BL45" i="1"/>
  <c r="BK45" i="1"/>
  <c r="BG45" i="1"/>
  <c r="Q45" i="3" s="1"/>
  <c r="BF45" i="1"/>
  <c r="BE45" i="1"/>
  <c r="BD45" i="1"/>
  <c r="N45" i="3" s="1"/>
  <c r="Y45" i="3" s="1"/>
  <c r="BC45" i="1"/>
  <c r="BB45" i="1"/>
  <c r="BA45" i="1"/>
  <c r="K45" i="3" s="1"/>
  <c r="AZ45" i="1"/>
  <c r="AY45" i="1"/>
  <c r="AU45" i="1"/>
  <c r="E45" i="3" s="1"/>
  <c r="AT45" i="1"/>
  <c r="AS45" i="1"/>
  <c r="BM44" i="1"/>
  <c r="W44" i="3" s="1"/>
  <c r="BL44" i="1"/>
  <c r="BK44" i="1"/>
  <c r="BG44" i="1"/>
  <c r="Q44" i="3" s="1"/>
  <c r="BF44" i="1"/>
  <c r="BE44" i="1"/>
  <c r="BD44" i="1"/>
  <c r="N44" i="3" s="1"/>
  <c r="Y44" i="3" s="1"/>
  <c r="BC44" i="1"/>
  <c r="BB44" i="1"/>
  <c r="BA44" i="1"/>
  <c r="K44" i="3" s="1"/>
  <c r="AZ44" i="1"/>
  <c r="AY44" i="1"/>
  <c r="AU44" i="1"/>
  <c r="E44" i="3" s="1"/>
  <c r="AT44" i="1"/>
  <c r="AS44" i="1"/>
  <c r="BM43" i="1"/>
  <c r="W43" i="3" s="1"/>
  <c r="BL43" i="1"/>
  <c r="BK43" i="1"/>
  <c r="BG43" i="1"/>
  <c r="Q43" i="3" s="1"/>
  <c r="BF43" i="1"/>
  <c r="BE43" i="1"/>
  <c r="BD43" i="1"/>
  <c r="N43" i="3" s="1"/>
  <c r="Y43" i="3" s="1"/>
  <c r="BC43" i="1"/>
  <c r="BB43" i="1"/>
  <c r="BA43" i="1"/>
  <c r="K43" i="3" s="1"/>
  <c r="AZ43" i="1"/>
  <c r="AY43" i="1"/>
  <c r="AU43" i="1"/>
  <c r="E43" i="3" s="1"/>
  <c r="AT43" i="1"/>
  <c r="AS43" i="1"/>
  <c r="BM42" i="1"/>
  <c r="W42" i="3" s="1"/>
  <c r="BL42" i="1"/>
  <c r="BK42" i="1"/>
  <c r="BG42" i="1"/>
  <c r="Q42" i="3" s="1"/>
  <c r="BF42" i="1"/>
  <c r="BE42" i="1"/>
  <c r="BD42" i="1"/>
  <c r="N42" i="3" s="1"/>
  <c r="Y42" i="3" s="1"/>
  <c r="BC42" i="1"/>
  <c r="BB42" i="1"/>
  <c r="BA42" i="1"/>
  <c r="K42" i="3" s="1"/>
  <c r="AZ42" i="1"/>
  <c r="AY42" i="1"/>
  <c r="AU42" i="1"/>
  <c r="E42" i="3" s="1"/>
  <c r="AT42" i="1"/>
  <c r="AS42" i="1"/>
  <c r="BM41" i="1"/>
  <c r="W41" i="3" s="1"/>
  <c r="BL41" i="1"/>
  <c r="BK41" i="1"/>
  <c r="BG41" i="1"/>
  <c r="Q41" i="3" s="1"/>
  <c r="BF41" i="1"/>
  <c r="BE41" i="1"/>
  <c r="BD41" i="1"/>
  <c r="N41" i="3" s="1"/>
  <c r="Y41" i="3" s="1"/>
  <c r="BC41" i="1"/>
  <c r="BB41" i="1"/>
  <c r="BA41" i="1"/>
  <c r="K41" i="3" s="1"/>
  <c r="AZ41" i="1"/>
  <c r="AY41" i="1"/>
  <c r="AU41" i="1"/>
  <c r="E41" i="3" s="1"/>
  <c r="AT41" i="1"/>
  <c r="AS41" i="1"/>
  <c r="BM40" i="1"/>
  <c r="W40" i="3" s="1"/>
  <c r="BL40" i="1"/>
  <c r="BK40" i="1"/>
  <c r="BG40" i="1"/>
  <c r="Q40" i="3" s="1"/>
  <c r="BF40" i="1"/>
  <c r="BE40" i="1"/>
  <c r="BD40" i="1"/>
  <c r="N40" i="3" s="1"/>
  <c r="Y40" i="3" s="1"/>
  <c r="BC40" i="1"/>
  <c r="BB40" i="1"/>
  <c r="BA40" i="1"/>
  <c r="K40" i="3" s="1"/>
  <c r="AZ40" i="1"/>
  <c r="AY40" i="1"/>
  <c r="AU40" i="1"/>
  <c r="E40" i="3" s="1"/>
  <c r="AT40" i="1"/>
  <c r="AS40" i="1"/>
  <c r="BM39" i="1"/>
  <c r="W39" i="3" s="1"/>
  <c r="BL39" i="1"/>
  <c r="BK39" i="1"/>
  <c r="BG39" i="1"/>
  <c r="Q39" i="3" s="1"/>
  <c r="BF39" i="1"/>
  <c r="BE39" i="1"/>
  <c r="BD39" i="1"/>
  <c r="N39" i="3" s="1"/>
  <c r="Y39" i="3" s="1"/>
  <c r="BC39" i="1"/>
  <c r="BB39" i="1"/>
  <c r="BA39" i="1"/>
  <c r="K39" i="3" s="1"/>
  <c r="AZ39" i="1"/>
  <c r="AY39" i="1"/>
  <c r="AU39" i="1"/>
  <c r="E39" i="3" s="1"/>
  <c r="AT39" i="1"/>
  <c r="AS39" i="1"/>
  <c r="BM38" i="1"/>
  <c r="W38" i="3" s="1"/>
  <c r="BL38" i="1"/>
  <c r="BK38" i="1"/>
  <c r="BG38" i="1"/>
  <c r="Q38" i="3" s="1"/>
  <c r="BF38" i="1"/>
  <c r="BE38" i="1"/>
  <c r="BD38" i="1"/>
  <c r="N38" i="3" s="1"/>
  <c r="Y38" i="3" s="1"/>
  <c r="BC38" i="1"/>
  <c r="BB38" i="1"/>
  <c r="BA38" i="1"/>
  <c r="K38" i="3" s="1"/>
  <c r="AZ38" i="1"/>
  <c r="AY38" i="1"/>
  <c r="AU38" i="1"/>
  <c r="E38" i="3" s="1"/>
  <c r="AT38" i="1"/>
  <c r="AS38" i="1"/>
  <c r="BM37" i="1"/>
  <c r="W37" i="3" s="1"/>
  <c r="BL37" i="1"/>
  <c r="BK37" i="1"/>
  <c r="BG37" i="1"/>
  <c r="Q37" i="3" s="1"/>
  <c r="BF37" i="1"/>
  <c r="BE37" i="1"/>
  <c r="BD37" i="1"/>
  <c r="N37" i="3" s="1"/>
  <c r="Y37" i="3" s="1"/>
  <c r="BC37" i="1"/>
  <c r="BB37" i="1"/>
  <c r="BA37" i="1"/>
  <c r="K37" i="3" s="1"/>
  <c r="AZ37" i="1"/>
  <c r="AY37" i="1"/>
  <c r="AU37" i="1"/>
  <c r="E37" i="3" s="1"/>
  <c r="AT37" i="1"/>
  <c r="AS37" i="1"/>
  <c r="BM36" i="1"/>
  <c r="W36" i="3" s="1"/>
  <c r="BL36" i="1"/>
  <c r="BK36" i="1"/>
  <c r="BG36" i="1"/>
  <c r="Q36" i="3" s="1"/>
  <c r="BF36" i="1"/>
  <c r="BE36" i="1"/>
  <c r="BD36" i="1"/>
  <c r="N36" i="3" s="1"/>
  <c r="Y36" i="3" s="1"/>
  <c r="BC36" i="1"/>
  <c r="BB36" i="1"/>
  <c r="BA36" i="1"/>
  <c r="K36" i="3" s="1"/>
  <c r="AZ36" i="1"/>
  <c r="AY36" i="1"/>
  <c r="AU36" i="1"/>
  <c r="E36" i="3" s="1"/>
  <c r="AT36" i="1"/>
  <c r="AS36" i="1"/>
  <c r="BM35" i="1"/>
  <c r="W35" i="3" s="1"/>
  <c r="BL35" i="1"/>
  <c r="BK35" i="1"/>
  <c r="BG35" i="1"/>
  <c r="Q35" i="3" s="1"/>
  <c r="BF35" i="1"/>
  <c r="BE35" i="1"/>
  <c r="BD35" i="1"/>
  <c r="N35" i="3" s="1"/>
  <c r="Y35" i="3" s="1"/>
  <c r="Z35" i="3" s="1"/>
  <c r="BC35" i="1"/>
  <c r="BB35" i="1"/>
  <c r="BA35" i="1"/>
  <c r="K35" i="3" s="1"/>
  <c r="AZ35" i="1"/>
  <c r="AY35" i="1"/>
  <c r="AU35" i="1"/>
  <c r="E35" i="3" s="1"/>
  <c r="AT35" i="1"/>
  <c r="AS35" i="1"/>
  <c r="Z35" i="1"/>
  <c r="AB35" i="1"/>
  <c r="AK35" i="1" s="1"/>
  <c r="F35" i="2" s="1"/>
  <c r="AC35" i="1"/>
  <c r="AE35" i="1"/>
  <c r="AF35" i="1"/>
  <c r="AO35" i="1" s="1"/>
  <c r="J35" i="2" s="1"/>
  <c r="AQ35" i="1"/>
  <c r="L35" i="2" s="1"/>
  <c r="Z35" i="2" s="1"/>
  <c r="Z38" i="1"/>
  <c r="AB38" i="1"/>
  <c r="AC38" i="1"/>
  <c r="AE38" i="1"/>
  <c r="AF38" i="1"/>
  <c r="AQ38" i="1"/>
  <c r="L38" i="2" s="1"/>
  <c r="Z38" i="2" s="1"/>
  <c r="Z40" i="1"/>
  <c r="AB40" i="1"/>
  <c r="AK40" i="1" s="1"/>
  <c r="F40" i="2" s="1"/>
  <c r="AC40" i="1"/>
  <c r="AE40" i="1"/>
  <c r="AF40" i="1"/>
  <c r="AQ40" i="1"/>
  <c r="L40" i="2" s="1"/>
  <c r="Z40" i="2" s="1"/>
  <c r="Z41" i="1"/>
  <c r="AB41" i="1"/>
  <c r="AC41" i="1"/>
  <c r="AE41" i="1"/>
  <c r="AF41" i="1"/>
  <c r="AQ41" i="1"/>
  <c r="L41" i="2" s="1"/>
  <c r="Z42" i="2" s="1"/>
  <c r="Z44" i="1"/>
  <c r="AB44" i="1"/>
  <c r="AK44" i="1" s="1"/>
  <c r="F44" i="2" s="1"/>
  <c r="AC44" i="1"/>
  <c r="AE44" i="1"/>
  <c r="AF44" i="1"/>
  <c r="AO44" i="1" s="1"/>
  <c r="J44" i="2" s="1"/>
  <c r="AQ44" i="1"/>
  <c r="L44" i="2" s="1"/>
  <c r="Z44" i="2" s="1"/>
  <c r="Z46" i="1"/>
  <c r="AB46" i="1"/>
  <c r="AC46" i="1"/>
  <c r="AE46" i="1"/>
  <c r="AF46" i="1"/>
  <c r="AQ46" i="1"/>
  <c r="L46" i="2" s="1"/>
  <c r="Z46" i="2" s="1"/>
  <c r="Z48" i="1"/>
  <c r="AB48" i="1"/>
  <c r="AK48" i="1" s="1"/>
  <c r="F48" i="2" s="1"/>
  <c r="AC48" i="1"/>
  <c r="AE48" i="1"/>
  <c r="AF48" i="1"/>
  <c r="AQ48" i="1"/>
  <c r="L48" i="2" s="1"/>
  <c r="Z48" i="2" s="1"/>
  <c r="Z49" i="1"/>
  <c r="AB49" i="1"/>
  <c r="AC49" i="1"/>
  <c r="AE49" i="1"/>
  <c r="AF49" i="1"/>
  <c r="AQ49" i="1"/>
  <c r="L49" i="2" s="1"/>
  <c r="Z50" i="1"/>
  <c r="AB50" i="1"/>
  <c r="AK50" i="1" s="1"/>
  <c r="F50" i="2" s="1"/>
  <c r="AC50" i="1"/>
  <c r="AE50" i="1"/>
  <c r="AF50" i="1"/>
  <c r="AO50" i="1" s="1"/>
  <c r="J50" i="2" s="1"/>
  <c r="AQ50" i="1"/>
  <c r="L50" i="2" s="1"/>
  <c r="Z55" i="1"/>
  <c r="Z57" i="1"/>
  <c r="AK57" i="1"/>
  <c r="T58" i="2" s="1"/>
  <c r="AC57" i="1"/>
  <c r="AE57" i="1"/>
  <c r="AO57" i="1"/>
  <c r="AQ57" i="1"/>
  <c r="L57" i="2" s="1"/>
  <c r="Z58" i="1"/>
  <c r="AI58" i="1" s="1"/>
  <c r="AB58" i="1"/>
  <c r="AK58" i="1" s="1"/>
  <c r="AC58" i="1"/>
  <c r="AL58" i="1" s="1"/>
  <c r="AE58" i="1"/>
  <c r="AN58" i="1" s="1"/>
  <c r="AF58" i="1"/>
  <c r="AO58" i="1" s="1"/>
  <c r="AQ58" i="1"/>
  <c r="AK59" i="1"/>
  <c r="AF59" i="1"/>
  <c r="AI62" i="1"/>
  <c r="AF62" i="1"/>
  <c r="AQ62" i="1"/>
  <c r="B62" i="1"/>
  <c r="B60" i="1"/>
  <c r="D58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D38" i="1"/>
  <c r="C38" i="2" s="1"/>
  <c r="B38" i="1"/>
  <c r="D37" i="1"/>
  <c r="C37" i="2" s="1"/>
  <c r="B37" i="1"/>
  <c r="D36" i="1"/>
  <c r="C36" i="2" s="1"/>
  <c r="B36" i="1"/>
  <c r="D35" i="1"/>
  <c r="C35" i="2" s="1"/>
  <c r="B35" i="1"/>
  <c r="L10" i="3"/>
  <c r="M10" i="3"/>
  <c r="N10" i="3"/>
  <c r="Y10" i="3" s="1"/>
  <c r="A10" i="2"/>
  <c r="AJ96" i="1" l="1"/>
  <c r="AJ97" i="1"/>
  <c r="AJ95" i="1"/>
  <c r="E95" i="2" s="1"/>
  <c r="S95" i="2" s="1"/>
  <c r="AJ94" i="1"/>
  <c r="E94" i="2" s="1"/>
  <c r="AM97" i="1"/>
  <c r="AM96" i="1"/>
  <c r="AM95" i="1"/>
  <c r="H95" i="2" s="1"/>
  <c r="V95" i="2" s="1"/>
  <c r="AM94" i="1"/>
  <c r="H94" i="2" s="1"/>
  <c r="AP96" i="1"/>
  <c r="AP97" i="1"/>
  <c r="AP95" i="1"/>
  <c r="K95" i="2" s="1"/>
  <c r="Y95" i="2" s="1"/>
  <c r="AP94" i="1"/>
  <c r="K94" i="2" s="1"/>
  <c r="AJ93" i="1"/>
  <c r="E93" i="2" s="1"/>
  <c r="AJ92" i="1"/>
  <c r="E92" i="2" s="1"/>
  <c r="AJ91" i="1"/>
  <c r="E91" i="2" s="1"/>
  <c r="AJ90" i="1"/>
  <c r="E90" i="2" s="1"/>
  <c r="S90" i="2" s="1"/>
  <c r="AJ86" i="1"/>
  <c r="E86" i="2" s="1"/>
  <c r="AJ89" i="1"/>
  <c r="E89" i="2" s="1"/>
  <c r="AJ87" i="1"/>
  <c r="E87" i="2" s="1"/>
  <c r="S87" i="2" s="1"/>
  <c r="AJ88" i="1"/>
  <c r="E88" i="2" s="1"/>
  <c r="S88" i="2" s="1"/>
  <c r="AP93" i="1"/>
  <c r="K93" i="2" s="1"/>
  <c r="Y93" i="2" s="1"/>
  <c r="AP92" i="1"/>
  <c r="K92" i="2" s="1"/>
  <c r="AP91" i="1"/>
  <c r="K91" i="2" s="1"/>
  <c r="AP90" i="1"/>
  <c r="K90" i="2" s="1"/>
  <c r="AP89" i="1"/>
  <c r="K89" i="2" s="1"/>
  <c r="AP86" i="1"/>
  <c r="K86" i="2" s="1"/>
  <c r="AP87" i="1"/>
  <c r="K87" i="2" s="1"/>
  <c r="Y87" i="2" s="1"/>
  <c r="AP88" i="1"/>
  <c r="K88" i="2" s="1"/>
  <c r="AM93" i="1"/>
  <c r="H93" i="2" s="1"/>
  <c r="AM92" i="1"/>
  <c r="H92" i="2" s="1"/>
  <c r="AM91" i="1"/>
  <c r="H91" i="2" s="1"/>
  <c r="AM90" i="1"/>
  <c r="H90" i="2" s="1"/>
  <c r="V90" i="2" s="1"/>
  <c r="AM89" i="1"/>
  <c r="H89" i="2" s="1"/>
  <c r="AM86" i="1"/>
  <c r="H86" i="2" s="1"/>
  <c r="AM87" i="1"/>
  <c r="H87" i="2" s="1"/>
  <c r="V87" i="2" s="1"/>
  <c r="AM88" i="1"/>
  <c r="H88" i="2" s="1"/>
  <c r="AJ82" i="1"/>
  <c r="E82" i="2" s="1"/>
  <c r="AJ85" i="1"/>
  <c r="E85" i="2" s="1"/>
  <c r="AJ84" i="1"/>
  <c r="E84" i="2" s="1"/>
  <c r="AJ83" i="1"/>
  <c r="E83" i="2" s="1"/>
  <c r="AP82" i="1"/>
  <c r="K82" i="2" s="1"/>
  <c r="AP85" i="1"/>
  <c r="K85" i="2" s="1"/>
  <c r="AP84" i="1"/>
  <c r="K84" i="2" s="1"/>
  <c r="AP83" i="1"/>
  <c r="K83" i="2" s="1"/>
  <c r="AM82" i="1"/>
  <c r="H82" i="2" s="1"/>
  <c r="AM84" i="1"/>
  <c r="H84" i="2" s="1"/>
  <c r="AM85" i="1"/>
  <c r="H85" i="2" s="1"/>
  <c r="AM83" i="1"/>
  <c r="H83" i="2" s="1"/>
  <c r="V83" i="2" s="1"/>
  <c r="S56" i="2"/>
  <c r="AJ81" i="1"/>
  <c r="E81" i="2" s="1"/>
  <c r="AJ79" i="1"/>
  <c r="E79" i="2" s="1"/>
  <c r="AJ80" i="1"/>
  <c r="E80" i="2" s="1"/>
  <c r="AJ78" i="1"/>
  <c r="E78" i="2" s="1"/>
  <c r="AJ77" i="1"/>
  <c r="E77" i="2" s="1"/>
  <c r="AJ76" i="1"/>
  <c r="E76" i="2" s="1"/>
  <c r="S76" i="2" s="1"/>
  <c r="AP81" i="1"/>
  <c r="K81" i="2" s="1"/>
  <c r="Y81" i="2" s="1"/>
  <c r="AP78" i="1"/>
  <c r="K78" i="2" s="1"/>
  <c r="AP76" i="1"/>
  <c r="K76" i="2" s="1"/>
  <c r="Y76" i="2" s="1"/>
  <c r="AP77" i="1"/>
  <c r="K77" i="2" s="1"/>
  <c r="Y77" i="2" s="1"/>
  <c r="AM81" i="1"/>
  <c r="H81" i="2" s="1"/>
  <c r="V81" i="2" s="1"/>
  <c r="AM78" i="1"/>
  <c r="H78" i="2" s="1"/>
  <c r="AM77" i="1"/>
  <c r="H77" i="2" s="1"/>
  <c r="AM76" i="1"/>
  <c r="H76" i="2" s="1"/>
  <c r="V76" i="2" s="1"/>
  <c r="AJ74" i="1"/>
  <c r="E74" i="2" s="1"/>
  <c r="H59" i="2"/>
  <c r="AM74" i="1"/>
  <c r="H74" i="2" s="1"/>
  <c r="Y56" i="2"/>
  <c r="Y57" i="2"/>
  <c r="AP74" i="1"/>
  <c r="K74" i="2" s="1"/>
  <c r="K59" i="2"/>
  <c r="Y59" i="2" s="1"/>
  <c r="AP70" i="1"/>
  <c r="K70" i="2" s="1"/>
  <c r="AP72" i="1"/>
  <c r="K72" i="2" s="1"/>
  <c r="AP71" i="1"/>
  <c r="K71" i="2" s="1"/>
  <c r="AP73" i="1"/>
  <c r="K73" i="2" s="1"/>
  <c r="AP68" i="1"/>
  <c r="K68" i="2" s="1"/>
  <c r="AP69" i="1"/>
  <c r="K69" i="2" s="1"/>
  <c r="AM69" i="1"/>
  <c r="AM70" i="1"/>
  <c r="AM68" i="1"/>
  <c r="H68" i="2" s="1"/>
  <c r="AM71" i="1"/>
  <c r="H71" i="2" s="1"/>
  <c r="AM72" i="1"/>
  <c r="AM73" i="1"/>
  <c r="AJ73" i="1"/>
  <c r="E73" i="2" s="1"/>
  <c r="AJ69" i="1"/>
  <c r="E69" i="2" s="1"/>
  <c r="AJ68" i="1"/>
  <c r="E68" i="2" s="1"/>
  <c r="AJ71" i="1"/>
  <c r="E71" i="2" s="1"/>
  <c r="AJ70" i="1"/>
  <c r="E70" i="2" s="1"/>
  <c r="AJ72" i="1"/>
  <c r="E72" i="2" s="1"/>
  <c r="AM67" i="1"/>
  <c r="H67" i="2" s="1"/>
  <c r="AM66" i="1"/>
  <c r="H66" i="2" s="1"/>
  <c r="AM65" i="1"/>
  <c r="H65" i="2" s="1"/>
  <c r="AM64" i="1"/>
  <c r="H64" i="2" s="1"/>
  <c r="V59" i="2"/>
  <c r="AM63" i="1"/>
  <c r="AM61" i="1"/>
  <c r="H61" i="2" s="1"/>
  <c r="AM60" i="1"/>
  <c r="AM62" i="1"/>
  <c r="H62" i="2" s="1"/>
  <c r="AQ59" i="1"/>
  <c r="Z57" i="2"/>
  <c r="AK41" i="1"/>
  <c r="F41" i="2" s="1"/>
  <c r="T41" i="2" s="1"/>
  <c r="AJ67" i="1"/>
  <c r="E67" i="2" s="1"/>
  <c r="AJ66" i="1"/>
  <c r="E66" i="2" s="1"/>
  <c r="AJ65" i="1"/>
  <c r="E65" i="2" s="1"/>
  <c r="AJ64" i="1"/>
  <c r="E64" i="2" s="1"/>
  <c r="E59" i="2"/>
  <c r="S59" i="2" s="1"/>
  <c r="AJ63" i="1"/>
  <c r="E63" i="2" s="1"/>
  <c r="AJ62" i="1"/>
  <c r="E62" i="2" s="1"/>
  <c r="AJ61" i="1"/>
  <c r="E61" i="2" s="1"/>
  <c r="AJ60" i="1"/>
  <c r="E60" i="2" s="1"/>
  <c r="A62" i="3"/>
  <c r="A62" i="2"/>
  <c r="AK49" i="1"/>
  <c r="F49" i="2" s="1"/>
  <c r="T50" i="2" s="1"/>
  <c r="AK46" i="1"/>
  <c r="F46" i="2" s="1"/>
  <c r="A60" i="2"/>
  <c r="A60" i="3"/>
  <c r="AP67" i="1"/>
  <c r="K67" i="2" s="1"/>
  <c r="AP66" i="1"/>
  <c r="K66" i="2" s="1"/>
  <c r="AP65" i="1"/>
  <c r="AP64" i="1"/>
  <c r="K64" i="2" s="1"/>
  <c r="AP63" i="1"/>
  <c r="K63" i="2" s="1"/>
  <c r="AP61" i="1"/>
  <c r="K61" i="2" s="1"/>
  <c r="AP60" i="1"/>
  <c r="K60" i="2" s="1"/>
  <c r="AP62" i="1"/>
  <c r="K62" i="2" s="1"/>
  <c r="A57" i="3"/>
  <c r="A57" i="2"/>
  <c r="AL59" i="1"/>
  <c r="AL57" i="1"/>
  <c r="G57" i="2" s="1"/>
  <c r="AL50" i="1"/>
  <c r="G50" i="2" s="1"/>
  <c r="AL44" i="1"/>
  <c r="G44" i="2" s="1"/>
  <c r="AL35" i="1"/>
  <c r="G35" i="2" s="1"/>
  <c r="A56" i="3"/>
  <c r="A56" i="2"/>
  <c r="AN56" i="1"/>
  <c r="I56" i="2" s="1"/>
  <c r="AN55" i="1"/>
  <c r="I55" i="2" s="1"/>
  <c r="W55" i="2" s="1"/>
  <c r="A55" i="3"/>
  <c r="A55" i="2"/>
  <c r="AI56" i="1"/>
  <c r="D56" i="2" s="1"/>
  <c r="AI54" i="1"/>
  <c r="D54" i="2" s="1"/>
  <c r="AL56" i="1"/>
  <c r="G56" i="2" s="1"/>
  <c r="AL55" i="1"/>
  <c r="G55" i="2" s="1"/>
  <c r="AL54" i="1"/>
  <c r="G54" i="2" s="1"/>
  <c r="AN46" i="1"/>
  <c r="I46" i="2" s="1"/>
  <c r="AN38" i="1"/>
  <c r="I38" i="2" s="1"/>
  <c r="AO59" i="1"/>
  <c r="AI57" i="1"/>
  <c r="AN50" i="1"/>
  <c r="I50" i="2" s="1"/>
  <c r="AN48" i="1"/>
  <c r="I48" i="2" s="1"/>
  <c r="AN44" i="1"/>
  <c r="I44" i="2" s="1"/>
  <c r="AN40" i="1"/>
  <c r="I40" i="2" s="1"/>
  <c r="AN35" i="1"/>
  <c r="I35" i="2" s="1"/>
  <c r="Z43" i="3"/>
  <c r="AO56" i="1"/>
  <c r="J56" i="2" s="1"/>
  <c r="X57" i="2" s="1"/>
  <c r="AO55" i="1"/>
  <c r="J55" i="2" s="1"/>
  <c r="X55" i="2" s="1"/>
  <c r="A54" i="2"/>
  <c r="A54" i="3"/>
  <c r="Z56" i="3"/>
  <c r="Z57" i="3"/>
  <c r="AK56" i="1"/>
  <c r="F56" i="2" s="1"/>
  <c r="T57" i="2" s="1"/>
  <c r="AK55" i="1"/>
  <c r="F55" i="2" s="1"/>
  <c r="T55" i="2" s="1"/>
  <c r="AN49" i="1"/>
  <c r="I49" i="2" s="1"/>
  <c r="AN41" i="1"/>
  <c r="I41" i="2" s="1"/>
  <c r="Z55" i="3"/>
  <c r="AN57" i="1"/>
  <c r="I57" i="2" s="1"/>
  <c r="AI55" i="1"/>
  <c r="D55" i="2" s="1"/>
  <c r="AI49" i="1"/>
  <c r="D49" i="2" s="1"/>
  <c r="AO46" i="1"/>
  <c r="J46" i="2" s="1"/>
  <c r="AI41" i="1"/>
  <c r="D41" i="2" s="1"/>
  <c r="Z53" i="3"/>
  <c r="AO51" i="1"/>
  <c r="J51" i="2" s="1"/>
  <c r="X51" i="2" s="1"/>
  <c r="AO52" i="1"/>
  <c r="J52" i="2" s="1"/>
  <c r="AO53" i="1"/>
  <c r="J53" i="2" s="1"/>
  <c r="X54" i="2" s="1"/>
  <c r="A51" i="3"/>
  <c r="A51" i="2"/>
  <c r="AI50" i="1"/>
  <c r="D50" i="2" s="1"/>
  <c r="AO48" i="1"/>
  <c r="J48" i="2" s="1"/>
  <c r="AI44" i="1"/>
  <c r="D44" i="2" s="1"/>
  <c r="AO40" i="1"/>
  <c r="J40" i="2" s="1"/>
  <c r="AI35" i="1"/>
  <c r="D35" i="2" s="1"/>
  <c r="AN53" i="1"/>
  <c r="I53" i="2" s="1"/>
  <c r="AN52" i="1"/>
  <c r="I52" i="2" s="1"/>
  <c r="AN51" i="1"/>
  <c r="I51" i="2" s="1"/>
  <c r="A52" i="3"/>
  <c r="A52" i="2"/>
  <c r="Z11" i="3"/>
  <c r="Z12" i="3"/>
  <c r="AL51" i="1"/>
  <c r="G51" i="2" s="1"/>
  <c r="AL53" i="1"/>
  <c r="G53" i="2" s="1"/>
  <c r="AL52" i="1"/>
  <c r="G52" i="2" s="1"/>
  <c r="A53" i="3"/>
  <c r="A53" i="2"/>
  <c r="AO49" i="1"/>
  <c r="J49" i="2" s="1"/>
  <c r="X50" i="2" s="1"/>
  <c r="AL48" i="1"/>
  <c r="G48" i="2" s="1"/>
  <c r="AI46" i="1"/>
  <c r="D46" i="2" s="1"/>
  <c r="AO41" i="1"/>
  <c r="J41" i="2" s="1"/>
  <c r="AL40" i="1"/>
  <c r="G40" i="2" s="1"/>
  <c r="AK51" i="1"/>
  <c r="F51" i="2" s="1"/>
  <c r="T51" i="2" s="1"/>
  <c r="AK52" i="1"/>
  <c r="F52" i="2" s="1"/>
  <c r="AK53" i="1"/>
  <c r="F53" i="2" s="1"/>
  <c r="T54" i="2" s="1"/>
  <c r="AI51" i="1"/>
  <c r="D51" i="2" s="1"/>
  <c r="AI52" i="1"/>
  <c r="D52" i="2" s="1"/>
  <c r="AI53" i="1"/>
  <c r="D53" i="2" s="1"/>
  <c r="AI48" i="1"/>
  <c r="D48" i="2" s="1"/>
  <c r="AI40" i="1"/>
  <c r="D40" i="2" s="1"/>
  <c r="Z45" i="2"/>
  <c r="Z39" i="3"/>
  <c r="Z47" i="3"/>
  <c r="Z50" i="3"/>
  <c r="Z51" i="3"/>
  <c r="Z50" i="2"/>
  <c r="Z51" i="2"/>
  <c r="Z48" i="3"/>
  <c r="Z38" i="3"/>
  <c r="Z42" i="3"/>
  <c r="Z46" i="3"/>
  <c r="Z36" i="3"/>
  <c r="Z40" i="3"/>
  <c r="Z44" i="3"/>
  <c r="Z37" i="3"/>
  <c r="Z41" i="3"/>
  <c r="Z45" i="3"/>
  <c r="Z49" i="3"/>
  <c r="A50" i="3"/>
  <c r="A50" i="2"/>
  <c r="A47" i="3"/>
  <c r="A47" i="2"/>
  <c r="O41" i="3"/>
  <c r="O42" i="3"/>
  <c r="O43" i="3"/>
  <c r="O44" i="3"/>
  <c r="O45" i="3"/>
  <c r="O46" i="3"/>
  <c r="O47" i="3"/>
  <c r="O48" i="3"/>
  <c r="O49" i="3"/>
  <c r="O50" i="3"/>
  <c r="AK47" i="1"/>
  <c r="F47" i="2" s="1"/>
  <c r="AK43" i="1"/>
  <c r="F43" i="2" s="1"/>
  <c r="AK42" i="1"/>
  <c r="F42" i="2" s="1"/>
  <c r="AK45" i="1"/>
  <c r="F45" i="2" s="1"/>
  <c r="T45" i="2" s="1"/>
  <c r="Z47" i="2"/>
  <c r="A46" i="2"/>
  <c r="A46" i="3"/>
  <c r="AL47" i="1"/>
  <c r="G47" i="2" s="1"/>
  <c r="AL42" i="1"/>
  <c r="G42" i="2" s="1"/>
  <c r="AL43" i="1"/>
  <c r="G43" i="2" s="1"/>
  <c r="AL45" i="1"/>
  <c r="G45" i="2" s="1"/>
  <c r="A39" i="3"/>
  <c r="A39" i="2"/>
  <c r="A43" i="3"/>
  <c r="A43" i="2"/>
  <c r="A40" i="2"/>
  <c r="A40" i="3"/>
  <c r="A44" i="2"/>
  <c r="A44" i="3"/>
  <c r="A48" i="3"/>
  <c r="A48" i="2"/>
  <c r="AL49" i="1"/>
  <c r="G49" i="2" s="1"/>
  <c r="AL46" i="1"/>
  <c r="G46" i="2" s="1"/>
  <c r="AL41" i="1"/>
  <c r="G41" i="2" s="1"/>
  <c r="P41" i="3"/>
  <c r="P42" i="3"/>
  <c r="P43" i="3"/>
  <c r="P44" i="3"/>
  <c r="P45" i="3"/>
  <c r="P46" i="3"/>
  <c r="P47" i="3"/>
  <c r="P48" i="3"/>
  <c r="P49" i="3"/>
  <c r="P50" i="3"/>
  <c r="AO43" i="1"/>
  <c r="J43" i="2" s="1"/>
  <c r="AO45" i="1"/>
  <c r="J45" i="2" s="1"/>
  <c r="X45" i="2" s="1"/>
  <c r="AO47" i="1"/>
  <c r="J47" i="2" s="1"/>
  <c r="AO42" i="1"/>
  <c r="J42" i="2" s="1"/>
  <c r="AI43" i="1"/>
  <c r="D43" i="2" s="1"/>
  <c r="AI42" i="1"/>
  <c r="D42" i="2" s="1"/>
  <c r="AI45" i="1"/>
  <c r="D45" i="2" s="1"/>
  <c r="AI47" i="1"/>
  <c r="D47" i="2" s="1"/>
  <c r="A42" i="2"/>
  <c r="A42" i="3"/>
  <c r="A41" i="3"/>
  <c r="A41" i="2"/>
  <c r="A49" i="2"/>
  <c r="A49" i="3"/>
  <c r="Z49" i="2"/>
  <c r="Z41" i="2"/>
  <c r="AN42" i="1"/>
  <c r="I42" i="2" s="1"/>
  <c r="AN45" i="1"/>
  <c r="I45" i="2" s="1"/>
  <c r="W45" i="2" s="1"/>
  <c r="AN47" i="1"/>
  <c r="I47" i="2" s="1"/>
  <c r="AN43" i="1"/>
  <c r="I43" i="2" s="1"/>
  <c r="Z39" i="2"/>
  <c r="A45" i="2"/>
  <c r="A45" i="3"/>
  <c r="O35" i="3"/>
  <c r="P35" i="3"/>
  <c r="P36" i="3"/>
  <c r="P37" i="3"/>
  <c r="P38" i="3"/>
  <c r="AL38" i="1"/>
  <c r="G38" i="2" s="1"/>
  <c r="O36" i="3"/>
  <c r="O37" i="3"/>
  <c r="O38" i="3"/>
  <c r="A35" i="2"/>
  <c r="A35" i="3"/>
  <c r="AO36" i="1"/>
  <c r="J36" i="2" s="1"/>
  <c r="X36" i="2" s="1"/>
  <c r="AO34" i="1"/>
  <c r="J34" i="2" s="1"/>
  <c r="X35" i="2" s="1"/>
  <c r="AO37" i="1"/>
  <c r="J37" i="2" s="1"/>
  <c r="AO39" i="1"/>
  <c r="J39" i="2" s="1"/>
  <c r="AO31" i="1"/>
  <c r="J31" i="2" s="1"/>
  <c r="AO29" i="1"/>
  <c r="J29" i="2" s="1"/>
  <c r="AO33" i="1"/>
  <c r="J33" i="2" s="1"/>
  <c r="AO32" i="1"/>
  <c r="J32" i="2" s="1"/>
  <c r="AO30" i="1"/>
  <c r="J30" i="2" s="1"/>
  <c r="AO28" i="1"/>
  <c r="J28" i="2" s="1"/>
  <c r="AO27" i="1"/>
  <c r="J27" i="2" s="1"/>
  <c r="AO26" i="1"/>
  <c r="J26" i="2" s="1"/>
  <c r="AO25" i="1"/>
  <c r="J25" i="2" s="1"/>
  <c r="AK39" i="1"/>
  <c r="F39" i="2" s="1"/>
  <c r="T40" i="2" s="1"/>
  <c r="AK36" i="1"/>
  <c r="F36" i="2" s="1"/>
  <c r="T36" i="2" s="1"/>
  <c r="AK34" i="1"/>
  <c r="F34" i="2" s="1"/>
  <c r="AK37" i="1"/>
  <c r="F37" i="2" s="1"/>
  <c r="AK32" i="1"/>
  <c r="F32" i="2" s="1"/>
  <c r="AK30" i="1"/>
  <c r="F30" i="2" s="1"/>
  <c r="AK31" i="1"/>
  <c r="F31" i="2" s="1"/>
  <c r="AK29" i="1"/>
  <c r="F29" i="2" s="1"/>
  <c r="AK33" i="1"/>
  <c r="F33" i="2" s="1"/>
  <c r="AK28" i="1"/>
  <c r="F28" i="2" s="1"/>
  <c r="AK27" i="1"/>
  <c r="F27" i="2" s="1"/>
  <c r="AK26" i="1"/>
  <c r="F26" i="2" s="1"/>
  <c r="AK25" i="1"/>
  <c r="F25" i="2" s="1"/>
  <c r="A38" i="3"/>
  <c r="A38" i="2"/>
  <c r="AN36" i="1"/>
  <c r="I36" i="2" s="1"/>
  <c r="AN34" i="1"/>
  <c r="I34" i="2" s="1"/>
  <c r="AN37" i="1"/>
  <c r="I37" i="2" s="1"/>
  <c r="AN39" i="1"/>
  <c r="I39" i="2" s="1"/>
  <c r="AN31" i="1"/>
  <c r="I31" i="2" s="1"/>
  <c r="AN33" i="1"/>
  <c r="I33" i="2" s="1"/>
  <c r="AN30" i="1"/>
  <c r="I30" i="2" s="1"/>
  <c r="AN32" i="1"/>
  <c r="I32" i="2" s="1"/>
  <c r="AN29" i="1"/>
  <c r="I29" i="2" s="1"/>
  <c r="AN28" i="1"/>
  <c r="I28" i="2" s="1"/>
  <c r="AN27" i="1"/>
  <c r="I27" i="2" s="1"/>
  <c r="AN26" i="1"/>
  <c r="I26" i="2" s="1"/>
  <c r="AN25" i="1"/>
  <c r="I25" i="2" s="1"/>
  <c r="AK38" i="1"/>
  <c r="F38" i="2" s="1"/>
  <c r="Z36" i="2"/>
  <c r="A37" i="2"/>
  <c r="A37" i="3"/>
  <c r="AI37" i="1"/>
  <c r="D37" i="2" s="1"/>
  <c r="AI39" i="1"/>
  <c r="D39" i="2" s="1"/>
  <c r="AI36" i="1"/>
  <c r="D36" i="2" s="1"/>
  <c r="AI34" i="1"/>
  <c r="D34" i="2" s="1"/>
  <c r="AI29" i="1"/>
  <c r="D29" i="2" s="1"/>
  <c r="AI33" i="1"/>
  <c r="D33" i="2" s="1"/>
  <c r="AI31" i="1"/>
  <c r="D31" i="2" s="1"/>
  <c r="AI32" i="1"/>
  <c r="D32" i="2" s="1"/>
  <c r="AI30" i="1"/>
  <c r="D30" i="2" s="1"/>
  <c r="AI27" i="1"/>
  <c r="D27" i="2" s="1"/>
  <c r="AI28" i="1"/>
  <c r="D28" i="2" s="1"/>
  <c r="AI26" i="1"/>
  <c r="D26" i="2" s="1"/>
  <c r="AI25" i="1"/>
  <c r="D25" i="2" s="1"/>
  <c r="A36" i="3"/>
  <c r="A36" i="2"/>
  <c r="AL36" i="1"/>
  <c r="G36" i="2" s="1"/>
  <c r="AL37" i="1"/>
  <c r="G37" i="2" s="1"/>
  <c r="AL34" i="1"/>
  <c r="G34" i="2" s="1"/>
  <c r="AL32" i="1"/>
  <c r="G32" i="2" s="1"/>
  <c r="AL33" i="1"/>
  <c r="G33" i="2" s="1"/>
  <c r="AL39" i="1"/>
  <c r="G39" i="2" s="1"/>
  <c r="AL30" i="1"/>
  <c r="G30" i="2" s="1"/>
  <c r="AL27" i="1"/>
  <c r="G27" i="2" s="1"/>
  <c r="AL29" i="1"/>
  <c r="G29" i="2" s="1"/>
  <c r="AL31" i="1"/>
  <c r="G31" i="2" s="1"/>
  <c r="AL28" i="1"/>
  <c r="G28" i="2" s="1"/>
  <c r="AL26" i="1"/>
  <c r="G26" i="2" s="1"/>
  <c r="AL25" i="1"/>
  <c r="G25" i="2" s="1"/>
  <c r="AO38" i="1"/>
  <c r="J38" i="2" s="1"/>
  <c r="AI38" i="1"/>
  <c r="D38" i="2" s="1"/>
  <c r="AI18" i="1"/>
  <c r="D18" i="2" s="1"/>
  <c r="AI23" i="1"/>
  <c r="D23" i="2" s="1"/>
  <c r="AI20" i="1"/>
  <c r="D20" i="2" s="1"/>
  <c r="AI21" i="1"/>
  <c r="D21" i="2" s="1"/>
  <c r="AI17" i="1"/>
  <c r="D17" i="2" s="1"/>
  <c r="AI19" i="1"/>
  <c r="D19" i="2" s="1"/>
  <c r="AI24" i="1"/>
  <c r="D24" i="2" s="1"/>
  <c r="AI22" i="1"/>
  <c r="D22" i="2" s="1"/>
  <c r="AI15" i="1"/>
  <c r="D15" i="2" s="1"/>
  <c r="AI16" i="1"/>
  <c r="D16" i="2" s="1"/>
  <c r="AI14" i="1"/>
  <c r="D14" i="2" s="1"/>
  <c r="AI13" i="1"/>
  <c r="D13" i="2" s="1"/>
  <c r="AO17" i="1"/>
  <c r="J17" i="2" s="1"/>
  <c r="AO24" i="1"/>
  <c r="J24" i="2" s="1"/>
  <c r="AO19" i="1"/>
  <c r="J19" i="2" s="1"/>
  <c r="AO18" i="1"/>
  <c r="J18" i="2" s="1"/>
  <c r="AO23" i="1"/>
  <c r="J23" i="2" s="1"/>
  <c r="AO21" i="1"/>
  <c r="J21" i="2" s="1"/>
  <c r="AO20" i="1"/>
  <c r="J20" i="2" s="1"/>
  <c r="AO22" i="1"/>
  <c r="J22" i="2" s="1"/>
  <c r="AO14" i="1"/>
  <c r="J14" i="2" s="1"/>
  <c r="AO16" i="1"/>
  <c r="J16" i="2" s="1"/>
  <c r="AO13" i="1"/>
  <c r="J13" i="2" s="1"/>
  <c r="AO15" i="1"/>
  <c r="J15" i="2" s="1"/>
  <c r="AN23" i="1"/>
  <c r="I23" i="2" s="1"/>
  <c r="AN22" i="1"/>
  <c r="I22" i="2" s="1"/>
  <c r="AN18" i="1"/>
  <c r="I18" i="2" s="1"/>
  <c r="AN24" i="1"/>
  <c r="I24" i="2" s="1"/>
  <c r="AN20" i="1"/>
  <c r="I20" i="2" s="1"/>
  <c r="AN21" i="1"/>
  <c r="I21" i="2" s="1"/>
  <c r="AN17" i="1"/>
  <c r="I17" i="2" s="1"/>
  <c r="AN19" i="1"/>
  <c r="I19" i="2" s="1"/>
  <c r="AN13" i="1"/>
  <c r="I13" i="2" s="1"/>
  <c r="AN15" i="1"/>
  <c r="I15" i="2" s="1"/>
  <c r="AN16" i="1"/>
  <c r="I16" i="2" s="1"/>
  <c r="AN14" i="1"/>
  <c r="I14" i="2" s="1"/>
  <c r="AL24" i="1"/>
  <c r="G24" i="2" s="1"/>
  <c r="AL19" i="1"/>
  <c r="G19" i="2" s="1"/>
  <c r="AL22" i="1"/>
  <c r="G22" i="2" s="1"/>
  <c r="AL17" i="1"/>
  <c r="G17" i="2" s="1"/>
  <c r="AL23" i="1"/>
  <c r="G23" i="2" s="1"/>
  <c r="AL20" i="1"/>
  <c r="G20" i="2" s="1"/>
  <c r="AL21" i="1"/>
  <c r="G21" i="2" s="1"/>
  <c r="AL18" i="1"/>
  <c r="G18" i="2" s="1"/>
  <c r="AL14" i="1"/>
  <c r="G14" i="2" s="1"/>
  <c r="AL16" i="1"/>
  <c r="G16" i="2" s="1"/>
  <c r="AL15" i="1"/>
  <c r="G15" i="2" s="1"/>
  <c r="AL13" i="1"/>
  <c r="G13" i="2" s="1"/>
  <c r="AK24" i="1"/>
  <c r="F24" i="2" s="1"/>
  <c r="AK23" i="1"/>
  <c r="F23" i="2" s="1"/>
  <c r="AK18" i="1"/>
  <c r="F18" i="2" s="1"/>
  <c r="AK17" i="1"/>
  <c r="F17" i="2" s="1"/>
  <c r="AK22" i="1"/>
  <c r="F22" i="2" s="1"/>
  <c r="AK20" i="1"/>
  <c r="F20" i="2" s="1"/>
  <c r="AK21" i="1"/>
  <c r="F21" i="2" s="1"/>
  <c r="AK19" i="1"/>
  <c r="F19" i="2" s="1"/>
  <c r="AK15" i="1"/>
  <c r="F15" i="2" s="1"/>
  <c r="AK13" i="1"/>
  <c r="F13" i="2" s="1"/>
  <c r="AK14" i="1"/>
  <c r="F14" i="2" s="1"/>
  <c r="AK16" i="1"/>
  <c r="F16" i="2" s="1"/>
  <c r="S11" i="2"/>
  <c r="V12" i="2"/>
  <c r="AO12" i="1"/>
  <c r="J12" i="2" s="1"/>
  <c r="AI12" i="1"/>
  <c r="D12" i="2" s="1"/>
  <c r="S12" i="2"/>
  <c r="AK12" i="1"/>
  <c r="F12" i="2" s="1"/>
  <c r="AN12" i="1"/>
  <c r="I12" i="2" s="1"/>
  <c r="Y12" i="2"/>
  <c r="V11" i="2"/>
  <c r="AL12" i="1"/>
  <c r="G12" i="2" s="1"/>
  <c r="Y11" i="2"/>
  <c r="AN11" i="1"/>
  <c r="I11" i="2" s="1"/>
  <c r="W11" i="2" s="1"/>
  <c r="AO11" i="1"/>
  <c r="J11" i="2" s="1"/>
  <c r="X11" i="2" s="1"/>
  <c r="AI11" i="1"/>
  <c r="D11" i="2" s="1"/>
  <c r="R11" i="2" s="1"/>
  <c r="AL11" i="1"/>
  <c r="G11" i="2" s="1"/>
  <c r="U11" i="2" s="1"/>
  <c r="AK11" i="1"/>
  <c r="F11" i="2" s="1"/>
  <c r="P11" i="3"/>
  <c r="O11" i="3"/>
  <c r="L11" i="2"/>
  <c r="A11" i="2"/>
  <c r="S60" i="2" l="1"/>
  <c r="V93" i="2"/>
  <c r="S93" i="2"/>
  <c r="Y83" i="2"/>
  <c r="Y88" i="2"/>
  <c r="Y94" i="2"/>
  <c r="S83" i="2"/>
  <c r="Y90" i="2"/>
  <c r="V94" i="2"/>
  <c r="V88" i="2"/>
  <c r="S94" i="2"/>
  <c r="AQ96" i="1"/>
  <c r="AQ97" i="1"/>
  <c r="AQ95" i="1"/>
  <c r="L95" i="2" s="1"/>
  <c r="AQ94" i="1"/>
  <c r="L94" i="2" s="1"/>
  <c r="V91" i="2"/>
  <c r="Y91" i="2"/>
  <c r="S91" i="2"/>
  <c r="AQ93" i="1"/>
  <c r="L93" i="2" s="1"/>
  <c r="Z93" i="2" s="1"/>
  <c r="AQ92" i="1"/>
  <c r="L92" i="2" s="1"/>
  <c r="AQ91" i="1"/>
  <c r="L91" i="2" s="1"/>
  <c r="AQ90" i="1"/>
  <c r="L90" i="2" s="1"/>
  <c r="AQ89" i="1"/>
  <c r="L89" i="2" s="1"/>
  <c r="Z89" i="2" s="1"/>
  <c r="AQ88" i="1"/>
  <c r="L88" i="2" s="1"/>
  <c r="AQ87" i="1"/>
  <c r="L87" i="2" s="1"/>
  <c r="Z87" i="2" s="1"/>
  <c r="Y73" i="2"/>
  <c r="V84" i="2"/>
  <c r="Y85" i="2"/>
  <c r="S85" i="2"/>
  <c r="V86" i="2"/>
  <c r="V92" i="2"/>
  <c r="Y86" i="2"/>
  <c r="Y92" i="2"/>
  <c r="S89" i="2"/>
  <c r="S92" i="2"/>
  <c r="T49" i="2"/>
  <c r="S78" i="2"/>
  <c r="V89" i="2"/>
  <c r="Y89" i="2"/>
  <c r="S86" i="2"/>
  <c r="AQ82" i="1"/>
  <c r="L82" i="2" s="1"/>
  <c r="AQ85" i="1"/>
  <c r="L85" i="2" s="1"/>
  <c r="Z86" i="2" s="1"/>
  <c r="AQ84" i="1"/>
  <c r="L84" i="2" s="1"/>
  <c r="AQ83" i="1"/>
  <c r="L83" i="2" s="1"/>
  <c r="V85" i="2"/>
  <c r="Y84" i="2"/>
  <c r="S84" i="2"/>
  <c r="V82" i="2"/>
  <c r="Y75" i="2"/>
  <c r="Y74" i="2"/>
  <c r="Y79" i="2"/>
  <c r="Y78" i="2"/>
  <c r="T47" i="2"/>
  <c r="S74" i="2"/>
  <c r="S80" i="2"/>
  <c r="Y82" i="2"/>
  <c r="V79" i="2"/>
  <c r="V78" i="2"/>
  <c r="V75" i="2"/>
  <c r="V77" i="2"/>
  <c r="S77" i="2"/>
  <c r="S81" i="2"/>
  <c r="S82" i="2"/>
  <c r="T42" i="2"/>
  <c r="Y64" i="2"/>
  <c r="S65" i="2"/>
  <c r="S70" i="2"/>
  <c r="Y70" i="2"/>
  <c r="U51" i="2"/>
  <c r="W50" i="2"/>
  <c r="AQ81" i="1"/>
  <c r="L81" i="2" s="1"/>
  <c r="Z81" i="2" s="1"/>
  <c r="AQ78" i="1"/>
  <c r="L78" i="2" s="1"/>
  <c r="AQ76" i="1"/>
  <c r="L76" i="2" s="1"/>
  <c r="Z76" i="2" s="1"/>
  <c r="AQ77" i="1"/>
  <c r="L77" i="2" s="1"/>
  <c r="Z77" i="2" s="1"/>
  <c r="S79" i="2"/>
  <c r="Y69" i="2"/>
  <c r="H63" i="2"/>
  <c r="V63" i="2" s="1"/>
  <c r="H70" i="2"/>
  <c r="V71" i="2" s="1"/>
  <c r="H69" i="2"/>
  <c r="V69" i="2" s="1"/>
  <c r="Y67" i="2"/>
  <c r="W47" i="2"/>
  <c r="Y62" i="2"/>
  <c r="S62" i="2"/>
  <c r="Y68" i="2"/>
  <c r="K65" i="2"/>
  <c r="Y65" i="2" s="1"/>
  <c r="S71" i="2"/>
  <c r="Y60" i="2"/>
  <c r="Y61" i="2"/>
  <c r="H72" i="2"/>
  <c r="V72" i="2" s="1"/>
  <c r="Y71" i="2"/>
  <c r="L59" i="2"/>
  <c r="AQ74" i="1"/>
  <c r="L74" i="2" s="1"/>
  <c r="H73" i="2"/>
  <c r="Y63" i="2"/>
  <c r="H60" i="2"/>
  <c r="V60" i="2" s="1"/>
  <c r="Y72" i="2"/>
  <c r="S68" i="2"/>
  <c r="AQ73" i="1"/>
  <c r="L73" i="2" s="1"/>
  <c r="AQ70" i="1"/>
  <c r="L70" i="2" s="1"/>
  <c r="AQ72" i="1"/>
  <c r="L72" i="2" s="1"/>
  <c r="AQ68" i="1"/>
  <c r="L68" i="2" s="1"/>
  <c r="AQ71" i="1"/>
  <c r="L71" i="2" s="1"/>
  <c r="AQ69" i="1"/>
  <c r="L69" i="2" s="1"/>
  <c r="U45" i="2"/>
  <c r="U56" i="2"/>
  <c r="S72" i="2"/>
  <c r="S69" i="2"/>
  <c r="R47" i="2"/>
  <c r="U43" i="2"/>
  <c r="S73" i="2"/>
  <c r="V68" i="2"/>
  <c r="U57" i="2"/>
  <c r="U58" i="2"/>
  <c r="S63" i="2"/>
  <c r="S66" i="2"/>
  <c r="AQ67" i="1"/>
  <c r="L67" i="2" s="1"/>
  <c r="Z67" i="2" s="1"/>
  <c r="AQ64" i="1"/>
  <c r="L64" i="2" s="1"/>
  <c r="Z65" i="2" s="1"/>
  <c r="AQ63" i="1"/>
  <c r="L63" i="2" s="1"/>
  <c r="V65" i="2"/>
  <c r="AN59" i="1"/>
  <c r="U38" i="2"/>
  <c r="R49" i="2"/>
  <c r="D57" i="2"/>
  <c r="AI59" i="1"/>
  <c r="S67" i="2"/>
  <c r="V66" i="2"/>
  <c r="W43" i="2"/>
  <c r="Z58" i="2"/>
  <c r="S61" i="2"/>
  <c r="S64" i="2"/>
  <c r="V62" i="2"/>
  <c r="V67" i="2"/>
  <c r="U49" i="2"/>
  <c r="R41" i="2"/>
  <c r="W15" i="2"/>
  <c r="W35" i="2"/>
  <c r="U39" i="2"/>
  <c r="R56" i="2"/>
  <c r="U35" i="2"/>
  <c r="X49" i="2"/>
  <c r="W51" i="2"/>
  <c r="W49" i="2"/>
  <c r="U36" i="2"/>
  <c r="W36" i="2"/>
  <c r="X30" i="2"/>
  <c r="R46" i="2"/>
  <c r="R51" i="2"/>
  <c r="T56" i="2"/>
  <c r="W53" i="2"/>
  <c r="W54" i="2"/>
  <c r="U55" i="2"/>
  <c r="U54" i="2"/>
  <c r="T52" i="2"/>
  <c r="X52" i="2"/>
  <c r="W41" i="2"/>
  <c r="R54" i="2"/>
  <c r="X19" i="2"/>
  <c r="W42" i="2"/>
  <c r="R42" i="2"/>
  <c r="U41" i="2"/>
  <c r="X41" i="2"/>
  <c r="R55" i="2"/>
  <c r="W56" i="2"/>
  <c r="X56" i="2"/>
  <c r="U48" i="2"/>
  <c r="W39" i="2"/>
  <c r="X32" i="2"/>
  <c r="X40" i="2"/>
  <c r="T46" i="2"/>
  <c r="X47" i="2"/>
  <c r="R30" i="2"/>
  <c r="T33" i="2"/>
  <c r="U46" i="2"/>
  <c r="T43" i="2"/>
  <c r="R53" i="2"/>
  <c r="R22" i="2"/>
  <c r="R38" i="2"/>
  <c r="U29" i="2"/>
  <c r="W29" i="2"/>
  <c r="X42" i="2"/>
  <c r="R48" i="2"/>
  <c r="R52" i="2"/>
  <c r="X53" i="2"/>
  <c r="W32" i="2"/>
  <c r="T20" i="2"/>
  <c r="U19" i="2"/>
  <c r="X16" i="2"/>
  <c r="R50" i="2"/>
  <c r="T53" i="2"/>
  <c r="R26" i="2"/>
  <c r="T26" i="2"/>
  <c r="U52" i="2"/>
  <c r="R36" i="2"/>
  <c r="W26" i="2"/>
  <c r="T27" i="2"/>
  <c r="T34" i="2"/>
  <c r="R45" i="2"/>
  <c r="U53" i="2"/>
  <c r="W52" i="2"/>
  <c r="X21" i="2"/>
  <c r="W48" i="2"/>
  <c r="U40" i="2"/>
  <c r="W46" i="2"/>
  <c r="X46" i="2"/>
  <c r="T13" i="2"/>
  <c r="R39" i="2"/>
  <c r="X26" i="2"/>
  <c r="X39" i="2"/>
  <c r="U44" i="2"/>
  <c r="T48" i="2"/>
  <c r="U50" i="2"/>
  <c r="U31" i="2"/>
  <c r="W27" i="2"/>
  <c r="W30" i="2"/>
  <c r="W37" i="2"/>
  <c r="T28" i="2"/>
  <c r="T30" i="2"/>
  <c r="X27" i="2"/>
  <c r="X33" i="2"/>
  <c r="X37" i="2"/>
  <c r="W44" i="2"/>
  <c r="R43" i="2"/>
  <c r="X43" i="2"/>
  <c r="R44" i="2"/>
  <c r="X48" i="2"/>
  <c r="U42" i="2"/>
  <c r="R34" i="2"/>
  <c r="T38" i="2"/>
  <c r="T39" i="2"/>
  <c r="W40" i="2"/>
  <c r="R40" i="2"/>
  <c r="X44" i="2"/>
  <c r="U47" i="2"/>
  <c r="T44" i="2"/>
  <c r="U14" i="2"/>
  <c r="W20" i="2"/>
  <c r="R17" i="2"/>
  <c r="T35" i="2"/>
  <c r="U26" i="2"/>
  <c r="U32" i="2"/>
  <c r="R28" i="2"/>
  <c r="R31" i="2"/>
  <c r="W38" i="2"/>
  <c r="U27" i="2"/>
  <c r="W21" i="2"/>
  <c r="X24" i="2"/>
  <c r="R19" i="2"/>
  <c r="X38" i="2"/>
  <c r="R32" i="2"/>
  <c r="T21" i="2"/>
  <c r="U15" i="2"/>
  <c r="U22" i="2"/>
  <c r="W17" i="2"/>
  <c r="X13" i="2"/>
  <c r="R24" i="2"/>
  <c r="U37" i="2"/>
  <c r="R25" i="2"/>
  <c r="R29" i="2"/>
  <c r="R37" i="2"/>
  <c r="W25" i="2"/>
  <c r="W31" i="2"/>
  <c r="T29" i="2"/>
  <c r="T37" i="2"/>
  <c r="X25" i="2"/>
  <c r="X31" i="2"/>
  <c r="U24" i="2"/>
  <c r="R16" i="2"/>
  <c r="U25" i="2"/>
  <c r="U33" i="2"/>
  <c r="T31" i="2"/>
  <c r="T16" i="2"/>
  <c r="T19" i="2"/>
  <c r="W14" i="2"/>
  <c r="W19" i="2"/>
  <c r="W24" i="2"/>
  <c r="X22" i="2"/>
  <c r="R21" i="2"/>
  <c r="U28" i="2"/>
  <c r="U30" i="2"/>
  <c r="U34" i="2"/>
  <c r="R27" i="2"/>
  <c r="R33" i="2"/>
  <c r="R35" i="2"/>
  <c r="W28" i="2"/>
  <c r="W33" i="2"/>
  <c r="W34" i="2"/>
  <c r="T25" i="2"/>
  <c r="T32" i="2"/>
  <c r="X28" i="2"/>
  <c r="X29" i="2"/>
  <c r="X34" i="2"/>
  <c r="U16" i="2"/>
  <c r="U13" i="2"/>
  <c r="U17" i="2"/>
  <c r="X15" i="2"/>
  <c r="X18" i="2"/>
  <c r="X14" i="2"/>
  <c r="T17" i="2"/>
  <c r="U18" i="2"/>
  <c r="R13" i="2"/>
  <c r="T14" i="2"/>
  <c r="T18" i="2"/>
  <c r="U21" i="2"/>
  <c r="W16" i="2"/>
  <c r="W18" i="2"/>
  <c r="X20" i="2"/>
  <c r="R14" i="2"/>
  <c r="R20" i="2"/>
  <c r="X17" i="2"/>
  <c r="T23" i="2"/>
  <c r="W22" i="2"/>
  <c r="R23" i="2"/>
  <c r="T22" i="2"/>
  <c r="U20" i="2"/>
  <c r="T15" i="2"/>
  <c r="T24" i="2"/>
  <c r="U23" i="2"/>
  <c r="W13" i="2"/>
  <c r="W23" i="2"/>
  <c r="X23" i="2"/>
  <c r="R15" i="2"/>
  <c r="R18" i="2"/>
  <c r="W19" i="3"/>
  <c r="W12" i="2"/>
  <c r="T11" i="2"/>
  <c r="T12" i="2"/>
  <c r="Z11" i="2"/>
  <c r="Z12" i="2"/>
  <c r="R12" i="2"/>
  <c r="X12" i="2"/>
  <c r="U12" i="2"/>
  <c r="AI96" i="1" l="1"/>
  <c r="AI97" i="1"/>
  <c r="AI95" i="1"/>
  <c r="D95" i="2" s="1"/>
  <c r="AI94" i="1"/>
  <c r="D94" i="2" s="1"/>
  <c r="AN97" i="1"/>
  <c r="AN96" i="1"/>
  <c r="AN95" i="1"/>
  <c r="I95" i="2" s="1"/>
  <c r="AN94" i="1"/>
  <c r="I94" i="2" s="1"/>
  <c r="Z94" i="2"/>
  <c r="V73" i="2"/>
  <c r="Z95" i="2"/>
  <c r="Z90" i="2"/>
  <c r="Z91" i="2"/>
  <c r="AI93" i="1"/>
  <c r="D93" i="2" s="1"/>
  <c r="AI92" i="1"/>
  <c r="D92" i="2" s="1"/>
  <c r="AI91" i="1"/>
  <c r="D91" i="2" s="1"/>
  <c r="R91" i="2" s="1"/>
  <c r="AI90" i="1"/>
  <c r="D90" i="2" s="1"/>
  <c r="AI87" i="1"/>
  <c r="D87" i="2" s="1"/>
  <c r="R87" i="2" s="1"/>
  <c r="AI88" i="1"/>
  <c r="D88" i="2" s="1"/>
  <c r="AI89" i="1"/>
  <c r="D89" i="2" s="1"/>
  <c r="AN93" i="1"/>
  <c r="I93" i="2" s="1"/>
  <c r="AN92" i="1"/>
  <c r="I92" i="2" s="1"/>
  <c r="AN91" i="1"/>
  <c r="I91" i="2" s="1"/>
  <c r="AN90" i="1"/>
  <c r="I90" i="2" s="1"/>
  <c r="AN89" i="1"/>
  <c r="I89" i="2" s="1"/>
  <c r="AN87" i="1"/>
  <c r="I87" i="2" s="1"/>
  <c r="W87" i="2" s="1"/>
  <c r="AN88" i="1"/>
  <c r="I88" i="2" s="1"/>
  <c r="Z83" i="2"/>
  <c r="Z88" i="2"/>
  <c r="Z92" i="2"/>
  <c r="AI82" i="1"/>
  <c r="D82" i="2" s="1"/>
  <c r="AI85" i="1"/>
  <c r="D85" i="2" s="1"/>
  <c r="R86" i="2" s="1"/>
  <c r="AI84" i="1"/>
  <c r="D84" i="2" s="1"/>
  <c r="AI83" i="1"/>
  <c r="D83" i="2" s="1"/>
  <c r="AN82" i="1"/>
  <c r="I82" i="2" s="1"/>
  <c r="AN85" i="1"/>
  <c r="I85" i="2" s="1"/>
  <c r="AN84" i="1"/>
  <c r="I84" i="2" s="1"/>
  <c r="AN83" i="1"/>
  <c r="I83" i="2" s="1"/>
  <c r="Z84" i="2"/>
  <c r="Z73" i="2"/>
  <c r="Z85" i="2"/>
  <c r="Z82" i="2"/>
  <c r="Z75" i="2"/>
  <c r="Z74" i="2"/>
  <c r="Z79" i="2"/>
  <c r="Z78" i="2"/>
  <c r="V74" i="2"/>
  <c r="Z69" i="2"/>
  <c r="AI79" i="1"/>
  <c r="D79" i="2" s="1"/>
  <c r="AI81" i="1"/>
  <c r="D81" i="2" s="1"/>
  <c r="AI80" i="1"/>
  <c r="D80" i="2" s="1"/>
  <c r="AI76" i="1"/>
  <c r="D76" i="2" s="1"/>
  <c r="R76" i="2" s="1"/>
  <c r="AI78" i="1"/>
  <c r="D78" i="2" s="1"/>
  <c r="AI77" i="1"/>
  <c r="D77" i="2" s="1"/>
  <c r="R77" i="2" s="1"/>
  <c r="AN81" i="1"/>
  <c r="I81" i="2" s="1"/>
  <c r="W81" i="2" s="1"/>
  <c r="AN78" i="1"/>
  <c r="I78" i="2" s="1"/>
  <c r="AN76" i="1"/>
  <c r="I76" i="2" s="1"/>
  <c r="W76" i="2" s="1"/>
  <c r="AN77" i="1"/>
  <c r="I77" i="2" s="1"/>
  <c r="AI74" i="1"/>
  <c r="D74" i="2" s="1"/>
  <c r="V64" i="2"/>
  <c r="V61" i="2"/>
  <c r="Y66" i="2"/>
  <c r="I59" i="2"/>
  <c r="AN74" i="1"/>
  <c r="I74" i="2" s="1"/>
  <c r="Z70" i="2"/>
  <c r="V70" i="2"/>
  <c r="Z68" i="2"/>
  <c r="Z71" i="2"/>
  <c r="Z72" i="2"/>
  <c r="AI70" i="1"/>
  <c r="D70" i="2" s="1"/>
  <c r="AI68" i="1"/>
  <c r="D68" i="2" s="1"/>
  <c r="AI69" i="1"/>
  <c r="D69" i="2" s="1"/>
  <c r="AI72" i="1"/>
  <c r="D72" i="2" s="1"/>
  <c r="AI71" i="1"/>
  <c r="D71" i="2" s="1"/>
  <c r="AI73" i="1"/>
  <c r="D73" i="2" s="1"/>
  <c r="AN69" i="1"/>
  <c r="I69" i="2" s="1"/>
  <c r="AN73" i="1"/>
  <c r="I73" i="2" s="1"/>
  <c r="AN71" i="1"/>
  <c r="I71" i="2" s="1"/>
  <c r="AN70" i="1"/>
  <c r="I70" i="2" s="1"/>
  <c r="AN72" i="1"/>
  <c r="I72" i="2" s="1"/>
  <c r="AN68" i="1"/>
  <c r="I68" i="2" s="1"/>
  <c r="Z63" i="2"/>
  <c r="Z64" i="2"/>
  <c r="R58" i="2"/>
  <c r="R57" i="2"/>
  <c r="W57" i="2"/>
  <c r="W58" i="2"/>
  <c r="AI67" i="1"/>
  <c r="D67" i="2" s="1"/>
  <c r="AI66" i="1"/>
  <c r="D66" i="2" s="1"/>
  <c r="AI65" i="1"/>
  <c r="D65" i="2" s="1"/>
  <c r="AI64" i="1"/>
  <c r="D64" i="2" s="1"/>
  <c r="AI63" i="1"/>
  <c r="D63" i="2" s="1"/>
  <c r="R63" i="2" s="1"/>
  <c r="AN67" i="1"/>
  <c r="I67" i="2" s="1"/>
  <c r="W67" i="2" s="1"/>
  <c r="AN64" i="1"/>
  <c r="I64" i="2" s="1"/>
  <c r="AN63" i="1"/>
  <c r="Z59" i="2"/>
  <c r="Z60" i="2"/>
  <c r="CS19" i="1"/>
  <c r="R92" i="2" l="1"/>
  <c r="W88" i="2"/>
  <c r="W90" i="2"/>
  <c r="W94" i="2"/>
  <c r="W91" i="2"/>
  <c r="W95" i="2"/>
  <c r="R88" i="2"/>
  <c r="R94" i="2"/>
  <c r="R95" i="2"/>
  <c r="W83" i="2"/>
  <c r="R83" i="2"/>
  <c r="W92" i="2"/>
  <c r="R93" i="2"/>
  <c r="W89" i="2"/>
  <c r="W93" i="2"/>
  <c r="R90" i="2"/>
  <c r="W85" i="2"/>
  <c r="W86" i="2"/>
  <c r="R89" i="2"/>
  <c r="W73" i="2"/>
  <c r="W84" i="2"/>
  <c r="R84" i="2"/>
  <c r="R85" i="2"/>
  <c r="W72" i="2"/>
  <c r="R80" i="2"/>
  <c r="W77" i="2"/>
  <c r="R81" i="2"/>
  <c r="W82" i="2"/>
  <c r="R74" i="2"/>
  <c r="R82" i="2"/>
  <c r="R69" i="2"/>
  <c r="W74" i="2"/>
  <c r="W75" i="2"/>
  <c r="W78" i="2"/>
  <c r="W79" i="2"/>
  <c r="R78" i="2"/>
  <c r="R79" i="2"/>
  <c r="R66" i="2"/>
  <c r="R72" i="2"/>
  <c r="W70" i="2"/>
  <c r="R71" i="2"/>
  <c r="W69" i="2"/>
  <c r="W68" i="2"/>
  <c r="I63" i="2"/>
  <c r="W63" i="2" s="1"/>
  <c r="W71" i="2"/>
  <c r="R73" i="2"/>
  <c r="R68" i="2"/>
  <c r="R70" i="2"/>
  <c r="W60" i="2"/>
  <c r="W59" i="2"/>
  <c r="R67" i="2"/>
  <c r="W65" i="2"/>
  <c r="R64" i="2"/>
  <c r="R65" i="2"/>
  <c r="CT19" i="1"/>
  <c r="L19" i="3" s="1"/>
  <c r="W64" i="2" l="1"/>
  <c r="CU19" i="1"/>
  <c r="M19" i="3" s="1"/>
  <c r="CV19" i="1" l="1"/>
  <c r="CW19" i="1" l="1"/>
  <c r="CX19" i="1" l="1"/>
  <c r="O19" i="3"/>
  <c r="P19" i="3" l="1"/>
  <c r="CY19" i="1"/>
  <c r="CZ19" i="1" l="1"/>
  <c r="R19" i="3" s="1"/>
  <c r="DA19" i="1" l="1"/>
  <c r="S19" i="3" s="1"/>
  <c r="DB19" i="1" l="1"/>
  <c r="DC19" i="1" l="1"/>
  <c r="U19" i="3" s="1"/>
  <c r="DD19" i="1" l="1"/>
  <c r="V19" i="3" s="1"/>
  <c r="DE19" i="1" l="1"/>
  <c r="C19" i="3" l="1"/>
  <c r="D19" i="3" l="1"/>
  <c r="F19" i="3" l="1"/>
  <c r="G19" i="3" l="1"/>
  <c r="J19" i="3" l="1"/>
  <c r="I19" i="3"/>
</calcChain>
</file>

<file path=xl/sharedStrings.xml><?xml version="1.0" encoding="utf-8"?>
<sst xmlns="http://schemas.openxmlformats.org/spreadsheetml/2006/main" count="467" uniqueCount="82">
  <si>
    <t>PM</t>
  </si>
  <si>
    <t>Point bas gauche</t>
  </si>
  <si>
    <t>Point centre haut</t>
  </si>
  <si>
    <t>Point bas droit</t>
  </si>
  <si>
    <t>Différences</t>
  </si>
  <si>
    <t>X</t>
  </si>
  <si>
    <t>Y</t>
  </si>
  <si>
    <t>Z</t>
  </si>
  <si>
    <t>H</t>
  </si>
  <si>
    <t>Laboratoire ANDRA - Bure</t>
  </si>
  <si>
    <t>Temps (j)</t>
  </si>
  <si>
    <t>Date</t>
  </si>
  <si>
    <t>Toutes les valeurs de déplacement sont en mm</t>
  </si>
  <si>
    <t>jours écoulés</t>
  </si>
  <si>
    <t>Point haut gauche</t>
  </si>
  <si>
    <t>Point haut droit</t>
  </si>
  <si>
    <t>BG</t>
  </si>
  <si>
    <t>BD</t>
  </si>
  <si>
    <t>LB</t>
  </si>
  <si>
    <t>HG</t>
  </si>
  <si>
    <t>HD</t>
  </si>
  <si>
    <t>LH</t>
  </si>
  <si>
    <t>V</t>
  </si>
  <si>
    <r>
      <t>D</t>
    </r>
    <r>
      <rPr>
        <b/>
        <sz val="12"/>
        <rFont val="Arial"/>
        <family val="2"/>
      </rPr>
      <t>X</t>
    </r>
  </si>
  <si>
    <r>
      <t>D</t>
    </r>
    <r>
      <rPr>
        <b/>
        <sz val="12"/>
        <rFont val="Arial"/>
        <family val="2"/>
      </rPr>
      <t>Y</t>
    </r>
  </si>
  <si>
    <r>
      <t>D</t>
    </r>
    <r>
      <rPr>
        <b/>
        <sz val="12"/>
        <rFont val="Arial"/>
        <family val="2"/>
      </rPr>
      <t>Z</t>
    </r>
  </si>
  <si>
    <r>
      <t>D</t>
    </r>
    <r>
      <rPr>
        <b/>
        <sz val="12"/>
        <rFont val="Arial"/>
        <family val="2"/>
      </rPr>
      <t>H</t>
    </r>
  </si>
  <si>
    <r>
      <t>D</t>
    </r>
    <r>
      <rPr>
        <b/>
        <sz val="12"/>
        <rFont val="Arial"/>
        <family val="2"/>
      </rPr>
      <t>PM</t>
    </r>
  </si>
  <si>
    <r>
      <t>D</t>
    </r>
    <r>
      <rPr>
        <b/>
        <sz val="12"/>
        <rFont val="Arial"/>
        <family val="2"/>
      </rPr>
      <t>PM bas gauche</t>
    </r>
  </si>
  <si>
    <r>
      <t>D</t>
    </r>
    <r>
      <rPr>
        <b/>
        <sz val="12"/>
        <rFont val="Arial"/>
        <family val="2"/>
      </rPr>
      <t>H bas gauche</t>
    </r>
  </si>
  <si>
    <r>
      <t>D</t>
    </r>
    <r>
      <rPr>
        <b/>
        <sz val="12"/>
        <rFont val="Arial"/>
        <family val="2"/>
      </rPr>
      <t>Z bas gauche</t>
    </r>
  </si>
  <si>
    <r>
      <t>D</t>
    </r>
    <r>
      <rPr>
        <b/>
        <sz val="12"/>
        <rFont val="Arial"/>
        <family val="2"/>
      </rPr>
      <t>PM haut gauche</t>
    </r>
  </si>
  <si>
    <r>
      <t>D</t>
    </r>
    <r>
      <rPr>
        <b/>
        <sz val="12"/>
        <rFont val="Arial"/>
        <family val="2"/>
      </rPr>
      <t>H haut gauche</t>
    </r>
  </si>
  <si>
    <r>
      <t>D</t>
    </r>
    <r>
      <rPr>
        <b/>
        <sz val="12"/>
        <rFont val="Arial"/>
        <family val="2"/>
      </rPr>
      <t>Z haut gauche</t>
    </r>
  </si>
  <si>
    <r>
      <t>D</t>
    </r>
    <r>
      <rPr>
        <b/>
        <sz val="12"/>
        <rFont val="Arial"/>
        <family val="2"/>
      </rPr>
      <t>PM centre haut</t>
    </r>
  </si>
  <si>
    <r>
      <t>D</t>
    </r>
    <r>
      <rPr>
        <b/>
        <sz val="12"/>
        <rFont val="Arial"/>
        <family val="2"/>
      </rPr>
      <t>H centre haut</t>
    </r>
  </si>
  <si>
    <r>
      <t>D</t>
    </r>
    <r>
      <rPr>
        <b/>
        <sz val="12"/>
        <rFont val="Arial"/>
        <family val="2"/>
      </rPr>
      <t>Z centre haut</t>
    </r>
  </si>
  <si>
    <r>
      <t>D</t>
    </r>
    <r>
      <rPr>
        <b/>
        <sz val="12"/>
        <rFont val="Arial"/>
        <family val="2"/>
      </rPr>
      <t>PM haut droit</t>
    </r>
  </si>
  <si>
    <r>
      <t>D</t>
    </r>
    <r>
      <rPr>
        <b/>
        <sz val="12"/>
        <rFont val="Arial"/>
        <family val="2"/>
      </rPr>
      <t>H haut droit</t>
    </r>
  </si>
  <si>
    <r>
      <t>D</t>
    </r>
    <r>
      <rPr>
        <b/>
        <sz val="12"/>
        <rFont val="Arial"/>
        <family val="2"/>
      </rPr>
      <t>Z haut droit</t>
    </r>
  </si>
  <si>
    <r>
      <t>D</t>
    </r>
    <r>
      <rPr>
        <b/>
        <sz val="12"/>
        <rFont val="Arial"/>
        <family val="2"/>
      </rPr>
      <t>PM bas droit</t>
    </r>
  </si>
  <si>
    <r>
      <t>D</t>
    </r>
    <r>
      <rPr>
        <b/>
        <sz val="12"/>
        <rFont val="Arial"/>
        <family val="2"/>
      </rPr>
      <t>H bas droit</t>
    </r>
  </si>
  <si>
    <r>
      <t>D</t>
    </r>
    <r>
      <rPr>
        <b/>
        <sz val="12"/>
        <rFont val="Arial"/>
        <family val="2"/>
      </rPr>
      <t>Z bas droit</t>
    </r>
  </si>
  <si>
    <t>Distance au front</t>
  </si>
  <si>
    <t>Jours</t>
  </si>
  <si>
    <t>Front</t>
  </si>
  <si>
    <t>Dist</t>
  </si>
  <si>
    <t>Date point 0</t>
  </si>
  <si>
    <t>PM =</t>
  </si>
  <si>
    <t>Ecarts ( en mm )</t>
  </si>
  <si>
    <t>Vitesse de convergence ( en mm/j )</t>
  </si>
  <si>
    <t>IG</t>
  </si>
  <si>
    <t>ID</t>
  </si>
  <si>
    <t>LI</t>
  </si>
  <si>
    <t>Chantier 4</t>
  </si>
  <si>
    <r>
      <t>D</t>
    </r>
    <r>
      <rPr>
        <b/>
        <sz val="12"/>
        <rFont val="Arial"/>
        <family val="2"/>
      </rPr>
      <t>PM inter gauche</t>
    </r>
  </si>
  <si>
    <r>
      <t>D</t>
    </r>
    <r>
      <rPr>
        <b/>
        <sz val="12"/>
        <rFont val="Arial"/>
        <family val="2"/>
      </rPr>
      <t>H inter gauche</t>
    </r>
  </si>
  <si>
    <r>
      <t>D</t>
    </r>
    <r>
      <rPr>
        <b/>
        <sz val="12"/>
        <rFont val="Arial"/>
        <family val="2"/>
      </rPr>
      <t>Z inter gauche</t>
    </r>
  </si>
  <si>
    <r>
      <t>D</t>
    </r>
    <r>
      <rPr>
        <b/>
        <sz val="12"/>
        <rFont val="Arial"/>
        <family val="2"/>
      </rPr>
      <t>Z inter droit</t>
    </r>
  </si>
  <si>
    <t>Point intermédiaire gauche</t>
  </si>
  <si>
    <t>Point intermédiaire droit</t>
  </si>
  <si>
    <t>Seuils</t>
  </si>
  <si>
    <t>Convergences verticales à court terme (&lt;2 ans)</t>
  </si>
  <si>
    <t>Convergences horizontales à court terme (&lt;2 ans)</t>
  </si>
  <si>
    <t>Seuil de vigilance CV</t>
  </si>
  <si>
    <t>Seuil de vigilance CH</t>
  </si>
  <si>
    <t>Seuil d'alerte CV</t>
  </si>
  <si>
    <t>Seuil d'alerte CH</t>
  </si>
  <si>
    <t>la cible intermediaire gauche semble avoir pris un choc</t>
  </si>
  <si>
    <t>( solexpert ? Beton ? Marinage)</t>
  </si>
  <si>
    <t>il faut dire que lors des phases d'excavation , les cibles sont en danger quand elles sont proches du front</t>
  </si>
  <si>
    <t>(marinage = godet qui passe à quelques cm des 2 rangées du bas)</t>
  </si>
  <si>
    <t>DZ centre haut x2</t>
  </si>
  <si>
    <r>
      <t>D</t>
    </r>
    <r>
      <rPr>
        <b/>
        <sz val="12"/>
        <rFont val="Arial"/>
        <family val="2"/>
      </rPr>
      <t>PM inter droit</t>
    </r>
  </si>
  <si>
    <r>
      <t>D</t>
    </r>
    <r>
      <rPr>
        <b/>
        <sz val="12"/>
        <rFont val="Arial"/>
        <family val="2"/>
      </rPr>
      <t>H inter droit</t>
    </r>
  </si>
  <si>
    <t>calage en coordonnées absolues très dégradé à cause des travaux geosonic</t>
  </si>
  <si>
    <t xml:space="preserve">privilégier les mesures relatives pour interpreter les évolutions </t>
  </si>
  <si>
    <t>-</t>
  </si>
  <si>
    <t>cible 2 masquée par tuyaux et cables</t>
  </si>
  <si>
    <t>cibles ont souffert suite à une campagne de béton projeté</t>
  </si>
  <si>
    <t>les visées sont un altérées par la présente d'un grillage entre la visée et la cible</t>
  </si>
  <si>
    <t>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</si>
</sst>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+\ 0.0;\-\ 0.0;\±\ 0.0"/>
    <numFmt numFmtId="165" formatCode="0.0"/>
    <numFmt numFmtId="166" formatCode="0.0000"/>
    <numFmt numFmtId="167" formatCode="0.000"/>
    <numFmt numFmtId="168" formatCode="dd\ /\ mm\ /\ yy"/>
    <numFmt numFmtId="169" formatCode="\+\ 0;\-\ 0;\±\ 0"/>
    <numFmt numFmtId="170" formatCode="\+\ 0.000;\-\ 0.000;\±\ 0.000"/>
    <numFmt numFmtId="171" formatCode="dd\ /\ mm\ /\ yyyy"/>
    <numFmt numFmtId="172" formatCode="0.000000000000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Symbol"/>
      <family val="1"/>
      <charset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20" borderId="1" applyNumberFormat="0" applyAlignment="0" applyProtection="0"/>
    <xf numFmtId="0" fontId="9" fillId="0" borderId="2" applyNumberFormat="0" applyFill="0" applyAlignment="0" applyProtection="0"/>
    <xf numFmtId="0" fontId="10" fillId="21" borderId="3" applyNumberFormat="0" applyFont="0" applyAlignment="0" applyProtection="0"/>
    <xf numFmtId="0" fontId="11" fillId="7" borderId="1" applyNumberFormat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4" borderId="0" applyNumberFormat="0" applyBorder="0" applyAlignment="0" applyProtection="0"/>
    <xf numFmtId="0" fontId="15" fillId="20" borderId="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2" fillId="23" borderId="9" applyNumberFormat="0" applyAlignment="0" applyProtection="0"/>
    <xf numFmtId="0" fontId="4" fillId="0" borderId="0"/>
    <xf numFmtId="0" fontId="4" fillId="27" borderId="24" applyNumberFormat="0" applyFont="0" applyAlignment="0" applyProtection="0"/>
    <xf numFmtId="0" fontId="10" fillId="0" borderId="0"/>
    <xf numFmtId="9" fontId="10" fillId="0" borderId="0" applyFont="0" applyFill="0" applyBorder="0" applyAlignment="0" applyProtection="0"/>
    <xf numFmtId="0" fontId="3" fillId="0" borderId="0"/>
    <xf numFmtId="0" fontId="3" fillId="27" borderId="24" applyNumberFormat="0" applyFont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5">
    <xf numFmtId="0" fontId="0" fillId="0" borderId="0" xfId="0"/>
    <xf numFmtId="0" fontId="27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center"/>
    </xf>
    <xf numFmtId="0" fontId="28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31" fillId="0" borderId="12" xfId="0" applyFont="1" applyBorder="1" applyAlignment="1">
      <alignment vertical="center"/>
    </xf>
    <xf numFmtId="0" fontId="28" fillId="0" borderId="1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vertical="center"/>
    </xf>
    <xf numFmtId="167" fontId="0" fillId="0" borderId="0" xfId="0" applyNumberFormat="1" applyAlignment="1">
      <alignment vertical="center"/>
    </xf>
    <xf numFmtId="0" fontId="26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8" fontId="0" fillId="0" borderId="0" xfId="0" applyNumberFormat="1" applyAlignment="1">
      <alignment vertical="center"/>
    </xf>
    <xf numFmtId="168" fontId="24" fillId="0" borderId="12" xfId="0" applyNumberFormat="1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168" fontId="31" fillId="0" borderId="0" xfId="0" applyNumberFormat="1" applyFont="1" applyAlignment="1">
      <alignment vertical="center"/>
    </xf>
    <xf numFmtId="168" fontId="26" fillId="0" borderId="13" xfId="0" applyNumberFormat="1" applyFont="1" applyBorder="1" applyAlignment="1">
      <alignment horizontal="center" vertical="center" wrapText="1"/>
    </xf>
    <xf numFmtId="168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center" wrapText="1"/>
    </xf>
    <xf numFmtId="0" fontId="32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1" fontId="26" fillId="24" borderId="11" xfId="0" applyNumberFormat="1" applyFont="1" applyFill="1" applyBorder="1" applyAlignment="1">
      <alignment horizontal="center" vertical="center"/>
    </xf>
    <xf numFmtId="168" fontId="10" fillId="24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0" xfId="0" applyFill="1"/>
    <xf numFmtId="0" fontId="0" fillId="24" borderId="0" xfId="0" applyFill="1" applyAlignment="1">
      <alignment wrapText="1"/>
    </xf>
    <xf numFmtId="165" fontId="24" fillId="24" borderId="14" xfId="0" applyNumberFormat="1" applyFont="1" applyFill="1" applyBorder="1" applyAlignment="1">
      <alignment horizontal="center" vertical="center"/>
    </xf>
    <xf numFmtId="168" fontId="26" fillId="25" borderId="11" xfId="0" applyNumberFormat="1" applyFont="1" applyFill="1" applyBorder="1" applyAlignment="1">
      <alignment horizontal="center" vertical="center"/>
    </xf>
    <xf numFmtId="168" fontId="26" fillId="24" borderId="11" xfId="0" applyNumberFormat="1" applyFont="1" applyFill="1" applyBorder="1" applyAlignment="1">
      <alignment horizontal="center" vertical="center"/>
    </xf>
    <xf numFmtId="165" fontId="26" fillId="24" borderId="11" xfId="0" applyNumberFormat="1" applyFont="1" applyFill="1" applyBorder="1" applyAlignment="1">
      <alignment horizontal="center" vertical="center"/>
    </xf>
    <xf numFmtId="166" fontId="26" fillId="24" borderId="11" xfId="0" applyNumberFormat="1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167" fontId="26" fillId="24" borderId="11" xfId="0" applyNumberFormat="1" applyFont="1" applyFill="1" applyBorder="1" applyAlignment="1">
      <alignment horizontal="center" vertical="center"/>
    </xf>
    <xf numFmtId="170" fontId="26" fillId="24" borderId="11" xfId="0" applyNumberFormat="1" applyFont="1" applyFill="1" applyBorder="1" applyAlignment="1">
      <alignment horizontal="center" vertical="center"/>
    </xf>
    <xf numFmtId="164" fontId="26" fillId="24" borderId="11" xfId="0" applyNumberFormat="1" applyFont="1" applyFill="1" applyBorder="1" applyAlignment="1">
      <alignment horizontal="center" vertical="center"/>
    </xf>
    <xf numFmtId="0" fontId="24" fillId="24" borderId="15" xfId="0" applyFont="1" applyFill="1" applyBorder="1" applyAlignment="1">
      <alignment horizontal="center" vertical="center"/>
    </xf>
    <xf numFmtId="1" fontId="26" fillId="25" borderId="11" xfId="0" applyNumberFormat="1" applyFont="1" applyFill="1" applyBorder="1" applyAlignment="1">
      <alignment horizontal="center" vertical="center"/>
    </xf>
    <xf numFmtId="165" fontId="26" fillId="25" borderId="11" xfId="0" applyNumberFormat="1" applyFont="1" applyFill="1" applyBorder="1" applyAlignment="1">
      <alignment horizontal="center" vertical="center"/>
    </xf>
    <xf numFmtId="166" fontId="26" fillId="25" borderId="11" xfId="0" applyNumberFormat="1" applyFont="1" applyFill="1" applyBorder="1" applyAlignment="1">
      <alignment horizontal="center" vertical="center"/>
    </xf>
    <xf numFmtId="169" fontId="26" fillId="25" borderId="10" xfId="0" applyNumberFormat="1" applyFont="1" applyFill="1" applyBorder="1" applyAlignment="1">
      <alignment horizontal="center" vertical="center"/>
    </xf>
    <xf numFmtId="169" fontId="26" fillId="25" borderId="11" xfId="0" applyNumberFormat="1" applyFont="1" applyFill="1" applyBorder="1" applyAlignment="1">
      <alignment horizontal="center" vertical="center"/>
    </xf>
    <xf numFmtId="164" fontId="0" fillId="24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/>
    </xf>
    <xf numFmtId="168" fontId="0" fillId="24" borderId="11" xfId="0" applyNumberFormat="1" applyFill="1" applyBorder="1" applyAlignment="1">
      <alignment horizontal="center" vertical="center"/>
    </xf>
    <xf numFmtId="165" fontId="0" fillId="24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8" fontId="0" fillId="0" borderId="17" xfId="0" applyNumberFormat="1" applyBorder="1" applyAlignment="1">
      <alignment horizontal="center" vertical="center" wrapText="1"/>
    </xf>
    <xf numFmtId="166" fontId="33" fillId="25" borderId="11" xfId="0" applyNumberFormat="1" applyFont="1" applyFill="1" applyBorder="1" applyAlignment="1">
      <alignment horizontal="center" vertical="center"/>
    </xf>
    <xf numFmtId="0" fontId="34" fillId="24" borderId="15" xfId="0" applyFont="1" applyFill="1" applyBorder="1" applyAlignment="1">
      <alignment horizontal="center" vertical="center"/>
    </xf>
    <xf numFmtId="0" fontId="24" fillId="24" borderId="18" xfId="0" applyFont="1" applyFill="1" applyBorder="1" applyAlignment="1">
      <alignment horizontal="center" vertical="center"/>
    </xf>
    <xf numFmtId="0" fontId="24" fillId="24" borderId="16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30" fillId="0" borderId="0" xfId="0" applyFont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/>
    <xf numFmtId="0" fontId="0" fillId="0" borderId="22" xfId="0" applyBorder="1"/>
    <xf numFmtId="0" fontId="0" fillId="0" borderId="2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vertical="center"/>
    </xf>
    <xf numFmtId="0" fontId="10" fillId="0" borderId="0" xfId="0" applyFont="1" applyAlignment="1">
      <alignment vertical="center"/>
    </xf>
    <xf numFmtId="164" fontId="10" fillId="0" borderId="11" xfId="0" applyNumberFormat="1" applyFont="1" applyBorder="1" applyAlignment="1">
      <alignment horizontal="center" vertical="center"/>
    </xf>
    <xf numFmtId="164" fontId="10" fillId="24" borderId="1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/>
    <xf numFmtId="14" fontId="0" fillId="0" borderId="0" xfId="0" applyNumberFormat="1"/>
    <xf numFmtId="168" fontId="26" fillId="28" borderId="11" xfId="0" applyNumberFormat="1" applyFont="1" applyFill="1" applyBorder="1" applyAlignment="1">
      <alignment horizontal="center" vertical="center"/>
    </xf>
    <xf numFmtId="1" fontId="26" fillId="28" borderId="11" xfId="0" applyNumberFormat="1" applyFont="1" applyFill="1" applyBorder="1" applyAlignment="1">
      <alignment horizontal="center" vertical="center"/>
    </xf>
    <xf numFmtId="165" fontId="26" fillId="28" borderId="11" xfId="0" applyNumberFormat="1" applyFont="1" applyFill="1" applyBorder="1" applyAlignment="1">
      <alignment horizontal="center" vertical="center"/>
    </xf>
    <xf numFmtId="166" fontId="26" fillId="28" borderId="11" xfId="0" applyNumberFormat="1" applyFont="1" applyFill="1" applyBorder="1" applyAlignment="1">
      <alignment horizontal="center" vertical="center"/>
    </xf>
    <xf numFmtId="164" fontId="26" fillId="28" borderId="11" xfId="0" applyNumberFormat="1" applyFont="1" applyFill="1" applyBorder="1" applyAlignment="1">
      <alignment horizontal="center" vertical="center"/>
    </xf>
    <xf numFmtId="0" fontId="26" fillId="28" borderId="0" xfId="0" applyFont="1" applyFill="1" applyAlignment="1">
      <alignment vertical="center"/>
    </xf>
    <xf numFmtId="167" fontId="26" fillId="28" borderId="11" xfId="0" applyNumberFormat="1" applyFont="1" applyFill="1" applyBorder="1" applyAlignment="1">
      <alignment horizontal="center" vertical="center"/>
    </xf>
    <xf numFmtId="170" fontId="26" fillId="28" borderId="11" xfId="0" applyNumberFormat="1" applyFont="1" applyFill="1" applyBorder="1" applyAlignment="1">
      <alignment horizontal="center" vertical="center"/>
    </xf>
    <xf numFmtId="0" fontId="0" fillId="28" borderId="0" xfId="0" applyFill="1" applyAlignment="1">
      <alignment vertical="center"/>
    </xf>
    <xf numFmtId="165" fontId="0" fillId="0" borderId="0" xfId="0" applyNumberFormat="1" applyAlignment="1">
      <alignment vertical="center"/>
    </xf>
    <xf numFmtId="165" fontId="25" fillId="0" borderId="0" xfId="0" applyNumberFormat="1" applyFont="1" applyAlignment="1">
      <alignment vertical="center"/>
    </xf>
    <xf numFmtId="165" fontId="0" fillId="0" borderId="0" xfId="0" applyNumberFormat="1"/>
    <xf numFmtId="165" fontId="0" fillId="24" borderId="0" xfId="0" applyNumberFormat="1" applyFill="1"/>
    <xf numFmtId="165" fontId="28" fillId="0" borderId="11" xfId="0" applyNumberFormat="1" applyFont="1" applyBorder="1" applyAlignment="1">
      <alignment horizontal="center" vertical="center" wrapText="1"/>
    </xf>
    <xf numFmtId="165" fontId="10" fillId="0" borderId="0" xfId="0" applyNumberFormat="1" applyFont="1"/>
    <xf numFmtId="172" fontId="0" fillId="0" borderId="0" xfId="0" applyNumberFormat="1" applyAlignment="1">
      <alignment horizontal="center" vertical="center"/>
    </xf>
    <xf numFmtId="0" fontId="0" fillId="29" borderId="0" xfId="0" applyFill="1" applyAlignment="1">
      <alignment vertical="center"/>
    </xf>
    <xf numFmtId="0" fontId="24" fillId="29" borderId="0" xfId="0" applyFont="1" applyFill="1" applyAlignment="1">
      <alignment horizontal="center" vertical="center"/>
    </xf>
    <xf numFmtId="14" fontId="0" fillId="29" borderId="0" xfId="0" applyNumberFormat="1" applyFill="1" applyAlignment="1">
      <alignment horizontal="center" vertical="center"/>
    </xf>
    <xf numFmtId="0" fontId="26" fillId="29" borderId="0" xfId="0" applyFont="1" applyFill="1" applyAlignment="1">
      <alignment horizontal="center" vertical="center"/>
    </xf>
    <xf numFmtId="0" fontId="0" fillId="29" borderId="0" xfId="0" applyFill="1"/>
    <xf numFmtId="14" fontId="0" fillId="0" borderId="0" xfId="0" applyNumberFormat="1" applyAlignment="1">
      <alignment vertical="center"/>
    </xf>
    <xf numFmtId="0" fontId="10" fillId="0" borderId="0" xfId="0" quotePrefix="1" applyFont="1" applyAlignment="1">
      <alignment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9" fontId="26" fillId="24" borderId="18" xfId="0" applyNumberFormat="1" applyFont="1" applyFill="1" applyBorder="1" applyAlignment="1">
      <alignment horizontal="center" vertical="center"/>
    </xf>
    <xf numFmtId="169" fontId="26" fillId="24" borderId="19" xfId="0" applyNumberFormat="1" applyFont="1" applyFill="1" applyBorder="1" applyAlignment="1">
      <alignment horizontal="center" vertical="center"/>
    </xf>
    <xf numFmtId="169" fontId="26" fillId="24" borderId="20" xfId="0" applyNumberFormat="1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2" fillId="26" borderId="0" xfId="0" applyFont="1" applyFill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4" fillId="0" borderId="18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26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26" fillId="26" borderId="27" xfId="0" applyFont="1" applyFill="1" applyBorder="1" applyAlignment="1">
      <alignment horizontal="center" vertical="center"/>
    </xf>
    <xf numFmtId="0" fontId="26" fillId="26" borderId="28" xfId="0" applyFont="1" applyFill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</cellXfs>
  <cellStyles count="6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 2" xfId="43" xr:uid="{00000000-0005-0000-0000-00001C000000}"/>
    <cellStyle name="Commentaire 3" xfId="47" xr:uid="{00000000-0005-0000-0000-00001D000000}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rmal 2" xfId="42" xr:uid="{00000000-0005-0000-0000-000022000000}"/>
    <cellStyle name="Normal 2 2" xfId="44" xr:uid="{00000000-0005-0000-0000-000023000000}"/>
    <cellStyle name="Normal 2 2 2" xfId="60" xr:uid="{00000000-0005-0000-0000-000024000000}"/>
    <cellStyle name="Normal 3" xfId="46" xr:uid="{00000000-0005-0000-0000-000025000000}"/>
    <cellStyle name="Normal 3 2" xfId="49" xr:uid="{00000000-0005-0000-0000-000026000000}"/>
    <cellStyle name="Normal 3 2 2" xfId="58" xr:uid="{00000000-0005-0000-0000-000027000000}"/>
    <cellStyle name="Normal 3 2 3" xfId="53" xr:uid="{00000000-0005-0000-0000-000028000000}"/>
    <cellStyle name="Normal 3 3" xfId="57" xr:uid="{00000000-0005-0000-0000-000029000000}"/>
    <cellStyle name="Normal 3 4" xfId="52" xr:uid="{00000000-0005-0000-0000-00002A000000}"/>
    <cellStyle name="Normal 4" xfId="48" xr:uid="{00000000-0005-0000-0000-00002B000000}"/>
    <cellStyle name="Normal 4 2" xfId="56" xr:uid="{00000000-0005-0000-0000-00002C000000}"/>
    <cellStyle name="Normal 4 3" xfId="51" xr:uid="{00000000-0005-0000-0000-00002D000000}"/>
    <cellStyle name="Normal 5" xfId="54" xr:uid="{00000000-0005-0000-0000-00002E000000}"/>
    <cellStyle name="Normal 5 2" xfId="59" xr:uid="{00000000-0005-0000-0000-00002F000000}"/>
    <cellStyle name="Normal 6" xfId="55" xr:uid="{00000000-0005-0000-0000-000030000000}"/>
    <cellStyle name="Normal 7" xfId="50" xr:uid="{00000000-0005-0000-0000-000031000000}"/>
    <cellStyle name="Note" xfId="28" builtinId="10" customBuiltin="1"/>
    <cellStyle name="Pourcentage 2" xfId="45" xr:uid="{00000000-0005-0000-0000-000032000000}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9" defaultPivotStyle="PivotStyleLight16"/>
  <colors>
    <mruColors>
      <color rgb="FF00FF00"/>
      <color rgb="FF00FFFF"/>
      <color rgb="FFFF0000"/>
      <color rgb="FFFF00FF"/>
      <color rgb="FFFF6600"/>
      <color rgb="FFD5A5A4"/>
      <color rgb="FF800000"/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c:rich>
      </c:tx>
      <c:layout>
        <c:manualLayout>
          <c:xMode val="edge"/>
          <c:yMode val="edge"/>
          <c:x val="0.38461156123600954"/>
          <c:y val="1.2334539263673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618074426090026E-2"/>
          <c:y val="5.7614386039582903E-2"/>
          <c:w val="0.82295252419289999"/>
          <c:h val="0.73789293230238895"/>
        </c:manualLayout>
      </c:layout>
      <c:scatterChart>
        <c:scatterStyle val="lineMarker"/>
        <c:varyColors val="0"/>
        <c:ser>
          <c:idx val="0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Déplacements!$E$10:$E$150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0</c:v>
                </c:pt>
                <c:pt idx="2">
                  <c:v>1.0000000000047748</c:v>
                </c:pt>
                <c:pt idx="3">
                  <c:v>1.2000000000114142</c:v>
                </c:pt>
                <c:pt idx="4">
                  <c:v>1.4000000000038426</c:v>
                </c:pt>
                <c:pt idx="5">
                  <c:v>1.6000000000104819</c:v>
                </c:pt>
                <c:pt idx="6">
                  <c:v>1.90000000000623</c:v>
                </c:pt>
                <c:pt idx="7">
                  <c:v>2.7000000000043656</c:v>
                </c:pt>
                <c:pt idx="8">
                  <c:v>2.8000000000076852</c:v>
                </c:pt>
                <c:pt idx="9">
                  <c:v>3.200000000006753</c:v>
                </c:pt>
                <c:pt idx="10">
                  <c:v>3.5000000000025011</c:v>
                </c:pt>
                <c:pt idx="11">
                  <c:v>3.7000000000091404</c:v>
                </c:pt>
                <c:pt idx="12">
                  <c:v>3.7000000000091404</c:v>
                </c:pt>
                <c:pt idx="13">
                  <c:v>3.6000000000058208</c:v>
                </c:pt>
                <c:pt idx="14">
                  <c:v>3.7000000000091404</c:v>
                </c:pt>
                <c:pt idx="15">
                  <c:v>4.0499999999923375</c:v>
                </c:pt>
                <c:pt idx="16">
                  <c:v>5.450000000010391</c:v>
                </c:pt>
                <c:pt idx="17">
                  <c:v>4.4000000000039563</c:v>
                </c:pt>
                <c:pt idx="18">
                  <c:v>4.6000000000105956</c:v>
                </c:pt>
                <c:pt idx="19">
                  <c:v>4.3000000000006366</c:v>
                </c:pt>
                <c:pt idx="20">
                  <c:v>4.8000000000030241</c:v>
                </c:pt>
                <c:pt idx="21">
                  <c:v>4.500000000007276</c:v>
                </c:pt>
                <c:pt idx="22">
                  <c:v>5.0999999999987722</c:v>
                </c:pt>
                <c:pt idx="23">
                  <c:v>6.2000000000068667</c:v>
                </c:pt>
                <c:pt idx="24">
                  <c:v>5.4000000000087311</c:v>
                </c:pt>
                <c:pt idx="25">
                  <c:v>6.5000000000026148</c:v>
                </c:pt>
                <c:pt idx="26">
                  <c:v>6.7000000000092541</c:v>
                </c:pt>
                <c:pt idx="27">
                  <c:v>6.9000000000016826</c:v>
                </c:pt>
                <c:pt idx="28">
                  <c:v>6.3999999999992951</c:v>
                </c:pt>
                <c:pt idx="29">
                  <c:v>6.7999999999983629</c:v>
                </c:pt>
                <c:pt idx="30">
                  <c:v>6.7999999999983629</c:v>
                </c:pt>
                <c:pt idx="31">
                  <c:v>6.7000000000092541</c:v>
                </c:pt>
                <c:pt idx="32">
                  <c:v>5.9000000000111186</c:v>
                </c:pt>
                <c:pt idx="33">
                  <c:v>7.9000000000064574</c:v>
                </c:pt>
                <c:pt idx="34">
                  <c:v>8.2000000000022055</c:v>
                </c:pt>
                <c:pt idx="35">
                  <c:v>7.6000000000107093</c:v>
                </c:pt>
                <c:pt idx="36">
                  <c:v>8.2000000000022055</c:v>
                </c:pt>
                <c:pt idx="37">
                  <c:v>8.4000000000088448</c:v>
                </c:pt>
                <c:pt idx="38">
                  <c:v>8.3000000000055252</c:v>
                </c:pt>
                <c:pt idx="39">
                  <c:v>8.6000000000012733</c:v>
                </c:pt>
                <c:pt idx="40">
                  <c:v>7.6999999999998181</c:v>
                </c:pt>
                <c:pt idx="41">
                  <c:v>7.8000000000031378</c:v>
                </c:pt>
                <c:pt idx="43">
                  <c:v>7.40000000000407</c:v>
                </c:pt>
                <c:pt idx="44">
                  <c:v>8.6000000000012733</c:v>
                </c:pt>
                <c:pt idx="45">
                  <c:v>8.7000000000045929</c:v>
                </c:pt>
                <c:pt idx="46">
                  <c:v>8.0999999999988859</c:v>
                </c:pt>
                <c:pt idx="47">
                  <c:v>7.6000000000107093</c:v>
                </c:pt>
                <c:pt idx="53">
                  <c:v>7.6999999999998181</c:v>
                </c:pt>
                <c:pt idx="54">
                  <c:v>5.4000000000087311</c:v>
                </c:pt>
                <c:pt idx="55">
                  <c:v>4.6999999999997044</c:v>
                </c:pt>
                <c:pt idx="56">
                  <c:v>5.2000000000020918</c:v>
                </c:pt>
                <c:pt idx="57">
                  <c:v>5.49999999999784</c:v>
                </c:pt>
                <c:pt idx="58">
                  <c:v>5.0999999999987722</c:v>
                </c:pt>
                <c:pt idx="59">
                  <c:v>5.2000000000020918</c:v>
                </c:pt>
                <c:pt idx="60">
                  <c:v>5.4000000000087311</c:v>
                </c:pt>
                <c:pt idx="61">
                  <c:v>5.6000000000011596</c:v>
                </c:pt>
                <c:pt idx="62">
                  <c:v>5.7000000000044793</c:v>
                </c:pt>
                <c:pt idx="63">
                  <c:v>5.2000000000020918</c:v>
                </c:pt>
                <c:pt idx="64">
                  <c:v>6.2000000000068667</c:v>
                </c:pt>
                <c:pt idx="66">
                  <c:v>5.8000000000077989</c:v>
                </c:pt>
                <c:pt idx="67">
                  <c:v>5.49999999999784</c:v>
                </c:pt>
                <c:pt idx="68">
                  <c:v>4.3000000000006366</c:v>
                </c:pt>
                <c:pt idx="69">
                  <c:v>5.0999999999987722</c:v>
                </c:pt>
                <c:pt idx="70">
                  <c:v>6.9000000000016826</c:v>
                </c:pt>
                <c:pt idx="71">
                  <c:v>5.4000000000087311</c:v>
                </c:pt>
                <c:pt idx="72">
                  <c:v>5.6000000000011596</c:v>
                </c:pt>
                <c:pt idx="73">
                  <c:v>4.8000000000030241</c:v>
                </c:pt>
                <c:pt idx="74">
                  <c:v>5.7000000000044793</c:v>
                </c:pt>
                <c:pt idx="75">
                  <c:v>6.2000000000068667</c:v>
                </c:pt>
                <c:pt idx="77">
                  <c:v>5.9000000000111186</c:v>
                </c:pt>
                <c:pt idx="78">
                  <c:v>6.100000000003547</c:v>
                </c:pt>
                <c:pt idx="79">
                  <c:v>6.0000000000002274</c:v>
                </c:pt>
                <c:pt idx="80">
                  <c:v>6.3000000000101863</c:v>
                </c:pt>
                <c:pt idx="81">
                  <c:v>6.2000000000068667</c:v>
                </c:pt>
                <c:pt idx="82">
                  <c:v>6.3000000000101863</c:v>
                </c:pt>
                <c:pt idx="83">
                  <c:v>7.1999999999974307</c:v>
                </c:pt>
                <c:pt idx="84">
                  <c:v>7.4999999999931788</c:v>
                </c:pt>
                <c:pt idx="85">
                  <c:v>6.9000000000016826</c:v>
                </c:pt>
                <c:pt idx="86">
                  <c:v>6.6000000000059345</c:v>
                </c:pt>
                <c:pt idx="87">
                  <c:v>6.100000000003547</c:v>
                </c:pt>
                <c:pt idx="88">
                  <c:v>6.100000000003547</c:v>
                </c:pt>
                <c:pt idx="89">
                  <c:v>6.6000000000059345</c:v>
                </c:pt>
                <c:pt idx="90">
                  <c:v>6.5000000000026148</c:v>
                </c:pt>
                <c:pt idx="91">
                  <c:v>7.1000000000083219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78-44FC-BB66-1B3696B9FA7B}"/>
            </c:ext>
          </c:extLst>
        </c:ser>
        <c:ser>
          <c:idx val="5"/>
          <c:order val="1"/>
          <c:tx>
            <c:strRef>
              <c:f>Déplacements!$H$9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Déplacements!$H$10:$H$150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-3.9000000000015689</c:v>
                </c:pt>
                <c:pt idx="2">
                  <c:v>-4.0000000000048885</c:v>
                </c:pt>
                <c:pt idx="3">
                  <c:v>-4.4000000000039563</c:v>
                </c:pt>
                <c:pt idx="4">
                  <c:v>-4.3000000000006366</c:v>
                </c:pt>
                <c:pt idx="5">
                  <c:v>-4.6000000000105956</c:v>
                </c:pt>
                <c:pt idx="6">
                  <c:v>-4.2000000000115278</c:v>
                </c:pt>
                <c:pt idx="7">
                  <c:v>-4.3000000000006366</c:v>
                </c:pt>
                <c:pt idx="8">
                  <c:v>-4.4000000000039563</c:v>
                </c:pt>
                <c:pt idx="9">
                  <c:v>-4.4000000000039563</c:v>
                </c:pt>
                <c:pt idx="10">
                  <c:v>-4.3000000000006366</c:v>
                </c:pt>
                <c:pt idx="11">
                  <c:v>-4.3000000000006366</c:v>
                </c:pt>
                <c:pt idx="12">
                  <c:v>-4.4000000000039563</c:v>
                </c:pt>
                <c:pt idx="13">
                  <c:v>-4.6000000000105956</c:v>
                </c:pt>
                <c:pt idx="14">
                  <c:v>-4.6999999999997044</c:v>
                </c:pt>
                <c:pt idx="15">
                  <c:v>-4.116666666689639</c:v>
                </c:pt>
                <c:pt idx="16">
                  <c:v>-2.7666666666590345</c:v>
                </c:pt>
                <c:pt idx="17">
                  <c:v>-4.4000000000039563</c:v>
                </c:pt>
                <c:pt idx="18">
                  <c:v>-4.0000000000048885</c:v>
                </c:pt>
                <c:pt idx="19">
                  <c:v>-4.4000000000039563</c:v>
                </c:pt>
                <c:pt idx="20">
                  <c:v>-3.7000000000091404</c:v>
                </c:pt>
                <c:pt idx="21">
                  <c:v>-4.0000000000048885</c:v>
                </c:pt>
                <c:pt idx="22">
                  <c:v>-4.3000000000006366</c:v>
                </c:pt>
                <c:pt idx="23">
                  <c:v>-3.0000000000001137</c:v>
                </c:pt>
                <c:pt idx="24">
                  <c:v>-3.9000000000015689</c:v>
                </c:pt>
                <c:pt idx="25">
                  <c:v>-2.8000000000076852</c:v>
                </c:pt>
                <c:pt idx="26">
                  <c:v>-2.7000000000043656</c:v>
                </c:pt>
                <c:pt idx="27">
                  <c:v>-2.6000000000010459</c:v>
                </c:pt>
                <c:pt idx="28">
                  <c:v>-3.200000000006753</c:v>
                </c:pt>
                <c:pt idx="30">
                  <c:v>-2.9000000000110049</c:v>
                </c:pt>
                <c:pt idx="31">
                  <c:v>-2.8000000000076852</c:v>
                </c:pt>
                <c:pt idx="32">
                  <c:v>-3.3000000000100727</c:v>
                </c:pt>
                <c:pt idx="33">
                  <c:v>-2.7000000000043656</c:v>
                </c:pt>
                <c:pt idx="34">
                  <c:v>-2.5000000000119371</c:v>
                </c:pt>
                <c:pt idx="35">
                  <c:v>-3.200000000006753</c:v>
                </c:pt>
                <c:pt idx="36">
                  <c:v>-2.7000000000043656</c:v>
                </c:pt>
                <c:pt idx="37">
                  <c:v>-2.6000000000010459</c:v>
                </c:pt>
                <c:pt idx="40">
                  <c:v>-3.200000000006753</c:v>
                </c:pt>
                <c:pt idx="41">
                  <c:v>-2.8000000000076852</c:v>
                </c:pt>
                <c:pt idx="43">
                  <c:v>-3.7000000000091404</c:v>
                </c:pt>
                <c:pt idx="44">
                  <c:v>-2.7000000000043656</c:v>
                </c:pt>
                <c:pt idx="45">
                  <c:v>-2.4000000000086175</c:v>
                </c:pt>
                <c:pt idx="46">
                  <c:v>-3.0000000000001137</c:v>
                </c:pt>
                <c:pt idx="49">
                  <c:v>-3.0000000000001137</c:v>
                </c:pt>
                <c:pt idx="50">
                  <c:v>-2.3000000000052978</c:v>
                </c:pt>
                <c:pt idx="51">
                  <c:v>-2.3000000000052978</c:v>
                </c:pt>
                <c:pt idx="52">
                  <c:v>-1.6999999999995907</c:v>
                </c:pt>
                <c:pt idx="53">
                  <c:v>-2.2000000000019782</c:v>
                </c:pt>
                <c:pt idx="54">
                  <c:v>-4.8000000000030241</c:v>
                </c:pt>
                <c:pt idx="55">
                  <c:v>-5.3999999999945203</c:v>
                </c:pt>
                <c:pt idx="56">
                  <c:v>-4.8000000000030241</c:v>
                </c:pt>
                <c:pt idx="57">
                  <c:v>-4.5999999999963848</c:v>
                </c:pt>
                <c:pt idx="58">
                  <c:v>-4.9999999999954525</c:v>
                </c:pt>
                <c:pt idx="59">
                  <c:v>-4.9000000000063437</c:v>
                </c:pt>
                <c:pt idx="60">
                  <c:v>-4.6999999999997044</c:v>
                </c:pt>
                <c:pt idx="61">
                  <c:v>-4.5999999999963848</c:v>
                </c:pt>
                <c:pt idx="62">
                  <c:v>-4.3000000000006366</c:v>
                </c:pt>
                <c:pt idx="63">
                  <c:v>-4.9999999999954525</c:v>
                </c:pt>
                <c:pt idx="64">
                  <c:v>-4.199999999997317</c:v>
                </c:pt>
                <c:pt idx="66">
                  <c:v>-4.500000000007276</c:v>
                </c:pt>
                <c:pt idx="67">
                  <c:v>-4.6999999999997044</c:v>
                </c:pt>
                <c:pt idx="68">
                  <c:v>-6.0000000000002274</c:v>
                </c:pt>
                <c:pt idx="69">
                  <c:v>-5.2000000000020918</c:v>
                </c:pt>
                <c:pt idx="70">
                  <c:v>-3.2999999999958618</c:v>
                </c:pt>
                <c:pt idx="71">
                  <c:v>-4.8000000000030241</c:v>
                </c:pt>
                <c:pt idx="72">
                  <c:v>-4.5999999999963848</c:v>
                </c:pt>
                <c:pt idx="73">
                  <c:v>-5.6000000000011596</c:v>
                </c:pt>
                <c:pt idx="74">
                  <c:v>-4.8000000000030241</c:v>
                </c:pt>
                <c:pt idx="75">
                  <c:v>-4.4000000000039563</c:v>
                </c:pt>
                <c:pt idx="76">
                  <c:v>-4.0000000000048885</c:v>
                </c:pt>
                <c:pt idx="77">
                  <c:v>-4.500000000007276</c:v>
                </c:pt>
                <c:pt idx="78">
                  <c:v>-4.3000000000006366</c:v>
                </c:pt>
                <c:pt idx="79">
                  <c:v>-4.8000000000030241</c:v>
                </c:pt>
                <c:pt idx="80">
                  <c:v>-4.0999999999939973</c:v>
                </c:pt>
                <c:pt idx="81">
                  <c:v>-4.500000000007276</c:v>
                </c:pt>
                <c:pt idx="82">
                  <c:v>-4.4000000000039563</c:v>
                </c:pt>
                <c:pt idx="83">
                  <c:v>-3.5000000000025011</c:v>
                </c:pt>
                <c:pt idx="84">
                  <c:v>-3.5000000000025011</c:v>
                </c:pt>
                <c:pt idx="85">
                  <c:v>-4.199999999997317</c:v>
                </c:pt>
                <c:pt idx="86">
                  <c:v>-4.500000000007276</c:v>
                </c:pt>
                <c:pt idx="87">
                  <c:v>-4.9999999999954525</c:v>
                </c:pt>
                <c:pt idx="88">
                  <c:v>-4.8000000000030241</c:v>
                </c:pt>
                <c:pt idx="89">
                  <c:v>-4.4000000000039563</c:v>
                </c:pt>
                <c:pt idx="90">
                  <c:v>-4.8000000000030241</c:v>
                </c:pt>
                <c:pt idx="91">
                  <c:v>-4.0000000000048885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78-44FC-BB66-1B3696B9FA7B}"/>
            </c:ext>
          </c:extLst>
        </c:ser>
        <c:ser>
          <c:idx val="3"/>
          <c:order val="2"/>
          <c:tx>
            <c:strRef>
              <c:f>Déplacements!$K$9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Déplacements!$K$10:$K$100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-0.19999999999242846</c:v>
                </c:pt>
                <c:pt idx="2">
                  <c:v>-0.79999999999813554</c:v>
                </c:pt>
                <c:pt idx="3">
                  <c:v>-0.79999999999813554</c:v>
                </c:pt>
                <c:pt idx="4">
                  <c:v>-0.69999999999481588</c:v>
                </c:pt>
                <c:pt idx="5">
                  <c:v>-1.1999999999972033</c:v>
                </c:pt>
                <c:pt idx="6">
                  <c:v>-0.50000000000238742</c:v>
                </c:pt>
                <c:pt idx="7">
                  <c:v>-1.4999999999929514</c:v>
                </c:pt>
                <c:pt idx="8">
                  <c:v>-3.3999999999991815</c:v>
                </c:pt>
                <c:pt idx="9">
                  <c:v>-4.0000000000048885</c:v>
                </c:pt>
                <c:pt idx="10">
                  <c:v>-4.5999999999963848</c:v>
                </c:pt>
                <c:pt idx="11">
                  <c:v>-4.8999999999921329</c:v>
                </c:pt>
                <c:pt idx="12">
                  <c:v>-5.3999999999945203</c:v>
                </c:pt>
                <c:pt idx="13">
                  <c:v>-5.7999999999935881</c:v>
                </c:pt>
                <c:pt idx="14">
                  <c:v>-6.1999999999926558</c:v>
                </c:pt>
                <c:pt idx="15">
                  <c:v>-5.533333333318069</c:v>
                </c:pt>
                <c:pt idx="16">
                  <c:v>-4.3000000000006366</c:v>
                </c:pt>
                <c:pt idx="17">
                  <c:v>-7.0000000000050022</c:v>
                </c:pt>
                <c:pt idx="18">
                  <c:v>-6.7999999999983629</c:v>
                </c:pt>
                <c:pt idx="19">
                  <c:v>-6.5999999999917236</c:v>
                </c:pt>
                <c:pt idx="20">
                  <c:v>-6.5000000000026148</c:v>
                </c:pt>
                <c:pt idx="21">
                  <c:v>-7.099999999994111</c:v>
                </c:pt>
                <c:pt idx="22">
                  <c:v>-7.5999999999964984</c:v>
                </c:pt>
                <c:pt idx="23">
                  <c:v>-6.3999999999992951</c:v>
                </c:pt>
                <c:pt idx="24">
                  <c:v>-7.6999999999998181</c:v>
                </c:pt>
                <c:pt idx="25">
                  <c:v>-6.5000000000026148</c:v>
                </c:pt>
                <c:pt idx="26">
                  <c:v>-6.5000000000026148</c:v>
                </c:pt>
                <c:pt idx="27">
                  <c:v>-6.5999999999917236</c:v>
                </c:pt>
                <c:pt idx="28">
                  <c:v>-7.4999999999931788</c:v>
                </c:pt>
                <c:pt idx="29">
                  <c:v>-7.6999999999998181</c:v>
                </c:pt>
                <c:pt idx="30">
                  <c:v>-7.5999999999964984</c:v>
                </c:pt>
                <c:pt idx="31">
                  <c:v>-7.4999999999931788</c:v>
                </c:pt>
                <c:pt idx="32">
                  <c:v>-8.3000000000055252</c:v>
                </c:pt>
                <c:pt idx="33">
                  <c:v>-7.8999999999922466</c:v>
                </c:pt>
                <c:pt idx="34">
                  <c:v>-7.8999999999922466</c:v>
                </c:pt>
                <c:pt idx="35">
                  <c:v>-8.4999999999979536</c:v>
                </c:pt>
                <c:pt idx="36">
                  <c:v>-8.2000000000022055</c:v>
                </c:pt>
                <c:pt idx="37">
                  <c:v>-8.4999999999979536</c:v>
                </c:pt>
                <c:pt idx="38">
                  <c:v>-8.8999999999970214</c:v>
                </c:pt>
                <c:pt idx="39">
                  <c:v>-8.7999999999937017</c:v>
                </c:pt>
                <c:pt idx="40">
                  <c:v>-9.1999999999927695</c:v>
                </c:pt>
                <c:pt idx="41">
                  <c:v>-8.7999999999937017</c:v>
                </c:pt>
                <c:pt idx="43">
                  <c:v>-10.099999999994225</c:v>
                </c:pt>
                <c:pt idx="45">
                  <c:v>-8.8999999999970214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78-44FC-BB66-1B3696B9FA7B}"/>
            </c:ext>
          </c:extLst>
        </c:ser>
        <c:ser>
          <c:idx val="1"/>
          <c:order val="3"/>
          <c:tx>
            <c:strRef>
              <c:f>Déplacements!$N$9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Déplacements!$N$10:$N$150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-1.0999999999938836</c:v>
                </c:pt>
                <c:pt idx="2">
                  <c:v>-4.199999999997317</c:v>
                </c:pt>
                <c:pt idx="3">
                  <c:v>-7.1999999999974307</c:v>
                </c:pt>
                <c:pt idx="4">
                  <c:v>-8.7999999999937017</c:v>
                </c:pt>
                <c:pt idx="5">
                  <c:v>-10.599999999996612</c:v>
                </c:pt>
                <c:pt idx="6">
                  <c:v>-10.499999999993292</c:v>
                </c:pt>
                <c:pt idx="7">
                  <c:v>-15.599999999992065</c:v>
                </c:pt>
                <c:pt idx="8">
                  <c:v>-18.699999999995498</c:v>
                </c:pt>
                <c:pt idx="9">
                  <c:v>-22.700000000000387</c:v>
                </c:pt>
                <c:pt idx="10">
                  <c:v>-25.599999999997181</c:v>
                </c:pt>
                <c:pt idx="11">
                  <c:v>-28.199999999998226</c:v>
                </c:pt>
                <c:pt idx="12">
                  <c:v>-29.600000000002069</c:v>
                </c:pt>
                <c:pt idx="13">
                  <c:v>-30.900000000002592</c:v>
                </c:pt>
                <c:pt idx="14">
                  <c:v>-31.700000000000728</c:v>
                </c:pt>
                <c:pt idx="15">
                  <c:v>-33.10000000000457</c:v>
                </c:pt>
                <c:pt idx="16">
                  <c:v>-32.699999999991292</c:v>
                </c:pt>
                <c:pt idx="17">
                  <c:v>-38.699999999991519</c:v>
                </c:pt>
                <c:pt idx="18">
                  <c:v>-40.39999999999111</c:v>
                </c:pt>
                <c:pt idx="19">
                  <c:v>-40.199999999998681</c:v>
                </c:pt>
                <c:pt idx="20">
                  <c:v>-41.299999999992565</c:v>
                </c:pt>
                <c:pt idx="21">
                  <c:v>-42.599999999993088</c:v>
                </c:pt>
                <c:pt idx="22">
                  <c:v>-46.099999999995589</c:v>
                </c:pt>
                <c:pt idx="23">
                  <c:v>-45.499999999989882</c:v>
                </c:pt>
                <c:pt idx="24">
                  <c:v>-47.499999999999432</c:v>
                </c:pt>
                <c:pt idx="25">
                  <c:v>-46.700000000001296</c:v>
                </c:pt>
                <c:pt idx="26">
                  <c:v>-47.600000000002751</c:v>
                </c:pt>
                <c:pt idx="27">
                  <c:v>-48.099999999990928</c:v>
                </c:pt>
                <c:pt idx="28">
                  <c:v>-50.699999999991974</c:v>
                </c:pt>
                <c:pt idx="29">
                  <c:v>-55.999999999997385</c:v>
                </c:pt>
                <c:pt idx="30">
                  <c:v>-56.89999999999884</c:v>
                </c:pt>
                <c:pt idx="31">
                  <c:v>-58.099999999996044</c:v>
                </c:pt>
                <c:pt idx="32">
                  <c:v>-60.199999999994702</c:v>
                </c:pt>
                <c:pt idx="33">
                  <c:v>-60.59999999999377</c:v>
                </c:pt>
                <c:pt idx="34">
                  <c:v>-61.199999999999477</c:v>
                </c:pt>
                <c:pt idx="35">
                  <c:v>-63.099999999991496</c:v>
                </c:pt>
                <c:pt idx="36">
                  <c:v>-63.299999999998136</c:v>
                </c:pt>
                <c:pt idx="37">
                  <c:v>-65.199999999990155</c:v>
                </c:pt>
                <c:pt idx="38">
                  <c:v>-66.09999999999161</c:v>
                </c:pt>
                <c:pt idx="39">
                  <c:v>-66.19999999999493</c:v>
                </c:pt>
                <c:pt idx="40">
                  <c:v>-66.999999999993065</c:v>
                </c:pt>
                <c:pt idx="41">
                  <c:v>-66.900000000003956</c:v>
                </c:pt>
                <c:pt idx="43">
                  <c:v>-69.400000000001683</c:v>
                </c:pt>
                <c:pt idx="44">
                  <c:v>-67.700000000002092</c:v>
                </c:pt>
                <c:pt idx="45">
                  <c:v>-69.199999999995043</c:v>
                </c:pt>
                <c:pt idx="46">
                  <c:v>-69.599999999994111</c:v>
                </c:pt>
                <c:pt idx="47">
                  <c:v>-70.799999999991314</c:v>
                </c:pt>
                <c:pt idx="49">
                  <c:v>-70.799999999991314</c:v>
                </c:pt>
                <c:pt idx="50">
                  <c:v>-70.899999999994634</c:v>
                </c:pt>
                <c:pt idx="51">
                  <c:v>-70.399999999992247</c:v>
                </c:pt>
                <c:pt idx="52">
                  <c:v>-70.899999999994634</c:v>
                </c:pt>
                <c:pt idx="53">
                  <c:v>-71.999999999988518</c:v>
                </c:pt>
                <c:pt idx="54">
                  <c:v>-74.549999999987904</c:v>
                </c:pt>
                <c:pt idx="55">
                  <c:v>-75.699999999997658</c:v>
                </c:pt>
                <c:pt idx="56">
                  <c:v>-75.499999999991019</c:v>
                </c:pt>
                <c:pt idx="57">
                  <c:v>-75.899999999990087</c:v>
                </c:pt>
                <c:pt idx="58">
                  <c:v>-77.199999999990609</c:v>
                </c:pt>
                <c:pt idx="59">
                  <c:v>-76.999999999998181</c:v>
                </c:pt>
                <c:pt idx="60">
                  <c:v>-76.899999999994861</c:v>
                </c:pt>
                <c:pt idx="61">
                  <c:v>-76.699999999988222</c:v>
                </c:pt>
                <c:pt idx="62">
                  <c:v>-76.699999999988222</c:v>
                </c:pt>
                <c:pt idx="63">
                  <c:v>-77.399999999997249</c:v>
                </c:pt>
                <c:pt idx="64">
                  <c:v>-76.699999999988222</c:v>
                </c:pt>
                <c:pt idx="66">
                  <c:v>-76.999999999998181</c:v>
                </c:pt>
                <c:pt idx="67">
                  <c:v>-77.499999999986358</c:v>
                </c:pt>
                <c:pt idx="68">
                  <c:v>-78.8999999999902</c:v>
                </c:pt>
                <c:pt idx="69">
                  <c:v>-78.299999999984493</c:v>
                </c:pt>
                <c:pt idx="70">
                  <c:v>-76.799999999991542</c:v>
                </c:pt>
                <c:pt idx="71">
                  <c:v>-78.199999999995384</c:v>
                </c:pt>
                <c:pt idx="72">
                  <c:v>-78.799999999986881</c:v>
                </c:pt>
                <c:pt idx="73">
                  <c:v>-79.09999999999684</c:v>
                </c:pt>
                <c:pt idx="74">
                  <c:v>-78.499999999991132</c:v>
                </c:pt>
                <c:pt idx="75">
                  <c:v>-78.299999999984493</c:v>
                </c:pt>
                <c:pt idx="76">
                  <c:v>-78.299999999984493</c:v>
                </c:pt>
                <c:pt idx="77">
                  <c:v>-78.8999999999902</c:v>
                </c:pt>
                <c:pt idx="78">
                  <c:v>-78.299999999984493</c:v>
                </c:pt>
                <c:pt idx="79">
                  <c:v>-78.8999999999902</c:v>
                </c:pt>
                <c:pt idx="80">
                  <c:v>-78.599999999994452</c:v>
                </c:pt>
                <c:pt idx="81">
                  <c:v>-79.09999999999684</c:v>
                </c:pt>
                <c:pt idx="82">
                  <c:v>-78.99999999999352</c:v>
                </c:pt>
                <c:pt idx="83">
                  <c:v>-78.499999999991132</c:v>
                </c:pt>
                <c:pt idx="84">
                  <c:v>-79.999999999998295</c:v>
                </c:pt>
                <c:pt idx="85">
                  <c:v>-80.79999999999643</c:v>
                </c:pt>
                <c:pt idx="86">
                  <c:v>-81.199999999995498</c:v>
                </c:pt>
                <c:pt idx="87">
                  <c:v>-81.899999999990314</c:v>
                </c:pt>
                <c:pt idx="88">
                  <c:v>-81.599999999994566</c:v>
                </c:pt>
                <c:pt idx="89">
                  <c:v>-81.099999999992178</c:v>
                </c:pt>
                <c:pt idx="90">
                  <c:v>-81.999999999993634</c:v>
                </c:pt>
                <c:pt idx="91">
                  <c:v>-82.799999999991769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78-44FC-BB66-1B3696B9FA7B}"/>
            </c:ext>
          </c:extLst>
        </c:ser>
        <c:ser>
          <c:idx val="4"/>
          <c:order val="4"/>
          <c:tx>
            <c:strRef>
              <c:f>Déplacements!$Q$9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Déplacements!$Q$10:$Q$100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-0.69999999999481588</c:v>
                </c:pt>
                <c:pt idx="2">
                  <c:v>-2.6000000000010459</c:v>
                </c:pt>
                <c:pt idx="3">
                  <c:v>-4.3000000000006366</c:v>
                </c:pt>
                <c:pt idx="4">
                  <c:v>-5.199999999987881</c:v>
                </c:pt>
                <c:pt idx="5">
                  <c:v>-6.5999999999917236</c:v>
                </c:pt>
                <c:pt idx="6">
                  <c:v>-6.2999999999959755</c:v>
                </c:pt>
                <c:pt idx="7">
                  <c:v>-9.7999999999984766</c:v>
                </c:pt>
                <c:pt idx="8">
                  <c:v>-12.199999999992883</c:v>
                </c:pt>
                <c:pt idx="9">
                  <c:v>-14.59999999998729</c:v>
                </c:pt>
                <c:pt idx="10">
                  <c:v>-16.700000000000159</c:v>
                </c:pt>
                <c:pt idx="11">
                  <c:v>-18.599999999992178</c:v>
                </c:pt>
                <c:pt idx="12">
                  <c:v>-19.799999999989382</c:v>
                </c:pt>
                <c:pt idx="13">
                  <c:v>-20.699999999990837</c:v>
                </c:pt>
                <c:pt idx="14">
                  <c:v>-21.299999999996544</c:v>
                </c:pt>
                <c:pt idx="15">
                  <c:v>-22.649999999998727</c:v>
                </c:pt>
                <c:pt idx="16">
                  <c:v>-22.04999999999302</c:v>
                </c:pt>
                <c:pt idx="17">
                  <c:v>-26.899999999997704</c:v>
                </c:pt>
                <c:pt idx="18">
                  <c:v>-28.199999999998226</c:v>
                </c:pt>
                <c:pt idx="19">
                  <c:v>-28.499999999993975</c:v>
                </c:pt>
                <c:pt idx="20">
                  <c:v>-29.19999999998879</c:v>
                </c:pt>
                <c:pt idx="21">
                  <c:v>-30.299999999996885</c:v>
                </c:pt>
                <c:pt idx="22">
                  <c:v>-32.599999999987972</c:v>
                </c:pt>
                <c:pt idx="23">
                  <c:v>-31.899999999993156</c:v>
                </c:pt>
                <c:pt idx="24">
                  <c:v>-33.599999999992747</c:v>
                </c:pt>
                <c:pt idx="25">
                  <c:v>-32.699999999991292</c:v>
                </c:pt>
                <c:pt idx="26">
                  <c:v>-33.199999999993679</c:v>
                </c:pt>
                <c:pt idx="27">
                  <c:v>-33.599999999992747</c:v>
                </c:pt>
                <c:pt idx="28">
                  <c:v>-35.799999999994725</c:v>
                </c:pt>
                <c:pt idx="29">
                  <c:v>-39.400000000000546</c:v>
                </c:pt>
                <c:pt idx="30">
                  <c:v>-39.799999999999613</c:v>
                </c:pt>
                <c:pt idx="31">
                  <c:v>-40.700000000001069</c:v>
                </c:pt>
                <c:pt idx="32">
                  <c:v>-42.19999999999402</c:v>
                </c:pt>
                <c:pt idx="33">
                  <c:v>-42.19999999999402</c:v>
                </c:pt>
                <c:pt idx="34">
                  <c:v>-42.699999999996407</c:v>
                </c:pt>
                <c:pt idx="35">
                  <c:v>-43.599999999997863</c:v>
                </c:pt>
                <c:pt idx="36">
                  <c:v>-43.599999999997863</c:v>
                </c:pt>
                <c:pt idx="37">
                  <c:v>-45.299999999997453</c:v>
                </c:pt>
                <c:pt idx="38">
                  <c:v>-45.89999999998895</c:v>
                </c:pt>
                <c:pt idx="39">
                  <c:v>-46.199999999998909</c:v>
                </c:pt>
                <c:pt idx="40">
                  <c:v>-46.699999999987085</c:v>
                </c:pt>
                <c:pt idx="41">
                  <c:v>-46.399999999991337</c:v>
                </c:pt>
                <c:pt idx="43">
                  <c:v>-47.999999999987608</c:v>
                </c:pt>
                <c:pt idx="44">
                  <c:v>-46.899999999993724</c:v>
                </c:pt>
                <c:pt idx="45">
                  <c:v>-47.100000000000364</c:v>
                </c:pt>
                <c:pt idx="46">
                  <c:v>-47.999999999987608</c:v>
                </c:pt>
                <c:pt idx="47">
                  <c:v>-49.099999999995703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78-44FC-BB66-1B3696B9FA7B}"/>
            </c:ext>
          </c:extLst>
        </c:ser>
        <c:ser>
          <c:idx val="6"/>
          <c:order val="5"/>
          <c:tx>
            <c:strRef>
              <c:f>Déplacements!$T$9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Déplacements!$T$10:$T$150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-0.10000000000331966</c:v>
                </c:pt>
                <c:pt idx="2">
                  <c:v>0.10000000000331966</c:v>
                </c:pt>
                <c:pt idx="3">
                  <c:v>0.20000000000663931</c:v>
                </c:pt>
                <c:pt idx="4">
                  <c:v>0.50000000000238742</c:v>
                </c:pt>
                <c:pt idx="5">
                  <c:v>0.20000000000663931</c:v>
                </c:pt>
                <c:pt idx="6">
                  <c:v>0.60000000000570708</c:v>
                </c:pt>
                <c:pt idx="7">
                  <c:v>0.90000000000145519</c:v>
                </c:pt>
                <c:pt idx="8">
                  <c:v>0.90000000000145519</c:v>
                </c:pt>
                <c:pt idx="9">
                  <c:v>0.79999999999813554</c:v>
                </c:pt>
                <c:pt idx="10">
                  <c:v>0.90000000000145519</c:v>
                </c:pt>
                <c:pt idx="11">
                  <c:v>1.0000000000047748</c:v>
                </c:pt>
                <c:pt idx="12">
                  <c:v>1.0000000000047748</c:v>
                </c:pt>
                <c:pt idx="13">
                  <c:v>0.90000000000145519</c:v>
                </c:pt>
                <c:pt idx="14">
                  <c:v>0.79999999999813554</c:v>
                </c:pt>
                <c:pt idx="15">
                  <c:v>1.0999999999938836</c:v>
                </c:pt>
                <c:pt idx="16">
                  <c:v>2.6000000000152568</c:v>
                </c:pt>
                <c:pt idx="17">
                  <c:v>1.1000000000080945</c:v>
                </c:pt>
                <c:pt idx="18">
                  <c:v>1.5000000000071623</c:v>
                </c:pt>
                <c:pt idx="19">
                  <c:v>1.1999999999972033</c:v>
                </c:pt>
                <c:pt idx="20">
                  <c:v>1.6999999999995907</c:v>
                </c:pt>
                <c:pt idx="21">
                  <c:v>1.5000000000071623</c:v>
                </c:pt>
                <c:pt idx="22">
                  <c:v>1.5999999999962711</c:v>
                </c:pt>
                <c:pt idx="23">
                  <c:v>2.8000000000076852</c:v>
                </c:pt>
                <c:pt idx="24">
                  <c:v>1.8000000000029104</c:v>
                </c:pt>
                <c:pt idx="25">
                  <c:v>3.0000000000001137</c:v>
                </c:pt>
                <c:pt idx="26">
                  <c:v>3.0000000000001137</c:v>
                </c:pt>
                <c:pt idx="27">
                  <c:v>3.200000000006753</c:v>
                </c:pt>
                <c:pt idx="28">
                  <c:v>2.4999999999977263</c:v>
                </c:pt>
                <c:pt idx="29">
                  <c:v>3.0000000000001137</c:v>
                </c:pt>
                <c:pt idx="30">
                  <c:v>3.0000000000001137</c:v>
                </c:pt>
                <c:pt idx="31">
                  <c:v>3.0000000000001137</c:v>
                </c:pt>
                <c:pt idx="32">
                  <c:v>2.6000000000010459</c:v>
                </c:pt>
                <c:pt idx="33">
                  <c:v>3.3999999999991815</c:v>
                </c:pt>
                <c:pt idx="34">
                  <c:v>3.5000000000025011</c:v>
                </c:pt>
                <c:pt idx="35">
                  <c:v>2.899999999996794</c:v>
                </c:pt>
                <c:pt idx="36">
                  <c:v>3.2999999999958618</c:v>
                </c:pt>
                <c:pt idx="37">
                  <c:v>3.6999999999949296</c:v>
                </c:pt>
                <c:pt idx="38">
                  <c:v>3.3999999999991815</c:v>
                </c:pt>
                <c:pt idx="39">
                  <c:v>3.3999999999991815</c:v>
                </c:pt>
                <c:pt idx="40">
                  <c:v>3.0000000000001137</c:v>
                </c:pt>
                <c:pt idx="41">
                  <c:v>3.5000000000025011</c:v>
                </c:pt>
                <c:pt idx="43">
                  <c:v>2.6000000000010459</c:v>
                </c:pt>
                <c:pt idx="44">
                  <c:v>3.6000000000058208</c:v>
                </c:pt>
                <c:pt idx="45">
                  <c:v>3.7999999999982492</c:v>
                </c:pt>
                <c:pt idx="46">
                  <c:v>3.2999999999958618</c:v>
                </c:pt>
                <c:pt idx="47">
                  <c:v>2.8000000000076852</c:v>
                </c:pt>
                <c:pt idx="49">
                  <c:v>2.8000000000076852</c:v>
                </c:pt>
                <c:pt idx="50">
                  <c:v>3.5000000000025011</c:v>
                </c:pt>
                <c:pt idx="51">
                  <c:v>4.0000000000048885</c:v>
                </c:pt>
                <c:pt idx="52">
                  <c:v>4.1000000000082082</c:v>
                </c:pt>
                <c:pt idx="53">
                  <c:v>3.7000000000091404</c:v>
                </c:pt>
                <c:pt idx="54">
                  <c:v>1.1500000000097543</c:v>
                </c:pt>
                <c:pt idx="55">
                  <c:v>0.50000000000238742</c:v>
                </c:pt>
                <c:pt idx="56">
                  <c:v>0.80000000001234639</c:v>
                </c:pt>
                <c:pt idx="57">
                  <c:v>1.0000000000047748</c:v>
                </c:pt>
                <c:pt idx="58">
                  <c:v>0.30000000000995897</c:v>
                </c:pt>
                <c:pt idx="59">
                  <c:v>0.50000000000238742</c:v>
                </c:pt>
                <c:pt idx="60">
                  <c:v>0.60000000000570708</c:v>
                </c:pt>
                <c:pt idx="61">
                  <c:v>0.80000000001234639</c:v>
                </c:pt>
                <c:pt idx="62">
                  <c:v>1.0000000000047748</c:v>
                </c:pt>
                <c:pt idx="63">
                  <c:v>0.50000000000238742</c:v>
                </c:pt>
                <c:pt idx="64">
                  <c:v>1.3000000000147338</c:v>
                </c:pt>
                <c:pt idx="66">
                  <c:v>0.80000000001234639</c:v>
                </c:pt>
                <c:pt idx="67">
                  <c:v>0.70000000000902673</c:v>
                </c:pt>
                <c:pt idx="68">
                  <c:v>-0.39999999998485691</c:v>
                </c:pt>
                <c:pt idx="71">
                  <c:v>0.30000000000995897</c:v>
                </c:pt>
                <c:pt idx="72">
                  <c:v>0.60000000000570708</c:v>
                </c:pt>
                <c:pt idx="73">
                  <c:v>-0.39999999998485691</c:v>
                </c:pt>
                <c:pt idx="74">
                  <c:v>0.50000000000238742</c:v>
                </c:pt>
                <c:pt idx="75">
                  <c:v>0.80000000001234639</c:v>
                </c:pt>
                <c:pt idx="76">
                  <c:v>1.4000000000038426</c:v>
                </c:pt>
                <c:pt idx="77">
                  <c:v>0.50000000000238742</c:v>
                </c:pt>
                <c:pt idx="78">
                  <c:v>0.80000000001234639</c:v>
                </c:pt>
                <c:pt idx="79">
                  <c:v>0.60000000000570708</c:v>
                </c:pt>
                <c:pt idx="80">
                  <c:v>1.1000000000080945</c:v>
                </c:pt>
                <c:pt idx="81">
                  <c:v>0.60000000000570708</c:v>
                </c:pt>
                <c:pt idx="82">
                  <c:v>0.90000000001566605</c:v>
                </c:pt>
                <c:pt idx="83">
                  <c:v>1.6000000000104819</c:v>
                </c:pt>
                <c:pt idx="84">
                  <c:v>1.5999999999962711</c:v>
                </c:pt>
                <c:pt idx="85">
                  <c:v>0.80000000001234639</c:v>
                </c:pt>
                <c:pt idx="86">
                  <c:v>0.40000000001327862</c:v>
                </c:pt>
                <c:pt idx="87">
                  <c:v>1.4210854715202004E-11</c:v>
                </c:pt>
                <c:pt idx="88">
                  <c:v>0.10000000000331966</c:v>
                </c:pt>
                <c:pt idx="89">
                  <c:v>0.70000000000902673</c:v>
                </c:pt>
                <c:pt idx="90">
                  <c:v>0.30000000000995897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78-44FC-BB66-1B3696B9FA7B}"/>
            </c:ext>
          </c:extLst>
        </c:ser>
        <c:ser>
          <c:idx val="2"/>
          <c:order val="6"/>
          <c:tx>
            <c:strRef>
              <c:f>Déplacements!$W$9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Déplacements!$W$10:$W$150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9.9999999989108801E-2</c:v>
                </c:pt>
                <c:pt idx="2">
                  <c:v>0.29999999999574811</c:v>
                </c:pt>
                <c:pt idx="3">
                  <c:v>0.29999999999574811</c:v>
                </c:pt>
                <c:pt idx="4">
                  <c:v>0</c:v>
                </c:pt>
                <c:pt idx="5">
                  <c:v>0.29999999999574811</c:v>
                </c:pt>
                <c:pt idx="6">
                  <c:v>0.50000000000238742</c:v>
                </c:pt>
                <c:pt idx="7">
                  <c:v>1.0999999999938836</c:v>
                </c:pt>
                <c:pt idx="8">
                  <c:v>1.3999999999896318</c:v>
                </c:pt>
                <c:pt idx="9">
                  <c:v>1.5999999999962711</c:v>
                </c:pt>
                <c:pt idx="10">
                  <c:v>2.0999999999986585</c:v>
                </c:pt>
                <c:pt idx="11">
                  <c:v>1.9999999999953388</c:v>
                </c:pt>
                <c:pt idx="12">
                  <c:v>2.0999999999986585</c:v>
                </c:pt>
                <c:pt idx="13">
                  <c:v>1.9999999999953388</c:v>
                </c:pt>
                <c:pt idx="14">
                  <c:v>1.9999999999953388</c:v>
                </c:pt>
                <c:pt idx="15">
                  <c:v>2.4499999999960664</c:v>
                </c:pt>
                <c:pt idx="16">
                  <c:v>3.6000000000058208</c:v>
                </c:pt>
                <c:pt idx="17">
                  <c:v>2.7999999999934744</c:v>
                </c:pt>
                <c:pt idx="18">
                  <c:v>2.899999999996794</c:v>
                </c:pt>
                <c:pt idx="19">
                  <c:v>2.4999999999977263</c:v>
                </c:pt>
                <c:pt idx="20">
                  <c:v>3.0000000000001137</c:v>
                </c:pt>
                <c:pt idx="21">
                  <c:v>3.0000000000001137</c:v>
                </c:pt>
                <c:pt idx="22">
                  <c:v>3.2999999999958618</c:v>
                </c:pt>
                <c:pt idx="23">
                  <c:v>4.5999999999963848</c:v>
                </c:pt>
                <c:pt idx="24">
                  <c:v>3.5999999999916099</c:v>
                </c:pt>
                <c:pt idx="25">
                  <c:v>4.6999999999997044</c:v>
                </c:pt>
                <c:pt idx="26">
                  <c:v>4.9999999999954525</c:v>
                </c:pt>
                <c:pt idx="27">
                  <c:v>5.0999999999987722</c:v>
                </c:pt>
                <c:pt idx="28">
                  <c:v>4.5999999999963848</c:v>
                </c:pt>
                <c:pt idx="29">
                  <c:v>5.2000000000020918</c:v>
                </c:pt>
                <c:pt idx="30">
                  <c:v>4.8999999999921329</c:v>
                </c:pt>
                <c:pt idx="31">
                  <c:v>4.8999999999921329</c:v>
                </c:pt>
                <c:pt idx="32">
                  <c:v>4.6999999999997044</c:v>
                </c:pt>
                <c:pt idx="33">
                  <c:v>5.3999999999945203</c:v>
                </c:pt>
                <c:pt idx="34">
                  <c:v>5.7999999999935881</c:v>
                </c:pt>
                <c:pt idx="35">
                  <c:v>5.0999999999987722</c:v>
                </c:pt>
                <c:pt idx="36">
                  <c:v>5.49999999999784</c:v>
                </c:pt>
                <c:pt idx="37">
                  <c:v>6.0999999999893362</c:v>
                </c:pt>
                <c:pt idx="38">
                  <c:v>5.7999999999935881</c:v>
                </c:pt>
                <c:pt idx="39">
                  <c:v>5.8999999999969077</c:v>
                </c:pt>
                <c:pt idx="40">
                  <c:v>-7.0000000000050022</c:v>
                </c:pt>
                <c:pt idx="41">
                  <c:v>-6.0000000000002274</c:v>
                </c:pt>
                <c:pt idx="43">
                  <c:v>-7.0000000000050022</c:v>
                </c:pt>
                <c:pt idx="45">
                  <c:v>-5.49999999999784</c:v>
                </c:pt>
                <c:pt idx="53">
                  <c:v>-8.6000000000012733</c:v>
                </c:pt>
                <c:pt idx="54">
                  <c:v>-10.850000000004911</c:v>
                </c:pt>
                <c:pt idx="57">
                  <c:v>-10.900000000006571</c:v>
                </c:pt>
                <c:pt idx="58">
                  <c:v>-11.200000000002319</c:v>
                </c:pt>
                <c:pt idx="59">
                  <c:v>-10.900000000006571</c:v>
                </c:pt>
                <c:pt idx="60">
                  <c:v>-10.900000000006571</c:v>
                </c:pt>
                <c:pt idx="61">
                  <c:v>-10.600000000010823</c:v>
                </c:pt>
                <c:pt idx="62">
                  <c:v>-10.300000000000864</c:v>
                </c:pt>
                <c:pt idx="63">
                  <c:v>-11.099999999999</c:v>
                </c:pt>
                <c:pt idx="64">
                  <c:v>-10.100000000008436</c:v>
                </c:pt>
                <c:pt idx="66">
                  <c:v>-10.500000000007503</c:v>
                </c:pt>
                <c:pt idx="67">
                  <c:v>-10.600000000010823</c:v>
                </c:pt>
                <c:pt idx="68">
                  <c:v>-11.800000000008026</c:v>
                </c:pt>
                <c:pt idx="71">
                  <c:v>-10.800000000003251</c:v>
                </c:pt>
                <c:pt idx="72">
                  <c:v>-10.600000000010823</c:v>
                </c:pt>
                <c:pt idx="73">
                  <c:v>-11.400000000008959</c:v>
                </c:pt>
                <c:pt idx="74">
                  <c:v>-10.500000000007503</c:v>
                </c:pt>
                <c:pt idx="75">
                  <c:v>-10.100000000008436</c:v>
                </c:pt>
                <c:pt idx="77">
                  <c:v>-10.199999999997544</c:v>
                </c:pt>
                <c:pt idx="78">
                  <c:v>-9.9000000000017963</c:v>
                </c:pt>
                <c:pt idx="79">
                  <c:v>-10.199999999997544</c:v>
                </c:pt>
                <c:pt idx="80">
                  <c:v>-9.7000000000093678</c:v>
                </c:pt>
                <c:pt idx="81">
                  <c:v>-9.9000000000017963</c:v>
                </c:pt>
                <c:pt idx="82">
                  <c:v>-9.7000000000093678</c:v>
                </c:pt>
                <c:pt idx="83">
                  <c:v>-8.8999999999970214</c:v>
                </c:pt>
                <c:pt idx="84">
                  <c:v>-8.5000000000121645</c:v>
                </c:pt>
                <c:pt idx="85">
                  <c:v>-9.3000000000103</c:v>
                </c:pt>
                <c:pt idx="86">
                  <c:v>-9.3999999999994088</c:v>
                </c:pt>
                <c:pt idx="87">
                  <c:v>-9.7000000000093678</c:v>
                </c:pt>
                <c:pt idx="88">
                  <c:v>-9.7999999999984766</c:v>
                </c:pt>
                <c:pt idx="89">
                  <c:v>-9.2000000000069804</c:v>
                </c:pt>
                <c:pt idx="90">
                  <c:v>-9.5000000000027285</c:v>
                </c:pt>
                <c:pt idx="91">
                  <c:v>-9.3000000000103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78-44FC-BB66-1B3696B9FA7B}"/>
            </c:ext>
          </c:extLst>
        </c:ser>
        <c:ser>
          <c:idx val="12"/>
          <c:order val="8"/>
          <c:tx>
            <c:strRef>
              <c:f>Graphiques!$AB$35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Graphiques!$AD$36:$AD$71</c:f>
              <c:numCache>
                <c:formatCode>m/d/yyyy</c:formatCode>
                <c:ptCount val="36"/>
              </c:numCache>
            </c:numRef>
          </c:xVal>
          <c:yVal>
            <c:numRef>
              <c:f>Graphiques!$AE$36:$AE$71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378-44FC-BB66-1B3696B9F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65112"/>
        <c:axId val="395665504"/>
      </c:scatterChart>
      <c:scatterChart>
        <c:scatterStyle val="lineMarker"/>
        <c:varyColors val="0"/>
        <c:ser>
          <c:idx val="7"/>
          <c:order val="7"/>
          <c:tx>
            <c:v>PM Front</c:v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'Résultats observations'!$A$10:$A$100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'Résultats observations'!$C$10:$C$100</c:f>
              <c:numCache>
                <c:formatCode>0.0</c:formatCode>
                <c:ptCount val="91"/>
                <c:pt idx="0">
                  <c:v>197.2</c:v>
                </c:pt>
                <c:pt idx="1">
                  <c:v>198.3</c:v>
                </c:pt>
                <c:pt idx="2">
                  <c:v>199</c:v>
                </c:pt>
                <c:pt idx="3">
                  <c:v>199.4</c:v>
                </c:pt>
                <c:pt idx="4">
                  <c:v>200.6</c:v>
                </c:pt>
                <c:pt idx="5">
                  <c:v>200.6</c:v>
                </c:pt>
                <c:pt idx="6">
                  <c:v>200.6</c:v>
                </c:pt>
                <c:pt idx="7">
                  <c:v>202.58</c:v>
                </c:pt>
                <c:pt idx="8">
                  <c:v>203.6</c:v>
                </c:pt>
                <c:pt idx="9">
                  <c:v>203.6</c:v>
                </c:pt>
                <c:pt idx="10">
                  <c:v>206.32</c:v>
                </c:pt>
                <c:pt idx="11">
                  <c:v>206.32</c:v>
                </c:pt>
                <c:pt idx="12">
                  <c:v>206.32</c:v>
                </c:pt>
                <c:pt idx="13">
                  <c:v>206.32</c:v>
                </c:pt>
                <c:pt idx="14">
                  <c:v>207.2</c:v>
                </c:pt>
                <c:pt idx="15">
                  <c:v>208.3</c:v>
                </c:pt>
                <c:pt idx="16">
                  <c:v>210.3</c:v>
                </c:pt>
                <c:pt idx="17">
                  <c:v>213.5</c:v>
                </c:pt>
                <c:pt idx="18">
                  <c:v>213.98</c:v>
                </c:pt>
                <c:pt idx="19">
                  <c:v>215</c:v>
                </c:pt>
                <c:pt idx="20">
                  <c:v>215.55</c:v>
                </c:pt>
                <c:pt idx="21">
                  <c:v>216.87</c:v>
                </c:pt>
                <c:pt idx="22">
                  <c:v>217.72</c:v>
                </c:pt>
                <c:pt idx="23">
                  <c:v>218.8</c:v>
                </c:pt>
                <c:pt idx="24">
                  <c:v>219.45</c:v>
                </c:pt>
                <c:pt idx="25">
                  <c:v>220.5</c:v>
                </c:pt>
                <c:pt idx="26">
                  <c:v>221.7</c:v>
                </c:pt>
                <c:pt idx="27">
                  <c:v>222.9</c:v>
                </c:pt>
                <c:pt idx="28">
                  <c:v>222.9</c:v>
                </c:pt>
                <c:pt idx="29">
                  <c:v>222.9</c:v>
                </c:pt>
                <c:pt idx="30">
                  <c:v>222.9</c:v>
                </c:pt>
                <c:pt idx="31">
                  <c:v>222.9</c:v>
                </c:pt>
                <c:pt idx="32">
                  <c:v>222.9</c:v>
                </c:pt>
                <c:pt idx="33">
                  <c:v>222.9</c:v>
                </c:pt>
                <c:pt idx="34">
                  <c:v>222.9</c:v>
                </c:pt>
                <c:pt idx="35">
                  <c:v>222.9</c:v>
                </c:pt>
                <c:pt idx="36">
                  <c:v>222.9</c:v>
                </c:pt>
                <c:pt idx="37">
                  <c:v>222.9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378-44FC-BB66-1B3696B9F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66288"/>
        <c:axId val="395665896"/>
      </c:scatterChart>
      <c:valAx>
        <c:axId val="395665112"/>
        <c:scaling>
          <c:orientation val="minMax"/>
          <c:max val="45365"/>
          <c:min val="437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88542330759379761"/>
              <c:y val="0.84926414603579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665504"/>
        <c:crossesAt val="0"/>
        <c:crossBetween val="midCat"/>
        <c:majorUnit val="30"/>
      </c:valAx>
      <c:valAx>
        <c:axId val="395665504"/>
        <c:scaling>
          <c:orientation val="minMax"/>
          <c:max val="2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665112"/>
        <c:crosses val="autoZero"/>
        <c:crossBetween val="midCat"/>
        <c:majorUnit val="10"/>
        <c:minorUnit val="2"/>
      </c:valAx>
      <c:valAx>
        <c:axId val="39566589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666288"/>
        <c:crosses val="max"/>
        <c:crossBetween val="midCat"/>
      </c:valAx>
      <c:valAx>
        <c:axId val="395666288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395665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ayout>
        <c:manualLayout>
          <c:xMode val="edge"/>
          <c:yMode val="edge"/>
          <c:x val="0.59621291215223382"/>
          <c:y val="0.34841779789169863"/>
          <c:w val="0.29096958207231793"/>
          <c:h val="0.211512909618395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5" footer="0.4921259845000045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PM</a:t>
            </a:r>
          </a:p>
        </c:rich>
      </c:tx>
      <c:layout>
        <c:manualLayout>
          <c:xMode val="edge"/>
          <c:yMode val="edge"/>
          <c:x val="0.38461156123600954"/>
          <c:y val="9.33153626067017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2477892510627204E-2"/>
          <c:y val="5.4611383036579891E-2"/>
          <c:w val="0.82723288802382844"/>
          <c:h val="0.74389893830839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Déplacements!$C$10:$C$150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0.17558600995926099</c:v>
                </c:pt>
                <c:pt idx="2">
                  <c:v>3.7019210282096537E-2</c:v>
                </c:pt>
                <c:pt idx="3">
                  <c:v>-0.24096726977518301</c:v>
                </c:pt>
                <c:pt idx="4">
                  <c:v>0.83081613462354653</c:v>
                </c:pt>
                <c:pt idx="5">
                  <c:v>-0.33159642626401364</c:v>
                </c:pt>
                <c:pt idx="6">
                  <c:v>0.43081613461026791</c:v>
                </c:pt>
                <c:pt idx="7">
                  <c:v>-0.14338632038857213</c:v>
                </c:pt>
                <c:pt idx="8">
                  <c:v>0.73081613462022688</c:v>
                </c:pt>
                <c:pt idx="9">
                  <c:v>-0.56918386539450694</c:v>
                </c:pt>
                <c:pt idx="10">
                  <c:v>-0.46918386539118728</c:v>
                </c:pt>
                <c:pt idx="11">
                  <c:v>0.63081613461690722</c:v>
                </c:pt>
                <c:pt idx="12">
                  <c:v>-0.66918386539782659</c:v>
                </c:pt>
                <c:pt idx="13">
                  <c:v>-6.918386537790866E-2</c:v>
                </c:pt>
                <c:pt idx="14">
                  <c:v>-0.46918386539118728</c:v>
                </c:pt>
                <c:pt idx="15">
                  <c:v>2.5461345330768381E-2</c:v>
                </c:pt>
                <c:pt idx="16">
                  <c:v>-0.51483801709650834</c:v>
                </c:pt>
                <c:pt idx="17">
                  <c:v>-2.0034816513430087</c:v>
                </c:pt>
                <c:pt idx="18">
                  <c:v>-0.98869028229842115</c:v>
                </c:pt>
                <c:pt idx="19">
                  <c:v>0.52675802274393391</c:v>
                </c:pt>
                <c:pt idx="20">
                  <c:v>0.46009758239051735</c:v>
                </c:pt>
                <c:pt idx="21">
                  <c:v>0.72588645605264901</c:v>
                </c:pt>
                <c:pt idx="22">
                  <c:v>-2.0278767586034974</c:v>
                </c:pt>
                <c:pt idx="23">
                  <c:v>-0.56918386539450694</c:v>
                </c:pt>
                <c:pt idx="24">
                  <c:v>-0.82005606529378383</c:v>
                </c:pt>
                <c:pt idx="25">
                  <c:v>0.2308161346036286</c:v>
                </c:pt>
                <c:pt idx="26">
                  <c:v>0.13081613460030894</c:v>
                </c:pt>
                <c:pt idx="27">
                  <c:v>-0.76918386537272454</c:v>
                </c:pt>
                <c:pt idx="28">
                  <c:v>0.13081613460030894</c:v>
                </c:pt>
                <c:pt idx="29">
                  <c:v>-6.918386537790866E-2</c:v>
                </c:pt>
                <c:pt idx="30">
                  <c:v>-0.270181904824085</c:v>
                </c:pt>
                <c:pt idx="31">
                  <c:v>0.2308161346036286</c:v>
                </c:pt>
                <c:pt idx="32">
                  <c:v>-1.1691838653860032</c:v>
                </c:pt>
                <c:pt idx="33">
                  <c:v>-0.56918386539450694</c:v>
                </c:pt>
                <c:pt idx="34">
                  <c:v>-0.76918386537272454</c:v>
                </c:pt>
                <c:pt idx="35">
                  <c:v>-0.26918386538454797</c:v>
                </c:pt>
                <c:pt idx="36">
                  <c:v>3.0816134625410996E-2</c:v>
                </c:pt>
                <c:pt idx="37">
                  <c:v>3.0816134625410996E-2</c:v>
                </c:pt>
                <c:pt idx="38">
                  <c:v>0.2308161346036286</c:v>
                </c:pt>
                <c:pt idx="39">
                  <c:v>0.2308161346036286</c:v>
                </c:pt>
                <c:pt idx="40">
                  <c:v>1.1308161346050838</c:v>
                </c:pt>
                <c:pt idx="41">
                  <c:v>0.63081613461690722</c:v>
                </c:pt>
                <c:pt idx="43">
                  <c:v>-6.918386537790866E-2</c:v>
                </c:pt>
                <c:pt idx="44">
                  <c:v>1.9598082361085289</c:v>
                </c:pt>
                <c:pt idx="45">
                  <c:v>0.73936334135282777</c:v>
                </c:pt>
                <c:pt idx="46">
                  <c:v>1.8447838668578243</c:v>
                </c:pt>
                <c:pt idx="47">
                  <c:v>1.1925093347144866</c:v>
                </c:pt>
                <c:pt idx="53">
                  <c:v>-1.2540527648354782</c:v>
                </c:pt>
                <c:pt idx="54">
                  <c:v>-1.6891155969460669</c:v>
                </c:pt>
                <c:pt idx="55">
                  <c:v>-2.9877787970065128</c:v>
                </c:pt>
                <c:pt idx="56">
                  <c:v>-3.2113024430486803</c:v>
                </c:pt>
                <c:pt idx="57">
                  <c:v>-3.1629384158122775</c:v>
                </c:pt>
                <c:pt idx="58">
                  <c:v>-3.6343809206584865</c:v>
                </c:pt>
                <c:pt idx="59">
                  <c:v>-3.2413699659059603</c:v>
                </c:pt>
                <c:pt idx="60">
                  <c:v>-2.9276436529528382</c:v>
                </c:pt>
                <c:pt idx="61">
                  <c:v>-2.9333160685212079</c:v>
                </c:pt>
                <c:pt idx="62">
                  <c:v>-2.7163176132489752</c:v>
                </c:pt>
                <c:pt idx="63">
                  <c:v>-2.7703540560821693</c:v>
                </c:pt>
                <c:pt idx="64">
                  <c:v>-2.0575179887032391</c:v>
                </c:pt>
                <c:pt idx="65">
                  <c:v>-3.1080491906720908</c:v>
                </c:pt>
                <c:pt idx="66">
                  <c:v>-3.0235188338281205</c:v>
                </c:pt>
                <c:pt idx="67">
                  <c:v>-3.0235188338281205</c:v>
                </c:pt>
                <c:pt idx="68">
                  <c:v>-2.449675957279851</c:v>
                </c:pt>
                <c:pt idx="69">
                  <c:v>-2.799995187785953</c:v>
                </c:pt>
                <c:pt idx="70">
                  <c:v>-3.6104120990785304</c:v>
                </c:pt>
                <c:pt idx="71">
                  <c:v>-3.2539940689275682</c:v>
                </c:pt>
                <c:pt idx="72">
                  <c:v>-3.0544392373599294</c:v>
                </c:pt>
                <c:pt idx="73">
                  <c:v>-5.5733341928601021</c:v>
                </c:pt>
                <c:pt idx="74">
                  <c:v>-3.3202280126545247</c:v>
                </c:pt>
                <c:pt idx="75">
                  <c:v>-3.4470235970900376</c:v>
                </c:pt>
                <c:pt idx="77">
                  <c:v>-3.4409248958411354</c:v>
                </c:pt>
                <c:pt idx="78">
                  <c:v>-3.3137029202521262</c:v>
                </c:pt>
                <c:pt idx="79">
                  <c:v>-4.292754048549341</c:v>
                </c:pt>
                <c:pt idx="80">
                  <c:v>-3.8457069603339278</c:v>
                </c:pt>
                <c:pt idx="81">
                  <c:v>-2.4562012535511712</c:v>
                </c:pt>
                <c:pt idx="82">
                  <c:v>-2.395639612842615</c:v>
                </c:pt>
                <c:pt idx="83">
                  <c:v>-2.9455135693865486</c:v>
                </c:pt>
                <c:pt idx="84">
                  <c:v>-2.62526206563507</c:v>
                </c:pt>
                <c:pt idx="85">
                  <c:v>-2.2082823947471297</c:v>
                </c:pt>
                <c:pt idx="86">
                  <c:v>-2.4801699696865853</c:v>
                </c:pt>
                <c:pt idx="87">
                  <c:v>-2.5707992316483796</c:v>
                </c:pt>
                <c:pt idx="88">
                  <c:v>-2.5285340039999937</c:v>
                </c:pt>
                <c:pt idx="89">
                  <c:v>-1.9424936194809561</c:v>
                </c:pt>
                <c:pt idx="90">
                  <c:v>-1.6767047458188244</c:v>
                </c:pt>
                <c:pt idx="91">
                  <c:v>-1.8516512182600309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1-4152-ADF6-D8149AA43D16}"/>
            </c:ext>
          </c:extLst>
        </c:ser>
        <c:ser>
          <c:idx val="5"/>
          <c:order val="1"/>
          <c:tx>
            <c:strRef>
              <c:f>Déplacements!$F$9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Déplacements!$F$10:$F$150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-9.551380033570922</c:v>
                </c:pt>
                <c:pt idx="2">
                  <c:v>-9.2790660675063918</c:v>
                </c:pt>
                <c:pt idx="3">
                  <c:v>-9.8651065504498092</c:v>
                </c:pt>
                <c:pt idx="4">
                  <c:v>-8.7769517596427704</c:v>
                </c:pt>
                <c:pt idx="5">
                  <c:v>-9.5993176767592558</c:v>
                </c:pt>
                <c:pt idx="6">
                  <c:v>-9.176951759656049</c:v>
                </c:pt>
                <c:pt idx="7">
                  <c:v>-9.1392200944255819</c:v>
                </c:pt>
                <c:pt idx="8">
                  <c:v>-8.5769517596645528</c:v>
                </c:pt>
                <c:pt idx="9">
                  <c:v>-9.3769517596626883</c:v>
                </c:pt>
                <c:pt idx="10">
                  <c:v>-9.4769517596375863</c:v>
                </c:pt>
                <c:pt idx="11">
                  <c:v>-7.9769517596446349</c:v>
                </c:pt>
                <c:pt idx="12">
                  <c:v>-9.3769517596626883</c:v>
                </c:pt>
                <c:pt idx="13">
                  <c:v>-8.3769517596579135</c:v>
                </c:pt>
                <c:pt idx="14">
                  <c:v>-8.5769517596645528</c:v>
                </c:pt>
                <c:pt idx="15">
                  <c:v>-9.2783554812285729</c:v>
                </c:pt>
                <c:pt idx="16">
                  <c:v>-9.5599101909442652</c:v>
                </c:pt>
                <c:pt idx="17">
                  <c:v>-10.763594067441318</c:v>
                </c:pt>
                <c:pt idx="18">
                  <c:v>-9.8394320587829043</c:v>
                </c:pt>
                <c:pt idx="19">
                  <c:v>-8.6320376582023073</c:v>
                </c:pt>
                <c:pt idx="20">
                  <c:v>-8.6625316706090416</c:v>
                </c:pt>
                <c:pt idx="21">
                  <c:v>-8.2516508064713889</c:v>
                </c:pt>
                <c:pt idx="22">
                  <c:v>-11.011512926245359</c:v>
                </c:pt>
                <c:pt idx="23">
                  <c:v>-9.0769517596527294</c:v>
                </c:pt>
                <c:pt idx="24">
                  <c:v>-9.7130627670480862</c:v>
                </c:pt>
                <c:pt idx="25">
                  <c:v>-8.6769517596394508</c:v>
                </c:pt>
                <c:pt idx="26">
                  <c:v>-8.6769517596394508</c:v>
                </c:pt>
                <c:pt idx="27">
                  <c:v>-9.0769517596527294</c:v>
                </c:pt>
                <c:pt idx="28">
                  <c:v>-8.6769517596394508</c:v>
                </c:pt>
                <c:pt idx="30">
                  <c:v>-9.3623171454169096</c:v>
                </c:pt>
                <c:pt idx="31">
                  <c:v>-8.9769517596494097</c:v>
                </c:pt>
                <c:pt idx="32">
                  <c:v>-9.5769517596409059</c:v>
                </c:pt>
                <c:pt idx="33">
                  <c:v>-9.6769517596442256</c:v>
                </c:pt>
                <c:pt idx="34">
                  <c:v>-9.5769517596409059</c:v>
                </c:pt>
                <c:pt idx="35">
                  <c:v>-9.2769517596593687</c:v>
                </c:pt>
                <c:pt idx="36">
                  <c:v>-8.7769517596427704</c:v>
                </c:pt>
                <c:pt idx="37">
                  <c:v>-8.8769517596460901</c:v>
                </c:pt>
                <c:pt idx="40">
                  <c:v>-7.8769517596413152</c:v>
                </c:pt>
                <c:pt idx="41">
                  <c:v>-8.7769517596427704</c:v>
                </c:pt>
                <c:pt idx="43">
                  <c:v>-8.4769517596612332</c:v>
                </c:pt>
                <c:pt idx="44">
                  <c:v>-6.6974774171910667</c:v>
                </c:pt>
                <c:pt idx="45">
                  <c:v>-7.9662863462317546</c:v>
                </c:pt>
                <c:pt idx="46">
                  <c:v>-7.5253378537638582</c:v>
                </c:pt>
                <c:pt idx="49">
                  <c:v>-7.5253378537638582</c:v>
                </c:pt>
                <c:pt idx="50">
                  <c:v>-6.7727504443553244</c:v>
                </c:pt>
                <c:pt idx="51">
                  <c:v>-7.4253378537605386</c:v>
                </c:pt>
                <c:pt idx="52">
                  <c:v>-7.9936217302076784</c:v>
                </c:pt>
                <c:pt idx="53">
                  <c:v>-7.3409209124122299</c:v>
                </c:pt>
                <c:pt idx="54">
                  <c:v>-7.2986555792908803</c:v>
                </c:pt>
                <c:pt idx="55">
                  <c:v>-8.6275996524420862</c:v>
                </c:pt>
                <c:pt idx="56">
                  <c:v>-8.851123298541097</c:v>
                </c:pt>
                <c:pt idx="57">
                  <c:v>-9.4249661751177882</c:v>
                </c:pt>
                <c:pt idx="58">
                  <c:v>-9.9386738091880034</c:v>
                </c:pt>
                <c:pt idx="59">
                  <c:v>-9.3282381135111336</c:v>
                </c:pt>
                <c:pt idx="60">
                  <c:v>-9.0145118005295899</c:v>
                </c:pt>
                <c:pt idx="61">
                  <c:v>-9.3705033411026761</c:v>
                </c:pt>
                <c:pt idx="62">
                  <c:v>-9.2441341477922379</c:v>
                </c:pt>
                <c:pt idx="63">
                  <c:v>-8.851123298541097</c:v>
                </c:pt>
                <c:pt idx="64">
                  <c:v>-8.3195456496127917</c:v>
                </c:pt>
                <c:pt idx="65">
                  <c:v>-8.9774924918515353</c:v>
                </c:pt>
                <c:pt idx="66">
                  <c:v>-8.8445982061671202</c:v>
                </c:pt>
                <c:pt idx="67">
                  <c:v>-8.9774924918515353</c:v>
                </c:pt>
                <c:pt idx="68">
                  <c:v>-8.4942789756325965</c:v>
                </c:pt>
                <c:pt idx="69">
                  <c:v>-8.7962340734293321</c:v>
                </c:pt>
                <c:pt idx="70">
                  <c:v>-9.6972802466837038</c:v>
                </c:pt>
                <c:pt idx="71">
                  <c:v>-9.2563317541873857</c:v>
                </c:pt>
                <c:pt idx="72">
                  <c:v>-9.141307384936681</c:v>
                </c:pt>
                <c:pt idx="73">
                  <c:v>-11.925991108626022</c:v>
                </c:pt>
                <c:pt idx="74">
                  <c:v>-9.183572612585067</c:v>
                </c:pt>
                <c:pt idx="75">
                  <c:v>-9.8057793195778231</c:v>
                </c:pt>
                <c:pt idx="76">
                  <c:v>-9.2981705906822754</c:v>
                </c:pt>
                <c:pt idx="77">
                  <c:v>-9.6184221999067177</c:v>
                </c:pt>
                <c:pt idx="78">
                  <c:v>-9.7147237719923396</c:v>
                </c:pt>
                <c:pt idx="79">
                  <c:v>-10.560880614605139</c:v>
                </c:pt>
                <c:pt idx="80">
                  <c:v>-9.9809390368079676</c:v>
                </c:pt>
                <c:pt idx="81">
                  <c:v>-9.1230109789535163</c:v>
                </c:pt>
                <c:pt idx="82">
                  <c:v>-9.6001256883937458</c:v>
                </c:pt>
                <c:pt idx="83">
                  <c:v>-10.149999848891866</c:v>
                </c:pt>
                <c:pt idx="84">
                  <c:v>-9.3404357198778598</c:v>
                </c:pt>
                <c:pt idx="85">
                  <c:v>-8.7060313080939977</c:v>
                </c:pt>
                <c:pt idx="86">
                  <c:v>-8.8872897264877793</c:v>
                </c:pt>
                <c:pt idx="87">
                  <c:v>-8.7543953353304005</c:v>
                </c:pt>
                <c:pt idx="88">
                  <c:v>-9.4249661751177882</c:v>
                </c:pt>
                <c:pt idx="89">
                  <c:v>-8.9718201817561294</c:v>
                </c:pt>
                <c:pt idx="90">
                  <c:v>-8.712130107738858</c:v>
                </c:pt>
                <c:pt idx="91">
                  <c:v>-7.9084517374781171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81-4152-ADF6-D8149AA43D16}"/>
            </c:ext>
          </c:extLst>
        </c:ser>
        <c:ser>
          <c:idx val="3"/>
          <c:order val="2"/>
          <c:tx>
            <c:strRef>
              <c:f>Déplacements!$I$9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Déplacements!$I$10:$I$100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0.26011646519918941</c:v>
                </c:pt>
                <c:pt idx="2">
                  <c:v>0.52633163161885932</c:v>
                </c:pt>
                <c:pt idx="3">
                  <c:v>-0.38563277067282797</c:v>
                </c:pt>
                <c:pt idx="4">
                  <c:v>0.35175721075120236</c:v>
                </c:pt>
                <c:pt idx="5">
                  <c:v>-0.16820792424709907</c:v>
                </c:pt>
                <c:pt idx="6">
                  <c:v>0.35175721075120236</c:v>
                </c:pt>
                <c:pt idx="7">
                  <c:v>-0.28195312003731487</c:v>
                </c:pt>
                <c:pt idx="8">
                  <c:v>0.45175721075452202</c:v>
                </c:pt>
                <c:pt idx="9">
                  <c:v>-0.74824278925689214</c:v>
                </c:pt>
                <c:pt idx="10">
                  <c:v>-0.54824278925025283</c:v>
                </c:pt>
                <c:pt idx="11">
                  <c:v>0.85175721073937893</c:v>
                </c:pt>
                <c:pt idx="12">
                  <c:v>-0.64824278925357248</c:v>
                </c:pt>
                <c:pt idx="13">
                  <c:v>-0.34824278927203522</c:v>
                </c:pt>
                <c:pt idx="14">
                  <c:v>-0.34824278927203522</c:v>
                </c:pt>
                <c:pt idx="15">
                  <c:v>-0.48065506379657563</c:v>
                </c:pt>
                <c:pt idx="16">
                  <c:v>-1.3018482049460545</c:v>
                </c:pt>
                <c:pt idx="17">
                  <c:v>-2.6666743070506982</c:v>
                </c:pt>
                <c:pt idx="18">
                  <c:v>-1.6457843422585938</c:v>
                </c:pt>
                <c:pt idx="19">
                  <c:v>-0.29329794415389188</c:v>
                </c:pt>
                <c:pt idx="20">
                  <c:v>-0.36605708572778894</c:v>
                </c:pt>
                <c:pt idx="21">
                  <c:v>-0.13643473843671927</c:v>
                </c:pt>
                <c:pt idx="22">
                  <c:v>-2.6305079845485579</c:v>
                </c:pt>
                <c:pt idx="23">
                  <c:v>-1.0482427892668511</c:v>
                </c:pt>
                <c:pt idx="24">
                  <c:v>-1.5494827702013936</c:v>
                </c:pt>
                <c:pt idx="25">
                  <c:v>-0.64824278925357248</c:v>
                </c:pt>
                <c:pt idx="26">
                  <c:v>-0.54824278925025283</c:v>
                </c:pt>
                <c:pt idx="27">
                  <c:v>-1.2482427892450687</c:v>
                </c:pt>
                <c:pt idx="28">
                  <c:v>-0.74824278925689214</c:v>
                </c:pt>
                <c:pt idx="29">
                  <c:v>-0.24824278926871557</c:v>
                </c:pt>
                <c:pt idx="30">
                  <c:v>-1.1142066933018668</c:v>
                </c:pt>
                <c:pt idx="31">
                  <c:v>-0.44824278924693317</c:v>
                </c:pt>
                <c:pt idx="32">
                  <c:v>-1.0482427892668511</c:v>
                </c:pt>
                <c:pt idx="33">
                  <c:v>-1.1482427892701708</c:v>
                </c:pt>
                <c:pt idx="34">
                  <c:v>-1.2482427892450687</c:v>
                </c:pt>
                <c:pt idx="35">
                  <c:v>-0.54824278925025283</c:v>
                </c:pt>
                <c:pt idx="36">
                  <c:v>-0.54824278925025283</c:v>
                </c:pt>
                <c:pt idx="37">
                  <c:v>-0.94824278926353145</c:v>
                </c:pt>
                <c:pt idx="38">
                  <c:v>-0.54824278925025283</c:v>
                </c:pt>
                <c:pt idx="39">
                  <c:v>-0.64824278925357248</c:v>
                </c:pt>
                <c:pt idx="40">
                  <c:v>-0.14824278926539591</c:v>
                </c:pt>
                <c:pt idx="41">
                  <c:v>-4.8242789262076258E-2</c:v>
                </c:pt>
                <c:pt idx="43">
                  <c:v>-0.54824278925025283</c:v>
                </c:pt>
                <c:pt idx="45">
                  <c:v>-0.10466144709653236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81-4152-ADF6-D8149AA43D16}"/>
            </c:ext>
          </c:extLst>
        </c:ser>
        <c:ser>
          <c:idx val="1"/>
          <c:order val="3"/>
          <c:tx>
            <c:strRef>
              <c:f>Déplacements!$L$9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Déplacements!$L$10:$L$150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-0.10849927681988447</c:v>
                </c:pt>
                <c:pt idx="2">
                  <c:v>-1.1716544763373804</c:v>
                </c:pt>
                <c:pt idx="3">
                  <c:v>-2.3559329430611342</c:v>
                </c:pt>
                <c:pt idx="4">
                  <c:v>-3.033115571952294</c:v>
                </c:pt>
                <c:pt idx="5">
                  <c:v>-2.9724673399869062</c:v>
                </c:pt>
                <c:pt idx="6">
                  <c:v>-2.8331155719456547</c:v>
                </c:pt>
                <c:pt idx="7">
                  <c:v>-4.4216817997266844</c:v>
                </c:pt>
                <c:pt idx="8">
                  <c:v>-4.2331155719352864</c:v>
                </c:pt>
                <c:pt idx="9">
                  <c:v>-5.5331155719500202</c:v>
                </c:pt>
                <c:pt idx="10">
                  <c:v>-6.1331155719415165</c:v>
                </c:pt>
                <c:pt idx="11">
                  <c:v>-4.9331155719301023</c:v>
                </c:pt>
                <c:pt idx="12">
                  <c:v>-6.5331155719547951</c:v>
                </c:pt>
                <c:pt idx="13">
                  <c:v>-6.2331155719448361</c:v>
                </c:pt>
                <c:pt idx="14">
                  <c:v>-6.2331155719448361</c:v>
                </c:pt>
                <c:pt idx="15">
                  <c:v>-7.2738787460764343</c:v>
                </c:pt>
                <c:pt idx="16">
                  <c:v>-7.9834522708210898</c:v>
                </c:pt>
                <c:pt idx="17">
                  <c:v>-10.040266063725767</c:v>
                </c:pt>
                <c:pt idx="18">
                  <c:v>-9.6899468332196648</c:v>
                </c:pt>
                <c:pt idx="19">
                  <c:v>-8.4581573183015735</c:v>
                </c:pt>
                <c:pt idx="20">
                  <c:v>-7.908709654515178</c:v>
                </c:pt>
                <c:pt idx="21">
                  <c:v>-8.0054377161218326</c:v>
                </c:pt>
                <c:pt idx="22">
                  <c:v>-11.14611298038426</c:v>
                </c:pt>
                <c:pt idx="23">
                  <c:v>-9.8331155719506569</c:v>
                </c:pt>
                <c:pt idx="24">
                  <c:v>-9.841564119966506</c:v>
                </c:pt>
                <c:pt idx="25">
                  <c:v>-9.0331155719525213</c:v>
                </c:pt>
                <c:pt idx="26">
                  <c:v>-9.7331155719473372</c:v>
                </c:pt>
                <c:pt idx="27">
                  <c:v>-10.133115571932194</c:v>
                </c:pt>
                <c:pt idx="28">
                  <c:v>-9.9331155719539765</c:v>
                </c:pt>
                <c:pt idx="29">
                  <c:v>-9.1331155719274193</c:v>
                </c:pt>
                <c:pt idx="30">
                  <c:v>-9.5757752463327961</c:v>
                </c:pt>
                <c:pt idx="31">
                  <c:v>-9.3331155719340586</c:v>
                </c:pt>
                <c:pt idx="32">
                  <c:v>-10.433115571942153</c:v>
                </c:pt>
                <c:pt idx="33">
                  <c:v>-10.233115571935514</c:v>
                </c:pt>
                <c:pt idx="34">
                  <c:v>-10.533115571945473</c:v>
                </c:pt>
                <c:pt idx="35">
                  <c:v>-11.433115571946928</c:v>
                </c:pt>
                <c:pt idx="36">
                  <c:v>-11.833115571931785</c:v>
                </c:pt>
                <c:pt idx="37">
                  <c:v>-11.933115571935105</c:v>
                </c:pt>
                <c:pt idx="38">
                  <c:v>-11.633115571953567</c:v>
                </c:pt>
                <c:pt idx="39">
                  <c:v>-11.133115571936969</c:v>
                </c:pt>
                <c:pt idx="40">
                  <c:v>-10.93311557193033</c:v>
                </c:pt>
                <c:pt idx="41">
                  <c:v>-9.9331155719539765</c:v>
                </c:pt>
                <c:pt idx="43">
                  <c:v>-11.633115571953567</c:v>
                </c:pt>
                <c:pt idx="44">
                  <c:v>-9.1823381042956953</c:v>
                </c:pt>
                <c:pt idx="45">
                  <c:v>-11.321272599190024</c:v>
                </c:pt>
                <c:pt idx="46">
                  <c:v>-9.5936453666638499</c:v>
                </c:pt>
                <c:pt idx="47">
                  <c:v>-10.161389338065874</c:v>
                </c:pt>
                <c:pt idx="49">
                  <c:v>-10.161389338065874</c:v>
                </c:pt>
                <c:pt idx="50">
                  <c:v>-9.7000695625695244</c:v>
                </c:pt>
                <c:pt idx="51">
                  <c:v>-10.161389338065874</c:v>
                </c:pt>
                <c:pt idx="52">
                  <c:v>-10.069111695713673</c:v>
                </c:pt>
                <c:pt idx="53">
                  <c:v>-10.769750156754299</c:v>
                </c:pt>
                <c:pt idx="54">
                  <c:v>-10.775635613185841</c:v>
                </c:pt>
                <c:pt idx="55">
                  <c:v>-13.065121360682497</c:v>
                </c:pt>
                <c:pt idx="56">
                  <c:v>-13.288645006724664</c:v>
                </c:pt>
                <c:pt idx="57">
                  <c:v>-13.566631388385986</c:v>
                </c:pt>
                <c:pt idx="58">
                  <c:v>-14.080339015350773</c:v>
                </c:pt>
                <c:pt idx="59">
                  <c:v>-13.651161843625914</c:v>
                </c:pt>
                <c:pt idx="60">
                  <c:v>-13.150078207075921</c:v>
                </c:pt>
                <c:pt idx="61">
                  <c:v>-13.602797809255662</c:v>
                </c:pt>
                <c:pt idx="62">
                  <c:v>-13.295170204628448</c:v>
                </c:pt>
                <c:pt idx="63">
                  <c:v>-13.349206541988679</c:v>
                </c:pt>
                <c:pt idx="64">
                  <c:v>-12.908258154993746</c:v>
                </c:pt>
                <c:pt idx="65">
                  <c:v>-13.469477034050215</c:v>
                </c:pt>
                <c:pt idx="66">
                  <c:v>-13.384946578810286</c:v>
                </c:pt>
                <c:pt idx="67">
                  <c:v>-13.566204997232489</c:v>
                </c:pt>
                <c:pt idx="68">
                  <c:v>-13.258150994346352</c:v>
                </c:pt>
                <c:pt idx="69">
                  <c:v>-14.297337470651428</c:v>
                </c:pt>
                <c:pt idx="70">
                  <c:v>-14.624540661856145</c:v>
                </c:pt>
                <c:pt idx="71">
                  <c:v>-14.26202393045628</c:v>
                </c:pt>
                <c:pt idx="72">
                  <c:v>-14.926495865069001</c:v>
                </c:pt>
                <c:pt idx="73">
                  <c:v>-16.532999921679448</c:v>
                </c:pt>
                <c:pt idx="74">
                  <c:v>-14.600145554595656</c:v>
                </c:pt>
                <c:pt idx="75">
                  <c:v>-15.488141135278966</c:v>
                </c:pt>
                <c:pt idx="76">
                  <c:v>-15.222352360012792</c:v>
                </c:pt>
                <c:pt idx="77">
                  <c:v>-15.041093941533745</c:v>
                </c:pt>
                <c:pt idx="78">
                  <c:v>-15.312555125319705</c:v>
                </c:pt>
                <c:pt idx="79">
                  <c:v>-15.627134326109626</c:v>
                </c:pt>
                <c:pt idx="80">
                  <c:v>-15.494239934923826</c:v>
                </c:pt>
                <c:pt idx="81">
                  <c:v>-14.534038018041429</c:v>
                </c:pt>
                <c:pt idx="82">
                  <c:v>-15.532573530066429</c:v>
                </c:pt>
                <c:pt idx="83">
                  <c:v>-16.327346290466949</c:v>
                </c:pt>
                <c:pt idx="84">
                  <c:v>-15.608411521867538</c:v>
                </c:pt>
                <c:pt idx="85">
                  <c:v>-15.511683460232462</c:v>
                </c:pt>
                <c:pt idx="86">
                  <c:v>-15.783571140644881</c:v>
                </c:pt>
                <c:pt idx="87">
                  <c:v>-15.964829559095506</c:v>
                </c:pt>
                <c:pt idx="88">
                  <c:v>-15.735207106303051</c:v>
                </c:pt>
                <c:pt idx="89">
                  <c:v>-15.5417510814857</c:v>
                </c:pt>
                <c:pt idx="90">
                  <c:v>-15.378789076123667</c:v>
                </c:pt>
                <c:pt idx="91">
                  <c:v>-14.411935448720214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81-4152-ADF6-D8149AA43D16}"/>
            </c:ext>
          </c:extLst>
        </c:ser>
        <c:ser>
          <c:idx val="4"/>
          <c:order val="4"/>
          <c:tx>
            <c:strRef>
              <c:f>Déplacements!$O$9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Déplacements!$O$10:$O$100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-0.28365889565407088</c:v>
                </c:pt>
                <c:pt idx="2">
                  <c:v>-0.59781159976068921</c:v>
                </c:pt>
                <c:pt idx="3">
                  <c:v>-0.56774407693183093</c:v>
                </c:pt>
                <c:pt idx="4">
                  <c:v>-0.20967949382111328</c:v>
                </c:pt>
                <c:pt idx="5">
                  <c:v>-0.25401766552590743</c:v>
                </c:pt>
                <c:pt idx="6">
                  <c:v>-0.30967949382443294</c:v>
                </c:pt>
                <c:pt idx="7">
                  <c:v>-0.10240047717502421</c:v>
                </c:pt>
                <c:pt idx="8">
                  <c:v>0.99032050619030088</c:v>
                </c:pt>
                <c:pt idx="9">
                  <c:v>0.39032050617038294</c:v>
                </c:pt>
                <c:pt idx="10">
                  <c:v>0.89032050618698122</c:v>
                </c:pt>
                <c:pt idx="11">
                  <c:v>2.4903205061832523</c:v>
                </c:pt>
                <c:pt idx="12">
                  <c:v>0.99032050619030088</c:v>
                </c:pt>
                <c:pt idx="13">
                  <c:v>1.7903205061884364</c:v>
                </c:pt>
                <c:pt idx="14">
                  <c:v>1.9903205061950757</c:v>
                </c:pt>
                <c:pt idx="15">
                  <c:v>1.1211864599545152</c:v>
                </c:pt>
                <c:pt idx="16">
                  <c:v>0.36230358500688453</c:v>
                </c:pt>
                <c:pt idx="17">
                  <c:v>-0.90629209219628137</c:v>
                </c:pt>
                <c:pt idx="18">
                  <c:v>-0.32635041597472991</c:v>
                </c:pt>
                <c:pt idx="19">
                  <c:v>1.4370168533446304</c:v>
                </c:pt>
                <c:pt idx="20">
                  <c:v>1.5877812523115153</c:v>
                </c:pt>
                <c:pt idx="21">
                  <c:v>1.7145768367470282</c:v>
                </c:pt>
                <c:pt idx="22">
                  <c:v>-0.80389172049422086</c:v>
                </c:pt>
                <c:pt idx="23">
                  <c:v>0.69032050618034191</c:v>
                </c:pt>
                <c:pt idx="24">
                  <c:v>0.50065723834791243</c:v>
                </c:pt>
                <c:pt idx="25">
                  <c:v>1.4903205061784774</c:v>
                </c:pt>
                <c:pt idx="26">
                  <c:v>1.0903205061936205</c:v>
                </c:pt>
                <c:pt idx="27">
                  <c:v>0.59032050617702225</c:v>
                </c:pt>
                <c:pt idx="28">
                  <c:v>0.79032050618366156</c:v>
                </c:pt>
                <c:pt idx="29">
                  <c:v>1.4903205061784774</c:v>
                </c:pt>
                <c:pt idx="30">
                  <c:v>1.9568232870881275</c:v>
                </c:pt>
                <c:pt idx="31">
                  <c:v>2.0903205061699737</c:v>
                </c:pt>
                <c:pt idx="32">
                  <c:v>1.4903205061784774</c:v>
                </c:pt>
                <c:pt idx="33">
                  <c:v>1.5903205061817971</c:v>
                </c:pt>
                <c:pt idx="34">
                  <c:v>1.2903205061718381</c:v>
                </c:pt>
                <c:pt idx="35">
                  <c:v>1.8903205061917561</c:v>
                </c:pt>
                <c:pt idx="36">
                  <c:v>1.5903205061817971</c:v>
                </c:pt>
                <c:pt idx="37">
                  <c:v>1.1903205061685185</c:v>
                </c:pt>
                <c:pt idx="38">
                  <c:v>1.4903205061784774</c:v>
                </c:pt>
                <c:pt idx="39">
                  <c:v>1.3903205061751578</c:v>
                </c:pt>
                <c:pt idx="40">
                  <c:v>1.8903205061917561</c:v>
                </c:pt>
                <c:pt idx="41">
                  <c:v>1.5903205061817971</c:v>
                </c:pt>
                <c:pt idx="43">
                  <c:v>0.79032050618366156</c:v>
                </c:pt>
                <c:pt idx="44">
                  <c:v>2.3441617278479043</c:v>
                </c:pt>
                <c:pt idx="45">
                  <c:v>1.437869635651623</c:v>
                </c:pt>
                <c:pt idx="46">
                  <c:v>1.8788180226181339</c:v>
                </c:pt>
                <c:pt idx="47">
                  <c:v>0.89409438032816979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81-4152-ADF6-D8149AA43D16}"/>
            </c:ext>
          </c:extLst>
        </c:ser>
        <c:ser>
          <c:idx val="6"/>
          <c:order val="5"/>
          <c:tx>
            <c:strRef>
              <c:f>Déplacements!$R$9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Déplacements!$R$10:$R$100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-0.3742880521144798</c:v>
                </c:pt>
                <c:pt idx="2">
                  <c:v>-0.320251609252864</c:v>
                </c:pt>
                <c:pt idx="3">
                  <c:v>-0.26011646519918941</c:v>
                </c:pt>
                <c:pt idx="4">
                  <c:v>0.87710783896000066</c:v>
                </c:pt>
                <c:pt idx="5">
                  <c:v>0.25883718626573682</c:v>
                </c:pt>
                <c:pt idx="6">
                  <c:v>7.7107838961865127E-2</c:v>
                </c:pt>
                <c:pt idx="7">
                  <c:v>-0.79212050525256927</c:v>
                </c:pt>
                <c:pt idx="8">
                  <c:v>-0.22289216104809384</c:v>
                </c:pt>
                <c:pt idx="9">
                  <c:v>-1.122892161049549</c:v>
                </c:pt>
                <c:pt idx="10">
                  <c:v>-0.92289216104290972</c:v>
                </c:pt>
                <c:pt idx="11">
                  <c:v>0.37710783894340238</c:v>
                </c:pt>
                <c:pt idx="12">
                  <c:v>-0.52289216105805281</c:v>
                </c:pt>
                <c:pt idx="13">
                  <c:v>-0.12289216104477418</c:v>
                </c:pt>
                <c:pt idx="14">
                  <c:v>0.17710783893676307</c:v>
                </c:pt>
                <c:pt idx="15">
                  <c:v>-0.94196777308752644</c:v>
                </c:pt>
                <c:pt idx="16">
                  <c:v>-1.3312893791521674</c:v>
                </c:pt>
                <c:pt idx="17">
                  <c:v>-3.0351611403318657</c:v>
                </c:pt>
                <c:pt idx="18">
                  <c:v>-1.5672238763784208</c:v>
                </c:pt>
                <c:pt idx="19">
                  <c:v>-0.46832864711632283</c:v>
                </c:pt>
                <c:pt idx="20">
                  <c:v>-0.43868741701658109</c:v>
                </c:pt>
                <c:pt idx="21">
                  <c:v>0.32251257923121557</c:v>
                </c:pt>
                <c:pt idx="22">
                  <c:v>-2.5345038949069476</c:v>
                </c:pt>
                <c:pt idx="23">
                  <c:v>-0.92289216104290972</c:v>
                </c:pt>
                <c:pt idx="24">
                  <c:v>-0.87963590951289916</c:v>
                </c:pt>
                <c:pt idx="25">
                  <c:v>-0.3228921610514135</c:v>
                </c:pt>
                <c:pt idx="26">
                  <c:v>-0.42289216105473315</c:v>
                </c:pt>
                <c:pt idx="27">
                  <c:v>-0.82289216103959006</c:v>
                </c:pt>
                <c:pt idx="28">
                  <c:v>-0.82289216103959006</c:v>
                </c:pt>
                <c:pt idx="29">
                  <c:v>-0.82289216103959006</c:v>
                </c:pt>
                <c:pt idx="30">
                  <c:v>-0.92232752822951625</c:v>
                </c:pt>
                <c:pt idx="31">
                  <c:v>-0.52289216105805281</c:v>
                </c:pt>
                <c:pt idx="32">
                  <c:v>-1.0228921610462294</c:v>
                </c:pt>
                <c:pt idx="33">
                  <c:v>-1.122892161049549</c:v>
                </c:pt>
                <c:pt idx="34">
                  <c:v>-0.72289216103627041</c:v>
                </c:pt>
                <c:pt idx="35">
                  <c:v>-0.12289216104477418</c:v>
                </c:pt>
                <c:pt idx="36">
                  <c:v>-0.42289216105473315</c:v>
                </c:pt>
                <c:pt idx="37">
                  <c:v>-0.3228921610514135</c:v>
                </c:pt>
                <c:pt idx="38">
                  <c:v>-0.52289216105805281</c:v>
                </c:pt>
                <c:pt idx="39">
                  <c:v>-0.62289216106137246</c:v>
                </c:pt>
                <c:pt idx="40">
                  <c:v>-0.3228921610514135</c:v>
                </c:pt>
                <c:pt idx="41">
                  <c:v>-0.52289216105805281</c:v>
                </c:pt>
                <c:pt idx="43">
                  <c:v>-1.5228921610628277</c:v>
                </c:pt>
                <c:pt idx="44">
                  <c:v>7.4593720398752339E-2</c:v>
                </c:pt>
                <c:pt idx="45">
                  <c:v>-1.0129566847467686</c:v>
                </c:pt>
                <c:pt idx="46">
                  <c:v>-0.27615190126084599</c:v>
                </c:pt>
                <c:pt idx="47">
                  <c:v>-0.72319909497764456</c:v>
                </c:pt>
                <c:pt idx="49">
                  <c:v>-0.72319909497764456</c:v>
                </c:pt>
                <c:pt idx="50">
                  <c:v>0.10065379805723751</c:v>
                </c:pt>
                <c:pt idx="51">
                  <c:v>-1.4231990949724604</c:v>
                </c:pt>
                <c:pt idx="52">
                  <c:v>1.2601105625265063</c:v>
                </c:pt>
                <c:pt idx="53">
                  <c:v>0.29368343174951406</c:v>
                </c:pt>
                <c:pt idx="54">
                  <c:v>0.13944323120540503</c:v>
                </c:pt>
                <c:pt idx="55">
                  <c:v>-2.1472063577334666</c:v>
                </c:pt>
                <c:pt idx="56">
                  <c:v>-2.3707299053512543</c:v>
                </c:pt>
                <c:pt idx="57">
                  <c:v>-2.9750667943062581</c:v>
                </c:pt>
                <c:pt idx="58">
                  <c:v>-3.3258124159942781</c:v>
                </c:pt>
                <c:pt idx="59">
                  <c:v>-3.4704781207892665</c:v>
                </c:pt>
                <c:pt idx="60">
                  <c:v>-2.7458708381686847</c:v>
                </c:pt>
                <c:pt idx="61">
                  <c:v>-2.8844376378458492</c:v>
                </c:pt>
                <c:pt idx="62">
                  <c:v>-2.4500144416492731</c:v>
                </c:pt>
                <c:pt idx="63">
                  <c:v>-2.455686751744679</c:v>
                </c:pt>
                <c:pt idx="64">
                  <c:v>-2.0992688199896747</c:v>
                </c:pt>
                <c:pt idx="65">
                  <c:v>-2.9807392099314711</c:v>
                </c:pt>
                <c:pt idx="66">
                  <c:v>-2.7633143635057422</c:v>
                </c:pt>
                <c:pt idx="67">
                  <c:v>-3.2164603568389794</c:v>
                </c:pt>
                <c:pt idx="68">
                  <c:v>-2.5458896225813987</c:v>
                </c:pt>
                <c:pt idx="71">
                  <c:v>-3.2295108509856618</c:v>
                </c:pt>
                <c:pt idx="72">
                  <c:v>-4.1414753517301506</c:v>
                </c:pt>
                <c:pt idx="73">
                  <c:v>-4.2983385573904798</c:v>
                </c:pt>
                <c:pt idx="74">
                  <c:v>-4.2865673421772499</c:v>
                </c:pt>
                <c:pt idx="75">
                  <c:v>-3.7427920868537967</c:v>
                </c:pt>
                <c:pt idx="76">
                  <c:v>-4.0508460897399345</c:v>
                </c:pt>
                <c:pt idx="77">
                  <c:v>-4.5039920830731717</c:v>
                </c:pt>
                <c:pt idx="78">
                  <c:v>-4.7937496799761448</c:v>
                </c:pt>
                <c:pt idx="79">
                  <c:v>-4.9632368831566964</c:v>
                </c:pt>
                <c:pt idx="80">
                  <c:v>-5.1022301723833152</c:v>
                </c:pt>
                <c:pt idx="81">
                  <c:v>-3.6521629303649661</c:v>
                </c:pt>
                <c:pt idx="82">
                  <c:v>-4.0992101240817647</c:v>
                </c:pt>
                <c:pt idx="83">
                  <c:v>-4.389394105004385</c:v>
                </c:pt>
                <c:pt idx="84">
                  <c:v>-4.4922209733613272</c:v>
                </c:pt>
                <c:pt idx="85">
                  <c:v>-3.7249220719957066</c:v>
                </c:pt>
                <c:pt idx="86">
                  <c:v>-4.7157446194034947</c:v>
                </c:pt>
                <c:pt idx="87">
                  <c:v>-4.4076905180929771</c:v>
                </c:pt>
                <c:pt idx="88">
                  <c:v>-5.0237986222896325</c:v>
                </c:pt>
                <c:pt idx="89">
                  <c:v>-4.3288324713728343</c:v>
                </c:pt>
                <c:pt idx="90">
                  <c:v>-4.4015917113995329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81-4152-ADF6-D8149AA43D16}"/>
            </c:ext>
          </c:extLst>
        </c:ser>
        <c:ser>
          <c:idx val="2"/>
          <c:order val="6"/>
          <c:tx>
            <c:strRef>
              <c:f>Déplacements!$U$9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Déplacements!$U$10:$U$150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-0.92416200862999176</c:v>
                </c:pt>
                <c:pt idx="2">
                  <c:v>-1.0936492118673868</c:v>
                </c:pt>
                <c:pt idx="3">
                  <c:v>-1.0940756029924614</c:v>
                </c:pt>
                <c:pt idx="4">
                  <c:v>8.4956488478837855E-2</c:v>
                </c:pt>
                <c:pt idx="5">
                  <c:v>-0.35769721066003513</c:v>
                </c:pt>
                <c:pt idx="6">
                  <c:v>-0.41504351150933871</c:v>
                </c:pt>
                <c:pt idx="7">
                  <c:v>-0.79254689637764386</c:v>
                </c:pt>
                <c:pt idx="8">
                  <c:v>-0.51504351151265837</c:v>
                </c:pt>
                <c:pt idx="9">
                  <c:v>-1.3150435115107939</c:v>
                </c:pt>
                <c:pt idx="10">
                  <c:v>-1.0150435115008349</c:v>
                </c:pt>
                <c:pt idx="11">
                  <c:v>0.68495648849875579</c:v>
                </c:pt>
                <c:pt idx="12">
                  <c:v>-0.2150435115026994</c:v>
                </c:pt>
                <c:pt idx="13">
                  <c:v>8.4956488478837855E-2</c:v>
                </c:pt>
                <c:pt idx="14">
                  <c:v>0.48495648849211648</c:v>
                </c:pt>
                <c:pt idx="15">
                  <c:v>-0.728160713208581</c:v>
                </c:pt>
                <c:pt idx="16">
                  <c:v>-0.88183231957827957</c:v>
                </c:pt>
                <c:pt idx="17">
                  <c:v>-2.6612994793424605</c:v>
                </c:pt>
                <c:pt idx="18">
                  <c:v>-1.3262566065463943</c:v>
                </c:pt>
                <c:pt idx="19">
                  <c:v>0.31031507128886915</c:v>
                </c:pt>
                <c:pt idx="20">
                  <c:v>0.45498067768789952</c:v>
                </c:pt>
                <c:pt idx="21">
                  <c:v>0.92599668587922679</c:v>
                </c:pt>
                <c:pt idx="22">
                  <c:v>-2.0700129790895971</c:v>
                </c:pt>
                <c:pt idx="23">
                  <c:v>-0.31504351150601906</c:v>
                </c:pt>
                <c:pt idx="24">
                  <c:v>-0.36678095929687515</c:v>
                </c:pt>
                <c:pt idx="25">
                  <c:v>0.48495648849211648</c:v>
                </c:pt>
                <c:pt idx="26">
                  <c:v>-1.5043511524481801E-2</c:v>
                </c:pt>
                <c:pt idx="27">
                  <c:v>-0.41504351150933871</c:v>
                </c:pt>
                <c:pt idx="28">
                  <c:v>-1.5043511524481801E-2</c:v>
                </c:pt>
                <c:pt idx="29">
                  <c:v>-0.51504351151265837</c:v>
                </c:pt>
                <c:pt idx="30">
                  <c:v>-0.63909503083436903</c:v>
                </c:pt>
                <c:pt idx="31">
                  <c:v>-0.11504351149937975</c:v>
                </c:pt>
                <c:pt idx="32">
                  <c:v>-0.71504351151929768</c:v>
                </c:pt>
                <c:pt idx="33">
                  <c:v>-0.61504351151597803</c:v>
                </c:pt>
                <c:pt idx="34">
                  <c:v>-1.5043511524481801E-2</c:v>
                </c:pt>
                <c:pt idx="35">
                  <c:v>0.38495648848879682</c:v>
                </c:pt>
                <c:pt idx="36">
                  <c:v>0.38495648848879682</c:v>
                </c:pt>
                <c:pt idx="37">
                  <c:v>0.28495648848547717</c:v>
                </c:pt>
                <c:pt idx="38">
                  <c:v>0.58495648849543613</c:v>
                </c:pt>
                <c:pt idx="39">
                  <c:v>0.38495648848879682</c:v>
                </c:pt>
                <c:pt idx="40">
                  <c:v>-2.0150435115056098</c:v>
                </c:pt>
                <c:pt idx="41">
                  <c:v>-2.8150435115037453</c:v>
                </c:pt>
                <c:pt idx="43">
                  <c:v>-4.0150435115151595</c:v>
                </c:pt>
                <c:pt idx="45">
                  <c:v>-2.9165963183288568</c:v>
                </c:pt>
                <c:pt idx="53">
                  <c:v>-1.0264334716225676</c:v>
                </c:pt>
                <c:pt idx="54">
                  <c:v>-1.340799420518124</c:v>
                </c:pt>
                <c:pt idx="57">
                  <c:v>-4.0293948239877864</c:v>
                </c:pt>
                <c:pt idx="58">
                  <c:v>-4.1988820271967597</c:v>
                </c:pt>
                <c:pt idx="59">
                  <c:v>-4.2590172696748141</c:v>
                </c:pt>
                <c:pt idx="60">
                  <c:v>-3.7156684055048572</c:v>
                </c:pt>
                <c:pt idx="61">
                  <c:v>-4.2590172696748141</c:v>
                </c:pt>
                <c:pt idx="62">
                  <c:v>-3.2808187197588268</c:v>
                </c:pt>
                <c:pt idx="63">
                  <c:v>-3.5161135810710675</c:v>
                </c:pt>
                <c:pt idx="64">
                  <c:v>-2.887807968903644</c:v>
                </c:pt>
                <c:pt idx="65">
                  <c:v>-3.9505368756920234</c:v>
                </c:pt>
                <c:pt idx="66">
                  <c:v>-3.914370349264118</c:v>
                </c:pt>
                <c:pt idx="67">
                  <c:v>-4.004999611254334</c:v>
                </c:pt>
                <c:pt idx="68">
                  <c:v>-3.9688331832508084</c:v>
                </c:pt>
                <c:pt idx="71">
                  <c:v>-4.2960364799569106</c:v>
                </c:pt>
                <c:pt idx="72">
                  <c:v>-4.4829673068988996</c:v>
                </c:pt>
                <c:pt idx="73">
                  <c:v>-5.1836056695151456</c:v>
                </c:pt>
                <c:pt idx="74">
                  <c:v>-4.3622705291852526</c:v>
                </c:pt>
                <c:pt idx="75">
                  <c:v>-4.1387468831430851</c:v>
                </c:pt>
                <c:pt idx="77">
                  <c:v>-4.2293760396034941</c:v>
                </c:pt>
                <c:pt idx="78">
                  <c:v>-4.8755516666290077</c:v>
                </c:pt>
                <c:pt idx="79">
                  <c:v>-5.4559197410526394</c:v>
                </c:pt>
                <c:pt idx="80">
                  <c:v>-5.4075557067108093</c:v>
                </c:pt>
                <c:pt idx="81">
                  <c:v>-4.0964816554946992</c:v>
                </c:pt>
                <c:pt idx="82">
                  <c:v>-4.3139064948434225</c:v>
                </c:pt>
                <c:pt idx="83">
                  <c:v>-4.9304408917407727</c:v>
                </c:pt>
                <c:pt idx="84">
                  <c:v>-4.6589797079832351</c:v>
                </c:pt>
                <c:pt idx="85">
                  <c:v>-4.3870921330722012</c:v>
                </c:pt>
                <c:pt idx="86">
                  <c:v>-4.6167144803632709</c:v>
                </c:pt>
                <c:pt idx="87">
                  <c:v>-4.4899188959277581</c:v>
                </c:pt>
                <c:pt idx="88">
                  <c:v>-4.6589797079832351</c:v>
                </c:pt>
                <c:pt idx="89">
                  <c:v>-4.7374113635783033</c:v>
                </c:pt>
                <c:pt idx="90">
                  <c:v>-4.8040716984303344</c:v>
                </c:pt>
                <c:pt idx="91">
                  <c:v>-2.1392319702044915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81-4152-ADF6-D8149AA43D16}"/>
            </c:ext>
          </c:extLst>
        </c:ser>
        <c:ser>
          <c:idx val="7"/>
          <c:order val="8"/>
          <c:tx>
            <c:strRef>
              <c:f>Graphiques!$AB$35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Graphiques!$AD$36:$AD$105</c:f>
              <c:numCache>
                <c:formatCode>m/d/yyyy</c:formatCode>
                <c:ptCount val="70"/>
              </c:numCache>
            </c:numRef>
          </c:xVal>
          <c:yVal>
            <c:numRef>
              <c:f>Graphiques!$AE$36:$AE$105</c:f>
              <c:numCache>
                <c:formatCode>General</c:formatCode>
                <c:ptCount val="7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81-4152-ADF6-D8149AA43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67464"/>
        <c:axId val="395667856"/>
      </c:scatterChart>
      <c:scatterChart>
        <c:scatterStyle val="lineMarker"/>
        <c:varyColors val="0"/>
        <c:ser>
          <c:idx val="8"/>
          <c:order val="7"/>
          <c:tx>
            <c:v>PM Front</c:v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'Résultats observations'!$A$10:$A$100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'Résultats observations'!$C$10:$C$100</c:f>
              <c:numCache>
                <c:formatCode>0.0</c:formatCode>
                <c:ptCount val="91"/>
                <c:pt idx="0">
                  <c:v>197.2</c:v>
                </c:pt>
                <c:pt idx="1">
                  <c:v>198.3</c:v>
                </c:pt>
                <c:pt idx="2">
                  <c:v>199</c:v>
                </c:pt>
                <c:pt idx="3">
                  <c:v>199.4</c:v>
                </c:pt>
                <c:pt idx="4">
                  <c:v>200.6</c:v>
                </c:pt>
                <c:pt idx="5">
                  <c:v>200.6</c:v>
                </c:pt>
                <c:pt idx="6">
                  <c:v>200.6</c:v>
                </c:pt>
                <c:pt idx="7">
                  <c:v>202.58</c:v>
                </c:pt>
                <c:pt idx="8">
                  <c:v>203.6</c:v>
                </c:pt>
                <c:pt idx="9">
                  <c:v>203.6</c:v>
                </c:pt>
                <c:pt idx="10">
                  <c:v>206.32</c:v>
                </c:pt>
                <c:pt idx="11">
                  <c:v>206.32</c:v>
                </c:pt>
                <c:pt idx="12">
                  <c:v>206.32</c:v>
                </c:pt>
                <c:pt idx="13">
                  <c:v>206.32</c:v>
                </c:pt>
                <c:pt idx="14">
                  <c:v>207.2</c:v>
                </c:pt>
                <c:pt idx="15">
                  <c:v>208.3</c:v>
                </c:pt>
                <c:pt idx="16">
                  <c:v>210.3</c:v>
                </c:pt>
                <c:pt idx="17">
                  <c:v>213.5</c:v>
                </c:pt>
                <c:pt idx="18">
                  <c:v>213.98</c:v>
                </c:pt>
                <c:pt idx="19">
                  <c:v>215</c:v>
                </c:pt>
                <c:pt idx="20">
                  <c:v>215.55</c:v>
                </c:pt>
                <c:pt idx="21">
                  <c:v>216.87</c:v>
                </c:pt>
                <c:pt idx="22">
                  <c:v>217.72</c:v>
                </c:pt>
                <c:pt idx="23">
                  <c:v>218.8</c:v>
                </c:pt>
                <c:pt idx="24">
                  <c:v>219.45</c:v>
                </c:pt>
                <c:pt idx="25">
                  <c:v>220.5</c:v>
                </c:pt>
                <c:pt idx="26">
                  <c:v>221.7</c:v>
                </c:pt>
                <c:pt idx="27">
                  <c:v>222.9</c:v>
                </c:pt>
                <c:pt idx="28">
                  <c:v>222.9</c:v>
                </c:pt>
                <c:pt idx="29">
                  <c:v>222.9</c:v>
                </c:pt>
                <c:pt idx="30">
                  <c:v>222.9</c:v>
                </c:pt>
                <c:pt idx="31">
                  <c:v>222.9</c:v>
                </c:pt>
                <c:pt idx="32">
                  <c:v>222.9</c:v>
                </c:pt>
                <c:pt idx="33">
                  <c:v>222.9</c:v>
                </c:pt>
                <c:pt idx="34">
                  <c:v>222.9</c:v>
                </c:pt>
                <c:pt idx="35">
                  <c:v>222.9</c:v>
                </c:pt>
                <c:pt idx="36">
                  <c:v>222.9</c:v>
                </c:pt>
                <c:pt idx="37">
                  <c:v>222.9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E81-4152-ADF6-D8149AA43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99536"/>
        <c:axId val="404399144"/>
      </c:scatterChart>
      <c:valAx>
        <c:axId val="395667464"/>
        <c:scaling>
          <c:orientation val="minMax"/>
          <c:max val="45365"/>
          <c:min val="437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88542330759379761"/>
              <c:y val="0.84926414603579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667856"/>
        <c:crossesAt val="0"/>
        <c:crossBetween val="midCat"/>
        <c:majorUnit val="30"/>
      </c:valAx>
      <c:valAx>
        <c:axId val="395667856"/>
        <c:scaling>
          <c:orientation val="minMax"/>
          <c:max val="35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667464"/>
        <c:crosses val="autoZero"/>
        <c:crossBetween val="midCat"/>
        <c:majorUnit val="5"/>
        <c:minorUnit val="1"/>
      </c:valAx>
      <c:valAx>
        <c:axId val="404399144"/>
        <c:scaling>
          <c:orientation val="minMax"/>
          <c:max val="225"/>
          <c:min val="19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399536"/>
        <c:crosses val="max"/>
        <c:crossBetween val="midCat"/>
      </c:valAx>
      <c:valAx>
        <c:axId val="404399536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399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ayout>
        <c:manualLayout>
          <c:xMode val="edge"/>
          <c:yMode val="edge"/>
          <c:x val="0.1873257919234548"/>
          <c:y val="0.16040715236578595"/>
          <c:w val="0.64186226255819501"/>
          <c:h val="9.9823203999771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44" footer="0.49212598450000444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déport</a:t>
            </a:r>
          </a:p>
        </c:rich>
      </c:tx>
      <c:layout>
        <c:manualLayout>
          <c:xMode val="edge"/>
          <c:yMode val="edge"/>
          <c:x val="0.38461156123600954"/>
          <c:y val="1.2334539263673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618074426090026E-2"/>
          <c:y val="5.7614386039582903E-2"/>
          <c:w val="0.82295252419289999"/>
          <c:h val="0.73789293230238895"/>
        </c:manualLayout>
      </c:layout>
      <c:scatterChart>
        <c:scatterStyle val="lineMarker"/>
        <c:varyColors val="0"/>
        <c:ser>
          <c:idx val="0"/>
          <c:order val="0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Déplacements!$D$10:$D$150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1.5163013967258721</c:v>
                </c:pt>
                <c:pt idx="2">
                  <c:v>2.9964362107990361</c:v>
                </c:pt>
                <c:pt idx="3">
                  <c:v>2.6461170857952077</c:v>
                </c:pt>
                <c:pt idx="4">
                  <c:v>2.6010247454251179</c:v>
                </c:pt>
                <c:pt idx="5">
                  <c:v>2.6038519073803279</c:v>
                </c:pt>
                <c:pt idx="6">
                  <c:v>2.9010247454253069</c:v>
                </c:pt>
                <c:pt idx="7">
                  <c:v>6.2224948181155426</c:v>
                </c:pt>
                <c:pt idx="8">
                  <c:v>6.3010247454253765</c:v>
                </c:pt>
                <c:pt idx="9">
                  <c:v>6.6010247454251214</c:v>
                </c:pt>
                <c:pt idx="10">
                  <c:v>6.6010247454251214</c:v>
                </c:pt>
                <c:pt idx="11">
                  <c:v>4.3010247454251527</c:v>
                </c:pt>
                <c:pt idx="12">
                  <c:v>4.4010247454253637</c:v>
                </c:pt>
                <c:pt idx="13">
                  <c:v>4.4010247454253637</c:v>
                </c:pt>
                <c:pt idx="14">
                  <c:v>4.0010247454254078</c:v>
                </c:pt>
                <c:pt idx="15">
                  <c:v>5.0323306346644614</c:v>
                </c:pt>
                <c:pt idx="16">
                  <c:v>6.5457955634267151</c:v>
                </c:pt>
                <c:pt idx="17">
                  <c:v>8.5548852815207077</c:v>
                </c:pt>
                <c:pt idx="18">
                  <c:v>8.0350787915044464</c:v>
                </c:pt>
                <c:pt idx="19">
                  <c:v>4.548903930039927</c:v>
                </c:pt>
                <c:pt idx="20">
                  <c:v>3.7454387061748307</c:v>
                </c:pt>
                <c:pt idx="21">
                  <c:v>3.6487105882847537</c:v>
                </c:pt>
                <c:pt idx="22">
                  <c:v>7.6607908449131124</c:v>
                </c:pt>
                <c:pt idx="23">
                  <c:v>6.0010247454251875</c:v>
                </c:pt>
                <c:pt idx="24">
                  <c:v>6.0172676343688281</c:v>
                </c:pt>
                <c:pt idx="25">
                  <c:v>5.2010247454252756</c:v>
                </c:pt>
                <c:pt idx="26">
                  <c:v>6.5010247454253545</c:v>
                </c:pt>
                <c:pt idx="27">
                  <c:v>5.9010247454254205</c:v>
                </c:pt>
                <c:pt idx="28">
                  <c:v>7.1010247454252884</c:v>
                </c:pt>
                <c:pt idx="29">
                  <c:v>8.7010247454251122</c:v>
                </c:pt>
                <c:pt idx="30">
                  <c:v>6.4943823930101452</c:v>
                </c:pt>
                <c:pt idx="31">
                  <c:v>6.4010247454251434</c:v>
                </c:pt>
                <c:pt idx="32">
                  <c:v>6.1010247454253985</c:v>
                </c:pt>
                <c:pt idx="33">
                  <c:v>6.1010247454253985</c:v>
                </c:pt>
                <c:pt idx="34">
                  <c:v>6.2010247454251655</c:v>
                </c:pt>
                <c:pt idx="35">
                  <c:v>6.8010247454250994</c:v>
                </c:pt>
                <c:pt idx="36">
                  <c:v>7.3010247454252664</c:v>
                </c:pt>
                <c:pt idx="37">
                  <c:v>7.0010247454255214</c:v>
                </c:pt>
                <c:pt idx="38">
                  <c:v>7.4010247454254774</c:v>
                </c:pt>
                <c:pt idx="39">
                  <c:v>7.6010247454254554</c:v>
                </c:pt>
                <c:pt idx="40">
                  <c:v>7.0010247454255214</c:v>
                </c:pt>
                <c:pt idx="41">
                  <c:v>7.8010247454254333</c:v>
                </c:pt>
                <c:pt idx="43">
                  <c:v>8.6010247454253452</c:v>
                </c:pt>
                <c:pt idx="44">
                  <c:v>9.5204596792020091</c:v>
                </c:pt>
                <c:pt idx="45">
                  <c:v>9.0616413265713902</c:v>
                </c:pt>
                <c:pt idx="46">
                  <c:v>8.5841000149535773</c:v>
                </c:pt>
                <c:pt idx="47">
                  <c:v>9.2729673170777183</c:v>
                </c:pt>
                <c:pt idx="53">
                  <c:v>9.7871013915002969</c:v>
                </c:pt>
                <c:pt idx="54">
                  <c:v>9.4186989997528947</c:v>
                </c:pt>
                <c:pt idx="55">
                  <c:v>10.192309847124381</c:v>
                </c:pt>
                <c:pt idx="56">
                  <c:v>10.198408703072204</c:v>
                </c:pt>
                <c:pt idx="57">
                  <c:v>10.331302932458097</c:v>
                </c:pt>
                <c:pt idx="58">
                  <c:v>9.4494061584722289</c:v>
                </c:pt>
                <c:pt idx="59">
                  <c:v>10.736084996929129</c:v>
                </c:pt>
                <c:pt idx="60">
                  <c:v>9.1169570483793372</c:v>
                </c:pt>
                <c:pt idx="61">
                  <c:v>10.54872777885496</c:v>
                </c:pt>
                <c:pt idx="62">
                  <c:v>8.6638109494932003</c:v>
                </c:pt>
                <c:pt idx="63">
                  <c:v>9.9626874506353325</c:v>
                </c:pt>
                <c:pt idx="64">
                  <c:v>9.8537618318310649</c:v>
                </c:pt>
                <c:pt idx="65">
                  <c:v>12.343015395444468</c:v>
                </c:pt>
                <c:pt idx="66">
                  <c:v>12.161757082511659</c:v>
                </c:pt>
                <c:pt idx="67">
                  <c:v>12.161757082511659</c:v>
                </c:pt>
                <c:pt idx="68">
                  <c:v>11.877671795715194</c:v>
                </c:pt>
                <c:pt idx="69">
                  <c:v>12.155658226594035</c:v>
                </c:pt>
                <c:pt idx="70">
                  <c:v>8.6882061622368667</c:v>
                </c:pt>
                <c:pt idx="71">
                  <c:v>8.6337432227421296</c:v>
                </c:pt>
                <c:pt idx="72">
                  <c:v>9.3888446232481826</c:v>
                </c:pt>
                <c:pt idx="73">
                  <c:v>10.531284204342573</c:v>
                </c:pt>
                <c:pt idx="74">
                  <c:v>9.4855725301723481</c:v>
                </c:pt>
                <c:pt idx="75">
                  <c:v>9.7574601050762766</c:v>
                </c:pt>
                <c:pt idx="77">
                  <c:v>9.9809838074471635</c:v>
                </c:pt>
                <c:pt idx="78">
                  <c:v>11.364390714597494</c:v>
                </c:pt>
                <c:pt idx="79">
                  <c:v>9.9147498074292351</c:v>
                </c:pt>
                <c:pt idx="80">
                  <c:v>9.9025522573361613</c:v>
                </c:pt>
                <c:pt idx="81">
                  <c:v>9.9988537731072746</c:v>
                </c:pt>
                <c:pt idx="82">
                  <c:v>10.578795505608696</c:v>
                </c:pt>
                <c:pt idx="83">
                  <c:v>10.101680585157258</c:v>
                </c:pt>
                <c:pt idx="84">
                  <c:v>10.361370609973442</c:v>
                </c:pt>
                <c:pt idx="85">
                  <c:v>10.88684940300011</c:v>
                </c:pt>
                <c:pt idx="86">
                  <c:v>10.760053818553938</c:v>
                </c:pt>
                <c:pt idx="87">
                  <c:v>10.71778859093131</c:v>
                </c:pt>
                <c:pt idx="88">
                  <c:v>10.627159328966407</c:v>
                </c:pt>
                <c:pt idx="89">
                  <c:v>10.790121496089711</c:v>
                </c:pt>
                <c:pt idx="90">
                  <c:v>10.693393378183202</c:v>
                </c:pt>
                <c:pt idx="91">
                  <c:v>11.66003381003744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D-4C34-B66D-E93CC6A0BEA4}"/>
            </c:ext>
          </c:extLst>
        </c:ser>
        <c:ser>
          <c:idx val="5"/>
          <c:order val="1"/>
          <c:tx>
            <c:strRef>
              <c:f>Déplacements!$G$9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Déplacements!$G$10:$G$150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-0.81310432867987004</c:v>
                </c:pt>
                <c:pt idx="2">
                  <c:v>0.96898573784276465</c:v>
                </c:pt>
                <c:pt idx="3">
                  <c:v>0.80602378170002709</c:v>
                </c:pt>
                <c:pt idx="4">
                  <c:v>0.28569420518564925</c:v>
                </c:pt>
                <c:pt idx="5">
                  <c:v>0.70929566381039422</c:v>
                </c:pt>
                <c:pt idx="6">
                  <c:v>1.2856942051855391</c:v>
                </c:pt>
                <c:pt idx="7">
                  <c:v>4.4547343699967712</c:v>
                </c:pt>
                <c:pt idx="8">
                  <c:v>4.5856942051858418</c:v>
                </c:pt>
                <c:pt idx="9">
                  <c:v>4.7856942051858198</c:v>
                </c:pt>
                <c:pt idx="10">
                  <c:v>4.9856942051857978</c:v>
                </c:pt>
                <c:pt idx="11">
                  <c:v>2.785694205185596</c:v>
                </c:pt>
                <c:pt idx="12">
                  <c:v>2.885694205185807</c:v>
                </c:pt>
                <c:pt idx="13">
                  <c:v>2.685694205185829</c:v>
                </c:pt>
                <c:pt idx="14">
                  <c:v>2.2856942051858731</c:v>
                </c:pt>
                <c:pt idx="15">
                  <c:v>3.7278100152864369</c:v>
                </c:pt>
                <c:pt idx="16">
                  <c:v>5.1596517382637153</c:v>
                </c:pt>
                <c:pt idx="17">
                  <c:v>7.2280732695757521</c:v>
                </c:pt>
                <c:pt idx="18">
                  <c:v>6.666001762955176</c:v>
                </c:pt>
                <c:pt idx="19">
                  <c:v>3.3671838593281045</c:v>
                </c:pt>
                <c:pt idx="20">
                  <c:v>2.249565882164184</c:v>
                </c:pt>
                <c:pt idx="21">
                  <c:v>2.5515209235709158</c:v>
                </c:pt>
                <c:pt idx="22">
                  <c:v>6.3400776396629333</c:v>
                </c:pt>
                <c:pt idx="23">
                  <c:v>4.5856942051858418</c:v>
                </c:pt>
                <c:pt idx="24">
                  <c:v>4.7388194949578022</c:v>
                </c:pt>
                <c:pt idx="25">
                  <c:v>3.8856942051856969</c:v>
                </c:pt>
                <c:pt idx="26">
                  <c:v>5.0856942051855647</c:v>
                </c:pt>
                <c:pt idx="27">
                  <c:v>4.5856942051858418</c:v>
                </c:pt>
                <c:pt idx="28">
                  <c:v>5.8856942051859207</c:v>
                </c:pt>
                <c:pt idx="30">
                  <c:v>6.1161275461598663</c:v>
                </c:pt>
                <c:pt idx="31">
                  <c:v>5.3856942051857537</c:v>
                </c:pt>
                <c:pt idx="32">
                  <c:v>4.8856942051855867</c:v>
                </c:pt>
                <c:pt idx="33">
                  <c:v>5.2856942051855427</c:v>
                </c:pt>
                <c:pt idx="34">
                  <c:v>5.4856942051859647</c:v>
                </c:pt>
                <c:pt idx="35">
                  <c:v>6.0856942051858987</c:v>
                </c:pt>
                <c:pt idx="36">
                  <c:v>6.5856942051856215</c:v>
                </c:pt>
                <c:pt idx="37">
                  <c:v>6.2856942051858766</c:v>
                </c:pt>
                <c:pt idx="40">
                  <c:v>6.5856942051856215</c:v>
                </c:pt>
                <c:pt idx="41">
                  <c:v>7.1856942051855555</c:v>
                </c:pt>
                <c:pt idx="43">
                  <c:v>7.5856942051859555</c:v>
                </c:pt>
                <c:pt idx="44">
                  <c:v>8.6829600885955927</c:v>
                </c:pt>
                <c:pt idx="45">
                  <c:v>8.0912472463761098</c:v>
                </c:pt>
                <c:pt idx="46">
                  <c:v>7.8555260431434348</c:v>
                </c:pt>
                <c:pt idx="49">
                  <c:v>7.8555260431434348</c:v>
                </c:pt>
                <c:pt idx="50">
                  <c:v>8.2272942794552328</c:v>
                </c:pt>
                <c:pt idx="51">
                  <c:v>7.9555260431436459</c:v>
                </c:pt>
                <c:pt idx="52">
                  <c:v>6.1131814447406008</c:v>
                </c:pt>
                <c:pt idx="53">
                  <c:v>7.0796085755242544</c:v>
                </c:pt>
                <c:pt idx="54">
                  <c:v>6.9889793627662122</c:v>
                </c:pt>
                <c:pt idx="55">
                  <c:v>7.4726193193161983</c:v>
                </c:pt>
                <c:pt idx="56">
                  <c:v>7.4787181752387077</c:v>
                </c:pt>
                <c:pt idx="57">
                  <c:v>7.7628034620143005</c:v>
                </c:pt>
                <c:pt idx="58">
                  <c:v>6.9715357390367494</c:v>
                </c:pt>
                <c:pt idx="59">
                  <c:v>8.0285921809810645</c:v>
                </c:pt>
                <c:pt idx="60">
                  <c:v>6.4094642324143969</c:v>
                </c:pt>
                <c:pt idx="61">
                  <c:v>8.1192214429761655</c:v>
                </c:pt>
                <c:pt idx="62">
                  <c:v>6.1920393859931089</c:v>
                </c:pt>
                <c:pt idx="63">
                  <c:v>7.4787181752387077</c:v>
                </c:pt>
                <c:pt idx="64">
                  <c:v>7.2852621504440052</c:v>
                </c:pt>
                <c:pt idx="65">
                  <c:v>9.4059002322142149</c:v>
                </c:pt>
                <c:pt idx="66">
                  <c:v>9.3575363596491989</c:v>
                </c:pt>
                <c:pt idx="67">
                  <c:v>9.4059002322142149</c:v>
                </c:pt>
                <c:pt idx="68">
                  <c:v>9.0795499288014447</c:v>
                </c:pt>
                <c:pt idx="69">
                  <c:v>9.4904306382277426</c:v>
                </c:pt>
                <c:pt idx="70">
                  <c:v>5.9807133462816964</c:v>
                </c:pt>
                <c:pt idx="71">
                  <c:v>5.7449921430681172</c:v>
                </c:pt>
                <c:pt idx="72">
                  <c:v>6.681351807306779</c:v>
                </c:pt>
                <c:pt idx="73">
                  <c:v>7.9205195555127617</c:v>
                </c:pt>
                <c:pt idx="74">
                  <c:v>6.7719810692934423</c:v>
                </c:pt>
                <c:pt idx="75">
                  <c:v>6.9231717046616126</c:v>
                </c:pt>
                <c:pt idx="76">
                  <c:v>7.490915887115257</c:v>
                </c:pt>
                <c:pt idx="77">
                  <c:v>7.231225813079778</c:v>
                </c:pt>
                <c:pt idx="78">
                  <c:v>8.6207313651733841</c:v>
                </c:pt>
                <c:pt idx="79">
                  <c:v>7.1227265854445498</c:v>
                </c:pt>
                <c:pt idx="80">
                  <c:v>7.0621650010114223</c:v>
                </c:pt>
                <c:pt idx="81">
                  <c:v>7.3519225415696887</c:v>
                </c:pt>
                <c:pt idx="82">
                  <c:v>7.9017965965713088</c:v>
                </c:pt>
                <c:pt idx="83">
                  <c:v>7.4246818379029023</c:v>
                </c:pt>
                <c:pt idx="84">
                  <c:v>7.5815449380751687</c:v>
                </c:pt>
                <c:pt idx="85">
                  <c:v>7.8774013345968008</c:v>
                </c:pt>
                <c:pt idx="86">
                  <c:v>7.7928709285655096</c:v>
                </c:pt>
                <c:pt idx="87">
                  <c:v>7.7445071052077985</c:v>
                </c:pt>
                <c:pt idx="88">
                  <c:v>7.7628034620143005</c:v>
                </c:pt>
                <c:pt idx="89">
                  <c:v>7.9741294525303985</c:v>
                </c:pt>
                <c:pt idx="90">
                  <c:v>7.6538778432504451</c:v>
                </c:pt>
                <c:pt idx="91">
                  <c:v>8.4148647494233231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D-4C34-B66D-E93CC6A0BEA4}"/>
            </c:ext>
          </c:extLst>
        </c:ser>
        <c:ser>
          <c:idx val="3"/>
          <c:order val="2"/>
          <c:tx>
            <c:strRef>
              <c:f>Déplacements!$J$9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Déplacements!$J$10:$J$100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1.3350428727729735</c:v>
                </c:pt>
                <c:pt idx="2">
                  <c:v>2.8936094479456997</c:v>
                </c:pt>
                <c:pt idx="3">
                  <c:v>3.9027281974806094</c:v>
                </c:pt>
                <c:pt idx="4">
                  <c:v>3.8583723222780364</c:v>
                </c:pt>
                <c:pt idx="5">
                  <c:v>3.6731058502033065</c:v>
                </c:pt>
                <c:pt idx="6">
                  <c:v>4.2583723222779923</c:v>
                </c:pt>
                <c:pt idx="7">
                  <c:v>7.702629632160729</c:v>
                </c:pt>
                <c:pt idx="8">
                  <c:v>9.3583723222780968</c:v>
                </c:pt>
                <c:pt idx="9">
                  <c:v>10.358372322277987</c:v>
                </c:pt>
                <c:pt idx="10">
                  <c:v>10.658372322278176</c:v>
                </c:pt>
                <c:pt idx="11">
                  <c:v>8.8583723222779298</c:v>
                </c:pt>
                <c:pt idx="12">
                  <c:v>8.9583723222781408</c:v>
                </c:pt>
                <c:pt idx="13">
                  <c:v>9.0583723222779078</c:v>
                </c:pt>
                <c:pt idx="14">
                  <c:v>8.6583723222779518</c:v>
                </c:pt>
                <c:pt idx="15">
                  <c:v>10.258117244994924</c:v>
                </c:pt>
                <c:pt idx="16">
                  <c:v>11.861266330843279</c:v>
                </c:pt>
                <c:pt idx="17">
                  <c:v>13.762588674272269</c:v>
                </c:pt>
                <c:pt idx="18">
                  <c:v>13.466305837406267</c:v>
                </c:pt>
                <c:pt idx="19">
                  <c:v>10.566171353384224</c:v>
                </c:pt>
                <c:pt idx="20">
                  <c:v>9.539182427170001</c:v>
                </c:pt>
                <c:pt idx="21">
                  <c:v>9.7566072735948417</c:v>
                </c:pt>
                <c:pt idx="22">
                  <c:v>13.448435871751041</c:v>
                </c:pt>
                <c:pt idx="23">
                  <c:v>11.95837232227781</c:v>
                </c:pt>
                <c:pt idx="24">
                  <c:v>12.07680028534508</c:v>
                </c:pt>
                <c:pt idx="25">
                  <c:v>11.058372322278132</c:v>
                </c:pt>
                <c:pt idx="26">
                  <c:v>12.458372322277977</c:v>
                </c:pt>
                <c:pt idx="27">
                  <c:v>11.858372322278043</c:v>
                </c:pt>
                <c:pt idx="28">
                  <c:v>13.258372322277889</c:v>
                </c:pt>
                <c:pt idx="29">
                  <c:v>14.958372322277924</c:v>
                </c:pt>
                <c:pt idx="30">
                  <c:v>13.272849812605347</c:v>
                </c:pt>
                <c:pt idx="31">
                  <c:v>13.058372322277911</c:v>
                </c:pt>
                <c:pt idx="32">
                  <c:v>12.558372322278188</c:v>
                </c:pt>
                <c:pt idx="33">
                  <c:v>13.058372322277911</c:v>
                </c:pt>
                <c:pt idx="34">
                  <c:v>13.058372322277911</c:v>
                </c:pt>
                <c:pt idx="35">
                  <c:v>13.758372322278056</c:v>
                </c:pt>
                <c:pt idx="36">
                  <c:v>14.258372322277779</c:v>
                </c:pt>
                <c:pt idx="37">
                  <c:v>14.258372322277779</c:v>
                </c:pt>
                <c:pt idx="38">
                  <c:v>14.458372322277757</c:v>
                </c:pt>
                <c:pt idx="39">
                  <c:v>14.958372322277924</c:v>
                </c:pt>
                <c:pt idx="40">
                  <c:v>14.958372322277924</c:v>
                </c:pt>
                <c:pt idx="41">
                  <c:v>14.658372322278179</c:v>
                </c:pt>
                <c:pt idx="43">
                  <c:v>15.658372322278069</c:v>
                </c:pt>
                <c:pt idx="45">
                  <c:v>15.840108746190573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FD-4C34-B66D-E93CC6A0BEA4}"/>
            </c:ext>
          </c:extLst>
        </c:ser>
        <c:ser>
          <c:idx val="1"/>
          <c:order val="3"/>
          <c:tx>
            <c:strRef>
              <c:f>Déplacements!$M$9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Déplacements!$M$10:$M$150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0.94245852017868503</c:v>
                </c:pt>
                <c:pt idx="2">
                  <c:v>1.3293703587819172</c:v>
                </c:pt>
                <c:pt idx="3">
                  <c:v>0.55639925285583258</c:v>
                </c:pt>
                <c:pt idx="4">
                  <c:v>3.0364312648800684E-2</c:v>
                </c:pt>
                <c:pt idx="5">
                  <c:v>-0.72418089147038844</c:v>
                </c:pt>
                <c:pt idx="6">
                  <c:v>-6.9635687351188302E-2</c:v>
                </c:pt>
                <c:pt idx="7">
                  <c:v>1.9101648735788956</c:v>
                </c:pt>
                <c:pt idx="8">
                  <c:v>1.3303643126487963</c:v>
                </c:pt>
                <c:pt idx="9">
                  <c:v>0.63036431264881787</c:v>
                </c:pt>
                <c:pt idx="10">
                  <c:v>0.33036431264882316</c:v>
                </c:pt>
                <c:pt idx="11">
                  <c:v>-1.8696356873511843</c:v>
                </c:pt>
                <c:pt idx="12">
                  <c:v>-1.9696356873512011</c:v>
                </c:pt>
                <c:pt idx="13">
                  <c:v>-2.1696356873511791</c:v>
                </c:pt>
                <c:pt idx="14">
                  <c:v>-2.5696356873511905</c:v>
                </c:pt>
                <c:pt idx="15">
                  <c:v>-0.96472156622132155</c:v>
                </c:pt>
                <c:pt idx="16">
                  <c:v>8.3613014680933295E-2</c:v>
                </c:pt>
                <c:pt idx="17">
                  <c:v>0.94501691623363748</c:v>
                </c:pt>
                <c:pt idx="18">
                  <c:v>0.66703048538827026</c:v>
                </c:pt>
                <c:pt idx="19">
                  <c:v>-1.7376927213938742</c:v>
                </c:pt>
                <c:pt idx="20">
                  <c:v>-2.9158724939844785</c:v>
                </c:pt>
                <c:pt idx="21">
                  <c:v>-3.1816612129769437</c:v>
                </c:pt>
                <c:pt idx="22">
                  <c:v>-0.2327362542214606</c:v>
                </c:pt>
                <c:pt idx="23">
                  <c:v>-1.9696356873512011</c:v>
                </c:pt>
                <c:pt idx="24">
                  <c:v>-1.6104706965863191</c:v>
                </c:pt>
                <c:pt idx="25">
                  <c:v>-2.8696356873511855</c:v>
                </c:pt>
                <c:pt idx="26">
                  <c:v>-1.4696356873512006</c:v>
                </c:pt>
                <c:pt idx="27">
                  <c:v>-2.1696356873511791</c:v>
                </c:pt>
                <c:pt idx="28">
                  <c:v>-0.86963568735118346</c:v>
                </c:pt>
                <c:pt idx="29">
                  <c:v>-0.36963568735118302</c:v>
                </c:pt>
                <c:pt idx="30">
                  <c:v>-1.7071988144910233</c:v>
                </c:pt>
                <c:pt idx="31">
                  <c:v>-1.6696356873511786</c:v>
                </c:pt>
                <c:pt idx="32">
                  <c:v>-2.2696356873511956</c:v>
                </c:pt>
                <c:pt idx="33">
                  <c:v>-2.1696356873511791</c:v>
                </c:pt>
                <c:pt idx="34">
                  <c:v>-2.2696356873511956</c:v>
                </c:pt>
                <c:pt idx="35">
                  <c:v>-1.3696356873511839</c:v>
                </c:pt>
                <c:pt idx="36">
                  <c:v>-0.9696356873512002</c:v>
                </c:pt>
                <c:pt idx="37">
                  <c:v>-1.4696356873512006</c:v>
                </c:pt>
                <c:pt idx="38">
                  <c:v>-1.2696356873511949</c:v>
                </c:pt>
                <c:pt idx="39">
                  <c:v>-0.86963568735118346</c:v>
                </c:pt>
                <c:pt idx="40">
                  <c:v>-0.26963568735119403</c:v>
                </c:pt>
                <c:pt idx="41">
                  <c:v>-0.9696356873512002</c:v>
                </c:pt>
                <c:pt idx="43">
                  <c:v>-0.16963568735117729</c:v>
                </c:pt>
                <c:pt idx="44">
                  <c:v>1.234774667823374</c:v>
                </c:pt>
                <c:pt idx="45">
                  <c:v>-9.3743168922966191E-2</c:v>
                </c:pt>
                <c:pt idx="46">
                  <c:v>-0.72247511590878277</c:v>
                </c:pt>
                <c:pt idx="47">
                  <c:v>-0.21486628857944612</c:v>
                </c:pt>
                <c:pt idx="49">
                  <c:v>-0.21486628857944612</c:v>
                </c:pt>
                <c:pt idx="50">
                  <c:v>0.29918127769087977</c:v>
                </c:pt>
                <c:pt idx="51">
                  <c:v>-0.71486628857944656</c:v>
                </c:pt>
                <c:pt idx="52">
                  <c:v>-1.7486975570087104</c:v>
                </c:pt>
                <c:pt idx="53">
                  <c:v>-1.1927246953320758</c:v>
                </c:pt>
                <c:pt idx="54">
                  <c:v>-0.58860126217177844</c:v>
                </c:pt>
                <c:pt idx="55">
                  <c:v>-5.638392100568157E-2</c:v>
                </c:pt>
                <c:pt idx="56">
                  <c:v>-5.0285065031768772E-2</c:v>
                </c:pt>
                <c:pt idx="57">
                  <c:v>-0.4006044010685661</c:v>
                </c:pt>
                <c:pt idx="58">
                  <c:v>-1.19187186384348</c:v>
                </c:pt>
                <c:pt idx="59">
                  <c:v>-0.21934587712033049</c:v>
                </c:pt>
                <c:pt idx="60">
                  <c:v>-1.530419879135464</c:v>
                </c:pt>
                <c:pt idx="61">
                  <c:v>-8.6451387513369893E-2</c:v>
                </c:pt>
                <c:pt idx="62">
                  <c:v>-1.9291032986717138</c:v>
                </c:pt>
                <c:pt idx="63">
                  <c:v>-0.63022674837329151</c:v>
                </c:pt>
                <c:pt idx="64">
                  <c:v>-0.86594800079822787</c:v>
                </c:pt>
                <c:pt idx="65">
                  <c:v>1.5204790109793753</c:v>
                </c:pt>
                <c:pt idx="66">
                  <c:v>1.339220487042575</c:v>
                </c:pt>
                <c:pt idx="67">
                  <c:v>1.2546900809912442</c:v>
                </c:pt>
                <c:pt idx="68">
                  <c:v>1.0673329121095587</c:v>
                </c:pt>
                <c:pt idx="69">
                  <c:v>0.69304496553682093</c:v>
                </c:pt>
                <c:pt idx="70">
                  <c:v>-3.1007575640134286</c:v>
                </c:pt>
                <c:pt idx="71">
                  <c:v>-2.9316968011327269</c:v>
                </c:pt>
                <c:pt idx="72">
                  <c:v>-2.6898769037785044</c:v>
                </c:pt>
                <c:pt idx="73">
                  <c:v>-0.90126154100247935</c:v>
                </c:pt>
                <c:pt idx="74">
                  <c:v>-2.206663127384684</c:v>
                </c:pt>
                <c:pt idx="75">
                  <c:v>-1.9587443740574917</c:v>
                </c:pt>
                <c:pt idx="76">
                  <c:v>-2.0554722809554562</c:v>
                </c:pt>
                <c:pt idx="77">
                  <c:v>-1.9709418749470908</c:v>
                </c:pt>
                <c:pt idx="78">
                  <c:v>-0.44244297732978777</c:v>
                </c:pt>
                <c:pt idx="79">
                  <c:v>-2.1339040420703395</c:v>
                </c:pt>
                <c:pt idx="80">
                  <c:v>-2.1822678654185026</c:v>
                </c:pt>
                <c:pt idx="81">
                  <c:v>0.54795302427493309</c:v>
                </c:pt>
                <c:pt idx="82">
                  <c:v>0.7540329410743174</c:v>
                </c:pt>
                <c:pt idx="83">
                  <c:v>7.7363350889453342E-2</c:v>
                </c:pt>
                <c:pt idx="84">
                  <c:v>0.19196143446256753</c:v>
                </c:pt>
                <c:pt idx="85">
                  <c:v>0.45775015344121095</c:v>
                </c:pt>
                <c:pt idx="86">
                  <c:v>0.33095451978940038</c:v>
                </c:pt>
                <c:pt idx="87">
                  <c:v>0.24642411374745099</c:v>
                </c:pt>
                <c:pt idx="88">
                  <c:v>0.46384900938825635</c:v>
                </c:pt>
                <c:pt idx="89">
                  <c:v>0.99542665833371458</c:v>
                </c:pt>
                <c:pt idx="90">
                  <c:v>0.40938606986709591</c:v>
                </c:pt>
                <c:pt idx="91">
                  <c:v>1.411979783345424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FD-4C34-B66D-E93CC6A0BEA4}"/>
            </c:ext>
          </c:extLst>
        </c:ser>
        <c:ser>
          <c:idx val="4"/>
          <c:order val="4"/>
          <c:tx>
            <c:strRef>
              <c:f>Déplacements!$P$9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Déplacements!$P$10:$P$100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1.0814516054953316</c:v>
                </c:pt>
                <c:pt idx="2">
                  <c:v>1.0452850720186202</c:v>
                </c:pt>
                <c:pt idx="3">
                  <c:v>0.50760877816169447</c:v>
                </c:pt>
                <c:pt idx="4">
                  <c:v>-1.2153208128529158E-2</c:v>
                </c:pt>
                <c:pt idx="5">
                  <c:v>-1.1115193814501545</c:v>
                </c:pt>
                <c:pt idx="6">
                  <c:v>-0.11215320812851814</c:v>
                </c:pt>
                <c:pt idx="7">
                  <c:v>1.1659820115514918</c:v>
                </c:pt>
                <c:pt idx="8">
                  <c:v>0.2878467918714378</c:v>
                </c:pt>
                <c:pt idx="9">
                  <c:v>-0.11215320812851814</c:v>
                </c:pt>
                <c:pt idx="10">
                  <c:v>-0.81215320812844105</c:v>
                </c:pt>
                <c:pt idx="11">
                  <c:v>-2.9121532081284318</c:v>
                </c:pt>
                <c:pt idx="12">
                  <c:v>-3.1121532081284098</c:v>
                </c:pt>
                <c:pt idx="13">
                  <c:v>-3.0121532081284208</c:v>
                </c:pt>
                <c:pt idx="14">
                  <c:v>-3.8121532081285547</c:v>
                </c:pt>
                <c:pt idx="15">
                  <c:v>-1.8126551276615999</c:v>
                </c:pt>
                <c:pt idx="16">
                  <c:v>-0.65858658363837641</c:v>
                </c:pt>
                <c:pt idx="17">
                  <c:v>-0.4226520301398029</c:v>
                </c:pt>
                <c:pt idx="18">
                  <c:v>-0.48321382557214854</c:v>
                </c:pt>
                <c:pt idx="19">
                  <c:v>-3.0813930079711671</c:v>
                </c:pt>
                <c:pt idx="20">
                  <c:v>-4.1144808393271948</c:v>
                </c:pt>
                <c:pt idx="21">
                  <c:v>-4.3863684142360082</c:v>
                </c:pt>
                <c:pt idx="22">
                  <c:v>-1.5886340908737306</c:v>
                </c:pt>
                <c:pt idx="23">
                  <c:v>-3.3121532081283878</c:v>
                </c:pt>
                <c:pt idx="24">
                  <c:v>-2.9663687442367248</c:v>
                </c:pt>
                <c:pt idx="25">
                  <c:v>-4.1121532081285217</c:v>
                </c:pt>
                <c:pt idx="26">
                  <c:v>-2.6121532081284649</c:v>
                </c:pt>
                <c:pt idx="27">
                  <c:v>-3.4121532081283767</c:v>
                </c:pt>
                <c:pt idx="28">
                  <c:v>-2.4121532081284869</c:v>
                </c:pt>
                <c:pt idx="29">
                  <c:v>-0.91215320812843004</c:v>
                </c:pt>
                <c:pt idx="30">
                  <c:v>-2.0666017936328274</c:v>
                </c:pt>
                <c:pt idx="31">
                  <c:v>-1.9121532081285419</c:v>
                </c:pt>
                <c:pt idx="32">
                  <c:v>-2.8121532081284428</c:v>
                </c:pt>
                <c:pt idx="33">
                  <c:v>-2.3121532081284979</c:v>
                </c:pt>
                <c:pt idx="34">
                  <c:v>-2.0121532081285309</c:v>
                </c:pt>
                <c:pt idx="35">
                  <c:v>-1.212153208128397</c:v>
                </c:pt>
                <c:pt idx="36">
                  <c:v>-0.91215320812843004</c:v>
                </c:pt>
                <c:pt idx="37">
                  <c:v>-1.312153208128386</c:v>
                </c:pt>
                <c:pt idx="38">
                  <c:v>-0.81215320812844105</c:v>
                </c:pt>
                <c:pt idx="39">
                  <c:v>-0.21215320812850713</c:v>
                </c:pt>
                <c:pt idx="40">
                  <c:v>0.18784679187144881</c:v>
                </c:pt>
                <c:pt idx="41">
                  <c:v>-0.31215320812849612</c:v>
                </c:pt>
                <c:pt idx="43">
                  <c:v>0.48784679187163782</c:v>
                </c:pt>
                <c:pt idx="44">
                  <c:v>0.65184798631512386</c:v>
                </c:pt>
                <c:pt idx="45">
                  <c:v>0.22919595617598709</c:v>
                </c:pt>
                <c:pt idx="46">
                  <c:v>-6.5252962921924507E-3</c:v>
                </c:pt>
                <c:pt idx="47">
                  <c:v>-2.4395261925436174E-2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FD-4C34-B66D-E93CC6A0BEA4}"/>
            </c:ext>
          </c:extLst>
        </c:ser>
        <c:ser>
          <c:idx val="6"/>
          <c:order val="5"/>
          <c:tx>
            <c:strRef>
              <c:f>Déplacements!$S$9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Déplacements!$S$10:$S$150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1.039186427066241</c:v>
                </c:pt>
                <c:pt idx="2">
                  <c:v>-0.25969007403903177</c:v>
                </c:pt>
                <c:pt idx="3">
                  <c:v>-1.3350428728013952</c:v>
                </c:pt>
                <c:pt idx="4">
                  <c:v>-2.1256524826283041</c:v>
                </c:pt>
                <c:pt idx="5">
                  <c:v>-3.6308406226099876</c:v>
                </c:pt>
                <c:pt idx="6">
                  <c:v>-2.825652482628449</c:v>
                </c:pt>
                <c:pt idx="7">
                  <c:v>-2.7968813300627282</c:v>
                </c:pt>
                <c:pt idx="8">
                  <c:v>-3.9256524826285499</c:v>
                </c:pt>
                <c:pt idx="9">
                  <c:v>-5.6256524826285847</c:v>
                </c:pt>
                <c:pt idx="10">
                  <c:v>-6.9256524826282195</c:v>
                </c:pt>
                <c:pt idx="11">
                  <c:v>-9.6256524826285883</c:v>
                </c:pt>
                <c:pt idx="12">
                  <c:v>-10.025652482628544</c:v>
                </c:pt>
                <c:pt idx="13">
                  <c:v>-10.325652482628289</c:v>
                </c:pt>
                <c:pt idx="14">
                  <c:v>-11.325652482628623</c:v>
                </c:pt>
                <c:pt idx="15">
                  <c:v>-9.9285041808467867</c:v>
                </c:pt>
                <c:pt idx="16">
                  <c:v>-8.6204796385493943</c:v>
                </c:pt>
                <c:pt idx="17">
                  <c:v>-9.5805948725002921</c:v>
                </c:pt>
                <c:pt idx="18">
                  <c:v>-9.8890751610554162</c:v>
                </c:pt>
                <c:pt idx="19">
                  <c:v>-12.245434495251395</c:v>
                </c:pt>
                <c:pt idx="20">
                  <c:v>-14.438405482227079</c:v>
                </c:pt>
                <c:pt idx="21">
                  <c:v>-14.414436660601826</c:v>
                </c:pt>
                <c:pt idx="22">
                  <c:v>-12.546963356603769</c:v>
                </c:pt>
                <c:pt idx="23">
                  <c:v>-14.225652482628526</c:v>
                </c:pt>
                <c:pt idx="24">
                  <c:v>-14.202684278989963</c:v>
                </c:pt>
                <c:pt idx="25">
                  <c:v>-15.425652482628394</c:v>
                </c:pt>
                <c:pt idx="26">
                  <c:v>-13.925652482628337</c:v>
                </c:pt>
                <c:pt idx="27">
                  <c:v>-15.025652482628438</c:v>
                </c:pt>
                <c:pt idx="28">
                  <c:v>-13.725652482628359</c:v>
                </c:pt>
                <c:pt idx="29">
                  <c:v>-14.425652482628504</c:v>
                </c:pt>
                <c:pt idx="30">
                  <c:v>-15.767349499083316</c:v>
                </c:pt>
                <c:pt idx="31">
                  <c:v>-15.425652482628394</c:v>
                </c:pt>
                <c:pt idx="32">
                  <c:v>-16.825652482628239</c:v>
                </c:pt>
                <c:pt idx="33">
                  <c:v>-16.625652482628261</c:v>
                </c:pt>
                <c:pt idx="34">
                  <c:v>-16.625652482628261</c:v>
                </c:pt>
                <c:pt idx="35">
                  <c:v>-15.925652482628561</c:v>
                </c:pt>
                <c:pt idx="36">
                  <c:v>-15.725652482628583</c:v>
                </c:pt>
                <c:pt idx="37">
                  <c:v>-16.325652482628517</c:v>
                </c:pt>
                <c:pt idx="38">
                  <c:v>-16.425652482628283</c:v>
                </c:pt>
                <c:pt idx="39">
                  <c:v>-15.82565248262835</c:v>
                </c:pt>
                <c:pt idx="40">
                  <c:v>-15.425652482628394</c:v>
                </c:pt>
                <c:pt idx="41">
                  <c:v>-16.225652482628306</c:v>
                </c:pt>
                <c:pt idx="43">
                  <c:v>-15.525652482628605</c:v>
                </c:pt>
                <c:pt idx="44">
                  <c:v>-15.302432290511092</c:v>
                </c:pt>
                <c:pt idx="45">
                  <c:v>-15.809614677514183</c:v>
                </c:pt>
                <c:pt idx="46">
                  <c:v>-16.679740341702942</c:v>
                </c:pt>
                <c:pt idx="47">
                  <c:v>-16.667542840873573</c:v>
                </c:pt>
                <c:pt idx="49">
                  <c:v>-16.667542840873573</c:v>
                </c:pt>
                <c:pt idx="50">
                  <c:v>-15.948845515157739</c:v>
                </c:pt>
                <c:pt idx="51">
                  <c:v>-17.16754284087374</c:v>
                </c:pt>
                <c:pt idx="52">
                  <c:v>-17.725263166085359</c:v>
                </c:pt>
                <c:pt idx="53">
                  <c:v>-17.072562348266374</c:v>
                </c:pt>
                <c:pt idx="54">
                  <c:v>-17.806531135006853</c:v>
                </c:pt>
                <c:pt idx="55">
                  <c:v>-17.99019905359156</c:v>
                </c:pt>
                <c:pt idx="56">
                  <c:v>-17.984100408629633</c:v>
                </c:pt>
                <c:pt idx="57">
                  <c:v>-18.817633099007747</c:v>
                </c:pt>
                <c:pt idx="58">
                  <c:v>-20.194941150243118</c:v>
                </c:pt>
                <c:pt idx="59">
                  <c:v>-18.938329876748039</c:v>
                </c:pt>
                <c:pt idx="60">
                  <c:v>-20.255502734660702</c:v>
                </c:pt>
                <c:pt idx="61">
                  <c:v>-18.775367920619512</c:v>
                </c:pt>
                <c:pt idx="62">
                  <c:v>-20.88990714646588</c:v>
                </c:pt>
                <c:pt idx="63">
                  <c:v>-19.458136366751422</c:v>
                </c:pt>
                <c:pt idx="64">
                  <c:v>-19.512599095255823</c:v>
                </c:pt>
                <c:pt idx="65">
                  <c:v>-17.38586236851436</c:v>
                </c:pt>
                <c:pt idx="66">
                  <c:v>-17.61548471579566</c:v>
                </c:pt>
                <c:pt idx="67">
                  <c:v>-17.826810706320639</c:v>
                </c:pt>
                <c:pt idx="68">
                  <c:v>-17.84510711233489</c:v>
                </c:pt>
                <c:pt idx="71">
                  <c:v>-21.584446962546799</c:v>
                </c:pt>
                <c:pt idx="72">
                  <c:v>-20.575328002010007</c:v>
                </c:pt>
                <c:pt idx="73">
                  <c:v>-19.76576392222773</c:v>
                </c:pt>
                <c:pt idx="74">
                  <c:v>-20.974011161357886</c:v>
                </c:pt>
                <c:pt idx="75">
                  <c:v>-20.720419943245361</c:v>
                </c:pt>
                <c:pt idx="76">
                  <c:v>-20.533062774395372</c:v>
                </c:pt>
                <c:pt idx="77">
                  <c:v>-20.744388764863508</c:v>
                </c:pt>
                <c:pt idx="78">
                  <c:v>-19.886460861742172</c:v>
                </c:pt>
                <c:pt idx="79">
                  <c:v>-21.179238506933373</c:v>
                </c:pt>
                <c:pt idx="80">
                  <c:v>-21.354397963897043</c:v>
                </c:pt>
                <c:pt idx="81">
                  <c:v>-20.678154764843359</c:v>
                </c:pt>
                <c:pt idx="82">
                  <c:v>-20.665957263973134</c:v>
                </c:pt>
                <c:pt idx="83">
                  <c:v>-21.46332358268177</c:v>
                </c:pt>
                <c:pt idx="84">
                  <c:v>-21.952636053240493</c:v>
                </c:pt>
                <c:pt idx="85">
                  <c:v>-21.705143691067352</c:v>
                </c:pt>
                <c:pt idx="86">
                  <c:v>-21.946537197277571</c:v>
                </c:pt>
                <c:pt idx="87">
                  <c:v>-22.133894577186286</c:v>
                </c:pt>
                <c:pt idx="88">
                  <c:v>-21.759180028418701</c:v>
                </c:pt>
                <c:pt idx="89">
                  <c:v>-20.883382110392201</c:v>
                </c:pt>
                <c:pt idx="90">
                  <c:v>-21.91037082558811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FD-4C34-B66D-E93CC6A0BEA4}"/>
            </c:ext>
          </c:extLst>
        </c:ser>
        <c:ser>
          <c:idx val="2"/>
          <c:order val="6"/>
          <c:tx>
            <c:strRef>
              <c:f>Déplacements!$V$9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Déplacements!$V$10:$V$150</c:f>
              <c:numCache>
                <c:formatCode>\+\ 0.0;\-\ 0.0;\±\ 0.0</c:formatCode>
                <c:ptCount val="141"/>
                <c:pt idx="0">
                  <c:v>0</c:v>
                </c:pt>
                <c:pt idx="1">
                  <c:v>0.56207150661524707</c:v>
                </c:pt>
                <c:pt idx="2">
                  <c:v>-0.73070613856707212</c:v>
                </c:pt>
                <c:pt idx="3">
                  <c:v>-2.3860006206457562</c:v>
                </c:pt>
                <c:pt idx="4">
                  <c:v>-2.9223238672915208</c:v>
                </c:pt>
                <c:pt idx="5">
                  <c:v>-4.9114207669234133</c:v>
                </c:pt>
                <c:pt idx="6">
                  <c:v>-4.1223238672913887</c:v>
                </c:pt>
                <c:pt idx="7">
                  <c:v>-4.4521758121436328</c:v>
                </c:pt>
                <c:pt idx="8">
                  <c:v>-6.0223238672914015</c:v>
                </c:pt>
                <c:pt idx="9">
                  <c:v>-8.0223238672916253</c:v>
                </c:pt>
                <c:pt idx="10">
                  <c:v>-9.3223238672917041</c:v>
                </c:pt>
                <c:pt idx="11">
                  <c:v>-12.022323867291629</c:v>
                </c:pt>
                <c:pt idx="12">
                  <c:v>-12.522323867291352</c:v>
                </c:pt>
                <c:pt idx="13">
                  <c:v>-12.922323867291752</c:v>
                </c:pt>
                <c:pt idx="14">
                  <c:v>-13.922323867291642</c:v>
                </c:pt>
                <c:pt idx="15">
                  <c:v>-12.476947734478383</c:v>
                </c:pt>
                <c:pt idx="16">
                  <c:v>-11.003857092215519</c:v>
                </c:pt>
                <c:pt idx="17">
                  <c:v>-12.275075781675859</c:v>
                </c:pt>
                <c:pt idx="18">
                  <c:v>-12.53519224685018</c:v>
                </c:pt>
                <c:pt idx="19">
                  <c:v>-14.861484114527812</c:v>
                </c:pt>
                <c:pt idx="20">
                  <c:v>-16.118095177033442</c:v>
                </c:pt>
                <c:pt idx="21">
                  <c:v>-16.891492934337116</c:v>
                </c:pt>
                <c:pt idx="22">
                  <c:v>-15.199179298339693</c:v>
                </c:pt>
                <c:pt idx="23">
                  <c:v>-16.822323867291544</c:v>
                </c:pt>
                <c:pt idx="24">
                  <c:v>-16.722005731137468</c:v>
                </c:pt>
                <c:pt idx="25">
                  <c:v>-18.022323867291412</c:v>
                </c:pt>
                <c:pt idx="26">
                  <c:v>-16.722323867291777</c:v>
                </c:pt>
                <c:pt idx="27">
                  <c:v>-17.822323867291434</c:v>
                </c:pt>
                <c:pt idx="28">
                  <c:v>-17.122323867291733</c:v>
                </c:pt>
                <c:pt idx="29">
                  <c:v>-16.922323867291755</c:v>
                </c:pt>
                <c:pt idx="30">
                  <c:v>-18.504095846854973</c:v>
                </c:pt>
                <c:pt idx="31">
                  <c:v>-18.122323867291623</c:v>
                </c:pt>
                <c:pt idx="32">
                  <c:v>-19.522323867291469</c:v>
                </c:pt>
                <c:pt idx="33">
                  <c:v>-19.522323867291469</c:v>
                </c:pt>
                <c:pt idx="34">
                  <c:v>-19.322323867291491</c:v>
                </c:pt>
                <c:pt idx="35">
                  <c:v>-18.722323867291557</c:v>
                </c:pt>
                <c:pt idx="36">
                  <c:v>-18.522323867291579</c:v>
                </c:pt>
                <c:pt idx="37">
                  <c:v>-19.022323867291746</c:v>
                </c:pt>
                <c:pt idx="38">
                  <c:v>-18.722323867291557</c:v>
                </c:pt>
                <c:pt idx="39">
                  <c:v>-18.322323867291601</c:v>
                </c:pt>
                <c:pt idx="40">
                  <c:v>-17.422323867291478</c:v>
                </c:pt>
                <c:pt idx="41">
                  <c:v>-18.722323867291557</c:v>
                </c:pt>
                <c:pt idx="43">
                  <c:v>-18.22232386729139</c:v>
                </c:pt>
                <c:pt idx="45">
                  <c:v>-18.352478609341194</c:v>
                </c:pt>
                <c:pt idx="53">
                  <c:v>-21.222545626835121</c:v>
                </c:pt>
                <c:pt idx="54">
                  <c:v>-22.086359295864</c:v>
                </c:pt>
                <c:pt idx="57">
                  <c:v>-23.064344495506983</c:v>
                </c:pt>
                <c:pt idx="58">
                  <c:v>-24.357122140656884</c:v>
                </c:pt>
                <c:pt idx="59">
                  <c:v>-23.281769130914398</c:v>
                </c:pt>
                <c:pt idx="60">
                  <c:v>-24.683472394844586</c:v>
                </c:pt>
                <c:pt idx="61">
                  <c:v>-23.281769130914398</c:v>
                </c:pt>
                <c:pt idx="62">
                  <c:v>-25.142717349672772</c:v>
                </c:pt>
                <c:pt idx="63">
                  <c:v>-23.928371254563263</c:v>
                </c:pt>
                <c:pt idx="64">
                  <c:v>-23.856038349387099</c:v>
                </c:pt>
                <c:pt idx="65">
                  <c:v>-21.81383181771146</c:v>
                </c:pt>
                <c:pt idx="66">
                  <c:v>-22.127984782019716</c:v>
                </c:pt>
                <c:pt idx="67">
                  <c:v>-22.170250009667214</c:v>
                </c:pt>
                <c:pt idx="68">
                  <c:v>-22.484402762987798</c:v>
                </c:pt>
                <c:pt idx="71">
                  <c:v>-26.278205341711214</c:v>
                </c:pt>
                <c:pt idx="72">
                  <c:v>-24.930964757019058</c:v>
                </c:pt>
                <c:pt idx="73">
                  <c:v>-24.374992106334759</c:v>
                </c:pt>
                <c:pt idx="74">
                  <c:v>-25.426376083512281</c:v>
                </c:pt>
                <c:pt idx="75">
                  <c:v>-25.432474939449445</c:v>
                </c:pt>
                <c:pt idx="77">
                  <c:v>-25.474740117835903</c:v>
                </c:pt>
                <c:pt idx="78">
                  <c:v>-24.562349275244699</c:v>
                </c:pt>
                <c:pt idx="79">
                  <c:v>-26.157082222052708</c:v>
                </c:pt>
                <c:pt idx="80">
                  <c:v>-26.024187732486492</c:v>
                </c:pt>
                <c:pt idx="81">
                  <c:v>-25.523104201421454</c:v>
                </c:pt>
                <c:pt idx="82">
                  <c:v>-25.293481593901213</c:v>
                </c:pt>
                <c:pt idx="83">
                  <c:v>-26.574061738239063</c:v>
                </c:pt>
                <c:pt idx="84">
                  <c:v>-28.102560635864471</c:v>
                </c:pt>
                <c:pt idx="85">
                  <c:v>-27.975765051415635</c:v>
                </c:pt>
                <c:pt idx="86">
                  <c:v>-28.193189897822268</c:v>
                </c:pt>
                <c:pt idx="87">
                  <c:v>-28.465077472732858</c:v>
                </c:pt>
                <c:pt idx="88">
                  <c:v>-28.102560635864471</c:v>
                </c:pt>
                <c:pt idx="89">
                  <c:v>-27.697778620566105</c:v>
                </c:pt>
                <c:pt idx="90">
                  <c:v>-28.501243795203468</c:v>
                </c:pt>
                <c:pt idx="91">
                  <c:v>-25.934411252777512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FD-4C34-B66D-E93CC6A0BEA4}"/>
            </c:ext>
          </c:extLst>
        </c:ser>
        <c:ser>
          <c:idx val="12"/>
          <c:order val="8"/>
          <c:tx>
            <c:strRef>
              <c:f>Graphiques!$AB$35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Graphiques!$AD$36:$AD$105</c:f>
              <c:numCache>
                <c:formatCode>m/d/yyyy</c:formatCode>
                <c:ptCount val="70"/>
              </c:numCache>
            </c:numRef>
          </c:xVal>
          <c:yVal>
            <c:numRef>
              <c:f>Graphiques!$AE$36:$AE$105</c:f>
              <c:numCache>
                <c:formatCode>General</c:formatCode>
                <c:ptCount val="7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FD-4C34-B66D-E93CC6A0B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00320"/>
        <c:axId val="404400712"/>
      </c:scatterChart>
      <c:scatterChart>
        <c:scatterStyle val="lineMarker"/>
        <c:varyColors val="0"/>
        <c:ser>
          <c:idx val="7"/>
          <c:order val="7"/>
          <c:tx>
            <c:v>PM Front</c:v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'Résultats observations'!$A$10:$A$100</c:f>
              <c:numCache>
                <c:formatCode>dd\ /\ mm\ /\ yy</c:formatCode>
                <c:ptCount val="9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</c:numCache>
            </c:numRef>
          </c:xVal>
          <c:yVal>
            <c:numRef>
              <c:f>'Résultats observations'!$C$10:$C$100</c:f>
              <c:numCache>
                <c:formatCode>0.0</c:formatCode>
                <c:ptCount val="91"/>
                <c:pt idx="0">
                  <c:v>197.2</c:v>
                </c:pt>
                <c:pt idx="1">
                  <c:v>198.3</c:v>
                </c:pt>
                <c:pt idx="2">
                  <c:v>199</c:v>
                </c:pt>
                <c:pt idx="3">
                  <c:v>199.4</c:v>
                </c:pt>
                <c:pt idx="4">
                  <c:v>200.6</c:v>
                </c:pt>
                <c:pt idx="5">
                  <c:v>200.6</c:v>
                </c:pt>
                <c:pt idx="6">
                  <c:v>200.6</c:v>
                </c:pt>
                <c:pt idx="7">
                  <c:v>202.58</c:v>
                </c:pt>
                <c:pt idx="8">
                  <c:v>203.6</c:v>
                </c:pt>
                <c:pt idx="9">
                  <c:v>203.6</c:v>
                </c:pt>
                <c:pt idx="10">
                  <c:v>206.32</c:v>
                </c:pt>
                <c:pt idx="11">
                  <c:v>206.32</c:v>
                </c:pt>
                <c:pt idx="12">
                  <c:v>206.32</c:v>
                </c:pt>
                <c:pt idx="13">
                  <c:v>206.32</c:v>
                </c:pt>
                <c:pt idx="14">
                  <c:v>207.2</c:v>
                </c:pt>
                <c:pt idx="15">
                  <c:v>208.3</c:v>
                </c:pt>
                <c:pt idx="16">
                  <c:v>210.3</c:v>
                </c:pt>
                <c:pt idx="17">
                  <c:v>213.5</c:v>
                </c:pt>
                <c:pt idx="18">
                  <c:v>213.98</c:v>
                </c:pt>
                <c:pt idx="19">
                  <c:v>215</c:v>
                </c:pt>
                <c:pt idx="20">
                  <c:v>215.55</c:v>
                </c:pt>
                <c:pt idx="21">
                  <c:v>216.87</c:v>
                </c:pt>
                <c:pt idx="22">
                  <c:v>217.72</c:v>
                </c:pt>
                <c:pt idx="23">
                  <c:v>218.8</c:v>
                </c:pt>
                <c:pt idx="24">
                  <c:v>219.45</c:v>
                </c:pt>
                <c:pt idx="25">
                  <c:v>220.5</c:v>
                </c:pt>
                <c:pt idx="26">
                  <c:v>221.7</c:v>
                </c:pt>
                <c:pt idx="27">
                  <c:v>222.9</c:v>
                </c:pt>
                <c:pt idx="28">
                  <c:v>222.9</c:v>
                </c:pt>
                <c:pt idx="29">
                  <c:v>222.9</c:v>
                </c:pt>
                <c:pt idx="30">
                  <c:v>222.9</c:v>
                </c:pt>
                <c:pt idx="31">
                  <c:v>222.9</c:v>
                </c:pt>
                <c:pt idx="32">
                  <c:v>222.9</c:v>
                </c:pt>
                <c:pt idx="33">
                  <c:v>222.9</c:v>
                </c:pt>
                <c:pt idx="34">
                  <c:v>222.9</c:v>
                </c:pt>
                <c:pt idx="35">
                  <c:v>222.9</c:v>
                </c:pt>
                <c:pt idx="36">
                  <c:v>222.9</c:v>
                </c:pt>
                <c:pt idx="37">
                  <c:v>222.9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FFD-4C34-B66D-E93CC6A0B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01496"/>
        <c:axId val="404401104"/>
      </c:scatterChart>
      <c:valAx>
        <c:axId val="404400320"/>
        <c:scaling>
          <c:orientation val="minMax"/>
          <c:max val="45365"/>
          <c:min val="437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88542330759379761"/>
              <c:y val="0.84926414603579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0712"/>
        <c:crossesAt val="0"/>
        <c:crossBetween val="midCat"/>
        <c:majorUnit val="30"/>
      </c:valAx>
      <c:valAx>
        <c:axId val="404400712"/>
        <c:scaling>
          <c:orientation val="minMax"/>
          <c:max val="4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0320"/>
        <c:crosses val="autoZero"/>
        <c:crossBetween val="midCat"/>
        <c:majorUnit val="10"/>
        <c:minorUnit val="2"/>
      </c:valAx>
      <c:valAx>
        <c:axId val="404401104"/>
        <c:scaling>
          <c:orientation val="minMax"/>
          <c:max val="225"/>
          <c:min val="19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1496"/>
        <c:crosses val="max"/>
        <c:crossBetween val="midCat"/>
      </c:valAx>
      <c:valAx>
        <c:axId val="404401496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ayout>
        <c:manualLayout>
          <c:xMode val="edge"/>
          <c:yMode val="edge"/>
          <c:x val="0.22513597883597886"/>
          <c:y val="0.10589328703703703"/>
          <c:w val="0.60087421098521521"/>
          <c:h val="9.9946046733631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5" footer="0.4921259845000045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Convergences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51"/>
          <c:h val="0.75375798877158295"/>
        </c:manualLayout>
      </c:layout>
      <c:scatterChart>
        <c:scatterStyle val="lineMarker"/>
        <c:varyColors val="0"/>
        <c:ser>
          <c:idx val="7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Convergences!$D$10:$D$119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-1.2353958704158785</c:v>
                </c:pt>
                <c:pt idx="2">
                  <c:v>-5.280985580840003</c:v>
                </c:pt>
                <c:pt idx="3">
                  <c:v>-8.2069311147430213</c:v>
                </c:pt>
                <c:pt idx="4">
                  <c:v>-10.038942701527276</c:v>
                </c:pt>
                <c:pt idx="5">
                  <c:v>-12.07730862313916</c:v>
                </c:pt>
                <c:pt idx="6">
                  <c:v>-12.091752469550521</c:v>
                </c:pt>
                <c:pt idx="7">
                  <c:v>-17.748514811093408</c:v>
                </c:pt>
                <c:pt idx="8">
                  <c:v>-20.796429088326462</c:v>
                </c:pt>
                <c:pt idx="9">
                  <c:v>-25.060483937102696</c:v>
                </c:pt>
                <c:pt idx="10">
                  <c:v>-27.916512740020494</c:v>
                </c:pt>
                <c:pt idx="11">
                  <c:v>-30.207526231491144</c:v>
                </c:pt>
                <c:pt idx="12">
                  <c:v>-31.504109920015289</c:v>
                </c:pt>
                <c:pt idx="13">
                  <c:v>-32.605304469280227</c:v>
                </c:pt>
                <c:pt idx="14">
                  <c:v>-33.373017032623409</c:v>
                </c:pt>
                <c:pt idx="15">
                  <c:v>-34.542244900148233</c:v>
                </c:pt>
                <c:pt idx="16">
                  <c:v>-35.634609987579502</c:v>
                </c:pt>
                <c:pt idx="17">
                  <c:v>-40.421937409259812</c:v>
                </c:pt>
                <c:pt idx="18">
                  <c:v>-41.889677916183921</c:v>
                </c:pt>
                <c:pt idx="19">
                  <c:v>-40.884616889491632</c:v>
                </c:pt>
                <c:pt idx="20">
                  <c:v>-42.437954443132142</c:v>
                </c:pt>
                <c:pt idx="21">
                  <c:v>-43.369646989241062</c:v>
                </c:pt>
                <c:pt idx="22">
                  <c:v>-47.394454904741146</c:v>
                </c:pt>
                <c:pt idx="23">
                  <c:v>-47.837926497469319</c:v>
                </c:pt>
                <c:pt idx="24">
                  <c:v>-48.683728213425148</c:v>
                </c:pt>
                <c:pt idx="25">
                  <c:v>-49.17278645009393</c:v>
                </c:pt>
                <c:pt idx="26">
                  <c:v>-50.014264607420422</c:v>
                </c:pt>
                <c:pt idx="27">
                  <c:v>-50.711094027852788</c:v>
                </c:pt>
                <c:pt idx="28">
                  <c:v>-52.416735868393793</c:v>
                </c:pt>
                <c:pt idx="29">
                  <c:v>-57.792018129389611</c:v>
                </c:pt>
                <c:pt idx="30">
                  <c:v>-58.084684140629506</c:v>
                </c:pt>
                <c:pt idx="31">
                  <c:v>-58.956664580731122</c:v>
                </c:pt>
                <c:pt idx="32">
                  <c:v>-60.202739717451159</c:v>
                </c:pt>
                <c:pt idx="33">
                  <c:v>-62.163716276203651</c:v>
                </c:pt>
                <c:pt idx="34">
                  <c:v>-63.04165617309998</c:v>
                </c:pt>
                <c:pt idx="35">
                  <c:v>-63.937508497374118</c:v>
                </c:pt>
                <c:pt idx="36">
                  <c:v>-64.520151804138067</c:v>
                </c:pt>
                <c:pt idx="37">
                  <c:v>-66.528030184349163</c:v>
                </c:pt>
                <c:pt idx="38">
                  <c:v>-67.299380521508738</c:v>
                </c:pt>
                <c:pt idx="39">
                  <c:v>-67.573455790600264</c:v>
                </c:pt>
                <c:pt idx="40">
                  <c:v>-66.673283700878557</c:v>
                </c:pt>
                <c:pt idx="41">
                  <c:v>-67.651162214394489</c:v>
                </c:pt>
                <c:pt idx="42">
                  <c:v>-68.611964105800283</c:v>
                </c:pt>
                <c:pt idx="43">
                  <c:v>-69.371388728695749</c:v>
                </c:pt>
                <c:pt idx="44">
                  <c:v>-68.718377380480263</c:v>
                </c:pt>
                <c:pt idx="45">
                  <c:v>-70.528801992431056</c:v>
                </c:pt>
                <c:pt idx="46">
                  <c:v>-70.446333551679174</c:v>
                </c:pt>
                <c:pt idx="47">
                  <c:v>-71.133504199328172</c:v>
                </c:pt>
                <c:pt idx="53">
                  <c:v>-73.122276491803348</c:v>
                </c:pt>
                <c:pt idx="54">
                  <c:v>-72.662901232180658</c:v>
                </c:pt>
                <c:pt idx="55">
                  <c:v>-73.141090556677383</c:v>
                </c:pt>
                <c:pt idx="56">
                  <c:v>-73.363519242470858</c:v>
                </c:pt>
                <c:pt idx="57">
                  <c:v>-74.200877703163741</c:v>
                </c:pt>
                <c:pt idx="58">
                  <c:v>-74.806535282458952</c:v>
                </c:pt>
                <c:pt idx="59">
                  <c:v>-74.943817430120234</c:v>
                </c:pt>
                <c:pt idx="60">
                  <c:v>-74.814589380050478</c:v>
                </c:pt>
                <c:pt idx="61">
                  <c:v>-74.798469859874032</c:v>
                </c:pt>
                <c:pt idx="62">
                  <c:v>-74.845852841923119</c:v>
                </c:pt>
                <c:pt idx="63">
                  <c:v>-74.994106146159638</c:v>
                </c:pt>
                <c:pt idx="64">
                  <c:v>-75.296716498503002</c:v>
                </c:pt>
                <c:pt idx="66">
                  <c:v>-75.300291883732655</c:v>
                </c:pt>
                <c:pt idx="67">
                  <c:v>-75.50204384378921</c:v>
                </c:pt>
                <c:pt idx="68">
                  <c:v>-75.580652706284098</c:v>
                </c:pt>
                <c:pt idx="69">
                  <c:v>-76.154233396284354</c:v>
                </c:pt>
                <c:pt idx="70">
                  <c:v>-76.60425414336558</c:v>
                </c:pt>
                <c:pt idx="71">
                  <c:v>-76.380258868389276</c:v>
                </c:pt>
                <c:pt idx="72">
                  <c:v>-77.302124742790738</c:v>
                </c:pt>
                <c:pt idx="73">
                  <c:v>-76.514323236033022</c:v>
                </c:pt>
                <c:pt idx="74">
                  <c:v>-76.905210822220113</c:v>
                </c:pt>
                <c:pt idx="75">
                  <c:v>-77.129925664952907</c:v>
                </c:pt>
                <c:pt idx="77">
                  <c:v>-77.518433190395967</c:v>
                </c:pt>
                <c:pt idx="78">
                  <c:v>-77.117388311803467</c:v>
                </c:pt>
                <c:pt idx="79">
                  <c:v>-77.662244814861822</c:v>
                </c:pt>
                <c:pt idx="80">
                  <c:v>-77.680859687564663</c:v>
                </c:pt>
                <c:pt idx="81">
                  <c:v>-76.21297349061517</c:v>
                </c:pt>
                <c:pt idx="82">
                  <c:v>-76.414703791854777</c:v>
                </c:pt>
                <c:pt idx="83">
                  <c:v>-76.859010627420503</c:v>
                </c:pt>
                <c:pt idx="84">
                  <c:v>-78.297176371910908</c:v>
                </c:pt>
                <c:pt idx="85">
                  <c:v>-78.61383391210984</c:v>
                </c:pt>
                <c:pt idx="86">
                  <c:v>-78.687904061266238</c:v>
                </c:pt>
                <c:pt idx="87">
                  <c:v>-78.862756724878295</c:v>
                </c:pt>
                <c:pt idx="88">
                  <c:v>-78.437112169910776</c:v>
                </c:pt>
                <c:pt idx="89">
                  <c:v>-78.18229957211642</c:v>
                </c:pt>
                <c:pt idx="90">
                  <c:v>-79.10154997183659</c:v>
                </c:pt>
                <c:pt idx="91">
                  <c:v>-80.135133795891988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C-490F-8AD3-C5EF9F0709C4}"/>
            </c:ext>
          </c:extLst>
        </c:ser>
        <c:ser>
          <c:idx val="8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Convergences!$I$10:$I$119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-1.1924402284559932</c:v>
                </c:pt>
                <c:pt idx="2">
                  <c:v>-4.8426483356998062</c:v>
                </c:pt>
                <c:pt idx="3">
                  <c:v>-7.7764205334709402</c:v>
                </c:pt>
                <c:pt idx="4">
                  <c:v>-8.9474572762346938</c:v>
                </c:pt>
                <c:pt idx="5">
                  <c:v>-11.246417428187883</c:v>
                </c:pt>
                <c:pt idx="6">
                  <c:v>-11.244472304047015</c:v>
                </c:pt>
                <c:pt idx="7">
                  <c:v>-17.198765880749534</c:v>
                </c:pt>
                <c:pt idx="8">
                  <c:v>-20.544771164505704</c:v>
                </c:pt>
                <c:pt idx="9">
                  <c:v>-24.643655506169537</c:v>
                </c:pt>
                <c:pt idx="10">
                  <c:v>-27.997854197468364</c:v>
                </c:pt>
                <c:pt idx="11">
                  <c:v>-30.30568479346929</c:v>
                </c:pt>
                <c:pt idx="12">
                  <c:v>-31.785089398894684</c:v>
                </c:pt>
                <c:pt idx="13">
                  <c:v>-32.80211152609791</c:v>
                </c:pt>
                <c:pt idx="14">
                  <c:v>-33.796109997505042</c:v>
                </c:pt>
                <c:pt idx="15">
                  <c:v>-35.394185463315964</c:v>
                </c:pt>
                <c:pt idx="16">
                  <c:v>-35.740551032318102</c:v>
                </c:pt>
                <c:pt idx="17">
                  <c:v>-41.184339935593783</c:v>
                </c:pt>
                <c:pt idx="18">
                  <c:v>-42.613774506522262</c:v>
                </c:pt>
                <c:pt idx="19">
                  <c:v>-42.084180549833761</c:v>
                </c:pt>
                <c:pt idx="20">
                  <c:v>-43.415724487557483</c:v>
                </c:pt>
                <c:pt idx="21">
                  <c:v>-44.759281583415245</c:v>
                </c:pt>
                <c:pt idx="22">
                  <c:v>-48.556439032473975</c:v>
                </c:pt>
                <c:pt idx="23">
                  <c:v>-49.069114638546019</c:v>
                </c:pt>
                <c:pt idx="24">
                  <c:v>-50.004376793025607</c:v>
                </c:pt>
                <c:pt idx="25">
                  <c:v>-50.244847093968481</c:v>
                </c:pt>
                <c:pt idx="26">
                  <c:v>-51.289072184148132</c:v>
                </c:pt>
                <c:pt idx="27">
                  <c:v>-52.011703961696298</c:v>
                </c:pt>
                <c:pt idx="28">
                  <c:v>-54.018869200541886</c:v>
                </c:pt>
                <c:pt idx="29">
                  <c:v>-58.942608418355746</c:v>
                </c:pt>
                <c:pt idx="30">
                  <c:v>-59.588254337567648</c:v>
                </c:pt>
                <c:pt idx="31">
                  <c:v>-60.338394887239133</c:v>
                </c:pt>
                <c:pt idx="32">
                  <c:v>-62.321182647631979</c:v>
                </c:pt>
                <c:pt idx="33">
                  <c:v>-63.28174333689951</c:v>
                </c:pt>
                <c:pt idx="34">
                  <c:v>-63.905146498055565</c:v>
                </c:pt>
                <c:pt idx="35">
                  <c:v>-65.041511857971017</c:v>
                </c:pt>
                <c:pt idx="36">
                  <c:v>-65.931667109418328</c:v>
                </c:pt>
                <c:pt idx="37">
                  <c:v>-67.607781340323754</c:v>
                </c:pt>
                <c:pt idx="38">
                  <c:v>-68.062145981104834</c:v>
                </c:pt>
                <c:pt idx="39">
                  <c:v>-68.214268076610011</c:v>
                </c:pt>
                <c:pt idx="40">
                  <c:v>-58.522250049467317</c:v>
                </c:pt>
                <c:pt idx="41">
                  <c:v>-59.459831166857491</c:v>
                </c:pt>
                <c:pt idx="42">
                  <c:v>-60.714742182571335</c:v>
                </c:pt>
                <c:pt idx="43">
                  <c:v>-60.829411014615253</c:v>
                </c:pt>
                <c:pt idx="45">
                  <c:v>-61.987338230130362</c:v>
                </c:pt>
                <c:pt idx="46">
                  <c:v>-61.815847024337067</c:v>
                </c:pt>
                <c:pt idx="47">
                  <c:v>-62.666982548950756</c:v>
                </c:pt>
                <c:pt idx="49">
                  <c:v>-62.666982548950756</c:v>
                </c:pt>
                <c:pt idx="53">
                  <c:v>-62.658981450797846</c:v>
                </c:pt>
                <c:pt idx="54">
                  <c:v>-63.707322947483824</c:v>
                </c:pt>
                <c:pt idx="57">
                  <c:v>-65.428318773491867</c:v>
                </c:pt>
                <c:pt idx="58">
                  <c:v>-66.534596544181483</c:v>
                </c:pt>
                <c:pt idx="59">
                  <c:v>-66.572485768171759</c:v>
                </c:pt>
                <c:pt idx="60">
                  <c:v>-66.536197014412039</c:v>
                </c:pt>
                <c:pt idx="61">
                  <c:v>-66.644859842359679</c:v>
                </c:pt>
                <c:pt idx="62">
                  <c:v>-66.89528231598851</c:v>
                </c:pt>
                <c:pt idx="63">
                  <c:v>-66.859804974551025</c:v>
                </c:pt>
                <c:pt idx="64">
                  <c:v>-66.94345320256501</c:v>
                </c:pt>
                <c:pt idx="66">
                  <c:v>-67.125926970022846</c:v>
                </c:pt>
                <c:pt idx="67">
                  <c:v>-67.438638128433311</c:v>
                </c:pt>
                <c:pt idx="68">
                  <c:v>-67.680353164516035</c:v>
                </c:pt>
                <c:pt idx="71">
                  <c:v>-67.810389896355346</c:v>
                </c:pt>
                <c:pt idx="72">
                  <c:v>-67.880698370534446</c:v>
                </c:pt>
                <c:pt idx="73">
                  <c:v>-68.10602984820369</c:v>
                </c:pt>
                <c:pt idx="74">
                  <c:v>-68.242754299689068</c:v>
                </c:pt>
                <c:pt idx="75">
                  <c:v>-68.527358029413676</c:v>
                </c:pt>
                <c:pt idx="77">
                  <c:v>-68.974869392707035</c:v>
                </c:pt>
                <c:pt idx="78">
                  <c:v>-69.060562405934164</c:v>
                </c:pt>
                <c:pt idx="79">
                  <c:v>-69.266219646241026</c:v>
                </c:pt>
                <c:pt idx="80">
                  <c:v>-69.338761305293588</c:v>
                </c:pt>
                <c:pt idx="81">
                  <c:v>-70.796057735074584</c:v>
                </c:pt>
                <c:pt idx="82">
                  <c:v>-70.822676054554279</c:v>
                </c:pt>
                <c:pt idx="83">
                  <c:v>-71.415782195899169</c:v>
                </c:pt>
                <c:pt idx="84">
                  <c:v>-73.909198624714904</c:v>
                </c:pt>
                <c:pt idx="85">
                  <c:v>-73.98066219339006</c:v>
                </c:pt>
                <c:pt idx="86">
                  <c:v>-74.281488436537472</c:v>
                </c:pt>
                <c:pt idx="87">
                  <c:v>-74.713637039747653</c:v>
                </c:pt>
                <c:pt idx="88">
                  <c:v>-74.30590443039975</c:v>
                </c:pt>
                <c:pt idx="89">
                  <c:v>-74.463435437246432</c:v>
                </c:pt>
                <c:pt idx="90">
                  <c:v>-75.090373736150354</c:v>
                </c:pt>
                <c:pt idx="91">
                  <c:v>-75.06000557360926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1C-490F-8AD3-C5EF9F0709C4}"/>
            </c:ext>
          </c:extLst>
        </c:ser>
        <c:ser>
          <c:idx val="9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Convergences!$B$10:$B$18</c:f>
              <c:numCache>
                <c:formatCode>dd\ /\ mm\ /\ yy</c:formatCode>
                <c:ptCount val="9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</c:numCache>
            </c:numRef>
          </c:xVal>
          <c:yVal>
            <c:numRef>
              <c:f>Convergences!$L$10:$L$18</c:f>
              <c:numCache>
                <c:formatCode>\+\ 0.0;\-\ 0.0;\±\ 0.0</c:formatCode>
                <c:ptCount val="9"/>
                <c:pt idx="0">
                  <c:v>0</c:v>
                </c:pt>
                <c:pt idx="1">
                  <c:v>-0.95323530687352331</c:v>
                </c:pt>
                <c:pt idx="2">
                  <c:v>-3.7228396590771595</c:v>
                </c:pt>
                <c:pt idx="3">
                  <c:v>-5.027346276220257</c:v>
                </c:pt>
                <c:pt idx="4">
                  <c:v>-5.8349967404662806</c:v>
                </c:pt>
                <c:pt idx="5">
                  <c:v>-7.5098171215826071</c:v>
                </c:pt>
                <c:pt idx="6">
                  <c:v>-7.0853947536013706</c:v>
                </c:pt>
                <c:pt idx="7">
                  <c:v>-10.667139516309376</c:v>
                </c:pt>
                <c:pt idx="8">
                  <c:v>-12.352625628685665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1C-490F-8AD3-C5EF9F0709C4}"/>
            </c:ext>
          </c:extLst>
        </c:ser>
        <c:ser>
          <c:idx val="10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Convergences!$F$10:$F$119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-0.73517134493883418</c:v>
                </c:pt>
                <c:pt idx="2">
                  <c:v>-2.8421862517569174</c:v>
                </c:pt>
                <c:pt idx="3">
                  <c:v>-5.7376901386936296</c:v>
                </c:pt>
                <c:pt idx="4">
                  <c:v>-6.8771751951341997</c:v>
                </c:pt>
                <c:pt idx="5">
                  <c:v>-7.9585990679951202</c:v>
                </c:pt>
                <c:pt idx="6">
                  <c:v>-8.1591464943171488</c:v>
                </c:pt>
                <c:pt idx="7">
                  <c:v>-11.204980885885618</c:v>
                </c:pt>
                <c:pt idx="8">
                  <c:v>-13.750787815181909</c:v>
                </c:pt>
                <c:pt idx="9">
                  <c:v>-16.737918195617763</c:v>
                </c:pt>
                <c:pt idx="10">
                  <c:v>-18.210377764124264</c:v>
                </c:pt>
                <c:pt idx="11">
                  <c:v>-19.584260648960239</c:v>
                </c:pt>
                <c:pt idx="12">
                  <c:v>-20.086643673495885</c:v>
                </c:pt>
                <c:pt idx="13">
                  <c:v>-20.790807723091831</c:v>
                </c:pt>
                <c:pt idx="14">
                  <c:v>-20.961005223810059</c:v>
                </c:pt>
                <c:pt idx="15">
                  <c:v>-21.794825425303088</c:v>
                </c:pt>
                <c:pt idx="16">
                  <c:v>-22.653568321167494</c:v>
                </c:pt>
                <c:pt idx="17">
                  <c:v>-24.976254270256515</c:v>
                </c:pt>
                <c:pt idx="18">
                  <c:v>-25.746057350729323</c:v>
                </c:pt>
                <c:pt idx="19">
                  <c:v>-25.294101673784208</c:v>
                </c:pt>
                <c:pt idx="20">
                  <c:v>-25.954012146617078</c:v>
                </c:pt>
                <c:pt idx="21">
                  <c:v>-26.678897832684623</c:v>
                </c:pt>
                <c:pt idx="22">
                  <c:v>-28.599792223503062</c:v>
                </c:pt>
                <c:pt idx="23">
                  <c:v>-29.043411731875857</c:v>
                </c:pt>
                <c:pt idx="24">
                  <c:v>-29.158082001740304</c:v>
                </c:pt>
                <c:pt idx="25">
                  <c:v>-29.564770539434182</c:v>
                </c:pt>
                <c:pt idx="26">
                  <c:v>-29.861261694680064</c:v>
                </c:pt>
                <c:pt idx="27">
                  <c:v>-30.20736120540235</c:v>
                </c:pt>
                <c:pt idx="28">
                  <c:v>-30.945090337177295</c:v>
                </c:pt>
                <c:pt idx="29">
                  <c:v>-34.234974856629293</c:v>
                </c:pt>
                <c:pt idx="30">
                  <c:v>-34.305372426464587</c:v>
                </c:pt>
                <c:pt idx="31">
                  <c:v>-34.621403062808028</c:v>
                </c:pt>
                <c:pt idx="32">
                  <c:v>-35.223104227689817</c:v>
                </c:pt>
                <c:pt idx="33">
                  <c:v>-35.889884451822063</c:v>
                </c:pt>
                <c:pt idx="34">
                  <c:v>-36.294845708968907</c:v>
                </c:pt>
                <c:pt idx="35">
                  <c:v>-36.550572809739279</c:v>
                </c:pt>
                <c:pt idx="36">
                  <c:v>-36.901843260035875</c:v>
                </c:pt>
                <c:pt idx="37">
                  <c:v>-37.983243609302164</c:v>
                </c:pt>
                <c:pt idx="38">
                  <c:v>-38.142720602199361</c:v>
                </c:pt>
                <c:pt idx="39">
                  <c:v>-38.380160215040426</c:v>
                </c:pt>
                <c:pt idx="40">
                  <c:v>-37.876815351052251</c:v>
                </c:pt>
                <c:pt idx="41">
                  <c:v>-38.537569323483737</c:v>
                </c:pt>
                <c:pt idx="42">
                  <c:v>-39.309691506606903</c:v>
                </c:pt>
                <c:pt idx="43">
                  <c:v>-39.095278982153481</c:v>
                </c:pt>
                <c:pt idx="45">
                  <c:v>-39.664082310962186</c:v>
                </c:pt>
                <c:pt idx="46">
                  <c:v>-39.917106541139887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1C-490F-8AD3-C5EF9F0709C4}"/>
            </c:ext>
          </c:extLst>
        </c:ser>
        <c:ser>
          <c:idx val="11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Convergences!$G$10:$G$119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4.1653275497655073E-2</c:v>
                </c:pt>
                <c:pt idx="2">
                  <c:v>-0.66302310079291438</c:v>
                </c:pt>
                <c:pt idx="3">
                  <c:v>-0.75558407330245103</c:v>
                </c:pt>
                <c:pt idx="4">
                  <c:v>-0.84906071351054102</c:v>
                </c:pt>
                <c:pt idx="5">
                  <c:v>-1.3538773858832176</c:v>
                </c:pt>
                <c:pt idx="6">
                  <c:v>-1.0472110617179009</c:v>
                </c:pt>
                <c:pt idx="7">
                  <c:v>-2.1396156273623124</c:v>
                </c:pt>
                <c:pt idx="8">
                  <c:v>-2.5525980304501594</c:v>
                </c:pt>
                <c:pt idx="9">
                  <c:v>-2.6931309243509727</c:v>
                </c:pt>
                <c:pt idx="10">
                  <c:v>-3.2641505954831285</c:v>
                </c:pt>
                <c:pt idx="11">
                  <c:v>-3.3540245550043313</c:v>
                </c:pt>
                <c:pt idx="12">
                  <c:v>-3.4890575442454441</c:v>
                </c:pt>
                <c:pt idx="13">
                  <c:v>-3.3392102471341278</c:v>
                </c:pt>
                <c:pt idx="14">
                  <c:v>-3.7393970452328507</c:v>
                </c:pt>
                <c:pt idx="15">
                  <c:v>-3.3586791094197821</c:v>
                </c:pt>
                <c:pt idx="16">
                  <c:v>-3.3020459747017394</c:v>
                </c:pt>
                <c:pt idx="17">
                  <c:v>-4.1822059254672528</c:v>
                </c:pt>
                <c:pt idx="18">
                  <c:v>-4.0647403377640501</c:v>
                </c:pt>
                <c:pt idx="19">
                  <c:v>-4.1399499588765654</c:v>
                </c:pt>
                <c:pt idx="20">
                  <c:v>-4.089367759035456</c:v>
                </c:pt>
                <c:pt idx="21">
                  <c:v>-4.142869949459671</c:v>
                </c:pt>
                <c:pt idx="22">
                  <c:v>-4.5707776523806753</c:v>
                </c:pt>
                <c:pt idx="23">
                  <c:v>-4.6415977509473016</c:v>
                </c:pt>
                <c:pt idx="24">
                  <c:v>-4.6631117303357339</c:v>
                </c:pt>
                <c:pt idx="25">
                  <c:v>-4.5164484907096458</c:v>
                </c:pt>
                <c:pt idx="26">
                  <c:v>-4.5750100239112523</c:v>
                </c:pt>
                <c:pt idx="27">
                  <c:v>-4.6387370042459963</c:v>
                </c:pt>
                <c:pt idx="28">
                  <c:v>-5.036725919799423</c:v>
                </c:pt>
                <c:pt idx="29">
                  <c:v>-4.5092956839190013</c:v>
                </c:pt>
                <c:pt idx="30">
                  <c:v>-4.4341022770941763</c:v>
                </c:pt>
                <c:pt idx="31">
                  <c:v>-4.3258776145655986</c:v>
                </c:pt>
                <c:pt idx="32">
                  <c:v>-4.8234923987320322</c:v>
                </c:pt>
                <c:pt idx="33">
                  <c:v>-4.5679622660117492</c:v>
                </c:pt>
                <c:pt idx="34">
                  <c:v>-4.1963077902895662</c:v>
                </c:pt>
                <c:pt idx="35">
                  <c:v>-4.5121980780076232</c:v>
                </c:pt>
                <c:pt idx="36">
                  <c:v>-4.9587584295345266</c:v>
                </c:pt>
                <c:pt idx="37">
                  <c:v>-4.5963911420121573</c:v>
                </c:pt>
                <c:pt idx="38">
                  <c:v>-4.4059764083344</c:v>
                </c:pt>
                <c:pt idx="39">
                  <c:v>-4.0818685769770102</c:v>
                </c:pt>
                <c:pt idx="40">
                  <c:v>-4.3743721397733193</c:v>
                </c:pt>
                <c:pt idx="41">
                  <c:v>-4.2494861975237441</c:v>
                </c:pt>
                <c:pt idx="42">
                  <c:v>-4.4285796285346013</c:v>
                </c:pt>
                <c:pt idx="43">
                  <c:v>-4.4807331306015996</c:v>
                </c:pt>
                <c:pt idx="44">
                  <c:v>-5.4943258633313174</c:v>
                </c:pt>
                <c:pt idx="45">
                  <c:v>-4.9110453856520131</c:v>
                </c:pt>
                <c:pt idx="46">
                  <c:v>-4.4100461073792729</c:v>
                </c:pt>
                <c:pt idx="47">
                  <c:v>-4.9426297948951259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1C-490F-8AD3-C5EF9F0709C4}"/>
            </c:ext>
          </c:extLst>
        </c:ser>
        <c:ser>
          <c:idx val="12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Convergences!$J$10:$J$119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-0.31668428425879469</c:v>
                </c:pt>
                <c:pt idx="2">
                  <c:v>-2.0795139895724013</c:v>
                </c:pt>
                <c:pt idx="3">
                  <c:v>-3.8837639746285291</c:v>
                </c:pt>
                <c:pt idx="4">
                  <c:v>-4.4163916293555872</c:v>
                </c:pt>
                <c:pt idx="5">
                  <c:v>-5.5464418967239304</c:v>
                </c:pt>
                <c:pt idx="6">
                  <c:v>-5.1849994864991977</c:v>
                </c:pt>
                <c:pt idx="7">
                  <c:v>-7.7203864499484354</c:v>
                </c:pt>
                <c:pt idx="8">
                  <c:v>-10.285124458923267</c:v>
                </c:pt>
                <c:pt idx="9">
                  <c:v>-12.001256662858228</c:v>
                </c:pt>
                <c:pt idx="10">
                  <c:v>-13.169715953422312</c:v>
                </c:pt>
                <c:pt idx="11">
                  <c:v>-13.770258020612935</c:v>
                </c:pt>
                <c:pt idx="12">
                  <c:v>-14.095531249014748</c:v>
                </c:pt>
                <c:pt idx="13">
                  <c:v>-14.280499900574561</c:v>
                </c:pt>
                <c:pt idx="14">
                  <c:v>-14.671726957743214</c:v>
                </c:pt>
                <c:pt idx="15">
                  <c:v>-14.534592655745193</c:v>
                </c:pt>
                <c:pt idx="16">
                  <c:v>-15.073651624450513</c:v>
                </c:pt>
                <c:pt idx="17">
                  <c:v>-17.040196055300605</c:v>
                </c:pt>
                <c:pt idx="18">
                  <c:v>-17.020274070682628</c:v>
                </c:pt>
                <c:pt idx="19">
                  <c:v>-16.802689789678915</c:v>
                </c:pt>
                <c:pt idx="20">
                  <c:v>-16.930345201680463</c:v>
                </c:pt>
                <c:pt idx="21">
                  <c:v>-17.48583322102526</c:v>
                </c:pt>
                <c:pt idx="22">
                  <c:v>-18.633464270739086</c:v>
                </c:pt>
                <c:pt idx="23">
                  <c:v>-18.967731718713576</c:v>
                </c:pt>
                <c:pt idx="24">
                  <c:v>-18.775102488063133</c:v>
                </c:pt>
                <c:pt idx="25">
                  <c:v>-18.909316528957554</c:v>
                </c:pt>
                <c:pt idx="26">
                  <c:v>-18.871741165128242</c:v>
                </c:pt>
                <c:pt idx="27">
                  <c:v>-19.1465505778603</c:v>
                </c:pt>
                <c:pt idx="28">
                  <c:v>-19.677353398641184</c:v>
                </c:pt>
                <c:pt idx="29">
                  <c:v>-20.4918688967064</c:v>
                </c:pt>
                <c:pt idx="30">
                  <c:v>-20.001396352905321</c:v>
                </c:pt>
                <c:pt idx="31">
                  <c:v>-19.723745406169613</c:v>
                </c:pt>
                <c:pt idx="32">
                  <c:v>-20.266655841067571</c:v>
                </c:pt>
                <c:pt idx="33">
                  <c:v>-20.334228973501123</c:v>
                </c:pt>
                <c:pt idx="34">
                  <c:v>-20.175027969885573</c:v>
                </c:pt>
                <c:pt idx="35">
                  <c:v>-20.037259132791085</c:v>
                </c:pt>
                <c:pt idx="36">
                  <c:v>-20.653085070819976</c:v>
                </c:pt>
                <c:pt idx="37">
                  <c:v>-20.88392054094923</c:v>
                </c:pt>
                <c:pt idx="38">
                  <c:v>-20.601028081567829</c:v>
                </c:pt>
                <c:pt idx="39">
                  <c:v>-20.527607117629021</c:v>
                </c:pt>
                <c:pt idx="40">
                  <c:v>-20.049488393771409</c:v>
                </c:pt>
                <c:pt idx="41">
                  <c:v>-20.445608871685117</c:v>
                </c:pt>
                <c:pt idx="42">
                  <c:v>-21.06556887890676</c:v>
                </c:pt>
                <c:pt idx="43">
                  <c:v>-20.609009965688152</c:v>
                </c:pt>
                <c:pt idx="45">
                  <c:v>-21.104119638521546</c:v>
                </c:pt>
                <c:pt idx="46">
                  <c:v>-21.210371694015961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1C-490F-8AD3-C5EF9F0709C4}"/>
            </c:ext>
          </c:extLst>
        </c:ser>
        <c:ser>
          <c:idx val="14"/>
          <c:order val="6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Convergences!$K$10:$K$119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1.7508081577526369</c:v>
                </c:pt>
                <c:pt idx="2">
                  <c:v>-1.3429684605252845</c:v>
                </c:pt>
                <c:pt idx="3">
                  <c:v>-2.2716549076413628</c:v>
                </c:pt>
                <c:pt idx="4">
                  <c:v>-2.9080044065414867</c:v>
                </c:pt>
                <c:pt idx="5">
                  <c:v>-4.4750957537118552</c:v>
                </c:pt>
                <c:pt idx="6">
                  <c:v>-4.2871922684444286</c:v>
                </c:pt>
                <c:pt idx="7">
                  <c:v>-7.4171537777880658</c:v>
                </c:pt>
                <c:pt idx="8">
                  <c:v>-8.7618253984800276</c:v>
                </c:pt>
                <c:pt idx="9">
                  <c:v>-10.543634543576097</c:v>
                </c:pt>
                <c:pt idx="10">
                  <c:v>-12.067669643400336</c:v>
                </c:pt>
                <c:pt idx="11">
                  <c:v>-12.56216930019427</c:v>
                </c:pt>
                <c:pt idx="12">
                  <c:v>-13.111443703563097</c:v>
                </c:pt>
                <c:pt idx="13">
                  <c:v>-13.237730406396864</c:v>
                </c:pt>
                <c:pt idx="14">
                  <c:v>-13.739164096256751</c:v>
                </c:pt>
                <c:pt idx="15">
                  <c:v>-13.815202534757987</c:v>
                </c:pt>
                <c:pt idx="16">
                  <c:v>-13.947060612574447</c:v>
                </c:pt>
                <c:pt idx="17">
                  <c:v>-16.983237876220691</c:v>
                </c:pt>
                <c:pt idx="18">
                  <c:v>-16.724647701011897</c:v>
                </c:pt>
                <c:pt idx="19">
                  <c:v>-15.789112130896399</c:v>
                </c:pt>
                <c:pt idx="20">
                  <c:v>-16.853104679283248</c:v>
                </c:pt>
                <c:pt idx="21">
                  <c:v>-17.132078507846593</c:v>
                </c:pt>
                <c:pt idx="22">
                  <c:v>-19.070858787718414</c:v>
                </c:pt>
                <c:pt idx="23">
                  <c:v>-19.015204770750138</c:v>
                </c:pt>
                <c:pt idx="24">
                  <c:v>-19.112240704938444</c:v>
                </c:pt>
                <c:pt idx="25">
                  <c:v>-19.555856895993706</c:v>
                </c:pt>
                <c:pt idx="26">
                  <c:v>-19.19067285581022</c:v>
                </c:pt>
                <c:pt idx="27">
                  <c:v>-19.82228148958054</c:v>
                </c:pt>
                <c:pt idx="28">
                  <c:v>-19.76661239621702</c:v>
                </c:pt>
                <c:pt idx="30">
                  <c:v>-22.064132733270014</c:v>
                </c:pt>
                <c:pt idx="31">
                  <c:v>-21.075993716896058</c:v>
                </c:pt>
                <c:pt idx="32">
                  <c:v>-21.887810927825768</c:v>
                </c:pt>
                <c:pt idx="33">
                  <c:v>-22.12062869834952</c:v>
                </c:pt>
                <c:pt idx="34">
                  <c:v>-22.209868298289415</c:v>
                </c:pt>
                <c:pt idx="35">
                  <c:v>-22.175370483648038</c:v>
                </c:pt>
                <c:pt idx="36">
                  <c:v>-22.875948908368748</c:v>
                </c:pt>
                <c:pt idx="37">
                  <c:v>-22.800082512114628</c:v>
                </c:pt>
                <c:pt idx="40">
                  <c:v>-22.286047777147822</c:v>
                </c:pt>
                <c:pt idx="41">
                  <c:v>-23.599365279204143</c:v>
                </c:pt>
                <c:pt idx="42">
                  <c:v>-23.278113296144376</c:v>
                </c:pt>
                <c:pt idx="43">
                  <c:v>-23.309393730516881</c:v>
                </c:pt>
                <c:pt idx="44">
                  <c:v>-24.19871598399137</c:v>
                </c:pt>
                <c:pt idx="45">
                  <c:v>-24.107808937976039</c:v>
                </c:pt>
                <c:pt idx="46">
                  <c:v>-24.74337853748132</c:v>
                </c:pt>
                <c:pt idx="49">
                  <c:v>-24.74337853748132</c:v>
                </c:pt>
                <c:pt idx="50">
                  <c:v>-24.387411126268077</c:v>
                </c:pt>
                <c:pt idx="51">
                  <c:v>-24.784055278331607</c:v>
                </c:pt>
                <c:pt idx="52">
                  <c:v>-24.068322520135688</c:v>
                </c:pt>
                <c:pt idx="53">
                  <c:v>-24.369343231642304</c:v>
                </c:pt>
                <c:pt idx="54">
                  <c:v>-25.011021805883438</c:v>
                </c:pt>
                <c:pt idx="55">
                  <c:v>-25.670701168738042</c:v>
                </c:pt>
                <c:pt idx="56">
                  <c:v>-25.671197385510602</c:v>
                </c:pt>
                <c:pt idx="57">
                  <c:v>-26.788529110086223</c:v>
                </c:pt>
                <c:pt idx="58">
                  <c:v>-27.376350600879285</c:v>
                </c:pt>
                <c:pt idx="59">
                  <c:v>-27.170472344429264</c:v>
                </c:pt>
                <c:pt idx="60">
                  <c:v>-26.872057884336442</c:v>
                </c:pt>
                <c:pt idx="61">
                  <c:v>-27.103286081418432</c:v>
                </c:pt>
                <c:pt idx="62">
                  <c:v>-27.293288263180671</c:v>
                </c:pt>
                <c:pt idx="63">
                  <c:v>-27.14465309016223</c:v>
                </c:pt>
                <c:pt idx="64">
                  <c:v>-27.004235252377384</c:v>
                </c:pt>
                <c:pt idx="66">
                  <c:v>-27.178567552381239</c:v>
                </c:pt>
                <c:pt idx="67">
                  <c:v>-27.435453031541712</c:v>
                </c:pt>
                <c:pt idx="68">
                  <c:v>-27.128634587035627</c:v>
                </c:pt>
                <c:pt idx="71">
                  <c:v>-27.534835230435206</c:v>
                </c:pt>
                <c:pt idx="72">
                  <c:v>-27.453383992332547</c:v>
                </c:pt>
                <c:pt idx="73">
                  <c:v>-27.904416030484214</c:v>
                </c:pt>
                <c:pt idx="74">
                  <c:v>-27.941656274703242</c:v>
                </c:pt>
                <c:pt idx="75">
                  <c:v>-27.84912017481922</c:v>
                </c:pt>
                <c:pt idx="76">
                  <c:v>-28.22241895965405</c:v>
                </c:pt>
                <c:pt idx="77">
                  <c:v>-28.173561223671761</c:v>
                </c:pt>
                <c:pt idx="78">
                  <c:v>-28.703339784422965</c:v>
                </c:pt>
                <c:pt idx="79">
                  <c:v>-28.5033155183676</c:v>
                </c:pt>
                <c:pt idx="80">
                  <c:v>-28.612203518490809</c:v>
                </c:pt>
                <c:pt idx="81">
                  <c:v>-28.230850210193559</c:v>
                </c:pt>
                <c:pt idx="82">
                  <c:v>-28.768448442977324</c:v>
                </c:pt>
                <c:pt idx="83">
                  <c:v>-29.091152278811094</c:v>
                </c:pt>
                <c:pt idx="84">
                  <c:v>-29.729676491943025</c:v>
                </c:pt>
                <c:pt idx="85">
                  <c:v>-29.779311786763962</c:v>
                </c:pt>
                <c:pt idx="86">
                  <c:v>-29.929434493933371</c:v>
                </c:pt>
                <c:pt idx="87">
                  <c:v>-30.069773427101154</c:v>
                </c:pt>
                <c:pt idx="88">
                  <c:v>-29.713983749330097</c:v>
                </c:pt>
                <c:pt idx="89">
                  <c:v>-29.05129388161054</c:v>
                </c:pt>
                <c:pt idx="90">
                  <c:v>-29.755171191264473</c:v>
                </c:pt>
                <c:pt idx="9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1C-490F-8AD3-C5EF9F0709C4}"/>
            </c:ext>
          </c:extLst>
        </c:ser>
        <c:ser>
          <c:idx val="13"/>
          <c:order val="7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Convergences!$E$10:$E$119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3.1730076710743127</c:v>
                </c:pt>
                <c:pt idx="2">
                  <c:v>0.11689441591133942</c:v>
                </c:pt>
                <c:pt idx="3">
                  <c:v>-2.0897311557450671</c:v>
                </c:pt>
                <c:pt idx="4">
                  <c:v>-3.6160879544677726</c:v>
                </c:pt>
                <c:pt idx="5">
                  <c:v>-5.1237718503402974</c:v>
                </c:pt>
                <c:pt idx="6">
                  <c:v>-5.3216855289432985</c:v>
                </c:pt>
                <c:pt idx="7">
                  <c:v>-9.5191723899326064</c:v>
                </c:pt>
                <c:pt idx="8">
                  <c:v>-12.095145933888496</c:v>
                </c:pt>
                <c:pt idx="9">
                  <c:v>-15.442252953071556</c:v>
                </c:pt>
                <c:pt idx="10">
                  <c:v>-17.783791678586791</c:v>
                </c:pt>
                <c:pt idx="11">
                  <c:v>-19.560388758663283</c:v>
                </c:pt>
                <c:pt idx="12">
                  <c:v>-20.564518432303558</c:v>
                </c:pt>
                <c:pt idx="13">
                  <c:v>-21.351772153768156</c:v>
                </c:pt>
                <c:pt idx="14">
                  <c:v>-21.79654917754581</c:v>
                </c:pt>
                <c:pt idx="15">
                  <c:v>-23.011526368449609</c:v>
                </c:pt>
                <c:pt idx="16">
                  <c:v>-23.933050487953356</c:v>
                </c:pt>
                <c:pt idx="17">
                  <c:v>-27.758763338264991</c:v>
                </c:pt>
                <c:pt idx="18">
                  <c:v>-28.956668958409537</c:v>
                </c:pt>
                <c:pt idx="19">
                  <c:v>-27.891255208003063</c:v>
                </c:pt>
                <c:pt idx="20">
                  <c:v>-29.145645634440331</c:v>
                </c:pt>
                <c:pt idx="21">
                  <c:v>-30.236168334160762</c:v>
                </c:pt>
                <c:pt idx="22">
                  <c:v>-33.003970789314607</c:v>
                </c:pt>
                <c:pt idx="23">
                  <c:v>-33.426575287932806</c:v>
                </c:pt>
                <c:pt idx="24">
                  <c:v>-34.044630780552424</c:v>
                </c:pt>
                <c:pt idx="25">
                  <c:v>-34.572266914855817</c:v>
                </c:pt>
                <c:pt idx="26">
                  <c:v>-35.060766758705952</c:v>
                </c:pt>
                <c:pt idx="27">
                  <c:v>-35.628645986692135</c:v>
                </c:pt>
                <c:pt idx="28">
                  <c:v>-36.962837013163167</c:v>
                </c:pt>
                <c:pt idx="30">
                  <c:v>-42.10111990218968</c:v>
                </c:pt>
                <c:pt idx="31">
                  <c:v>-42.466318062675427</c:v>
                </c:pt>
                <c:pt idx="32">
                  <c:v>-43.592584382456501</c:v>
                </c:pt>
                <c:pt idx="33">
                  <c:v>-44.432152280544642</c:v>
                </c:pt>
                <c:pt idx="34">
                  <c:v>-45.158765039015059</c:v>
                </c:pt>
                <c:pt idx="35">
                  <c:v>-45.730844215348121</c:v>
                </c:pt>
                <c:pt idx="36">
                  <c:v>-46.447277508169016</c:v>
                </c:pt>
                <c:pt idx="37">
                  <c:v>-47.745563188900775</c:v>
                </c:pt>
                <c:pt idx="40">
                  <c:v>-47.843510136897471</c:v>
                </c:pt>
                <c:pt idx="41">
                  <c:v>-49.090668170076235</c:v>
                </c:pt>
                <c:pt idx="42">
                  <c:v>-49.567924562693207</c:v>
                </c:pt>
                <c:pt idx="43">
                  <c:v>-49.844355777381111</c:v>
                </c:pt>
                <c:pt idx="44">
                  <c:v>-49.159476168903367</c:v>
                </c:pt>
                <c:pt idx="45">
                  <c:v>-50.905450802547051</c:v>
                </c:pt>
                <c:pt idx="46">
                  <c:v>-51.069776971118145</c:v>
                </c:pt>
                <c:pt idx="48">
                  <c:v>0</c:v>
                </c:pt>
                <c:pt idx="49">
                  <c:v>-51.069776971118145</c:v>
                </c:pt>
                <c:pt idx="50">
                  <c:v>-51.416196177407343</c:v>
                </c:pt>
                <c:pt idx="51">
                  <c:v>-51.539745262695561</c:v>
                </c:pt>
                <c:pt idx="52">
                  <c:v>-51.731787254501782</c:v>
                </c:pt>
                <c:pt idx="53">
                  <c:v>-52.428015280328481</c:v>
                </c:pt>
                <c:pt idx="54">
                  <c:v>-51.850150478380826</c:v>
                </c:pt>
                <c:pt idx="55">
                  <c:v>-52.152744791542197</c:v>
                </c:pt>
                <c:pt idx="56">
                  <c:v>-52.399171460006059</c:v>
                </c:pt>
                <c:pt idx="57">
                  <c:v>-53.267940135809155</c:v>
                </c:pt>
                <c:pt idx="58">
                  <c:v>-53.82228857863192</c:v>
                </c:pt>
                <c:pt idx="59">
                  <c:v>-53.827655903223359</c:v>
                </c:pt>
                <c:pt idx="60">
                  <c:v>-53.646171755560971</c:v>
                </c:pt>
                <c:pt idx="61">
                  <c:v>-53.7941795482797</c:v>
                </c:pt>
                <c:pt idx="62">
                  <c:v>-53.911976680906641</c:v>
                </c:pt>
                <c:pt idx="63">
                  <c:v>-53.903248090748427</c:v>
                </c:pt>
                <c:pt idx="64">
                  <c:v>-53.998302791702372</c:v>
                </c:pt>
                <c:pt idx="66">
                  <c:v>-53.893504706885594</c:v>
                </c:pt>
                <c:pt idx="67">
                  <c:v>-54.18304094857929</c:v>
                </c:pt>
                <c:pt idx="68">
                  <c:v>-54.135425132087803</c:v>
                </c:pt>
                <c:pt idx="69">
                  <c:v>-54.878519841063067</c:v>
                </c:pt>
                <c:pt idx="70">
                  <c:v>-55.347679110352217</c:v>
                </c:pt>
                <c:pt idx="71">
                  <c:v>-54.967302091543772</c:v>
                </c:pt>
                <c:pt idx="72">
                  <c:v>-56.008456226250843</c:v>
                </c:pt>
                <c:pt idx="73">
                  <c:v>-55.14247053981736</c:v>
                </c:pt>
                <c:pt idx="74">
                  <c:v>-55.390657457796706</c:v>
                </c:pt>
                <c:pt idx="75">
                  <c:v>-55.438014028019296</c:v>
                </c:pt>
                <c:pt idx="76">
                  <c:v>-56.20826446155958</c:v>
                </c:pt>
                <c:pt idx="77">
                  <c:v>-55.997781426171848</c:v>
                </c:pt>
                <c:pt idx="78">
                  <c:v>-55.642276041300235</c:v>
                </c:pt>
                <c:pt idx="79">
                  <c:v>-55.855385515759082</c:v>
                </c:pt>
                <c:pt idx="80">
                  <c:v>-56.09280146496554</c:v>
                </c:pt>
                <c:pt idx="81">
                  <c:v>-54.229582662984839</c:v>
                </c:pt>
                <c:pt idx="82">
                  <c:v>-54.503940293821884</c:v>
                </c:pt>
                <c:pt idx="83">
                  <c:v>-54.906339564869455</c:v>
                </c:pt>
                <c:pt idx="84">
                  <c:v>-55.862569813240896</c:v>
                </c:pt>
                <c:pt idx="85">
                  <c:v>-55.94852274473228</c:v>
                </c:pt>
                <c:pt idx="86">
                  <c:v>-56.043470172694398</c:v>
                </c:pt>
                <c:pt idx="87">
                  <c:v>-56.195382136011055</c:v>
                </c:pt>
                <c:pt idx="88">
                  <c:v>-55.97567985946128</c:v>
                </c:pt>
                <c:pt idx="89">
                  <c:v>-55.662015523087142</c:v>
                </c:pt>
                <c:pt idx="90">
                  <c:v>-56.179214673615533</c:v>
                </c:pt>
                <c:pt idx="91">
                  <c:v>-56.972091802337317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1C-490F-8AD3-C5EF9F0709C4}"/>
            </c:ext>
          </c:extLst>
        </c:ser>
        <c:ser>
          <c:idx val="3"/>
          <c:order val="8"/>
          <c:tx>
            <c:strRef>
              <c:f>Convergences!$H$9</c:f>
              <c:strCache>
                <c:ptCount val="1"/>
                <c:pt idx="0">
                  <c:v>ID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6"/>
              <c:spPr>
                <a:solidFill>
                  <a:schemeClr val="lt1"/>
                </a:solidFill>
                <a:ln w="15875">
                  <a:solidFill>
                    <a:schemeClr val="accent4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21C-490F-8AD3-C5EF9F0709C4}"/>
              </c:ext>
            </c:extLst>
          </c:dPt>
          <c:xVal>
            <c:numRef>
              <c:f>Convergences!$B$10:$B$101</c:f>
              <c:numCache>
                <c:formatCode>dd\ /\ mm\ /\ yy</c:formatCode>
                <c:ptCount val="92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Convergences!$H$10:$H$101</c:f>
              <c:numCache>
                <c:formatCode>\+\ 0.0;\-\ 0.0;\±\ 0.0</c:formatCode>
                <c:ptCount val="92"/>
                <c:pt idx="0">
                  <c:v>0</c:v>
                </c:pt>
                <c:pt idx="1">
                  <c:v>-0.60444604370735178</c:v>
                </c:pt>
                <c:pt idx="2">
                  <c:v>-4.0546230713842668</c:v>
                </c:pt>
                <c:pt idx="3">
                  <c:v>-6.3430850054690957</c:v>
                </c:pt>
                <c:pt idx="4">
                  <c:v>-7.6902396596323364</c:v>
                </c:pt>
                <c:pt idx="5">
                  <c:v>-9.3612732490448991</c:v>
                </c:pt>
                <c:pt idx="6">
                  <c:v>-9.4283562643884267</c:v>
                </c:pt>
                <c:pt idx="7">
                  <c:v>-14.514323949959884</c:v>
                </c:pt>
                <c:pt idx="8">
                  <c:v>-17.026116896288634</c:v>
                </c:pt>
                <c:pt idx="9">
                  <c:v>-20.305454079857288</c:v>
                </c:pt>
                <c:pt idx="10">
                  <c:v>-23.115252582893486</c:v>
                </c:pt>
                <c:pt idx="11">
                  <c:v>-25.255826105919699</c:v>
                </c:pt>
                <c:pt idx="12">
                  <c:v>-26.461362997951099</c:v>
                </c:pt>
                <c:pt idx="13">
                  <c:v>-27.297956558945735</c:v>
                </c:pt>
                <c:pt idx="14">
                  <c:v>-28.166296935651758</c:v>
                </c:pt>
                <c:pt idx="15">
                  <c:v>-29.485815781046032</c:v>
                </c:pt>
                <c:pt idx="16">
                  <c:v>-30.02303123232819</c:v>
                </c:pt>
                <c:pt idx="17">
                  <c:v>-34.379226288616223</c:v>
                </c:pt>
                <c:pt idx="18">
                  <c:v>-35.786358129064496</c:v>
                </c:pt>
                <c:pt idx="19">
                  <c:v>-35.418659517489019</c:v>
                </c:pt>
                <c:pt idx="20">
                  <c:v>-37.250689832952318</c:v>
                </c:pt>
                <c:pt idx="21">
                  <c:v>-37.75538581547444</c:v>
                </c:pt>
                <c:pt idx="22">
                  <c:v>-40.958226681027995</c:v>
                </c:pt>
                <c:pt idx="23">
                  <c:v>-41.359311546175007</c:v>
                </c:pt>
                <c:pt idx="24">
                  <c:v>-42.226698318137856</c:v>
                </c:pt>
                <c:pt idx="25">
                  <c:v>-42.492597449354186</c:v>
                </c:pt>
                <c:pt idx="26">
                  <c:v>-42.994543444408784</c:v>
                </c:pt>
                <c:pt idx="27">
                  <c:v>-43.761534598612428</c:v>
                </c:pt>
                <c:pt idx="28">
                  <c:v>-44.994044872789019</c:v>
                </c:pt>
                <c:pt idx="29">
                  <c:v>-49.754353821067184</c:v>
                </c:pt>
                <c:pt idx="30">
                  <c:v>-50.388159636556296</c:v>
                </c:pt>
                <c:pt idx="31">
                  <c:v>-50.953681229632068</c:v>
                </c:pt>
                <c:pt idx="32">
                  <c:v>-52.620990811012014</c:v>
                </c:pt>
                <c:pt idx="33">
                  <c:v>-53.418262367257</c:v>
                </c:pt>
                <c:pt idx="34">
                  <c:v>-53.752207532860474</c:v>
                </c:pt>
                <c:pt idx="35">
                  <c:v>-54.788695549545793</c:v>
                </c:pt>
                <c:pt idx="36">
                  <c:v>-55.455358990442072</c:v>
                </c:pt>
                <c:pt idx="37">
                  <c:v>-56.950537008779278</c:v>
                </c:pt>
                <c:pt idx="38">
                  <c:v>-57.581850578976024</c:v>
                </c:pt>
                <c:pt idx="39">
                  <c:v>-57.478939439907784</c:v>
                </c:pt>
                <c:pt idx="40">
                  <c:v>-58.012666773831434</c:v>
                </c:pt>
                <c:pt idx="41">
                  <c:v>-58.240562673914198</c:v>
                </c:pt>
                <c:pt idx="42">
                  <c:v>-59.10606852259059</c:v>
                </c:pt>
                <c:pt idx="43">
                  <c:v>-59.372426465656773</c:v>
                </c:pt>
                <c:pt idx="44">
                  <c:v>-59.807368440997436</c:v>
                </c:pt>
                <c:pt idx="45">
                  <c:v>-60.304465444537939</c:v>
                </c:pt>
                <c:pt idx="46">
                  <c:v>-60.43528002555432</c:v>
                </c:pt>
                <c:pt idx="47">
                  <c:v>-61.268361161207267</c:v>
                </c:pt>
                <c:pt idx="48">
                  <c:v>0</c:v>
                </c:pt>
                <c:pt idx="49">
                  <c:v>-61.268361161207267</c:v>
                </c:pt>
                <c:pt idx="50">
                  <c:v>-61.749622554976739</c:v>
                </c:pt>
                <c:pt idx="51">
                  <c:v>-61.637559931606134</c:v>
                </c:pt>
                <c:pt idx="52">
                  <c:v>-62.032227447079265</c:v>
                </c:pt>
                <c:pt idx="53">
                  <c:v>-62.478583983002437</c:v>
                </c:pt>
                <c:pt idx="54">
                  <c:v>-63.380559136454465</c:v>
                </c:pt>
                <c:pt idx="55">
                  <c:v>-64.232821321469132</c:v>
                </c:pt>
                <c:pt idx="56">
                  <c:v>-64.306528594133994</c:v>
                </c:pt>
                <c:pt idx="57">
                  <c:v>-65.070174343497385</c:v>
                </c:pt>
                <c:pt idx="58">
                  <c:v>-65.910905412005945</c:v>
                </c:pt>
                <c:pt idx="59">
                  <c:v>-65.709981673456767</c:v>
                </c:pt>
                <c:pt idx="60">
                  <c:v>-65.717610846568689</c:v>
                </c:pt>
                <c:pt idx="61">
                  <c:v>-65.698077043244041</c:v>
                </c:pt>
                <c:pt idx="62">
                  <c:v>-66.031164040747385</c:v>
                </c:pt>
                <c:pt idx="63">
                  <c:v>-66.089515143951346</c:v>
                </c:pt>
                <c:pt idx="64">
                  <c:v>-66.039409851152527</c:v>
                </c:pt>
                <c:pt idx="66">
                  <c:v>-66.097267408666838</c:v>
                </c:pt>
                <c:pt idx="67">
                  <c:v>-66.473490026459643</c:v>
                </c:pt>
                <c:pt idx="68">
                  <c:v>-66.58598507469415</c:v>
                </c:pt>
                <c:pt idx="71">
                  <c:v>-66.415443194652653</c:v>
                </c:pt>
                <c:pt idx="72">
                  <c:v>-66.555966588489397</c:v>
                </c:pt>
                <c:pt idx="73">
                  <c:v>-66.724293552060232</c:v>
                </c:pt>
                <c:pt idx="74">
                  <c:v>-66.850114866376487</c:v>
                </c:pt>
                <c:pt idx="75">
                  <c:v>-66.94210526920719</c:v>
                </c:pt>
                <c:pt idx="76">
                  <c:v>-67.183295388324012</c:v>
                </c:pt>
                <c:pt idx="77">
                  <c:v>-67.152447178930885</c:v>
                </c:pt>
                <c:pt idx="78">
                  <c:v>-67.384359246922102</c:v>
                </c:pt>
                <c:pt idx="79">
                  <c:v>-67.411890778427804</c:v>
                </c:pt>
                <c:pt idx="80">
                  <c:v>-67.6407045029448</c:v>
                </c:pt>
                <c:pt idx="81">
                  <c:v>-69.026477725990361</c:v>
                </c:pt>
                <c:pt idx="82">
                  <c:v>-69.338519206856745</c:v>
                </c:pt>
                <c:pt idx="83">
                  <c:v>-69.559996574792848</c:v>
                </c:pt>
                <c:pt idx="84">
                  <c:v>-71.060997064494202</c:v>
                </c:pt>
                <c:pt idx="85">
                  <c:v>-71.083656349836929</c:v>
                </c:pt>
                <c:pt idx="86">
                  <c:v>-71.150051732086439</c:v>
                </c:pt>
                <c:pt idx="87">
                  <c:v>-71.448162715237459</c:v>
                </c:pt>
                <c:pt idx="88">
                  <c:v>-71.181409827238525</c:v>
                </c:pt>
                <c:pt idx="89">
                  <c:v>-71.030257150745967</c:v>
                </c:pt>
                <c:pt idx="90">
                  <c:v>-71.693064494332333</c:v>
                </c:pt>
                <c:pt idx="9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21C-490F-8AD3-C5EF9F0709C4}"/>
            </c:ext>
          </c:extLst>
        </c:ser>
        <c:ser>
          <c:idx val="5"/>
          <c:order val="10"/>
          <c:tx>
            <c:strRef>
              <c:f>Graphiques!$AB$35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Graphiques!$AD$36:$AD$71</c:f>
              <c:numCache>
                <c:formatCode>m/d/yyyy</c:formatCode>
                <c:ptCount val="36"/>
              </c:numCache>
            </c:numRef>
          </c:xVal>
          <c:yVal>
            <c:numRef>
              <c:f>Graphiques!$AE$36:$AE$71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21C-490F-8AD3-C5EF9F07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02280"/>
        <c:axId val="404402672"/>
      </c:scatterChart>
      <c:scatterChart>
        <c:scatterStyle val="lineMarker"/>
        <c:varyColors val="0"/>
        <c:ser>
          <c:idx val="0"/>
          <c:order val="9"/>
          <c:tx>
            <c:v>PM Front</c:v>
          </c:tx>
          <c:spPr>
            <a:ln w="2222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'Résultats observations'!$A$10:$A$62</c:f>
              <c:numCache>
                <c:formatCode>dd\ /\ mm\ /\ yy</c:formatCode>
                <c:ptCount val="53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</c:numCache>
            </c:numRef>
          </c:xVal>
          <c:yVal>
            <c:numRef>
              <c:f>'Résultats observations'!$C$10:$C$1048576</c:f>
              <c:numCache>
                <c:formatCode>0.0</c:formatCode>
                <c:ptCount val="1048567"/>
                <c:pt idx="0">
                  <c:v>197.2</c:v>
                </c:pt>
                <c:pt idx="1">
                  <c:v>198.3</c:v>
                </c:pt>
                <c:pt idx="2">
                  <c:v>199</c:v>
                </c:pt>
                <c:pt idx="3">
                  <c:v>199.4</c:v>
                </c:pt>
                <c:pt idx="4">
                  <c:v>200.6</c:v>
                </c:pt>
                <c:pt idx="5">
                  <c:v>200.6</c:v>
                </c:pt>
                <c:pt idx="6">
                  <c:v>200.6</c:v>
                </c:pt>
                <c:pt idx="7">
                  <c:v>202.58</c:v>
                </c:pt>
                <c:pt idx="8">
                  <c:v>203.6</c:v>
                </c:pt>
                <c:pt idx="9">
                  <c:v>203.6</c:v>
                </c:pt>
                <c:pt idx="10">
                  <c:v>206.32</c:v>
                </c:pt>
                <c:pt idx="11">
                  <c:v>206.32</c:v>
                </c:pt>
                <c:pt idx="12">
                  <c:v>206.32</c:v>
                </c:pt>
                <c:pt idx="13">
                  <c:v>206.32</c:v>
                </c:pt>
                <c:pt idx="14">
                  <c:v>207.2</c:v>
                </c:pt>
                <c:pt idx="15">
                  <c:v>208.3</c:v>
                </c:pt>
                <c:pt idx="16">
                  <c:v>210.3</c:v>
                </c:pt>
                <c:pt idx="17">
                  <c:v>213.5</c:v>
                </c:pt>
                <c:pt idx="18">
                  <c:v>213.98</c:v>
                </c:pt>
                <c:pt idx="19">
                  <c:v>215</c:v>
                </c:pt>
                <c:pt idx="20">
                  <c:v>215.55</c:v>
                </c:pt>
                <c:pt idx="21">
                  <c:v>216.87</c:v>
                </c:pt>
                <c:pt idx="22">
                  <c:v>217.72</c:v>
                </c:pt>
                <c:pt idx="23">
                  <c:v>218.8</c:v>
                </c:pt>
                <c:pt idx="24">
                  <c:v>219.45</c:v>
                </c:pt>
                <c:pt idx="25">
                  <c:v>220.5</c:v>
                </c:pt>
                <c:pt idx="26">
                  <c:v>221.7</c:v>
                </c:pt>
                <c:pt idx="27">
                  <c:v>222.9</c:v>
                </c:pt>
                <c:pt idx="28">
                  <c:v>222.9</c:v>
                </c:pt>
                <c:pt idx="29">
                  <c:v>222.9</c:v>
                </c:pt>
                <c:pt idx="30">
                  <c:v>222.9</c:v>
                </c:pt>
                <c:pt idx="31">
                  <c:v>222.9</c:v>
                </c:pt>
                <c:pt idx="32">
                  <c:v>222.9</c:v>
                </c:pt>
                <c:pt idx="33">
                  <c:v>222.9</c:v>
                </c:pt>
                <c:pt idx="34">
                  <c:v>222.9</c:v>
                </c:pt>
                <c:pt idx="35">
                  <c:v>222.9</c:v>
                </c:pt>
                <c:pt idx="36">
                  <c:v>222.9</c:v>
                </c:pt>
                <c:pt idx="37">
                  <c:v>222.9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21C-490F-8AD3-C5EF9F07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03456"/>
        <c:axId val="404403064"/>
      </c:scatterChart>
      <c:valAx>
        <c:axId val="404402280"/>
        <c:scaling>
          <c:orientation val="minMax"/>
          <c:max val="45365"/>
          <c:min val="4370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7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2672"/>
        <c:crossesAt val="0"/>
        <c:crossBetween val="midCat"/>
        <c:majorUnit val="30"/>
      </c:valAx>
      <c:valAx>
        <c:axId val="404402672"/>
        <c:scaling>
          <c:orientation val="minMax"/>
          <c:max val="1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2280"/>
        <c:crosses val="autoZero"/>
        <c:crossBetween val="midCat"/>
        <c:majorUnit val="10"/>
        <c:minorUnit val="2"/>
      </c:valAx>
      <c:valAx>
        <c:axId val="40440306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3456"/>
        <c:crosses val="max"/>
        <c:crossBetween val="midCat"/>
      </c:valAx>
      <c:valAx>
        <c:axId val="404403456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40440306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9"/>
        <c:delete val="1"/>
      </c:legendEntry>
      <c:layout>
        <c:manualLayout>
          <c:xMode val="edge"/>
          <c:yMode val="edge"/>
          <c:x val="5.5793441602275916E-2"/>
          <c:y val="0.95079324917377994"/>
          <c:w val="0.87492527664071129"/>
          <c:h val="4.9206750826219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33" footer="0.49212598450000433"/>
    <c:pageSetup paperSize="9" orientation="landscape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Convergences horizontales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51"/>
          <c:h val="0.71253829577845151"/>
        </c:manualLayout>
      </c:layout>
      <c:scatterChart>
        <c:scatterStyle val="lineMarker"/>
        <c:varyColors val="0"/>
        <c:ser>
          <c:idx val="9"/>
          <c:order val="0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Convergences!$L$10:$L$119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-0.95323530687352331</c:v>
                </c:pt>
                <c:pt idx="2">
                  <c:v>-3.7228396590771595</c:v>
                </c:pt>
                <c:pt idx="3">
                  <c:v>-5.027346276220257</c:v>
                </c:pt>
                <c:pt idx="4">
                  <c:v>-5.8349967404662806</c:v>
                </c:pt>
                <c:pt idx="5">
                  <c:v>-7.5098171215826071</c:v>
                </c:pt>
                <c:pt idx="6">
                  <c:v>-7.0853947536013706</c:v>
                </c:pt>
                <c:pt idx="7">
                  <c:v>-10.667139516309376</c:v>
                </c:pt>
                <c:pt idx="8">
                  <c:v>-12.352625628685665</c:v>
                </c:pt>
                <c:pt idx="9">
                  <c:v>-14.59969838541042</c:v>
                </c:pt>
                <c:pt idx="10">
                  <c:v>-15.948026671035009</c:v>
                </c:pt>
                <c:pt idx="11">
                  <c:v>-16.322193182006117</c:v>
                </c:pt>
                <c:pt idx="12">
                  <c:v>-17.005864258432979</c:v>
                </c:pt>
                <c:pt idx="13">
                  <c:v>-17.265198915079161</c:v>
                </c:pt>
                <c:pt idx="14">
                  <c:v>-17.869972662609257</c:v>
                </c:pt>
                <c:pt idx="15">
                  <c:v>-17.501542931377401</c:v>
                </c:pt>
                <c:pt idx="16">
                  <c:v>-17.541319987919302</c:v>
                </c:pt>
                <c:pt idx="17">
                  <c:v>-20.822315834539751</c:v>
                </c:pt>
                <c:pt idx="18">
                  <c:v>-20.562596715092418</c:v>
                </c:pt>
                <c:pt idx="19">
                  <c:v>-19.4024370073409</c:v>
                </c:pt>
                <c:pt idx="20">
                  <c:v>-19.855826924068509</c:v>
                </c:pt>
                <c:pt idx="21">
                  <c:v>-20.534022230847881</c:v>
                </c:pt>
                <c:pt idx="22">
                  <c:v>-22.852189720436122</c:v>
                </c:pt>
                <c:pt idx="23">
                  <c:v>-22.817248309215721</c:v>
                </c:pt>
                <c:pt idx="24">
                  <c:v>-22.732046616583013</c:v>
                </c:pt>
                <c:pt idx="25">
                  <c:v>-23.172733718202387</c:v>
                </c:pt>
                <c:pt idx="26">
                  <c:v>-23.160454505528172</c:v>
                </c:pt>
                <c:pt idx="27">
                  <c:v>-23.758946855857666</c:v>
                </c:pt>
                <c:pt idx="28">
                  <c:v>-24.193274983573154</c:v>
                </c:pt>
                <c:pt idx="29">
                  <c:v>-25.57101494812386</c:v>
                </c:pt>
                <c:pt idx="30">
                  <c:v>-24.989847442289381</c:v>
                </c:pt>
                <c:pt idx="31">
                  <c:v>-24.543257243384353</c:v>
                </c:pt>
                <c:pt idx="32">
                  <c:v>-25.598155035986281</c:v>
                </c:pt>
                <c:pt idx="33">
                  <c:v>-25.621933615322945</c:v>
                </c:pt>
                <c:pt idx="34">
                  <c:v>-25.557075344815772</c:v>
                </c:pt>
                <c:pt idx="35">
                  <c:v>-25.508127430887484</c:v>
                </c:pt>
                <c:pt idx="36">
                  <c:v>-26.038592074032252</c:v>
                </c:pt>
                <c:pt idx="37">
                  <c:v>-25.943376046869027</c:v>
                </c:pt>
                <c:pt idx="38">
                  <c:v>-26.081663874392369</c:v>
                </c:pt>
                <c:pt idx="39">
                  <c:v>-25.941574467430506</c:v>
                </c:pt>
                <c:pt idx="40">
                  <c:v>-24.344742113663997</c:v>
                </c:pt>
                <c:pt idx="41">
                  <c:v>-26.488745826726223</c:v>
                </c:pt>
                <c:pt idx="42">
                  <c:v>-26.292933136898178</c:v>
                </c:pt>
                <c:pt idx="43">
                  <c:v>-26.695131003137362</c:v>
                </c:pt>
                <c:pt idx="45">
                  <c:v>-27.331451495482106</c:v>
                </c:pt>
                <c:pt idx="46">
                  <c:v>-27.457725511945696</c:v>
                </c:pt>
                <c:pt idx="47">
                  <c:v>-28.121707607810187</c:v>
                </c:pt>
                <c:pt idx="49">
                  <c:v>-28.121707607810187</c:v>
                </c:pt>
                <c:pt idx="53">
                  <c:v>-30.91793851411051</c:v>
                </c:pt>
                <c:pt idx="54">
                  <c:v>-31.41383101041928</c:v>
                </c:pt>
                <c:pt idx="57">
                  <c:v>-33.301813680919778</c:v>
                </c:pt>
                <c:pt idx="58">
                  <c:v>-33.713800933671045</c:v>
                </c:pt>
                <c:pt idx="59">
                  <c:v>-33.92596959526184</c:v>
                </c:pt>
                <c:pt idx="60">
                  <c:v>-33.707413448161638</c:v>
                </c:pt>
                <c:pt idx="61">
                  <c:v>-33.737468054823694</c:v>
                </c:pt>
                <c:pt idx="62">
                  <c:v>-33.71596437281088</c:v>
                </c:pt>
                <c:pt idx="63">
                  <c:v>-33.798095621628832</c:v>
                </c:pt>
                <c:pt idx="64">
                  <c:v>-33.616730923179183</c:v>
                </c:pt>
                <c:pt idx="66">
                  <c:v>-34.196576431439141</c:v>
                </c:pt>
                <c:pt idx="67">
                  <c:v>-34.240163167473803</c:v>
                </c:pt>
                <c:pt idx="68">
                  <c:v>-34.269473994021027</c:v>
                </c:pt>
                <c:pt idx="71">
                  <c:v>-34.81928547737656</c:v>
                </c:pt>
                <c:pt idx="72">
                  <c:v>-34.226620145527242</c:v>
                </c:pt>
                <c:pt idx="73">
                  <c:v>-34.815364445982766</c:v>
                </c:pt>
                <c:pt idx="74">
                  <c:v>-34.819285526435095</c:v>
                </c:pt>
                <c:pt idx="75">
                  <c:v>-35.097007078973341</c:v>
                </c:pt>
                <c:pt idx="77">
                  <c:v>-35.364107270724254</c:v>
                </c:pt>
                <c:pt idx="78">
                  <c:v>-35.834754149456138</c:v>
                </c:pt>
                <c:pt idx="79">
                  <c:v>-35.978970814798394</c:v>
                </c:pt>
                <c:pt idx="80">
                  <c:v>-35.834754149456138</c:v>
                </c:pt>
                <c:pt idx="81">
                  <c:v>-35.429147881001377</c:v>
                </c:pt>
                <c:pt idx="82">
                  <c:v>-35.779756994635648</c:v>
                </c:pt>
                <c:pt idx="83">
                  <c:v>-36.582377946181133</c:v>
                </c:pt>
                <c:pt idx="84">
                  <c:v>-38.371162130453662</c:v>
                </c:pt>
                <c:pt idx="85">
                  <c:v>-38.76816405656669</c:v>
                </c:pt>
                <c:pt idx="86">
                  <c:v>-38.860299680712806</c:v>
                </c:pt>
                <c:pt idx="87">
                  <c:v>-39.091689147771724</c:v>
                </c:pt>
                <c:pt idx="88">
                  <c:v>-38.637509521101343</c:v>
                </c:pt>
                <c:pt idx="89">
                  <c:v>-38.395317697610842</c:v>
                </c:pt>
                <c:pt idx="90">
                  <c:v>-39.100021296216703</c:v>
                </c:pt>
                <c:pt idx="91">
                  <c:v>-37.501233942817791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5-462D-AF1E-62AF99F455CD}"/>
            </c:ext>
          </c:extLst>
        </c:ser>
        <c:ser>
          <c:idx val="12"/>
          <c:order val="1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Convergences!$J$10:$J$119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-0.31668428425879469</c:v>
                </c:pt>
                <c:pt idx="2">
                  <c:v>-2.0795139895724013</c:v>
                </c:pt>
                <c:pt idx="3">
                  <c:v>-3.8837639746285291</c:v>
                </c:pt>
                <c:pt idx="4">
                  <c:v>-4.4163916293555872</c:v>
                </c:pt>
                <c:pt idx="5">
                  <c:v>-5.5464418967239304</c:v>
                </c:pt>
                <c:pt idx="6">
                  <c:v>-5.1849994864991977</c:v>
                </c:pt>
                <c:pt idx="7">
                  <c:v>-7.7203864499484354</c:v>
                </c:pt>
                <c:pt idx="8">
                  <c:v>-10.285124458923267</c:v>
                </c:pt>
                <c:pt idx="9">
                  <c:v>-12.001256662858228</c:v>
                </c:pt>
                <c:pt idx="10">
                  <c:v>-13.169715953422312</c:v>
                </c:pt>
                <c:pt idx="11">
                  <c:v>-13.770258020612935</c:v>
                </c:pt>
                <c:pt idx="12">
                  <c:v>-14.095531249014748</c:v>
                </c:pt>
                <c:pt idx="13">
                  <c:v>-14.280499900574561</c:v>
                </c:pt>
                <c:pt idx="14">
                  <c:v>-14.671726957743214</c:v>
                </c:pt>
                <c:pt idx="15">
                  <c:v>-14.534592655745193</c:v>
                </c:pt>
                <c:pt idx="16">
                  <c:v>-15.073651624450513</c:v>
                </c:pt>
                <c:pt idx="17">
                  <c:v>-17.040196055300605</c:v>
                </c:pt>
                <c:pt idx="18">
                  <c:v>-17.020274070682628</c:v>
                </c:pt>
                <c:pt idx="19">
                  <c:v>-16.802689789678915</c:v>
                </c:pt>
                <c:pt idx="20">
                  <c:v>-16.930345201680463</c:v>
                </c:pt>
                <c:pt idx="21">
                  <c:v>-17.48583322102526</c:v>
                </c:pt>
                <c:pt idx="22">
                  <c:v>-18.633464270739086</c:v>
                </c:pt>
                <c:pt idx="23">
                  <c:v>-18.967731718713576</c:v>
                </c:pt>
                <c:pt idx="24">
                  <c:v>-18.775102488063133</c:v>
                </c:pt>
                <c:pt idx="25">
                  <c:v>-18.909316528957554</c:v>
                </c:pt>
                <c:pt idx="26">
                  <c:v>-18.871741165128242</c:v>
                </c:pt>
                <c:pt idx="27">
                  <c:v>-19.1465505778603</c:v>
                </c:pt>
                <c:pt idx="28">
                  <c:v>-19.677353398641184</c:v>
                </c:pt>
                <c:pt idx="29">
                  <c:v>-20.4918688967064</c:v>
                </c:pt>
                <c:pt idx="30">
                  <c:v>-20.001396352905321</c:v>
                </c:pt>
                <c:pt idx="31">
                  <c:v>-19.723745406169613</c:v>
                </c:pt>
                <c:pt idx="32">
                  <c:v>-20.266655841067571</c:v>
                </c:pt>
                <c:pt idx="33">
                  <c:v>-20.334228973501123</c:v>
                </c:pt>
                <c:pt idx="34">
                  <c:v>-20.175027969885573</c:v>
                </c:pt>
                <c:pt idx="35">
                  <c:v>-20.037259132791085</c:v>
                </c:pt>
                <c:pt idx="36">
                  <c:v>-20.653085070819976</c:v>
                </c:pt>
                <c:pt idx="37">
                  <c:v>-20.88392054094923</c:v>
                </c:pt>
                <c:pt idx="38">
                  <c:v>-20.601028081567829</c:v>
                </c:pt>
                <c:pt idx="39">
                  <c:v>-20.527607117629021</c:v>
                </c:pt>
                <c:pt idx="40">
                  <c:v>-20.049488393771409</c:v>
                </c:pt>
                <c:pt idx="41">
                  <c:v>-20.445608871685117</c:v>
                </c:pt>
                <c:pt idx="42">
                  <c:v>-21.06556887890676</c:v>
                </c:pt>
                <c:pt idx="43">
                  <c:v>-20.609009965688152</c:v>
                </c:pt>
                <c:pt idx="45">
                  <c:v>-21.104119638521546</c:v>
                </c:pt>
                <c:pt idx="46">
                  <c:v>-21.210371694015961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5-462D-AF1E-62AF99F455CD}"/>
            </c:ext>
          </c:extLst>
        </c:ser>
        <c:ser>
          <c:idx val="14"/>
          <c:order val="2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Convergences!$K$10:$K$119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1.7508081577526369</c:v>
                </c:pt>
                <c:pt idx="2">
                  <c:v>-1.3429684605252845</c:v>
                </c:pt>
                <c:pt idx="3">
                  <c:v>-2.2716549076413628</c:v>
                </c:pt>
                <c:pt idx="4">
                  <c:v>-2.9080044065414867</c:v>
                </c:pt>
                <c:pt idx="5">
                  <c:v>-4.4750957537118552</c:v>
                </c:pt>
                <c:pt idx="6">
                  <c:v>-4.2871922684444286</c:v>
                </c:pt>
                <c:pt idx="7">
                  <c:v>-7.4171537777880658</c:v>
                </c:pt>
                <c:pt idx="8">
                  <c:v>-8.7618253984800276</c:v>
                </c:pt>
                <c:pt idx="9">
                  <c:v>-10.543634543576097</c:v>
                </c:pt>
                <c:pt idx="10">
                  <c:v>-12.067669643400336</c:v>
                </c:pt>
                <c:pt idx="11">
                  <c:v>-12.56216930019427</c:v>
                </c:pt>
                <c:pt idx="12">
                  <c:v>-13.111443703563097</c:v>
                </c:pt>
                <c:pt idx="13">
                  <c:v>-13.237730406396864</c:v>
                </c:pt>
                <c:pt idx="14">
                  <c:v>-13.739164096256751</c:v>
                </c:pt>
                <c:pt idx="15">
                  <c:v>-13.815202534757987</c:v>
                </c:pt>
                <c:pt idx="16">
                  <c:v>-13.947060612574447</c:v>
                </c:pt>
                <c:pt idx="17">
                  <c:v>-16.983237876220691</c:v>
                </c:pt>
                <c:pt idx="18">
                  <c:v>-16.724647701011897</c:v>
                </c:pt>
                <c:pt idx="19">
                  <c:v>-15.789112130896399</c:v>
                </c:pt>
                <c:pt idx="20">
                  <c:v>-16.853104679283248</c:v>
                </c:pt>
                <c:pt idx="21">
                  <c:v>-17.132078507846593</c:v>
                </c:pt>
                <c:pt idx="22">
                  <c:v>-19.070858787718414</c:v>
                </c:pt>
                <c:pt idx="23">
                  <c:v>-19.015204770750138</c:v>
                </c:pt>
                <c:pt idx="24">
                  <c:v>-19.112240704938444</c:v>
                </c:pt>
                <c:pt idx="25">
                  <c:v>-19.555856895993706</c:v>
                </c:pt>
                <c:pt idx="26">
                  <c:v>-19.19067285581022</c:v>
                </c:pt>
                <c:pt idx="27">
                  <c:v>-19.82228148958054</c:v>
                </c:pt>
                <c:pt idx="28">
                  <c:v>-19.76661239621702</c:v>
                </c:pt>
                <c:pt idx="30">
                  <c:v>-22.064132733270014</c:v>
                </c:pt>
                <c:pt idx="31">
                  <c:v>-21.075993716896058</c:v>
                </c:pt>
                <c:pt idx="32">
                  <c:v>-21.887810927825768</c:v>
                </c:pt>
                <c:pt idx="33">
                  <c:v>-22.12062869834952</c:v>
                </c:pt>
                <c:pt idx="34">
                  <c:v>-22.209868298289415</c:v>
                </c:pt>
                <c:pt idx="35">
                  <c:v>-22.175370483648038</c:v>
                </c:pt>
                <c:pt idx="36">
                  <c:v>-22.875948908368748</c:v>
                </c:pt>
                <c:pt idx="37">
                  <c:v>-22.800082512114628</c:v>
                </c:pt>
                <c:pt idx="40">
                  <c:v>-22.286047777147822</c:v>
                </c:pt>
                <c:pt idx="41">
                  <c:v>-23.599365279204143</c:v>
                </c:pt>
                <c:pt idx="42">
                  <c:v>-23.278113296144376</c:v>
                </c:pt>
                <c:pt idx="43">
                  <c:v>-23.309393730516881</c:v>
                </c:pt>
                <c:pt idx="44">
                  <c:v>-24.19871598399137</c:v>
                </c:pt>
                <c:pt idx="45">
                  <c:v>-24.107808937976039</c:v>
                </c:pt>
                <c:pt idx="46">
                  <c:v>-24.74337853748132</c:v>
                </c:pt>
                <c:pt idx="49">
                  <c:v>-24.74337853748132</c:v>
                </c:pt>
                <c:pt idx="50">
                  <c:v>-24.387411126268077</c:v>
                </c:pt>
                <c:pt idx="51">
                  <c:v>-24.784055278331607</c:v>
                </c:pt>
                <c:pt idx="52">
                  <c:v>-24.068322520135688</c:v>
                </c:pt>
                <c:pt idx="53">
                  <c:v>-24.369343231642304</c:v>
                </c:pt>
                <c:pt idx="54">
                  <c:v>-25.011021805883438</c:v>
                </c:pt>
                <c:pt idx="55">
                  <c:v>-25.670701168738042</c:v>
                </c:pt>
                <c:pt idx="56">
                  <c:v>-25.671197385510602</c:v>
                </c:pt>
                <c:pt idx="57">
                  <c:v>-26.788529110086223</c:v>
                </c:pt>
                <c:pt idx="58">
                  <c:v>-27.376350600879285</c:v>
                </c:pt>
                <c:pt idx="59">
                  <c:v>-27.170472344429264</c:v>
                </c:pt>
                <c:pt idx="60">
                  <c:v>-26.872057884336442</c:v>
                </c:pt>
                <c:pt idx="61">
                  <c:v>-27.103286081418432</c:v>
                </c:pt>
                <c:pt idx="62">
                  <c:v>-27.293288263180671</c:v>
                </c:pt>
                <c:pt idx="63">
                  <c:v>-27.14465309016223</c:v>
                </c:pt>
                <c:pt idx="64">
                  <c:v>-27.004235252377384</c:v>
                </c:pt>
                <c:pt idx="66">
                  <c:v>-27.178567552381239</c:v>
                </c:pt>
                <c:pt idx="67">
                  <c:v>-27.435453031541712</c:v>
                </c:pt>
                <c:pt idx="68">
                  <c:v>-27.128634587035627</c:v>
                </c:pt>
                <c:pt idx="71">
                  <c:v>-27.534835230435206</c:v>
                </c:pt>
                <c:pt idx="72">
                  <c:v>-27.453383992332547</c:v>
                </c:pt>
                <c:pt idx="73">
                  <c:v>-27.904416030484214</c:v>
                </c:pt>
                <c:pt idx="74">
                  <c:v>-27.941656274703242</c:v>
                </c:pt>
                <c:pt idx="75">
                  <c:v>-27.84912017481922</c:v>
                </c:pt>
                <c:pt idx="76">
                  <c:v>-28.22241895965405</c:v>
                </c:pt>
                <c:pt idx="77">
                  <c:v>-28.173561223671761</c:v>
                </c:pt>
                <c:pt idx="78">
                  <c:v>-28.703339784422965</c:v>
                </c:pt>
                <c:pt idx="79">
                  <c:v>-28.5033155183676</c:v>
                </c:pt>
                <c:pt idx="80">
                  <c:v>-28.612203518490809</c:v>
                </c:pt>
                <c:pt idx="81">
                  <c:v>-28.230850210193559</c:v>
                </c:pt>
                <c:pt idx="82">
                  <c:v>-28.768448442977324</c:v>
                </c:pt>
                <c:pt idx="83">
                  <c:v>-29.091152278811094</c:v>
                </c:pt>
                <c:pt idx="84">
                  <c:v>-29.729676491943025</c:v>
                </c:pt>
                <c:pt idx="85">
                  <c:v>-29.779311786763962</c:v>
                </c:pt>
                <c:pt idx="86">
                  <c:v>-29.929434493933371</c:v>
                </c:pt>
                <c:pt idx="87">
                  <c:v>-30.069773427101154</c:v>
                </c:pt>
                <c:pt idx="88">
                  <c:v>-29.713983749330097</c:v>
                </c:pt>
                <c:pt idx="89">
                  <c:v>-29.05129388161054</c:v>
                </c:pt>
                <c:pt idx="90">
                  <c:v>-29.755171191264473</c:v>
                </c:pt>
                <c:pt idx="9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5-462D-AF1E-62AF99F455CD}"/>
            </c:ext>
          </c:extLst>
        </c:ser>
        <c:ser>
          <c:idx val="3"/>
          <c:order val="4"/>
          <c:tx>
            <c:strRef>
              <c:f>Graphiques!$AC$21</c:f>
              <c:strCache>
                <c:ptCount val="1"/>
                <c:pt idx="0">
                  <c:v>Seuil de vigilance CH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20F5-462D-AF1E-62AF99F455CD}"/>
              </c:ext>
            </c:extLst>
          </c:dPt>
          <c:dLbls>
            <c:dLbl>
              <c:idx val="0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F5-462D-AF1E-62AF99F455CD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Graphiques!$AE$21:$AE$22</c:f>
              <c:numCache>
                <c:formatCode>m/d/yyyy</c:formatCode>
                <c:ptCount val="2"/>
                <c:pt idx="0">
                  <c:v>43704</c:v>
                </c:pt>
                <c:pt idx="1">
                  <c:v>45292</c:v>
                </c:pt>
              </c:numCache>
            </c:numRef>
          </c:xVal>
          <c:yVal>
            <c:numRef>
              <c:f>Graphiques!$AD$21:$AD$22</c:f>
              <c:numCache>
                <c:formatCode>General</c:formatCode>
                <c:ptCount val="2"/>
                <c:pt idx="0">
                  <c:v>-58</c:v>
                </c:pt>
                <c:pt idx="1">
                  <c:v>-58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F5-462D-AF1E-62AF99F455CD}"/>
            </c:ext>
          </c:extLst>
        </c:ser>
        <c:ser>
          <c:idx val="4"/>
          <c:order val="5"/>
          <c:tx>
            <c:strRef>
              <c:f>Graphiques!$AC$23</c:f>
              <c:strCache>
                <c:ptCount val="1"/>
                <c:pt idx="0">
                  <c:v>Seuil d'alerte CH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5875" cap="rnd">
                <a:solidFill>
                  <a:srgbClr val="FF0000"/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F5-462D-AF1E-62AF99F455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Graphiques!$AE$23:$AE$24</c:f>
              <c:numCache>
                <c:formatCode>m/d/yyyy</c:formatCode>
                <c:ptCount val="2"/>
                <c:pt idx="0">
                  <c:v>43704</c:v>
                </c:pt>
                <c:pt idx="1">
                  <c:v>45292</c:v>
                </c:pt>
              </c:numCache>
            </c:numRef>
          </c:xVal>
          <c:yVal>
            <c:numRef>
              <c:f>Graphiques!$AD$23:$AD$24</c:f>
              <c:numCache>
                <c:formatCode>General</c:formatCode>
                <c:ptCount val="2"/>
                <c:pt idx="0">
                  <c:v>-72</c:v>
                </c:pt>
                <c:pt idx="1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F5-462D-AF1E-62AF99F455CD}"/>
            </c:ext>
          </c:extLst>
        </c:ser>
        <c:ser>
          <c:idx val="5"/>
          <c:order val="6"/>
          <c:tx>
            <c:strRef>
              <c:f>Graphiques!$AB$35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Graphiques!$AD$36:$AD$71</c:f>
              <c:numCache>
                <c:formatCode>m/d/yyyy</c:formatCode>
                <c:ptCount val="36"/>
              </c:numCache>
            </c:numRef>
          </c:xVal>
          <c:yVal>
            <c:numRef>
              <c:f>Graphiques!$AE$36:$AE$71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F5-462D-AF1E-62AF99F4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04240"/>
        <c:axId val="404404632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Convergences!$D$9</c15:sqref>
                        </c15:formulaRef>
                      </c:ext>
                    </c:extLst>
                    <c:strCache>
                      <c:ptCount val="1"/>
                      <c:pt idx="0">
                        <c:v>BG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2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2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2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Convergences!$B$10:$B$18</c15:sqref>
                        </c15:formulaRef>
                      </c:ext>
                    </c:extLst>
                    <c:numCache>
                      <c:formatCode>dd\ /\ mm\ /\ yy</c:formatCode>
                      <c:ptCount val="9"/>
                      <c:pt idx="0">
                        <c:v>43705</c:v>
                      </c:pt>
                      <c:pt idx="1">
                        <c:v>43706</c:v>
                      </c:pt>
                      <c:pt idx="2">
                        <c:v>43707</c:v>
                      </c:pt>
                      <c:pt idx="3">
                        <c:v>43710</c:v>
                      </c:pt>
                      <c:pt idx="4">
                        <c:v>43711</c:v>
                      </c:pt>
                      <c:pt idx="5">
                        <c:v>43712</c:v>
                      </c:pt>
                      <c:pt idx="6">
                        <c:v>43713</c:v>
                      </c:pt>
                      <c:pt idx="7">
                        <c:v>43718</c:v>
                      </c:pt>
                      <c:pt idx="8">
                        <c:v>43720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Convergences!$D$10:$D$18</c15:sqref>
                        </c15:formulaRef>
                      </c:ext>
                    </c:extLst>
                    <c:numCache>
                      <c:formatCode>\+\ 0.0;\-\ 0.0;\±\ 0.0</c:formatCode>
                      <c:ptCount val="9"/>
                      <c:pt idx="0">
                        <c:v>0</c:v>
                      </c:pt>
                      <c:pt idx="1">
                        <c:v>-1.2353958704158785</c:v>
                      </c:pt>
                      <c:pt idx="2">
                        <c:v>-5.280985580840003</c:v>
                      </c:pt>
                      <c:pt idx="3">
                        <c:v>-8.2069311147430213</c:v>
                      </c:pt>
                      <c:pt idx="4">
                        <c:v>-10.038942701527276</c:v>
                      </c:pt>
                      <c:pt idx="5">
                        <c:v>-12.07730862313916</c:v>
                      </c:pt>
                      <c:pt idx="6">
                        <c:v>-12.091752469550521</c:v>
                      </c:pt>
                      <c:pt idx="7">
                        <c:v>-17.748514811093408</c:v>
                      </c:pt>
                      <c:pt idx="8">
                        <c:v>-20.796429088326462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20F5-462D-AF1E-62AF99F455C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Convergences!$I$9</c15:sqref>
                        </c15:formulaRef>
                      </c:ext>
                    </c:extLst>
                    <c:strCache>
                      <c:ptCount val="1"/>
                      <c:pt idx="0">
                        <c:v>BD</c:v>
                      </c:pt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3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3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3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Convergences!$B$10:$B$18</c15:sqref>
                        </c15:formulaRef>
                      </c:ext>
                    </c:extLst>
                    <c:numCache>
                      <c:formatCode>dd\ /\ mm\ /\ yy</c:formatCode>
                      <c:ptCount val="9"/>
                      <c:pt idx="0">
                        <c:v>43705</c:v>
                      </c:pt>
                      <c:pt idx="1">
                        <c:v>43706</c:v>
                      </c:pt>
                      <c:pt idx="2">
                        <c:v>43707</c:v>
                      </c:pt>
                      <c:pt idx="3">
                        <c:v>43710</c:v>
                      </c:pt>
                      <c:pt idx="4">
                        <c:v>43711</c:v>
                      </c:pt>
                      <c:pt idx="5">
                        <c:v>43712</c:v>
                      </c:pt>
                      <c:pt idx="6">
                        <c:v>43713</c:v>
                      </c:pt>
                      <c:pt idx="7">
                        <c:v>43718</c:v>
                      </c:pt>
                      <c:pt idx="8">
                        <c:v>43720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Convergences!$I$10:$I$18</c15:sqref>
                        </c15:formulaRef>
                      </c:ext>
                    </c:extLst>
                    <c:numCache>
                      <c:formatCode>\+\ 0.0;\-\ 0.0;\±\ 0.0</c:formatCode>
                      <c:ptCount val="9"/>
                      <c:pt idx="0">
                        <c:v>0</c:v>
                      </c:pt>
                      <c:pt idx="1">
                        <c:v>-1.1924402284559932</c:v>
                      </c:pt>
                      <c:pt idx="2">
                        <c:v>-4.8426483356998062</c:v>
                      </c:pt>
                      <c:pt idx="3">
                        <c:v>-7.7764205334709402</c:v>
                      </c:pt>
                      <c:pt idx="4">
                        <c:v>-8.9474572762346938</c:v>
                      </c:pt>
                      <c:pt idx="5">
                        <c:v>-11.246417428187883</c:v>
                      </c:pt>
                      <c:pt idx="6">
                        <c:v>-11.244472304047015</c:v>
                      </c:pt>
                      <c:pt idx="7">
                        <c:v>-17.198765880749534</c:v>
                      </c:pt>
                      <c:pt idx="8">
                        <c:v>-20.544771164505704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0F5-462D-AF1E-62AF99F455CD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Convergences!$F$9</c15:sqref>
                        </c15:formulaRef>
                      </c:ext>
                    </c:extLst>
                    <c:strCache>
                      <c:ptCount val="1"/>
                      <c:pt idx="0">
                        <c:v>HG</c:v>
                      </c:pt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5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5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5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Convergences!$B$10:$B$18</c15:sqref>
                        </c15:formulaRef>
                      </c:ext>
                    </c:extLst>
                    <c:numCache>
                      <c:formatCode>dd\ /\ mm\ /\ yy</c:formatCode>
                      <c:ptCount val="9"/>
                      <c:pt idx="0">
                        <c:v>43705</c:v>
                      </c:pt>
                      <c:pt idx="1">
                        <c:v>43706</c:v>
                      </c:pt>
                      <c:pt idx="2">
                        <c:v>43707</c:v>
                      </c:pt>
                      <c:pt idx="3">
                        <c:v>43710</c:v>
                      </c:pt>
                      <c:pt idx="4">
                        <c:v>43711</c:v>
                      </c:pt>
                      <c:pt idx="5">
                        <c:v>43712</c:v>
                      </c:pt>
                      <c:pt idx="6">
                        <c:v>43713</c:v>
                      </c:pt>
                      <c:pt idx="7">
                        <c:v>43718</c:v>
                      </c:pt>
                      <c:pt idx="8">
                        <c:v>43720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Convergences!$F$10:$F$18</c15:sqref>
                        </c15:formulaRef>
                      </c:ext>
                    </c:extLst>
                    <c:numCache>
                      <c:formatCode>\+\ 0.0;\-\ 0.0;\±\ 0.0</c:formatCode>
                      <c:ptCount val="9"/>
                      <c:pt idx="0">
                        <c:v>0</c:v>
                      </c:pt>
                      <c:pt idx="1">
                        <c:v>-0.73517134493883418</c:v>
                      </c:pt>
                      <c:pt idx="2">
                        <c:v>-2.8421862517569174</c:v>
                      </c:pt>
                      <c:pt idx="3">
                        <c:v>-5.7376901386936296</c:v>
                      </c:pt>
                      <c:pt idx="4">
                        <c:v>-6.8771751951341997</c:v>
                      </c:pt>
                      <c:pt idx="5">
                        <c:v>-7.9585990679951202</c:v>
                      </c:pt>
                      <c:pt idx="6">
                        <c:v>-8.1591464943171488</c:v>
                      </c:pt>
                      <c:pt idx="7">
                        <c:v>-11.204980885885618</c:v>
                      </c:pt>
                      <c:pt idx="8">
                        <c:v>-13.750787815181909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0F5-462D-AF1E-62AF99F455CD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Convergences!$G$9</c15:sqref>
                        </c15:formulaRef>
                      </c:ext>
                    </c:extLst>
                    <c:strCache>
                      <c:ptCount val="1"/>
                      <c:pt idx="0">
                        <c:v>HD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6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6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6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Convergences!$B$10:$B$18</c15:sqref>
                        </c15:formulaRef>
                      </c:ext>
                    </c:extLst>
                    <c:numCache>
                      <c:formatCode>dd\ /\ mm\ /\ yy</c:formatCode>
                      <c:ptCount val="9"/>
                      <c:pt idx="0">
                        <c:v>43705</c:v>
                      </c:pt>
                      <c:pt idx="1">
                        <c:v>43706</c:v>
                      </c:pt>
                      <c:pt idx="2">
                        <c:v>43707</c:v>
                      </c:pt>
                      <c:pt idx="3">
                        <c:v>43710</c:v>
                      </c:pt>
                      <c:pt idx="4">
                        <c:v>43711</c:v>
                      </c:pt>
                      <c:pt idx="5">
                        <c:v>43712</c:v>
                      </c:pt>
                      <c:pt idx="6">
                        <c:v>43713</c:v>
                      </c:pt>
                      <c:pt idx="7">
                        <c:v>43718</c:v>
                      </c:pt>
                      <c:pt idx="8">
                        <c:v>43720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Convergences!$G$10:$G$18</c15:sqref>
                        </c15:formulaRef>
                      </c:ext>
                    </c:extLst>
                    <c:numCache>
                      <c:formatCode>\+\ 0.0;\-\ 0.0;\±\ 0.0</c:formatCode>
                      <c:ptCount val="9"/>
                      <c:pt idx="0">
                        <c:v>0</c:v>
                      </c:pt>
                      <c:pt idx="1">
                        <c:v>4.1653275497655073E-2</c:v>
                      </c:pt>
                      <c:pt idx="2">
                        <c:v>-0.66302310079291438</c:v>
                      </c:pt>
                      <c:pt idx="3">
                        <c:v>-0.75558407330245103</c:v>
                      </c:pt>
                      <c:pt idx="4">
                        <c:v>-0.84906071351054102</c:v>
                      </c:pt>
                      <c:pt idx="5">
                        <c:v>-1.3538773858832176</c:v>
                      </c:pt>
                      <c:pt idx="6">
                        <c:v>-1.0472110617179009</c:v>
                      </c:pt>
                      <c:pt idx="7">
                        <c:v>-2.1396156273623124</c:v>
                      </c:pt>
                      <c:pt idx="8">
                        <c:v>-2.5525980304501594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0F5-462D-AF1E-62AF99F455CD}"/>
                  </c:ext>
                </c:extLst>
              </c15:ser>
            </c15:filteredScatterSeries>
            <c15:filteredScatterSeries>
              <c15:ser>
                <c:idx val="1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Convergences!$E$9</c15:sqref>
                        </c15:formulaRef>
                      </c:ext>
                    </c:extLst>
                    <c:strCache>
                      <c:ptCount val="1"/>
                      <c:pt idx="0">
                        <c:v>IG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tint val="50000"/>
                            <a:satMod val="300000"/>
                          </a:schemeClr>
                        </a:gs>
                        <a:gs pos="35000">
                          <a:schemeClr val="accent2">
                            <a:lumMod val="80000"/>
                            <a:lumOff val="20000"/>
                            <a:tint val="37000"/>
                            <a:satMod val="3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2">
                          <a:lumMod val="80000"/>
                          <a:lumOff val="2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Convergences!$B$10:$B$18</c15:sqref>
                        </c15:formulaRef>
                      </c:ext>
                    </c:extLst>
                    <c:numCache>
                      <c:formatCode>dd\ /\ mm\ /\ yy</c:formatCode>
                      <c:ptCount val="9"/>
                      <c:pt idx="0">
                        <c:v>43705</c:v>
                      </c:pt>
                      <c:pt idx="1">
                        <c:v>43706</c:v>
                      </c:pt>
                      <c:pt idx="2">
                        <c:v>43707</c:v>
                      </c:pt>
                      <c:pt idx="3">
                        <c:v>43710</c:v>
                      </c:pt>
                      <c:pt idx="4">
                        <c:v>43711</c:v>
                      </c:pt>
                      <c:pt idx="5">
                        <c:v>43712</c:v>
                      </c:pt>
                      <c:pt idx="6">
                        <c:v>43713</c:v>
                      </c:pt>
                      <c:pt idx="7">
                        <c:v>43718</c:v>
                      </c:pt>
                      <c:pt idx="8">
                        <c:v>43720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Convergences!$E$10:$E$18</c15:sqref>
                        </c15:formulaRef>
                      </c:ext>
                    </c:extLst>
                    <c:numCache>
                      <c:formatCode>\+\ 0.0;\-\ 0.0;\±\ 0.0</c:formatCode>
                      <c:ptCount val="9"/>
                      <c:pt idx="0">
                        <c:v>0</c:v>
                      </c:pt>
                      <c:pt idx="1">
                        <c:v>3.1730076710743127</c:v>
                      </c:pt>
                      <c:pt idx="2">
                        <c:v>0.11689441591133942</c:v>
                      </c:pt>
                      <c:pt idx="3">
                        <c:v>-2.0897311557450671</c:v>
                      </c:pt>
                      <c:pt idx="4">
                        <c:v>-3.6160879544677726</c:v>
                      </c:pt>
                      <c:pt idx="5">
                        <c:v>-5.1237718503402974</c:v>
                      </c:pt>
                      <c:pt idx="6">
                        <c:v>-5.3216855289432985</c:v>
                      </c:pt>
                      <c:pt idx="7">
                        <c:v>-9.5191723899326064</c:v>
                      </c:pt>
                      <c:pt idx="8">
                        <c:v>-12.095145933888496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0F5-462D-AF1E-62AF99F455CD}"/>
                  </c:ext>
                </c:extLst>
              </c15:ser>
            </c15:filteredScatterSeries>
            <c15:filteredScatterSeries>
              <c15:ser>
                <c:idx val="1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Graphiques!$AC$15</c15:sqref>
                        </c15:formulaRef>
                      </c:ext>
                    </c:extLst>
                    <c:strCache>
                      <c:ptCount val="1"/>
                      <c:pt idx="0">
                        <c:v>Seuil de vigilance CV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dPt>
                  <c:idx val="1"/>
                  <c:marker>
                    <c:symbol val="none"/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20F5-462D-AF1E-62AF99F455C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r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Graphiques!$AE$15:$AE$16</c15:sqref>
                        </c15:formulaRef>
                      </c:ext>
                    </c:extLst>
                    <c:numCache>
                      <c:formatCode>m/d/yyyy</c:formatCode>
                      <c:ptCount val="2"/>
                      <c:pt idx="0">
                        <c:v>43704</c:v>
                      </c:pt>
                      <c:pt idx="1">
                        <c:v>45292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Graphiques!$AD$15:$AD$16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-181</c:v>
                      </c:pt>
                      <c:pt idx="1">
                        <c:v>-181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0F5-462D-AF1E-62AF99F455CD}"/>
                  </c:ext>
                </c:extLst>
              </c15:ser>
            </c15:filteredScatterSeries>
            <c15:filteredScatterSeries>
              <c15:ser>
                <c:idx val="2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Graphiques!$AC$17</c15:sqref>
                        </c15:formulaRef>
                      </c:ext>
                    </c:extLst>
                    <c:strCache>
                      <c:ptCount val="1"/>
                      <c:pt idx="0">
                        <c:v>Seuil d'alerte CV</c:v>
                      </c:pt>
                    </c:strCache>
                  </c:strRef>
                </c:tx>
                <c:spPr>
                  <a:ln w="15875" cap="rnd">
                    <a:solidFill>
                      <a:schemeClr val="accent3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r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Graphiques!$AE$17:$AE$18</c15:sqref>
                        </c15:formulaRef>
                      </c:ext>
                    </c:extLst>
                    <c:numCache>
                      <c:formatCode>m/d/yyyy</c:formatCode>
                      <c:ptCount val="2"/>
                      <c:pt idx="0">
                        <c:v>43704</c:v>
                      </c:pt>
                      <c:pt idx="1">
                        <c:v>45292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Graphiques!$AD$17:$AD$18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-226</c:v>
                      </c:pt>
                      <c:pt idx="1">
                        <c:v>-226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0F5-462D-AF1E-62AF99F455CD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3"/>
          <c:tx>
            <c:v>PM Front</c:v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'Résultats observations'!$A$10:$A$62</c:f>
              <c:numCache>
                <c:formatCode>dd\ /\ mm\ /\ yy</c:formatCode>
                <c:ptCount val="53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</c:numCache>
            </c:numRef>
          </c:xVal>
          <c:yVal>
            <c:numRef>
              <c:f>'Résultats observations'!$C$10:$C$1048576</c:f>
              <c:numCache>
                <c:formatCode>0.0</c:formatCode>
                <c:ptCount val="1048567"/>
                <c:pt idx="0">
                  <c:v>197.2</c:v>
                </c:pt>
                <c:pt idx="1">
                  <c:v>198.3</c:v>
                </c:pt>
                <c:pt idx="2">
                  <c:v>199</c:v>
                </c:pt>
                <c:pt idx="3">
                  <c:v>199.4</c:v>
                </c:pt>
                <c:pt idx="4">
                  <c:v>200.6</c:v>
                </c:pt>
                <c:pt idx="5">
                  <c:v>200.6</c:v>
                </c:pt>
                <c:pt idx="6">
                  <c:v>200.6</c:v>
                </c:pt>
                <c:pt idx="7">
                  <c:v>202.58</c:v>
                </c:pt>
                <c:pt idx="8">
                  <c:v>203.6</c:v>
                </c:pt>
                <c:pt idx="9">
                  <c:v>203.6</c:v>
                </c:pt>
                <c:pt idx="10">
                  <c:v>206.32</c:v>
                </c:pt>
                <c:pt idx="11">
                  <c:v>206.32</c:v>
                </c:pt>
                <c:pt idx="12">
                  <c:v>206.32</c:v>
                </c:pt>
                <c:pt idx="13">
                  <c:v>206.32</c:v>
                </c:pt>
                <c:pt idx="14">
                  <c:v>207.2</c:v>
                </c:pt>
                <c:pt idx="15">
                  <c:v>208.3</c:v>
                </c:pt>
                <c:pt idx="16">
                  <c:v>210.3</c:v>
                </c:pt>
                <c:pt idx="17">
                  <c:v>213.5</c:v>
                </c:pt>
                <c:pt idx="18">
                  <c:v>213.98</c:v>
                </c:pt>
                <c:pt idx="19">
                  <c:v>215</c:v>
                </c:pt>
                <c:pt idx="20">
                  <c:v>215.55</c:v>
                </c:pt>
                <c:pt idx="21">
                  <c:v>216.87</c:v>
                </c:pt>
                <c:pt idx="22">
                  <c:v>217.72</c:v>
                </c:pt>
                <c:pt idx="23">
                  <c:v>218.8</c:v>
                </c:pt>
                <c:pt idx="24">
                  <c:v>219.45</c:v>
                </c:pt>
                <c:pt idx="25">
                  <c:v>220.5</c:v>
                </c:pt>
                <c:pt idx="26">
                  <c:v>221.7</c:v>
                </c:pt>
                <c:pt idx="27">
                  <c:v>222.9</c:v>
                </c:pt>
                <c:pt idx="28">
                  <c:v>222.9</c:v>
                </c:pt>
                <c:pt idx="29">
                  <c:v>222.9</c:v>
                </c:pt>
                <c:pt idx="30">
                  <c:v>222.9</c:v>
                </c:pt>
                <c:pt idx="31">
                  <c:v>222.9</c:v>
                </c:pt>
                <c:pt idx="32">
                  <c:v>222.9</c:v>
                </c:pt>
                <c:pt idx="33">
                  <c:v>222.9</c:v>
                </c:pt>
                <c:pt idx="34">
                  <c:v>222.9</c:v>
                </c:pt>
                <c:pt idx="35">
                  <c:v>222.9</c:v>
                </c:pt>
                <c:pt idx="36">
                  <c:v>222.9</c:v>
                </c:pt>
                <c:pt idx="37">
                  <c:v>222.9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0F5-462D-AF1E-62AF99F4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05416"/>
        <c:axId val="404405024"/>
      </c:scatterChart>
      <c:valAx>
        <c:axId val="404404240"/>
        <c:scaling>
          <c:orientation val="minMax"/>
          <c:max val="45365"/>
          <c:min val="437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7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4632"/>
        <c:crosses val="autoZero"/>
        <c:crossBetween val="midCat"/>
        <c:majorUnit val="30"/>
      </c:valAx>
      <c:valAx>
        <c:axId val="40440463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4240"/>
        <c:crosses val="autoZero"/>
        <c:crossBetween val="midCat"/>
        <c:majorUnit val="10"/>
        <c:minorUnit val="2"/>
      </c:valAx>
      <c:valAx>
        <c:axId val="40440502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5416"/>
        <c:crosses val="max"/>
        <c:crossBetween val="midCat"/>
      </c:valAx>
      <c:valAx>
        <c:axId val="404405416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40440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28" footer="0.49212598450000428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Convergences verticales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51"/>
          <c:h val="0.72137110188676568"/>
        </c:manualLayout>
      </c:layout>
      <c:scatterChart>
        <c:scatterStyle val="lineMarker"/>
        <c:varyColors val="0"/>
        <c:ser>
          <c:idx val="11"/>
          <c:order val="0"/>
          <c:tx>
            <c:strRef>
              <c:f>Déplacements!$Y$9</c:f>
              <c:strCache>
                <c:ptCount val="1"/>
                <c:pt idx="0">
                  <c:v>DZ centre haut x2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Déplacements!$B$10:$B$150</c:f>
              <c:numCache>
                <c:formatCode>dd\ /\ mm\ /\ yy</c:formatCode>
                <c:ptCount val="14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Déplacements!$Y$10:$Y$150</c:f>
              <c:numCache>
                <c:formatCode>0.0</c:formatCode>
                <c:ptCount val="141"/>
                <c:pt idx="0">
                  <c:v>0</c:v>
                </c:pt>
                <c:pt idx="1">
                  <c:v>-2.1999999999877673</c:v>
                </c:pt>
                <c:pt idx="2">
                  <c:v>-8.399999999994634</c:v>
                </c:pt>
                <c:pt idx="3">
                  <c:v>-14.399999999994861</c:v>
                </c:pt>
                <c:pt idx="4">
                  <c:v>-17.599999999987403</c:v>
                </c:pt>
                <c:pt idx="5">
                  <c:v>-21.199999999993224</c:v>
                </c:pt>
                <c:pt idx="6">
                  <c:v>-20.999999999986585</c:v>
                </c:pt>
                <c:pt idx="7">
                  <c:v>-31.199999999984129</c:v>
                </c:pt>
                <c:pt idx="8">
                  <c:v>-37.399999999990996</c:v>
                </c:pt>
                <c:pt idx="9">
                  <c:v>-45.400000000000773</c:v>
                </c:pt>
                <c:pt idx="10">
                  <c:v>-51.199999999994361</c:v>
                </c:pt>
                <c:pt idx="11">
                  <c:v>-56.399999999996453</c:v>
                </c:pt>
                <c:pt idx="12">
                  <c:v>-59.200000000004138</c:v>
                </c:pt>
                <c:pt idx="13">
                  <c:v>-61.800000000005184</c:v>
                </c:pt>
                <c:pt idx="14">
                  <c:v>-63.400000000001455</c:v>
                </c:pt>
                <c:pt idx="15">
                  <c:v>-66.20000000000914</c:v>
                </c:pt>
                <c:pt idx="16">
                  <c:v>-65.399999999982583</c:v>
                </c:pt>
                <c:pt idx="17">
                  <c:v>-77.399999999983038</c:v>
                </c:pt>
                <c:pt idx="18">
                  <c:v>-80.799999999982219</c:v>
                </c:pt>
                <c:pt idx="19">
                  <c:v>-80.399999999997362</c:v>
                </c:pt>
                <c:pt idx="20">
                  <c:v>-82.59999999998513</c:v>
                </c:pt>
                <c:pt idx="21">
                  <c:v>-85.199999999986176</c:v>
                </c:pt>
                <c:pt idx="22">
                  <c:v>-92.199999999991178</c:v>
                </c:pt>
                <c:pt idx="23">
                  <c:v>-90.999999999979764</c:v>
                </c:pt>
                <c:pt idx="24">
                  <c:v>-94.999999999998863</c:v>
                </c:pt>
                <c:pt idx="25">
                  <c:v>-93.400000000002592</c:v>
                </c:pt>
                <c:pt idx="26">
                  <c:v>-95.200000000005502</c:v>
                </c:pt>
                <c:pt idx="27">
                  <c:v>-96.199999999981856</c:v>
                </c:pt>
                <c:pt idx="28">
                  <c:v>-101.39999999998395</c:v>
                </c:pt>
                <c:pt idx="29">
                  <c:v>-111.99999999999477</c:v>
                </c:pt>
                <c:pt idx="30">
                  <c:v>-113.79999999999768</c:v>
                </c:pt>
                <c:pt idx="31">
                  <c:v>-116.19999999999209</c:v>
                </c:pt>
                <c:pt idx="32">
                  <c:v>-120.3999999999894</c:v>
                </c:pt>
                <c:pt idx="33">
                  <c:v>-121.19999999998754</c:v>
                </c:pt>
                <c:pt idx="34">
                  <c:v>-122.39999999999895</c:v>
                </c:pt>
                <c:pt idx="35">
                  <c:v>-126.19999999998299</c:v>
                </c:pt>
                <c:pt idx="36">
                  <c:v>-126.59999999999627</c:v>
                </c:pt>
                <c:pt idx="37">
                  <c:v>-130.39999999998031</c:v>
                </c:pt>
                <c:pt idx="38">
                  <c:v>-132.19999999998322</c:v>
                </c:pt>
                <c:pt idx="39">
                  <c:v>-132.39999999998986</c:v>
                </c:pt>
                <c:pt idx="40">
                  <c:v>-133.99999999998613</c:v>
                </c:pt>
                <c:pt idx="41">
                  <c:v>-133.80000000000791</c:v>
                </c:pt>
                <c:pt idx="43">
                  <c:v>-138.80000000000337</c:v>
                </c:pt>
                <c:pt idx="44">
                  <c:v>-135.40000000000418</c:v>
                </c:pt>
                <c:pt idx="45">
                  <c:v>-138.39999999999009</c:v>
                </c:pt>
                <c:pt idx="46">
                  <c:v>-139.19999999998822</c:v>
                </c:pt>
                <c:pt idx="47">
                  <c:v>-141.59999999998263</c:v>
                </c:pt>
                <c:pt idx="49">
                  <c:v>-141.59999999998263</c:v>
                </c:pt>
                <c:pt idx="50">
                  <c:v>-141.79999999998927</c:v>
                </c:pt>
                <c:pt idx="51">
                  <c:v>-140.79999999998449</c:v>
                </c:pt>
                <c:pt idx="52">
                  <c:v>-141.79999999998927</c:v>
                </c:pt>
                <c:pt idx="53">
                  <c:v>-143.99999999997704</c:v>
                </c:pt>
                <c:pt idx="54">
                  <c:v>-149.09999999997581</c:v>
                </c:pt>
                <c:pt idx="55">
                  <c:v>-151.39999999999532</c:v>
                </c:pt>
                <c:pt idx="56">
                  <c:v>-150.99999999998204</c:v>
                </c:pt>
                <c:pt idx="57">
                  <c:v>-151.79999999998017</c:v>
                </c:pt>
                <c:pt idx="58">
                  <c:v>-154.39999999998122</c:v>
                </c:pt>
                <c:pt idx="59">
                  <c:v>-153.99999999999636</c:v>
                </c:pt>
                <c:pt idx="60">
                  <c:v>-153.79999999998972</c:v>
                </c:pt>
                <c:pt idx="61">
                  <c:v>-153.39999999997644</c:v>
                </c:pt>
                <c:pt idx="62">
                  <c:v>-153.39999999997644</c:v>
                </c:pt>
                <c:pt idx="63">
                  <c:v>-154.7999999999945</c:v>
                </c:pt>
                <c:pt idx="64">
                  <c:v>-153.39999999997644</c:v>
                </c:pt>
                <c:pt idx="66">
                  <c:v>-153.99999999999636</c:v>
                </c:pt>
                <c:pt idx="67">
                  <c:v>-154.99999999997272</c:v>
                </c:pt>
                <c:pt idx="68">
                  <c:v>-157.7999999999804</c:v>
                </c:pt>
                <c:pt idx="69">
                  <c:v>-156.59999999996899</c:v>
                </c:pt>
                <c:pt idx="70">
                  <c:v>-153.59999999998308</c:v>
                </c:pt>
                <c:pt idx="71">
                  <c:v>-156.39999999999077</c:v>
                </c:pt>
                <c:pt idx="72">
                  <c:v>-157.59999999997376</c:v>
                </c:pt>
                <c:pt idx="73">
                  <c:v>-158.19999999999368</c:v>
                </c:pt>
                <c:pt idx="74">
                  <c:v>-156.99999999998226</c:v>
                </c:pt>
                <c:pt idx="75">
                  <c:v>-156.59999999996899</c:v>
                </c:pt>
                <c:pt idx="76">
                  <c:v>-156.59999999996899</c:v>
                </c:pt>
                <c:pt idx="77">
                  <c:v>-157.7999999999804</c:v>
                </c:pt>
                <c:pt idx="78">
                  <c:v>-156.59999999996899</c:v>
                </c:pt>
                <c:pt idx="79">
                  <c:v>-157.7999999999804</c:v>
                </c:pt>
                <c:pt idx="80">
                  <c:v>-157.1999999999889</c:v>
                </c:pt>
                <c:pt idx="81">
                  <c:v>-158.19999999999368</c:v>
                </c:pt>
                <c:pt idx="82">
                  <c:v>-157.99999999998704</c:v>
                </c:pt>
                <c:pt idx="83">
                  <c:v>-156.99999999998226</c:v>
                </c:pt>
                <c:pt idx="84">
                  <c:v>-159.99999999999659</c:v>
                </c:pt>
                <c:pt idx="85">
                  <c:v>-161.59999999999286</c:v>
                </c:pt>
                <c:pt idx="86">
                  <c:v>-162.399999999991</c:v>
                </c:pt>
                <c:pt idx="87">
                  <c:v>-163.79999999998063</c:v>
                </c:pt>
                <c:pt idx="88">
                  <c:v>-163.19999999998913</c:v>
                </c:pt>
                <c:pt idx="89">
                  <c:v>-162.19999999998436</c:v>
                </c:pt>
                <c:pt idx="90">
                  <c:v>-163.99999999998727</c:v>
                </c:pt>
                <c:pt idx="91">
                  <c:v>-165.59999999998354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B-48AC-80FC-D31E9ECA8EC2}"/>
            </c:ext>
          </c:extLst>
        </c:ser>
        <c:ser>
          <c:idx val="7"/>
          <c:order val="1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Convergences!$B$10:$B$180</c:f>
              <c:numCache>
                <c:formatCode>dd\ /\ mm\ /\ yy</c:formatCode>
                <c:ptCount val="171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Convergences!$D$10:$D$180</c:f>
              <c:numCache>
                <c:formatCode>\+\ 0.0;\-\ 0.0;\±\ 0.0</c:formatCode>
                <c:ptCount val="171"/>
                <c:pt idx="0">
                  <c:v>0</c:v>
                </c:pt>
                <c:pt idx="1">
                  <c:v>-1.2353958704158785</c:v>
                </c:pt>
                <c:pt idx="2">
                  <c:v>-5.280985580840003</c:v>
                </c:pt>
                <c:pt idx="3">
                  <c:v>-8.2069311147430213</c:v>
                </c:pt>
                <c:pt idx="4">
                  <c:v>-10.038942701527276</c:v>
                </c:pt>
                <c:pt idx="5">
                  <c:v>-12.07730862313916</c:v>
                </c:pt>
                <c:pt idx="6">
                  <c:v>-12.091752469550521</c:v>
                </c:pt>
                <c:pt idx="7">
                  <c:v>-17.748514811093408</c:v>
                </c:pt>
                <c:pt idx="8">
                  <c:v>-20.796429088326462</c:v>
                </c:pt>
                <c:pt idx="9">
                  <c:v>-25.060483937102696</c:v>
                </c:pt>
                <c:pt idx="10">
                  <c:v>-27.916512740020494</c:v>
                </c:pt>
                <c:pt idx="11">
                  <c:v>-30.207526231491144</c:v>
                </c:pt>
                <c:pt idx="12">
                  <c:v>-31.504109920015289</c:v>
                </c:pt>
                <c:pt idx="13">
                  <c:v>-32.605304469280227</c:v>
                </c:pt>
                <c:pt idx="14">
                  <c:v>-33.373017032623409</c:v>
                </c:pt>
                <c:pt idx="15">
                  <c:v>-34.542244900148233</c:v>
                </c:pt>
                <c:pt idx="16">
                  <c:v>-35.634609987579502</c:v>
                </c:pt>
                <c:pt idx="17">
                  <c:v>-40.421937409259812</c:v>
                </c:pt>
                <c:pt idx="18">
                  <c:v>-41.889677916183921</c:v>
                </c:pt>
                <c:pt idx="19">
                  <c:v>-40.884616889491632</c:v>
                </c:pt>
                <c:pt idx="20">
                  <c:v>-42.437954443132142</c:v>
                </c:pt>
                <c:pt idx="21">
                  <c:v>-43.369646989241062</c:v>
                </c:pt>
                <c:pt idx="22">
                  <c:v>-47.394454904741146</c:v>
                </c:pt>
                <c:pt idx="23">
                  <c:v>-47.837926497469319</c:v>
                </c:pt>
                <c:pt idx="24">
                  <c:v>-48.683728213425148</c:v>
                </c:pt>
                <c:pt idx="25">
                  <c:v>-49.17278645009393</c:v>
                </c:pt>
                <c:pt idx="26">
                  <c:v>-50.014264607420422</c:v>
                </c:pt>
                <c:pt idx="27">
                  <c:v>-50.711094027852788</c:v>
                </c:pt>
                <c:pt idx="28">
                  <c:v>-52.416735868393793</c:v>
                </c:pt>
                <c:pt idx="29">
                  <c:v>-57.792018129389611</c:v>
                </c:pt>
                <c:pt idx="30">
                  <c:v>-58.084684140629506</c:v>
                </c:pt>
                <c:pt idx="31">
                  <c:v>-58.956664580731122</c:v>
                </c:pt>
                <c:pt idx="32">
                  <c:v>-60.202739717451159</c:v>
                </c:pt>
                <c:pt idx="33">
                  <c:v>-62.163716276203651</c:v>
                </c:pt>
                <c:pt idx="34">
                  <c:v>-63.04165617309998</c:v>
                </c:pt>
                <c:pt idx="35">
                  <c:v>-63.937508497374118</c:v>
                </c:pt>
                <c:pt idx="36">
                  <c:v>-64.520151804138067</c:v>
                </c:pt>
                <c:pt idx="37">
                  <c:v>-66.528030184349163</c:v>
                </c:pt>
                <c:pt idx="38">
                  <c:v>-67.299380521508738</c:v>
                </c:pt>
                <c:pt idx="39">
                  <c:v>-67.573455790600264</c:v>
                </c:pt>
                <c:pt idx="40">
                  <c:v>-66.673283700878557</c:v>
                </c:pt>
                <c:pt idx="41">
                  <c:v>-67.651162214394489</c:v>
                </c:pt>
                <c:pt idx="42">
                  <c:v>-68.611964105800283</c:v>
                </c:pt>
                <c:pt idx="43">
                  <c:v>-69.371388728695749</c:v>
                </c:pt>
                <c:pt idx="44">
                  <c:v>-68.718377380480263</c:v>
                </c:pt>
                <c:pt idx="45">
                  <c:v>-70.528801992431056</c:v>
                </c:pt>
                <c:pt idx="46">
                  <c:v>-70.446333551679174</c:v>
                </c:pt>
                <c:pt idx="47">
                  <c:v>-71.133504199328172</c:v>
                </c:pt>
                <c:pt idx="53">
                  <c:v>-73.122276491803348</c:v>
                </c:pt>
                <c:pt idx="54">
                  <c:v>-72.662901232180658</c:v>
                </c:pt>
                <c:pt idx="55">
                  <c:v>-73.141090556677383</c:v>
                </c:pt>
                <c:pt idx="56">
                  <c:v>-73.363519242470858</c:v>
                </c:pt>
                <c:pt idx="57">
                  <c:v>-74.200877703163741</c:v>
                </c:pt>
                <c:pt idx="58">
                  <c:v>-74.806535282458952</c:v>
                </c:pt>
                <c:pt idx="59">
                  <c:v>-74.943817430120234</c:v>
                </c:pt>
                <c:pt idx="60">
                  <c:v>-74.814589380050478</c:v>
                </c:pt>
                <c:pt idx="61">
                  <c:v>-74.798469859874032</c:v>
                </c:pt>
                <c:pt idx="62">
                  <c:v>-74.845852841923119</c:v>
                </c:pt>
                <c:pt idx="63">
                  <c:v>-74.994106146159638</c:v>
                </c:pt>
                <c:pt idx="64">
                  <c:v>-75.296716498503002</c:v>
                </c:pt>
                <c:pt idx="66">
                  <c:v>-75.300291883732655</c:v>
                </c:pt>
                <c:pt idx="67">
                  <c:v>-75.50204384378921</c:v>
                </c:pt>
                <c:pt idx="68">
                  <c:v>-75.580652706284098</c:v>
                </c:pt>
                <c:pt idx="69">
                  <c:v>-76.154233396284354</c:v>
                </c:pt>
                <c:pt idx="70">
                  <c:v>-76.60425414336558</c:v>
                </c:pt>
                <c:pt idx="71">
                  <c:v>-76.380258868389276</c:v>
                </c:pt>
                <c:pt idx="72">
                  <c:v>-77.302124742790738</c:v>
                </c:pt>
                <c:pt idx="73">
                  <c:v>-76.514323236033022</c:v>
                </c:pt>
                <c:pt idx="74">
                  <c:v>-76.905210822220113</c:v>
                </c:pt>
                <c:pt idx="75">
                  <c:v>-77.129925664952907</c:v>
                </c:pt>
                <c:pt idx="77">
                  <c:v>-77.518433190395967</c:v>
                </c:pt>
                <c:pt idx="78">
                  <c:v>-77.117388311803467</c:v>
                </c:pt>
                <c:pt idx="79">
                  <c:v>-77.662244814861822</c:v>
                </c:pt>
                <c:pt idx="80">
                  <c:v>-77.680859687564663</c:v>
                </c:pt>
                <c:pt idx="81">
                  <c:v>-76.21297349061517</c:v>
                </c:pt>
                <c:pt idx="82">
                  <c:v>-76.414703791854777</c:v>
                </c:pt>
                <c:pt idx="83">
                  <c:v>-76.859010627420503</c:v>
                </c:pt>
                <c:pt idx="84">
                  <c:v>-78.297176371910908</c:v>
                </c:pt>
                <c:pt idx="85">
                  <c:v>-78.61383391210984</c:v>
                </c:pt>
                <c:pt idx="86">
                  <c:v>-78.687904061266238</c:v>
                </c:pt>
                <c:pt idx="87">
                  <c:v>-78.862756724878295</c:v>
                </c:pt>
                <c:pt idx="88">
                  <c:v>-78.437112169910776</c:v>
                </c:pt>
                <c:pt idx="89">
                  <c:v>-78.18229957211642</c:v>
                </c:pt>
                <c:pt idx="90">
                  <c:v>-79.10154997183659</c:v>
                </c:pt>
                <c:pt idx="91">
                  <c:v>-80.135133795891988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7B-48AC-80FC-D31E9ECA8EC2}"/>
            </c:ext>
          </c:extLst>
        </c:ser>
        <c:ser>
          <c:idx val="8"/>
          <c:order val="2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Convergences!$I$10:$I$119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-1.1924402284559932</c:v>
                </c:pt>
                <c:pt idx="2">
                  <c:v>-4.8426483356998062</c:v>
                </c:pt>
                <c:pt idx="3">
                  <c:v>-7.7764205334709402</c:v>
                </c:pt>
                <c:pt idx="4">
                  <c:v>-8.9474572762346938</c:v>
                </c:pt>
                <c:pt idx="5">
                  <c:v>-11.246417428187883</c:v>
                </c:pt>
                <c:pt idx="6">
                  <c:v>-11.244472304047015</c:v>
                </c:pt>
                <c:pt idx="7">
                  <c:v>-17.198765880749534</c:v>
                </c:pt>
                <c:pt idx="8">
                  <c:v>-20.544771164505704</c:v>
                </c:pt>
                <c:pt idx="9">
                  <c:v>-24.643655506169537</c:v>
                </c:pt>
                <c:pt idx="10">
                  <c:v>-27.997854197468364</c:v>
                </c:pt>
                <c:pt idx="11">
                  <c:v>-30.30568479346929</c:v>
                </c:pt>
                <c:pt idx="12">
                  <c:v>-31.785089398894684</c:v>
                </c:pt>
                <c:pt idx="13">
                  <c:v>-32.80211152609791</c:v>
                </c:pt>
                <c:pt idx="14">
                  <c:v>-33.796109997505042</c:v>
                </c:pt>
                <c:pt idx="15">
                  <c:v>-35.394185463315964</c:v>
                </c:pt>
                <c:pt idx="16">
                  <c:v>-35.740551032318102</c:v>
                </c:pt>
                <c:pt idx="17">
                  <c:v>-41.184339935593783</c:v>
                </c:pt>
                <c:pt idx="18">
                  <c:v>-42.613774506522262</c:v>
                </c:pt>
                <c:pt idx="19">
                  <c:v>-42.084180549833761</c:v>
                </c:pt>
                <c:pt idx="20">
                  <c:v>-43.415724487557483</c:v>
                </c:pt>
                <c:pt idx="21">
                  <c:v>-44.759281583415245</c:v>
                </c:pt>
                <c:pt idx="22">
                  <c:v>-48.556439032473975</c:v>
                </c:pt>
                <c:pt idx="23">
                  <c:v>-49.069114638546019</c:v>
                </c:pt>
                <c:pt idx="24">
                  <c:v>-50.004376793025607</c:v>
                </c:pt>
                <c:pt idx="25">
                  <c:v>-50.244847093968481</c:v>
                </c:pt>
                <c:pt idx="26">
                  <c:v>-51.289072184148132</c:v>
                </c:pt>
                <c:pt idx="27">
                  <c:v>-52.011703961696298</c:v>
                </c:pt>
                <c:pt idx="28">
                  <c:v>-54.018869200541886</c:v>
                </c:pt>
                <c:pt idx="29">
                  <c:v>-58.942608418355746</c:v>
                </c:pt>
                <c:pt idx="30">
                  <c:v>-59.588254337567648</c:v>
                </c:pt>
                <c:pt idx="31">
                  <c:v>-60.338394887239133</c:v>
                </c:pt>
                <c:pt idx="32">
                  <c:v>-62.321182647631979</c:v>
                </c:pt>
                <c:pt idx="33">
                  <c:v>-63.28174333689951</c:v>
                </c:pt>
                <c:pt idx="34">
                  <c:v>-63.905146498055565</c:v>
                </c:pt>
                <c:pt idx="35">
                  <c:v>-65.041511857971017</c:v>
                </c:pt>
                <c:pt idx="36">
                  <c:v>-65.931667109418328</c:v>
                </c:pt>
                <c:pt idx="37">
                  <c:v>-67.607781340323754</c:v>
                </c:pt>
                <c:pt idx="38">
                  <c:v>-68.062145981104834</c:v>
                </c:pt>
                <c:pt idx="39">
                  <c:v>-68.214268076610011</c:v>
                </c:pt>
                <c:pt idx="40">
                  <c:v>-58.522250049467317</c:v>
                </c:pt>
                <c:pt idx="41">
                  <c:v>-59.459831166857491</c:v>
                </c:pt>
                <c:pt idx="42">
                  <c:v>-60.714742182571335</c:v>
                </c:pt>
                <c:pt idx="43">
                  <c:v>-60.829411014615253</c:v>
                </c:pt>
                <c:pt idx="45">
                  <c:v>-61.987338230130362</c:v>
                </c:pt>
                <c:pt idx="46">
                  <c:v>-61.815847024337067</c:v>
                </c:pt>
                <c:pt idx="47">
                  <c:v>-62.666982548950756</c:v>
                </c:pt>
                <c:pt idx="49">
                  <c:v>-62.666982548950756</c:v>
                </c:pt>
                <c:pt idx="53">
                  <c:v>-62.658981450797846</c:v>
                </c:pt>
                <c:pt idx="54">
                  <c:v>-63.707322947483824</c:v>
                </c:pt>
                <c:pt idx="57">
                  <c:v>-65.428318773491867</c:v>
                </c:pt>
                <c:pt idx="58">
                  <c:v>-66.534596544181483</c:v>
                </c:pt>
                <c:pt idx="59">
                  <c:v>-66.572485768171759</c:v>
                </c:pt>
                <c:pt idx="60">
                  <c:v>-66.536197014412039</c:v>
                </c:pt>
                <c:pt idx="61">
                  <c:v>-66.644859842359679</c:v>
                </c:pt>
                <c:pt idx="62">
                  <c:v>-66.89528231598851</c:v>
                </c:pt>
                <c:pt idx="63">
                  <c:v>-66.859804974551025</c:v>
                </c:pt>
                <c:pt idx="64">
                  <c:v>-66.94345320256501</c:v>
                </c:pt>
                <c:pt idx="66">
                  <c:v>-67.125926970022846</c:v>
                </c:pt>
                <c:pt idx="67">
                  <c:v>-67.438638128433311</c:v>
                </c:pt>
                <c:pt idx="68">
                  <c:v>-67.680353164516035</c:v>
                </c:pt>
                <c:pt idx="71">
                  <c:v>-67.810389896355346</c:v>
                </c:pt>
                <c:pt idx="72">
                  <c:v>-67.880698370534446</c:v>
                </c:pt>
                <c:pt idx="73">
                  <c:v>-68.10602984820369</c:v>
                </c:pt>
                <c:pt idx="74">
                  <c:v>-68.242754299689068</c:v>
                </c:pt>
                <c:pt idx="75">
                  <c:v>-68.527358029413676</c:v>
                </c:pt>
                <c:pt idx="77">
                  <c:v>-68.974869392707035</c:v>
                </c:pt>
                <c:pt idx="78">
                  <c:v>-69.060562405934164</c:v>
                </c:pt>
                <c:pt idx="79">
                  <c:v>-69.266219646241026</c:v>
                </c:pt>
                <c:pt idx="80">
                  <c:v>-69.338761305293588</c:v>
                </c:pt>
                <c:pt idx="81">
                  <c:v>-70.796057735074584</c:v>
                </c:pt>
                <c:pt idx="82">
                  <c:v>-70.822676054554279</c:v>
                </c:pt>
                <c:pt idx="83">
                  <c:v>-71.415782195899169</c:v>
                </c:pt>
                <c:pt idx="84">
                  <c:v>-73.909198624714904</c:v>
                </c:pt>
                <c:pt idx="85">
                  <c:v>-73.98066219339006</c:v>
                </c:pt>
                <c:pt idx="86">
                  <c:v>-74.281488436537472</c:v>
                </c:pt>
                <c:pt idx="87">
                  <c:v>-74.713637039747653</c:v>
                </c:pt>
                <c:pt idx="88">
                  <c:v>-74.30590443039975</c:v>
                </c:pt>
                <c:pt idx="89">
                  <c:v>-74.463435437246432</c:v>
                </c:pt>
                <c:pt idx="90">
                  <c:v>-75.090373736150354</c:v>
                </c:pt>
                <c:pt idx="91">
                  <c:v>-75.06000557360926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7B-48AC-80FC-D31E9ECA8EC2}"/>
            </c:ext>
          </c:extLst>
        </c:ser>
        <c:ser>
          <c:idx val="13"/>
          <c:order val="3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Convergences!$B$10:$B$119</c:f>
              <c:numCache>
                <c:formatCode>dd\ /\ mm\ /\ yy</c:formatCode>
                <c:ptCount val="110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Convergences!$E$10:$E$119</c:f>
              <c:numCache>
                <c:formatCode>\+\ 0.0;\-\ 0.0;\±\ 0.0</c:formatCode>
                <c:ptCount val="110"/>
                <c:pt idx="0">
                  <c:v>0</c:v>
                </c:pt>
                <c:pt idx="1">
                  <c:v>3.1730076710743127</c:v>
                </c:pt>
                <c:pt idx="2">
                  <c:v>0.11689441591133942</c:v>
                </c:pt>
                <c:pt idx="3">
                  <c:v>-2.0897311557450671</c:v>
                </c:pt>
                <c:pt idx="4">
                  <c:v>-3.6160879544677726</c:v>
                </c:pt>
                <c:pt idx="5">
                  <c:v>-5.1237718503402974</c:v>
                </c:pt>
                <c:pt idx="6">
                  <c:v>-5.3216855289432985</c:v>
                </c:pt>
                <c:pt idx="7">
                  <c:v>-9.5191723899326064</c:v>
                </c:pt>
                <c:pt idx="8">
                  <c:v>-12.095145933888496</c:v>
                </c:pt>
                <c:pt idx="9">
                  <c:v>-15.442252953071556</c:v>
                </c:pt>
                <c:pt idx="10">
                  <c:v>-17.783791678586791</c:v>
                </c:pt>
                <c:pt idx="11">
                  <c:v>-19.560388758663283</c:v>
                </c:pt>
                <c:pt idx="12">
                  <c:v>-20.564518432303558</c:v>
                </c:pt>
                <c:pt idx="13">
                  <c:v>-21.351772153768156</c:v>
                </c:pt>
                <c:pt idx="14">
                  <c:v>-21.79654917754581</c:v>
                </c:pt>
                <c:pt idx="15">
                  <c:v>-23.011526368449609</c:v>
                </c:pt>
                <c:pt idx="16">
                  <c:v>-23.933050487953356</c:v>
                </c:pt>
                <c:pt idx="17">
                  <c:v>-27.758763338264991</c:v>
                </c:pt>
                <c:pt idx="18">
                  <c:v>-28.956668958409537</c:v>
                </c:pt>
                <c:pt idx="19">
                  <c:v>-27.891255208003063</c:v>
                </c:pt>
                <c:pt idx="20">
                  <c:v>-29.145645634440331</c:v>
                </c:pt>
                <c:pt idx="21">
                  <c:v>-30.236168334160762</c:v>
                </c:pt>
                <c:pt idx="22">
                  <c:v>-33.003970789314607</c:v>
                </c:pt>
                <c:pt idx="23">
                  <c:v>-33.426575287932806</c:v>
                </c:pt>
                <c:pt idx="24">
                  <c:v>-34.044630780552424</c:v>
                </c:pt>
                <c:pt idx="25">
                  <c:v>-34.572266914855817</c:v>
                </c:pt>
                <c:pt idx="26">
                  <c:v>-35.060766758705952</c:v>
                </c:pt>
                <c:pt idx="27">
                  <c:v>-35.628645986692135</c:v>
                </c:pt>
                <c:pt idx="28">
                  <c:v>-36.962837013163167</c:v>
                </c:pt>
                <c:pt idx="30">
                  <c:v>-42.10111990218968</c:v>
                </c:pt>
                <c:pt idx="31">
                  <c:v>-42.466318062675427</c:v>
                </c:pt>
                <c:pt idx="32">
                  <c:v>-43.592584382456501</c:v>
                </c:pt>
                <c:pt idx="33">
                  <c:v>-44.432152280544642</c:v>
                </c:pt>
                <c:pt idx="34">
                  <c:v>-45.158765039015059</c:v>
                </c:pt>
                <c:pt idx="35">
                  <c:v>-45.730844215348121</c:v>
                </c:pt>
                <c:pt idx="36">
                  <c:v>-46.447277508169016</c:v>
                </c:pt>
                <c:pt idx="37">
                  <c:v>-47.745563188900775</c:v>
                </c:pt>
                <c:pt idx="40">
                  <c:v>-47.843510136897471</c:v>
                </c:pt>
                <c:pt idx="41">
                  <c:v>-49.090668170076235</c:v>
                </c:pt>
                <c:pt idx="42">
                  <c:v>-49.567924562693207</c:v>
                </c:pt>
                <c:pt idx="43">
                  <c:v>-49.844355777381111</c:v>
                </c:pt>
                <c:pt idx="44">
                  <c:v>-49.159476168903367</c:v>
                </c:pt>
                <c:pt idx="45">
                  <c:v>-50.905450802547051</c:v>
                </c:pt>
                <c:pt idx="46">
                  <c:v>-51.069776971118145</c:v>
                </c:pt>
                <c:pt idx="48">
                  <c:v>0</c:v>
                </c:pt>
                <c:pt idx="49">
                  <c:v>-51.069776971118145</c:v>
                </c:pt>
                <c:pt idx="50">
                  <c:v>-51.416196177407343</c:v>
                </c:pt>
                <c:pt idx="51">
                  <c:v>-51.539745262695561</c:v>
                </c:pt>
                <c:pt idx="52">
                  <c:v>-51.731787254501782</c:v>
                </c:pt>
                <c:pt idx="53">
                  <c:v>-52.428015280328481</c:v>
                </c:pt>
                <c:pt idx="54">
                  <c:v>-51.850150478380826</c:v>
                </c:pt>
                <c:pt idx="55">
                  <c:v>-52.152744791542197</c:v>
                </c:pt>
                <c:pt idx="56">
                  <c:v>-52.399171460006059</c:v>
                </c:pt>
                <c:pt idx="57">
                  <c:v>-53.267940135809155</c:v>
                </c:pt>
                <c:pt idx="58">
                  <c:v>-53.82228857863192</c:v>
                </c:pt>
                <c:pt idx="59">
                  <c:v>-53.827655903223359</c:v>
                </c:pt>
                <c:pt idx="60">
                  <c:v>-53.646171755560971</c:v>
                </c:pt>
                <c:pt idx="61">
                  <c:v>-53.7941795482797</c:v>
                </c:pt>
                <c:pt idx="62">
                  <c:v>-53.911976680906641</c:v>
                </c:pt>
                <c:pt idx="63">
                  <c:v>-53.903248090748427</c:v>
                </c:pt>
                <c:pt idx="64">
                  <c:v>-53.998302791702372</c:v>
                </c:pt>
                <c:pt idx="66">
                  <c:v>-53.893504706885594</c:v>
                </c:pt>
                <c:pt idx="67">
                  <c:v>-54.18304094857929</c:v>
                </c:pt>
                <c:pt idx="68">
                  <c:v>-54.135425132087803</c:v>
                </c:pt>
                <c:pt idx="69">
                  <c:v>-54.878519841063067</c:v>
                </c:pt>
                <c:pt idx="70">
                  <c:v>-55.347679110352217</c:v>
                </c:pt>
                <c:pt idx="71">
                  <c:v>-54.967302091543772</c:v>
                </c:pt>
                <c:pt idx="72">
                  <c:v>-56.008456226250843</c:v>
                </c:pt>
                <c:pt idx="73">
                  <c:v>-55.14247053981736</c:v>
                </c:pt>
                <c:pt idx="74">
                  <c:v>-55.390657457796706</c:v>
                </c:pt>
                <c:pt idx="75">
                  <c:v>-55.438014028019296</c:v>
                </c:pt>
                <c:pt idx="76">
                  <c:v>-56.20826446155958</c:v>
                </c:pt>
                <c:pt idx="77">
                  <c:v>-55.997781426171848</c:v>
                </c:pt>
                <c:pt idx="78">
                  <c:v>-55.642276041300235</c:v>
                </c:pt>
                <c:pt idx="79">
                  <c:v>-55.855385515759082</c:v>
                </c:pt>
                <c:pt idx="80">
                  <c:v>-56.09280146496554</c:v>
                </c:pt>
                <c:pt idx="81">
                  <c:v>-54.229582662984839</c:v>
                </c:pt>
                <c:pt idx="82">
                  <c:v>-54.503940293821884</c:v>
                </c:pt>
                <c:pt idx="83">
                  <c:v>-54.906339564869455</c:v>
                </c:pt>
                <c:pt idx="84">
                  <c:v>-55.862569813240896</c:v>
                </c:pt>
                <c:pt idx="85">
                  <c:v>-55.94852274473228</c:v>
                </c:pt>
                <c:pt idx="86">
                  <c:v>-56.043470172694398</c:v>
                </c:pt>
                <c:pt idx="87">
                  <c:v>-56.195382136011055</c:v>
                </c:pt>
                <c:pt idx="88">
                  <c:v>-55.97567985946128</c:v>
                </c:pt>
                <c:pt idx="89">
                  <c:v>-55.662015523087142</c:v>
                </c:pt>
                <c:pt idx="90">
                  <c:v>-56.179214673615533</c:v>
                </c:pt>
                <c:pt idx="91">
                  <c:v>-56.972091802337317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7B-48AC-80FC-D31E9ECA8EC2}"/>
            </c:ext>
          </c:extLst>
        </c:ser>
        <c:ser>
          <c:idx val="10"/>
          <c:order val="4"/>
          <c:tx>
            <c:strRef>
              <c:f>Convergences!$H$9</c:f>
              <c:strCache>
                <c:ptCount val="1"/>
                <c:pt idx="0">
                  <c:v>ID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Convergences!$B$10:$B$101</c:f>
              <c:numCache>
                <c:formatCode>dd\ /\ mm\ /\ yy</c:formatCode>
                <c:ptCount val="92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  <c:pt idx="53">
                  <c:v>44322</c:v>
                </c:pt>
                <c:pt idx="54">
                  <c:v>44357</c:v>
                </c:pt>
                <c:pt idx="55">
                  <c:v>44369</c:v>
                </c:pt>
                <c:pt idx="56">
                  <c:v>44376</c:v>
                </c:pt>
                <c:pt idx="57">
                  <c:v>44400</c:v>
                </c:pt>
                <c:pt idx="58">
                  <c:v>44433</c:v>
                </c:pt>
                <c:pt idx="59">
                  <c:v>44439</c:v>
                </c:pt>
                <c:pt idx="60">
                  <c:v>44445</c:v>
                </c:pt>
                <c:pt idx="61">
                  <c:v>44453</c:v>
                </c:pt>
                <c:pt idx="62">
                  <c:v>44459</c:v>
                </c:pt>
                <c:pt idx="63">
                  <c:v>44466</c:v>
                </c:pt>
                <c:pt idx="64">
                  <c:v>44474</c:v>
                </c:pt>
                <c:pt idx="65">
                  <c:v>44480</c:v>
                </c:pt>
                <c:pt idx="66">
                  <c:v>44487</c:v>
                </c:pt>
                <c:pt idx="67">
                  <c:v>44494</c:v>
                </c:pt>
                <c:pt idx="68">
                  <c:v>44502</c:v>
                </c:pt>
                <c:pt idx="69">
                  <c:v>44522</c:v>
                </c:pt>
                <c:pt idx="70">
                  <c:v>44529</c:v>
                </c:pt>
                <c:pt idx="71">
                  <c:v>44536</c:v>
                </c:pt>
                <c:pt idx="72">
                  <c:v>44543</c:v>
                </c:pt>
                <c:pt idx="73">
                  <c:v>44550</c:v>
                </c:pt>
                <c:pt idx="74">
                  <c:v>44572</c:v>
                </c:pt>
                <c:pt idx="75">
                  <c:v>44578</c:v>
                </c:pt>
                <c:pt idx="76">
                  <c:v>44595</c:v>
                </c:pt>
                <c:pt idx="77">
                  <c:v>44613</c:v>
                </c:pt>
                <c:pt idx="78">
                  <c:v>44635</c:v>
                </c:pt>
                <c:pt idx="79">
                  <c:v>44648</c:v>
                </c:pt>
                <c:pt idx="80">
                  <c:v>44678</c:v>
                </c:pt>
                <c:pt idx="81">
                  <c:v>44711</c:v>
                </c:pt>
                <c:pt idx="82">
                  <c:v>44740</c:v>
                </c:pt>
                <c:pt idx="83">
                  <c:v>44767</c:v>
                </c:pt>
                <c:pt idx="84">
                  <c:v>44902</c:v>
                </c:pt>
                <c:pt idx="85">
                  <c:v>44915</c:v>
                </c:pt>
                <c:pt idx="86">
                  <c:v>44930</c:v>
                </c:pt>
                <c:pt idx="87">
                  <c:v>44945</c:v>
                </c:pt>
                <c:pt idx="88">
                  <c:v>44957</c:v>
                </c:pt>
                <c:pt idx="89">
                  <c:v>44988</c:v>
                </c:pt>
                <c:pt idx="90">
                  <c:v>45013</c:v>
                </c:pt>
                <c:pt idx="91">
                  <c:v>45331</c:v>
                </c:pt>
              </c:numCache>
            </c:numRef>
          </c:xVal>
          <c:yVal>
            <c:numRef>
              <c:f>Convergences!$H$10:$H$101</c:f>
              <c:numCache>
                <c:formatCode>\+\ 0.0;\-\ 0.0;\±\ 0.0</c:formatCode>
                <c:ptCount val="92"/>
                <c:pt idx="0">
                  <c:v>0</c:v>
                </c:pt>
                <c:pt idx="1">
                  <c:v>-0.60444604370735178</c:v>
                </c:pt>
                <c:pt idx="2">
                  <c:v>-4.0546230713842668</c:v>
                </c:pt>
                <c:pt idx="3">
                  <c:v>-6.3430850054690957</c:v>
                </c:pt>
                <c:pt idx="4">
                  <c:v>-7.6902396596323364</c:v>
                </c:pt>
                <c:pt idx="5">
                  <c:v>-9.3612732490448991</c:v>
                </c:pt>
                <c:pt idx="6">
                  <c:v>-9.4283562643884267</c:v>
                </c:pt>
                <c:pt idx="7">
                  <c:v>-14.514323949959884</c:v>
                </c:pt>
                <c:pt idx="8">
                  <c:v>-17.026116896288634</c:v>
                </c:pt>
                <c:pt idx="9">
                  <c:v>-20.305454079857288</c:v>
                </c:pt>
                <c:pt idx="10">
                  <c:v>-23.115252582893486</c:v>
                </c:pt>
                <c:pt idx="11">
                  <c:v>-25.255826105919699</c:v>
                </c:pt>
                <c:pt idx="12">
                  <c:v>-26.461362997951099</c:v>
                </c:pt>
                <c:pt idx="13">
                  <c:v>-27.297956558945735</c:v>
                </c:pt>
                <c:pt idx="14">
                  <c:v>-28.166296935651758</c:v>
                </c:pt>
                <c:pt idx="15">
                  <c:v>-29.485815781046032</c:v>
                </c:pt>
                <c:pt idx="16">
                  <c:v>-30.02303123232819</c:v>
                </c:pt>
                <c:pt idx="17">
                  <c:v>-34.379226288616223</c:v>
                </c:pt>
                <c:pt idx="18">
                  <c:v>-35.786358129064496</c:v>
                </c:pt>
                <c:pt idx="19">
                  <c:v>-35.418659517489019</c:v>
                </c:pt>
                <c:pt idx="20">
                  <c:v>-37.250689832952318</c:v>
                </c:pt>
                <c:pt idx="21">
                  <c:v>-37.75538581547444</c:v>
                </c:pt>
                <c:pt idx="22">
                  <c:v>-40.958226681027995</c:v>
                </c:pt>
                <c:pt idx="23">
                  <c:v>-41.359311546175007</c:v>
                </c:pt>
                <c:pt idx="24">
                  <c:v>-42.226698318137856</c:v>
                </c:pt>
                <c:pt idx="25">
                  <c:v>-42.492597449354186</c:v>
                </c:pt>
                <c:pt idx="26">
                  <c:v>-42.994543444408784</c:v>
                </c:pt>
                <c:pt idx="27">
                  <c:v>-43.761534598612428</c:v>
                </c:pt>
                <c:pt idx="28">
                  <c:v>-44.994044872789019</c:v>
                </c:pt>
                <c:pt idx="29">
                  <c:v>-49.754353821067184</c:v>
                </c:pt>
                <c:pt idx="30">
                  <c:v>-50.388159636556296</c:v>
                </c:pt>
                <c:pt idx="31">
                  <c:v>-50.953681229632068</c:v>
                </c:pt>
                <c:pt idx="32">
                  <c:v>-52.620990811012014</c:v>
                </c:pt>
                <c:pt idx="33">
                  <c:v>-53.418262367257</c:v>
                </c:pt>
                <c:pt idx="34">
                  <c:v>-53.752207532860474</c:v>
                </c:pt>
                <c:pt idx="35">
                  <c:v>-54.788695549545793</c:v>
                </c:pt>
                <c:pt idx="36">
                  <c:v>-55.455358990442072</c:v>
                </c:pt>
                <c:pt idx="37">
                  <c:v>-56.950537008779278</c:v>
                </c:pt>
                <c:pt idx="38">
                  <c:v>-57.581850578976024</c:v>
                </c:pt>
                <c:pt idx="39">
                  <c:v>-57.478939439907784</c:v>
                </c:pt>
                <c:pt idx="40">
                  <c:v>-58.012666773831434</c:v>
                </c:pt>
                <c:pt idx="41">
                  <c:v>-58.240562673914198</c:v>
                </c:pt>
                <c:pt idx="42">
                  <c:v>-59.10606852259059</c:v>
                </c:pt>
                <c:pt idx="43">
                  <c:v>-59.372426465656773</c:v>
                </c:pt>
                <c:pt idx="44">
                  <c:v>-59.807368440997436</c:v>
                </c:pt>
                <c:pt idx="45">
                  <c:v>-60.304465444537939</c:v>
                </c:pt>
                <c:pt idx="46">
                  <c:v>-60.43528002555432</c:v>
                </c:pt>
                <c:pt idx="47">
                  <c:v>-61.268361161207267</c:v>
                </c:pt>
                <c:pt idx="48">
                  <c:v>0</c:v>
                </c:pt>
                <c:pt idx="49">
                  <c:v>-61.268361161207267</c:v>
                </c:pt>
                <c:pt idx="50">
                  <c:v>-61.749622554976739</c:v>
                </c:pt>
                <c:pt idx="51">
                  <c:v>-61.637559931606134</c:v>
                </c:pt>
                <c:pt idx="52">
                  <c:v>-62.032227447079265</c:v>
                </c:pt>
                <c:pt idx="53">
                  <c:v>-62.478583983002437</c:v>
                </c:pt>
                <c:pt idx="54">
                  <c:v>-63.380559136454465</c:v>
                </c:pt>
                <c:pt idx="55">
                  <c:v>-64.232821321469132</c:v>
                </c:pt>
                <c:pt idx="56">
                  <c:v>-64.306528594133994</c:v>
                </c:pt>
                <c:pt idx="57">
                  <c:v>-65.070174343497385</c:v>
                </c:pt>
                <c:pt idx="58">
                  <c:v>-65.910905412005945</c:v>
                </c:pt>
                <c:pt idx="59">
                  <c:v>-65.709981673456767</c:v>
                </c:pt>
                <c:pt idx="60">
                  <c:v>-65.717610846568689</c:v>
                </c:pt>
                <c:pt idx="61">
                  <c:v>-65.698077043244041</c:v>
                </c:pt>
                <c:pt idx="62">
                  <c:v>-66.031164040747385</c:v>
                </c:pt>
                <c:pt idx="63">
                  <c:v>-66.089515143951346</c:v>
                </c:pt>
                <c:pt idx="64">
                  <c:v>-66.039409851152527</c:v>
                </c:pt>
                <c:pt idx="66">
                  <c:v>-66.097267408666838</c:v>
                </c:pt>
                <c:pt idx="67">
                  <c:v>-66.473490026459643</c:v>
                </c:pt>
                <c:pt idx="68">
                  <c:v>-66.58598507469415</c:v>
                </c:pt>
                <c:pt idx="71">
                  <c:v>-66.415443194652653</c:v>
                </c:pt>
                <c:pt idx="72">
                  <c:v>-66.555966588489397</c:v>
                </c:pt>
                <c:pt idx="73">
                  <c:v>-66.724293552060232</c:v>
                </c:pt>
                <c:pt idx="74">
                  <c:v>-66.850114866376487</c:v>
                </c:pt>
                <c:pt idx="75">
                  <c:v>-66.94210526920719</c:v>
                </c:pt>
                <c:pt idx="76">
                  <c:v>-67.183295388324012</c:v>
                </c:pt>
                <c:pt idx="77">
                  <c:v>-67.152447178930885</c:v>
                </c:pt>
                <c:pt idx="78">
                  <c:v>-67.384359246922102</c:v>
                </c:pt>
                <c:pt idx="79">
                  <c:v>-67.411890778427804</c:v>
                </c:pt>
                <c:pt idx="80">
                  <c:v>-67.6407045029448</c:v>
                </c:pt>
                <c:pt idx="81">
                  <c:v>-69.026477725990361</c:v>
                </c:pt>
                <c:pt idx="82">
                  <c:v>-69.338519206856745</c:v>
                </c:pt>
                <c:pt idx="83">
                  <c:v>-69.559996574792848</c:v>
                </c:pt>
                <c:pt idx="84">
                  <c:v>-71.060997064494202</c:v>
                </c:pt>
                <c:pt idx="85">
                  <c:v>-71.083656349836929</c:v>
                </c:pt>
                <c:pt idx="86">
                  <c:v>-71.150051732086439</c:v>
                </c:pt>
                <c:pt idx="87">
                  <c:v>-71.448162715237459</c:v>
                </c:pt>
                <c:pt idx="88">
                  <c:v>-71.181409827238525</c:v>
                </c:pt>
                <c:pt idx="89">
                  <c:v>-71.030257150745967</c:v>
                </c:pt>
                <c:pt idx="90">
                  <c:v>-71.693064494332333</c:v>
                </c:pt>
                <c:pt idx="9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7B-48AC-80FC-D31E9ECA8EC2}"/>
            </c:ext>
          </c:extLst>
        </c:ser>
        <c:ser>
          <c:idx val="1"/>
          <c:order val="6"/>
          <c:tx>
            <c:strRef>
              <c:f>Graphiques!$AC$15</c:f>
              <c:strCache>
                <c:ptCount val="1"/>
                <c:pt idx="0">
                  <c:v>Seuil de vigilance CV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0A7B-48AC-80FC-D31E9ECA8EC2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>
                  <a:solidFill>
                    <a:schemeClr val="dk1">
                      <a:lumMod val="25000"/>
                      <a:lumOff val="7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0A7B-48AC-80FC-D31E9ECA8E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Graphiques!$AE$15:$AE$16</c:f>
              <c:numCache>
                <c:formatCode>m/d/yyyy</c:formatCode>
                <c:ptCount val="2"/>
                <c:pt idx="0">
                  <c:v>43704</c:v>
                </c:pt>
                <c:pt idx="1">
                  <c:v>45292</c:v>
                </c:pt>
              </c:numCache>
              <c:extLst xmlns:c15="http://schemas.microsoft.com/office/drawing/2012/chart"/>
            </c:numRef>
          </c:xVal>
          <c:yVal>
            <c:numRef>
              <c:f>Graphiques!$AD$15:$AD$16</c:f>
              <c:numCache>
                <c:formatCode>General</c:formatCode>
                <c:ptCount val="2"/>
                <c:pt idx="0">
                  <c:v>-181</c:v>
                </c:pt>
                <c:pt idx="1">
                  <c:v>-181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7-0A7B-48AC-80FC-D31E9ECA8EC2}"/>
            </c:ext>
          </c:extLst>
        </c:ser>
        <c:ser>
          <c:idx val="2"/>
          <c:order val="7"/>
          <c:tx>
            <c:strRef>
              <c:f>Graphiques!$AC$17</c:f>
              <c:strCache>
                <c:ptCount val="1"/>
                <c:pt idx="0">
                  <c:v>Seuil d'alerte CV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Graphiques!$AE$17:$AE$18</c:f>
              <c:numCache>
                <c:formatCode>m/d/yyyy</c:formatCode>
                <c:ptCount val="2"/>
                <c:pt idx="0">
                  <c:v>43704</c:v>
                </c:pt>
                <c:pt idx="1">
                  <c:v>45292</c:v>
                </c:pt>
              </c:numCache>
              <c:extLst xmlns:c15="http://schemas.microsoft.com/office/drawing/2012/chart"/>
            </c:numRef>
          </c:xVal>
          <c:yVal>
            <c:numRef>
              <c:f>Graphiques!$AD$17:$AD$18</c:f>
              <c:numCache>
                <c:formatCode>General</c:formatCode>
                <c:ptCount val="2"/>
                <c:pt idx="0">
                  <c:v>-226</c:v>
                </c:pt>
                <c:pt idx="1">
                  <c:v>-226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8-0A7B-48AC-80FC-D31E9ECA8EC2}"/>
            </c:ext>
          </c:extLst>
        </c:ser>
        <c:ser>
          <c:idx val="5"/>
          <c:order val="8"/>
          <c:tx>
            <c:strRef>
              <c:f>Graphiques!$AB$35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Graphiques!$AD$36:$AD$71</c:f>
              <c:numCache>
                <c:formatCode>m/d/yyyy</c:formatCode>
                <c:ptCount val="36"/>
              </c:numCache>
            </c:numRef>
          </c:xVal>
          <c:yVal>
            <c:numRef>
              <c:f>Graphiques!$AE$36:$AE$71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A7B-48AC-80FC-D31E9ECA8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06200"/>
        <c:axId val="404406592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Convergences!$L$9</c15:sqref>
                        </c15:formulaRef>
                      </c:ext>
                    </c:extLst>
                    <c:strCache>
                      <c:ptCount val="1"/>
                      <c:pt idx="0">
                        <c:v>LB</c:v>
                      </c:pt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4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4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4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Convergences!$B$10:$B$18</c15:sqref>
                        </c15:formulaRef>
                      </c:ext>
                    </c:extLst>
                    <c:numCache>
                      <c:formatCode>dd\ /\ mm\ /\ yy</c:formatCode>
                      <c:ptCount val="9"/>
                      <c:pt idx="0">
                        <c:v>43705</c:v>
                      </c:pt>
                      <c:pt idx="1">
                        <c:v>43706</c:v>
                      </c:pt>
                      <c:pt idx="2">
                        <c:v>43707</c:v>
                      </c:pt>
                      <c:pt idx="3">
                        <c:v>43710</c:v>
                      </c:pt>
                      <c:pt idx="4">
                        <c:v>43711</c:v>
                      </c:pt>
                      <c:pt idx="5">
                        <c:v>43712</c:v>
                      </c:pt>
                      <c:pt idx="6">
                        <c:v>43713</c:v>
                      </c:pt>
                      <c:pt idx="7">
                        <c:v>43718</c:v>
                      </c:pt>
                      <c:pt idx="8">
                        <c:v>43720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Convergences!$L$10:$L$18</c15:sqref>
                        </c15:formulaRef>
                      </c:ext>
                    </c:extLst>
                    <c:numCache>
                      <c:formatCode>\+\ 0.0;\-\ 0.0;\±\ 0.0</c:formatCode>
                      <c:ptCount val="9"/>
                      <c:pt idx="0">
                        <c:v>0</c:v>
                      </c:pt>
                      <c:pt idx="1">
                        <c:v>-0.95323530687352331</c:v>
                      </c:pt>
                      <c:pt idx="2">
                        <c:v>-3.7228396590771595</c:v>
                      </c:pt>
                      <c:pt idx="3">
                        <c:v>-5.027346276220257</c:v>
                      </c:pt>
                      <c:pt idx="4">
                        <c:v>-5.8349967404662806</c:v>
                      </c:pt>
                      <c:pt idx="5">
                        <c:v>-7.5098171215826071</c:v>
                      </c:pt>
                      <c:pt idx="6">
                        <c:v>-7.0853947536013706</c:v>
                      </c:pt>
                      <c:pt idx="7">
                        <c:v>-10.667139516309376</c:v>
                      </c:pt>
                      <c:pt idx="8">
                        <c:v>-12.352625628685665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0A7B-48AC-80FC-D31E9ECA8EC2}"/>
                  </c:ext>
                </c:extLst>
              </c15:ser>
            </c15:filteredScatterSeries>
            <c15:filteredScatterSeries>
              <c15:ser>
                <c:idx val="12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Convergences!$J$9</c15:sqref>
                        </c15:formulaRef>
                      </c:ext>
                    </c:extLst>
                    <c:strCache>
                      <c:ptCount val="1"/>
                      <c:pt idx="0">
                        <c:v>LH</c:v>
                      </c:pt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tint val="50000"/>
                            <a:satMod val="300000"/>
                          </a:schemeClr>
                        </a:gs>
                        <a:gs pos="35000">
                          <a:schemeClr val="accent1">
                            <a:lumMod val="80000"/>
                            <a:lumOff val="20000"/>
                            <a:tint val="37000"/>
                            <a:satMod val="3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1">
                          <a:lumMod val="80000"/>
                          <a:lumOff val="2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Convergences!$B$10:$B$18</c15:sqref>
                        </c15:formulaRef>
                      </c:ext>
                    </c:extLst>
                    <c:numCache>
                      <c:formatCode>dd\ /\ mm\ /\ yy</c:formatCode>
                      <c:ptCount val="9"/>
                      <c:pt idx="0">
                        <c:v>43705</c:v>
                      </c:pt>
                      <c:pt idx="1">
                        <c:v>43706</c:v>
                      </c:pt>
                      <c:pt idx="2">
                        <c:v>43707</c:v>
                      </c:pt>
                      <c:pt idx="3">
                        <c:v>43710</c:v>
                      </c:pt>
                      <c:pt idx="4">
                        <c:v>43711</c:v>
                      </c:pt>
                      <c:pt idx="5">
                        <c:v>43712</c:v>
                      </c:pt>
                      <c:pt idx="6">
                        <c:v>43713</c:v>
                      </c:pt>
                      <c:pt idx="7">
                        <c:v>43718</c:v>
                      </c:pt>
                      <c:pt idx="8">
                        <c:v>43720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Convergences!$J$10:$J$18</c15:sqref>
                        </c15:formulaRef>
                      </c:ext>
                    </c:extLst>
                    <c:numCache>
                      <c:formatCode>\+\ 0.0;\-\ 0.0;\±\ 0.0</c:formatCode>
                      <c:ptCount val="9"/>
                      <c:pt idx="0">
                        <c:v>0</c:v>
                      </c:pt>
                      <c:pt idx="1">
                        <c:v>-0.31668428425879469</c:v>
                      </c:pt>
                      <c:pt idx="2">
                        <c:v>-2.0795139895724013</c:v>
                      </c:pt>
                      <c:pt idx="3">
                        <c:v>-3.8837639746285291</c:v>
                      </c:pt>
                      <c:pt idx="4">
                        <c:v>-4.4163916293555872</c:v>
                      </c:pt>
                      <c:pt idx="5">
                        <c:v>-5.5464418967239304</c:v>
                      </c:pt>
                      <c:pt idx="6">
                        <c:v>-5.1849994864991977</c:v>
                      </c:pt>
                      <c:pt idx="7">
                        <c:v>-7.7203864499484354</c:v>
                      </c:pt>
                      <c:pt idx="8">
                        <c:v>-10.285124458923267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A7B-48AC-80FC-D31E9ECA8EC2}"/>
                  </c:ext>
                </c:extLst>
              </c15:ser>
            </c15:filteredScatterSeries>
            <c15:filteredScatterSeries>
              <c15:ser>
                <c:idx val="14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Convergences!$K$9</c15:sqref>
                        </c15:formulaRef>
                      </c:ext>
                    </c:extLst>
                    <c:strCache>
                      <c:ptCount val="1"/>
                      <c:pt idx="0">
                        <c:v>LI</c:v>
                      </c:pt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tint val="50000"/>
                            <a:satMod val="300000"/>
                          </a:schemeClr>
                        </a:gs>
                        <a:gs pos="35000">
                          <a:schemeClr val="accent3">
                            <a:lumMod val="80000"/>
                            <a:lumOff val="20000"/>
                            <a:tint val="37000"/>
                            <a:satMod val="3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3">
                          <a:lumMod val="80000"/>
                          <a:lumOff val="2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Convergences!$B$10:$B$18</c15:sqref>
                        </c15:formulaRef>
                      </c:ext>
                    </c:extLst>
                    <c:numCache>
                      <c:formatCode>dd\ /\ mm\ /\ yy</c:formatCode>
                      <c:ptCount val="9"/>
                      <c:pt idx="0">
                        <c:v>43705</c:v>
                      </c:pt>
                      <c:pt idx="1">
                        <c:v>43706</c:v>
                      </c:pt>
                      <c:pt idx="2">
                        <c:v>43707</c:v>
                      </c:pt>
                      <c:pt idx="3">
                        <c:v>43710</c:v>
                      </c:pt>
                      <c:pt idx="4">
                        <c:v>43711</c:v>
                      </c:pt>
                      <c:pt idx="5">
                        <c:v>43712</c:v>
                      </c:pt>
                      <c:pt idx="6">
                        <c:v>43713</c:v>
                      </c:pt>
                      <c:pt idx="7">
                        <c:v>43718</c:v>
                      </c:pt>
                      <c:pt idx="8">
                        <c:v>43720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Convergences!$K$10:$K$18</c15:sqref>
                        </c15:formulaRef>
                      </c:ext>
                    </c:extLst>
                    <c:numCache>
                      <c:formatCode>\+\ 0.0;\-\ 0.0;\±\ 0.0</c:formatCode>
                      <c:ptCount val="9"/>
                      <c:pt idx="0">
                        <c:v>0</c:v>
                      </c:pt>
                      <c:pt idx="1">
                        <c:v>1.7508081577526369</c:v>
                      </c:pt>
                      <c:pt idx="2">
                        <c:v>-1.3429684605252845</c:v>
                      </c:pt>
                      <c:pt idx="3">
                        <c:v>-2.2716549076413628</c:v>
                      </c:pt>
                      <c:pt idx="4">
                        <c:v>-2.9080044065414867</c:v>
                      </c:pt>
                      <c:pt idx="5">
                        <c:v>-4.4750957537118552</c:v>
                      </c:pt>
                      <c:pt idx="6">
                        <c:v>-4.2871922684444286</c:v>
                      </c:pt>
                      <c:pt idx="7">
                        <c:v>-7.4171537777880658</c:v>
                      </c:pt>
                      <c:pt idx="8">
                        <c:v>-8.7618253984800276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A7B-48AC-80FC-D31E9ECA8EC2}"/>
                  </c:ext>
                </c:extLst>
              </c15:ser>
            </c15:filteredScatterSeries>
            <c15:filteredScatterSeries>
              <c15:ser>
                <c:idx val="3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Graphiques!$AC$21</c15:sqref>
                        </c15:formulaRef>
                      </c:ext>
                    </c:extLst>
                    <c:strCache>
                      <c:ptCount val="1"/>
                      <c:pt idx="0">
                        <c:v>Seuil de vigilance CH</c:v>
                      </c:pt>
                    </c:strCache>
                  </c:strRef>
                </c:tx>
                <c:spPr>
                  <a:ln w="15875" cap="rnd">
                    <a:solidFill>
                      <a:schemeClr val="accent4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dPt>
                  <c:idx val="1"/>
                  <c:marker>
                    <c:symbol val="none"/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E-0A7B-48AC-80FC-D31E9ECA8EC2}"/>
                    </c:ext>
                  </c:extLst>
                </c:dPt>
                <c:dLbls>
                  <c:dLbl>
                    <c:idx val="0"/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0A7B-48AC-80FC-D31E9ECA8EC2}"/>
                      </c:ext>
                    </c:extLst>
                  </c:dLbl>
                  <c:dLbl>
                    <c:idx val="1"/>
                    <c:numFmt formatCode="General" sourceLinked="0"/>
                    <c:spPr>
                      <a:solidFill>
                        <a:schemeClr val="lt1"/>
                      </a:solidFill>
                      <a:ln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t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E-0A7B-48AC-80FC-D31E9ECA8EC2}"/>
                      </c:ext>
                    </c:extLst>
                  </c:dLbl>
                  <c:numFmt formatCode="General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t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Graphiques!$AE$21:$AE$22</c15:sqref>
                        </c15:formulaRef>
                      </c:ext>
                    </c:extLst>
                    <c:numCache>
                      <c:formatCode>m/d/yyyy</c:formatCode>
                      <c:ptCount val="2"/>
                      <c:pt idx="0">
                        <c:v>43704</c:v>
                      </c:pt>
                      <c:pt idx="1">
                        <c:v>45292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Graphiques!$AD$21:$AD$22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-58</c:v>
                      </c:pt>
                      <c:pt idx="1">
                        <c:v>-58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A7B-48AC-80FC-D31E9ECA8EC2}"/>
                  </c:ext>
                </c:extLst>
              </c15:ser>
            </c15:filteredScatterSeries>
            <c15:filteredScatterSeries>
              <c15:ser>
                <c:idx val="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Graphiques!$AC$23</c15:sqref>
                        </c15:formulaRef>
                      </c:ext>
                    </c:extLst>
                    <c:strCache>
                      <c:ptCount val="1"/>
                      <c:pt idx="0">
                        <c:v>Seuil d'alerte CH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r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Graphiques!$AE$23:$AE$24</c15:sqref>
                        </c15:formulaRef>
                      </c:ext>
                    </c:extLst>
                    <c:numCache>
                      <c:formatCode>m/d/yyyy</c:formatCode>
                      <c:ptCount val="2"/>
                      <c:pt idx="0">
                        <c:v>43704</c:v>
                      </c:pt>
                      <c:pt idx="1">
                        <c:v>45292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Graphiques!$AD$23:$AD$24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-72</c:v>
                      </c:pt>
                      <c:pt idx="1">
                        <c:v>-72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A7B-48AC-80FC-D31E9ECA8EC2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5"/>
          <c:tx>
            <c:v>PM Front</c:v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'Résultats observations'!$A$10:$A$62</c:f>
              <c:numCache>
                <c:formatCode>dd\ /\ mm\ /\ yy</c:formatCode>
                <c:ptCount val="53"/>
                <c:pt idx="0">
                  <c:v>43705</c:v>
                </c:pt>
                <c:pt idx="1">
                  <c:v>43706</c:v>
                </c:pt>
                <c:pt idx="2">
                  <c:v>43707</c:v>
                </c:pt>
                <c:pt idx="3">
                  <c:v>43710</c:v>
                </c:pt>
                <c:pt idx="4">
                  <c:v>43711</c:v>
                </c:pt>
                <c:pt idx="5">
                  <c:v>43712</c:v>
                </c:pt>
                <c:pt idx="6">
                  <c:v>43713</c:v>
                </c:pt>
                <c:pt idx="7">
                  <c:v>43718</c:v>
                </c:pt>
                <c:pt idx="8">
                  <c:v>43720</c:v>
                </c:pt>
                <c:pt idx="9">
                  <c:v>43724</c:v>
                </c:pt>
                <c:pt idx="10">
                  <c:v>43727</c:v>
                </c:pt>
                <c:pt idx="11">
                  <c:v>43731</c:v>
                </c:pt>
                <c:pt idx="12">
                  <c:v>43734</c:v>
                </c:pt>
                <c:pt idx="13">
                  <c:v>43738</c:v>
                </c:pt>
                <c:pt idx="14">
                  <c:v>43741</c:v>
                </c:pt>
                <c:pt idx="15">
                  <c:v>43746</c:v>
                </c:pt>
                <c:pt idx="16">
                  <c:v>43748</c:v>
                </c:pt>
                <c:pt idx="17">
                  <c:v>43756</c:v>
                </c:pt>
                <c:pt idx="18">
                  <c:v>43760</c:v>
                </c:pt>
                <c:pt idx="19">
                  <c:v>43762</c:v>
                </c:pt>
                <c:pt idx="20">
                  <c:v>43766</c:v>
                </c:pt>
                <c:pt idx="21">
                  <c:v>43769</c:v>
                </c:pt>
                <c:pt idx="22">
                  <c:v>43774</c:v>
                </c:pt>
                <c:pt idx="23">
                  <c:v>43776</c:v>
                </c:pt>
                <c:pt idx="24">
                  <c:v>43782</c:v>
                </c:pt>
                <c:pt idx="25">
                  <c:v>43783</c:v>
                </c:pt>
                <c:pt idx="26">
                  <c:v>43787</c:v>
                </c:pt>
                <c:pt idx="27">
                  <c:v>43790</c:v>
                </c:pt>
                <c:pt idx="28">
                  <c:v>43795</c:v>
                </c:pt>
                <c:pt idx="29">
                  <c:v>43797</c:v>
                </c:pt>
                <c:pt idx="30">
                  <c:v>43798</c:v>
                </c:pt>
                <c:pt idx="31">
                  <c:v>43801</c:v>
                </c:pt>
                <c:pt idx="32">
                  <c:v>43803</c:v>
                </c:pt>
                <c:pt idx="33">
                  <c:v>43808</c:v>
                </c:pt>
                <c:pt idx="34">
                  <c:v>43811</c:v>
                </c:pt>
                <c:pt idx="35">
                  <c:v>43815</c:v>
                </c:pt>
                <c:pt idx="36">
                  <c:v>43818</c:v>
                </c:pt>
                <c:pt idx="37">
                  <c:v>43837</c:v>
                </c:pt>
                <c:pt idx="38">
                  <c:v>43843</c:v>
                </c:pt>
                <c:pt idx="39">
                  <c:v>43850</c:v>
                </c:pt>
                <c:pt idx="40">
                  <c:v>43859</c:v>
                </c:pt>
                <c:pt idx="41">
                  <c:v>43886</c:v>
                </c:pt>
                <c:pt idx="42">
                  <c:v>43970</c:v>
                </c:pt>
                <c:pt idx="43">
                  <c:v>43977</c:v>
                </c:pt>
                <c:pt idx="44">
                  <c:v>43997</c:v>
                </c:pt>
                <c:pt idx="45">
                  <c:v>44029</c:v>
                </c:pt>
                <c:pt idx="46">
                  <c:v>44055</c:v>
                </c:pt>
                <c:pt idx="47">
                  <c:v>44082</c:v>
                </c:pt>
                <c:pt idx="49">
                  <c:v>44140</c:v>
                </c:pt>
                <c:pt idx="50">
                  <c:v>44172</c:v>
                </c:pt>
                <c:pt idx="51">
                  <c:v>44229</c:v>
                </c:pt>
                <c:pt idx="52">
                  <c:v>44273</c:v>
                </c:pt>
              </c:numCache>
            </c:numRef>
          </c:xVal>
          <c:yVal>
            <c:numRef>
              <c:f>'Résultats observations'!$C$10:$C$1048576</c:f>
              <c:numCache>
                <c:formatCode>0.0</c:formatCode>
                <c:ptCount val="1048567"/>
                <c:pt idx="0">
                  <c:v>197.2</c:v>
                </c:pt>
                <c:pt idx="1">
                  <c:v>198.3</c:v>
                </c:pt>
                <c:pt idx="2">
                  <c:v>199</c:v>
                </c:pt>
                <c:pt idx="3">
                  <c:v>199.4</c:v>
                </c:pt>
                <c:pt idx="4">
                  <c:v>200.6</c:v>
                </c:pt>
                <c:pt idx="5">
                  <c:v>200.6</c:v>
                </c:pt>
                <c:pt idx="6">
                  <c:v>200.6</c:v>
                </c:pt>
                <c:pt idx="7">
                  <c:v>202.58</c:v>
                </c:pt>
                <c:pt idx="8">
                  <c:v>203.6</c:v>
                </c:pt>
                <c:pt idx="9">
                  <c:v>203.6</c:v>
                </c:pt>
                <c:pt idx="10">
                  <c:v>206.32</c:v>
                </c:pt>
                <c:pt idx="11">
                  <c:v>206.32</c:v>
                </c:pt>
                <c:pt idx="12">
                  <c:v>206.32</c:v>
                </c:pt>
                <c:pt idx="13">
                  <c:v>206.32</c:v>
                </c:pt>
                <c:pt idx="14">
                  <c:v>207.2</c:v>
                </c:pt>
                <c:pt idx="15">
                  <c:v>208.3</c:v>
                </c:pt>
                <c:pt idx="16">
                  <c:v>210.3</c:v>
                </c:pt>
                <c:pt idx="17">
                  <c:v>213.5</c:v>
                </c:pt>
                <c:pt idx="18">
                  <c:v>213.98</c:v>
                </c:pt>
                <c:pt idx="19">
                  <c:v>215</c:v>
                </c:pt>
                <c:pt idx="20">
                  <c:v>215.55</c:v>
                </c:pt>
                <c:pt idx="21">
                  <c:v>216.87</c:v>
                </c:pt>
                <c:pt idx="22">
                  <c:v>217.72</c:v>
                </c:pt>
                <c:pt idx="23">
                  <c:v>218.8</c:v>
                </c:pt>
                <c:pt idx="24">
                  <c:v>219.45</c:v>
                </c:pt>
                <c:pt idx="25">
                  <c:v>220.5</c:v>
                </c:pt>
                <c:pt idx="26">
                  <c:v>221.7</c:v>
                </c:pt>
                <c:pt idx="27">
                  <c:v>222.9</c:v>
                </c:pt>
                <c:pt idx="28">
                  <c:v>222.9</c:v>
                </c:pt>
                <c:pt idx="29">
                  <c:v>222.9</c:v>
                </c:pt>
                <c:pt idx="30">
                  <c:v>222.9</c:v>
                </c:pt>
                <c:pt idx="31">
                  <c:v>222.9</c:v>
                </c:pt>
                <c:pt idx="32">
                  <c:v>222.9</c:v>
                </c:pt>
                <c:pt idx="33">
                  <c:v>222.9</c:v>
                </c:pt>
                <c:pt idx="34">
                  <c:v>222.9</c:v>
                </c:pt>
                <c:pt idx="35">
                  <c:v>222.9</c:v>
                </c:pt>
                <c:pt idx="36">
                  <c:v>222.9</c:v>
                </c:pt>
                <c:pt idx="37">
                  <c:v>222.9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A7B-48AC-80FC-D31E9ECA8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05064"/>
        <c:axId val="603504672"/>
      </c:scatterChart>
      <c:valAx>
        <c:axId val="404406200"/>
        <c:scaling>
          <c:orientation val="minMax"/>
          <c:max val="45365"/>
          <c:min val="437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7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6592"/>
        <c:crossesAt val="0"/>
        <c:crossBetween val="midCat"/>
        <c:majorUnit val="30"/>
      </c:valAx>
      <c:valAx>
        <c:axId val="404406592"/>
        <c:scaling>
          <c:orientation val="minMax"/>
          <c:max val="20"/>
          <c:min val="-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406200"/>
        <c:crosses val="autoZero"/>
        <c:crossBetween val="midCat"/>
        <c:majorUnit val="20"/>
        <c:minorUnit val="5"/>
      </c:valAx>
      <c:valAx>
        <c:axId val="60350467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3505064"/>
        <c:crosses val="max"/>
        <c:crossBetween val="midCat"/>
      </c:valAx>
      <c:valAx>
        <c:axId val="603505064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60350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33" footer="0.4921259845000043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fr-FR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Convergences
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Convergences!$C$10:$C$118</c:f>
              <c:numCache>
                <c:formatCode>0.0</c:formatCode>
                <c:ptCount val="109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Convergences!$D$10:$D$172</c:f>
              <c:numCache>
                <c:formatCode>\+\ 0.0;\-\ 0.0;\±\ 0.0</c:formatCode>
                <c:ptCount val="163"/>
                <c:pt idx="0">
                  <c:v>0</c:v>
                </c:pt>
                <c:pt idx="1">
                  <c:v>-1.2353958704158785</c:v>
                </c:pt>
                <c:pt idx="2">
                  <c:v>-5.280985580840003</c:v>
                </c:pt>
                <c:pt idx="3">
                  <c:v>-8.2069311147430213</c:v>
                </c:pt>
                <c:pt idx="4">
                  <c:v>-10.038942701527276</c:v>
                </c:pt>
                <c:pt idx="5">
                  <c:v>-12.07730862313916</c:v>
                </c:pt>
                <c:pt idx="6">
                  <c:v>-12.091752469550521</c:v>
                </c:pt>
                <c:pt idx="7">
                  <c:v>-17.748514811093408</c:v>
                </c:pt>
                <c:pt idx="8">
                  <c:v>-20.796429088326462</c:v>
                </c:pt>
                <c:pt idx="9">
                  <c:v>-25.060483937102696</c:v>
                </c:pt>
                <c:pt idx="10">
                  <c:v>-27.916512740020494</c:v>
                </c:pt>
                <c:pt idx="11">
                  <c:v>-30.207526231491144</c:v>
                </c:pt>
                <c:pt idx="12">
                  <c:v>-31.504109920015289</c:v>
                </c:pt>
                <c:pt idx="13">
                  <c:v>-32.605304469280227</c:v>
                </c:pt>
                <c:pt idx="14">
                  <c:v>-33.373017032623409</c:v>
                </c:pt>
                <c:pt idx="15">
                  <c:v>-34.542244900148233</c:v>
                </c:pt>
                <c:pt idx="16">
                  <c:v>-35.634609987579502</c:v>
                </c:pt>
                <c:pt idx="17">
                  <c:v>-40.421937409259812</c:v>
                </c:pt>
                <c:pt idx="18">
                  <c:v>-41.889677916183921</c:v>
                </c:pt>
                <c:pt idx="19">
                  <c:v>-40.884616889491632</c:v>
                </c:pt>
                <c:pt idx="20">
                  <c:v>-42.437954443132142</c:v>
                </c:pt>
                <c:pt idx="21">
                  <c:v>-43.369646989241062</c:v>
                </c:pt>
                <c:pt idx="22">
                  <c:v>-47.394454904741146</c:v>
                </c:pt>
                <c:pt idx="23">
                  <c:v>-47.837926497469319</c:v>
                </c:pt>
                <c:pt idx="24">
                  <c:v>-48.683728213425148</c:v>
                </c:pt>
                <c:pt idx="25">
                  <c:v>-49.17278645009393</c:v>
                </c:pt>
                <c:pt idx="26">
                  <c:v>-50.014264607420422</c:v>
                </c:pt>
                <c:pt idx="27">
                  <c:v>-50.711094027852788</c:v>
                </c:pt>
                <c:pt idx="28">
                  <c:v>-52.416735868393793</c:v>
                </c:pt>
                <c:pt idx="29">
                  <c:v>-57.792018129389611</c:v>
                </c:pt>
                <c:pt idx="30">
                  <c:v>-58.084684140629506</c:v>
                </c:pt>
                <c:pt idx="31">
                  <c:v>-58.956664580731122</c:v>
                </c:pt>
                <c:pt idx="32">
                  <c:v>-60.202739717451159</c:v>
                </c:pt>
                <c:pt idx="33">
                  <c:v>-62.163716276203651</c:v>
                </c:pt>
                <c:pt idx="34">
                  <c:v>-63.04165617309998</c:v>
                </c:pt>
                <c:pt idx="35">
                  <c:v>-63.937508497374118</c:v>
                </c:pt>
                <c:pt idx="36">
                  <c:v>-64.520151804138067</c:v>
                </c:pt>
                <c:pt idx="37">
                  <c:v>-66.528030184349163</c:v>
                </c:pt>
                <c:pt idx="38">
                  <c:v>-67.299380521508738</c:v>
                </c:pt>
                <c:pt idx="39">
                  <c:v>-67.573455790600264</c:v>
                </c:pt>
                <c:pt idx="40">
                  <c:v>-66.673283700878557</c:v>
                </c:pt>
                <c:pt idx="41">
                  <c:v>-67.651162214394489</c:v>
                </c:pt>
                <c:pt idx="42">
                  <c:v>-68.611964105800283</c:v>
                </c:pt>
                <c:pt idx="43">
                  <c:v>-69.371388728695749</c:v>
                </c:pt>
                <c:pt idx="44">
                  <c:v>-68.718377380480263</c:v>
                </c:pt>
                <c:pt idx="45">
                  <c:v>-70.528801992431056</c:v>
                </c:pt>
                <c:pt idx="46">
                  <c:v>-70.446333551679174</c:v>
                </c:pt>
                <c:pt idx="47">
                  <c:v>-71.133504199328172</c:v>
                </c:pt>
                <c:pt idx="53">
                  <c:v>-73.122276491803348</c:v>
                </c:pt>
                <c:pt idx="54">
                  <c:v>-72.662901232180658</c:v>
                </c:pt>
                <c:pt idx="55">
                  <c:v>-73.141090556677383</c:v>
                </c:pt>
                <c:pt idx="56">
                  <c:v>-73.363519242470858</c:v>
                </c:pt>
                <c:pt idx="57">
                  <c:v>-74.200877703163741</c:v>
                </c:pt>
                <c:pt idx="58">
                  <c:v>-74.806535282458952</c:v>
                </c:pt>
                <c:pt idx="59">
                  <c:v>-74.943817430120234</c:v>
                </c:pt>
                <c:pt idx="60">
                  <c:v>-74.814589380050478</c:v>
                </c:pt>
                <c:pt idx="61">
                  <c:v>-74.798469859874032</c:v>
                </c:pt>
                <c:pt idx="62">
                  <c:v>-74.845852841923119</c:v>
                </c:pt>
                <c:pt idx="63">
                  <c:v>-74.994106146159638</c:v>
                </c:pt>
                <c:pt idx="64">
                  <c:v>-75.296716498503002</c:v>
                </c:pt>
                <c:pt idx="66">
                  <c:v>-75.300291883732655</c:v>
                </c:pt>
                <c:pt idx="67">
                  <c:v>-75.50204384378921</c:v>
                </c:pt>
                <c:pt idx="68">
                  <c:v>-75.580652706284098</c:v>
                </c:pt>
                <c:pt idx="69">
                  <c:v>-76.154233396284354</c:v>
                </c:pt>
                <c:pt idx="70">
                  <c:v>-76.60425414336558</c:v>
                </c:pt>
                <c:pt idx="71">
                  <c:v>-76.380258868389276</c:v>
                </c:pt>
                <c:pt idx="72">
                  <c:v>-77.302124742790738</c:v>
                </c:pt>
                <c:pt idx="73">
                  <c:v>-76.514323236033022</c:v>
                </c:pt>
                <c:pt idx="74">
                  <c:v>-76.905210822220113</c:v>
                </c:pt>
                <c:pt idx="75">
                  <c:v>-77.129925664952907</c:v>
                </c:pt>
                <c:pt idx="77">
                  <c:v>-77.518433190395967</c:v>
                </c:pt>
                <c:pt idx="78">
                  <c:v>-77.117388311803467</c:v>
                </c:pt>
                <c:pt idx="79">
                  <c:v>-77.662244814861822</c:v>
                </c:pt>
                <c:pt idx="80">
                  <c:v>-77.680859687564663</c:v>
                </c:pt>
                <c:pt idx="81">
                  <c:v>-76.21297349061517</c:v>
                </c:pt>
                <c:pt idx="82">
                  <c:v>-76.414703791854777</c:v>
                </c:pt>
                <c:pt idx="83">
                  <c:v>-76.859010627420503</c:v>
                </c:pt>
                <c:pt idx="84">
                  <c:v>-78.297176371910908</c:v>
                </c:pt>
                <c:pt idx="85">
                  <c:v>-78.61383391210984</c:v>
                </c:pt>
                <c:pt idx="86">
                  <c:v>-78.687904061266238</c:v>
                </c:pt>
                <c:pt idx="87">
                  <c:v>-78.862756724878295</c:v>
                </c:pt>
                <c:pt idx="88">
                  <c:v>-78.437112169910776</c:v>
                </c:pt>
                <c:pt idx="89">
                  <c:v>-78.18229957211642</c:v>
                </c:pt>
                <c:pt idx="90">
                  <c:v>-79.10154997183659</c:v>
                </c:pt>
                <c:pt idx="91">
                  <c:v>-80.135133795891988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FE-4CD6-B52E-CEE5F8898BE6}"/>
            </c:ext>
          </c:extLst>
        </c:ser>
        <c:ser>
          <c:idx val="8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Convergences!$C$10:$C$118</c:f>
              <c:numCache>
                <c:formatCode>0.0</c:formatCode>
                <c:ptCount val="109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Convergences!$I$10:$I$118</c:f>
              <c:numCache>
                <c:formatCode>\+\ 0.0;\-\ 0.0;\±\ 0.0</c:formatCode>
                <c:ptCount val="109"/>
                <c:pt idx="0">
                  <c:v>0</c:v>
                </c:pt>
                <c:pt idx="1">
                  <c:v>-1.1924402284559932</c:v>
                </c:pt>
                <c:pt idx="2">
                  <c:v>-4.8426483356998062</c:v>
                </c:pt>
                <c:pt idx="3">
                  <c:v>-7.7764205334709402</c:v>
                </c:pt>
                <c:pt idx="4">
                  <c:v>-8.9474572762346938</c:v>
                </c:pt>
                <c:pt idx="5">
                  <c:v>-11.246417428187883</c:v>
                </c:pt>
                <c:pt idx="6">
                  <c:v>-11.244472304047015</c:v>
                </c:pt>
                <c:pt idx="7">
                  <c:v>-17.198765880749534</c:v>
                </c:pt>
                <c:pt idx="8">
                  <c:v>-20.544771164505704</c:v>
                </c:pt>
                <c:pt idx="9">
                  <c:v>-24.643655506169537</c:v>
                </c:pt>
                <c:pt idx="10">
                  <c:v>-27.997854197468364</c:v>
                </c:pt>
                <c:pt idx="11">
                  <c:v>-30.30568479346929</c:v>
                </c:pt>
                <c:pt idx="12">
                  <c:v>-31.785089398894684</c:v>
                </c:pt>
                <c:pt idx="13">
                  <c:v>-32.80211152609791</c:v>
                </c:pt>
                <c:pt idx="14">
                  <c:v>-33.796109997505042</c:v>
                </c:pt>
                <c:pt idx="15">
                  <c:v>-35.394185463315964</c:v>
                </c:pt>
                <c:pt idx="16">
                  <c:v>-35.740551032318102</c:v>
                </c:pt>
                <c:pt idx="17">
                  <c:v>-41.184339935593783</c:v>
                </c:pt>
                <c:pt idx="18">
                  <c:v>-42.613774506522262</c:v>
                </c:pt>
                <c:pt idx="19">
                  <c:v>-42.084180549833761</c:v>
                </c:pt>
                <c:pt idx="20">
                  <c:v>-43.415724487557483</c:v>
                </c:pt>
                <c:pt idx="21">
                  <c:v>-44.759281583415245</c:v>
                </c:pt>
                <c:pt idx="22">
                  <c:v>-48.556439032473975</c:v>
                </c:pt>
                <c:pt idx="23">
                  <c:v>-49.069114638546019</c:v>
                </c:pt>
                <c:pt idx="24">
                  <c:v>-50.004376793025607</c:v>
                </c:pt>
                <c:pt idx="25">
                  <c:v>-50.244847093968481</c:v>
                </c:pt>
                <c:pt idx="26">
                  <c:v>-51.289072184148132</c:v>
                </c:pt>
                <c:pt idx="27">
                  <c:v>-52.011703961696298</c:v>
                </c:pt>
                <c:pt idx="28">
                  <c:v>-54.018869200541886</c:v>
                </c:pt>
                <c:pt idx="29">
                  <c:v>-58.942608418355746</c:v>
                </c:pt>
                <c:pt idx="30">
                  <c:v>-59.588254337567648</c:v>
                </c:pt>
                <c:pt idx="31">
                  <c:v>-60.338394887239133</c:v>
                </c:pt>
                <c:pt idx="32">
                  <c:v>-62.321182647631979</c:v>
                </c:pt>
                <c:pt idx="33">
                  <c:v>-63.28174333689951</c:v>
                </c:pt>
                <c:pt idx="34">
                  <c:v>-63.905146498055565</c:v>
                </c:pt>
                <c:pt idx="35">
                  <c:v>-65.041511857971017</c:v>
                </c:pt>
                <c:pt idx="36">
                  <c:v>-65.931667109418328</c:v>
                </c:pt>
                <c:pt idx="37">
                  <c:v>-67.607781340323754</c:v>
                </c:pt>
                <c:pt idx="38">
                  <c:v>-68.062145981104834</c:v>
                </c:pt>
                <c:pt idx="39">
                  <c:v>-68.214268076610011</c:v>
                </c:pt>
                <c:pt idx="40">
                  <c:v>-58.522250049467317</c:v>
                </c:pt>
                <c:pt idx="41">
                  <c:v>-59.459831166857491</c:v>
                </c:pt>
                <c:pt idx="42">
                  <c:v>-60.714742182571335</c:v>
                </c:pt>
                <c:pt idx="43">
                  <c:v>-60.829411014615253</c:v>
                </c:pt>
                <c:pt idx="45">
                  <c:v>-61.987338230130362</c:v>
                </c:pt>
                <c:pt idx="46">
                  <c:v>-61.815847024337067</c:v>
                </c:pt>
                <c:pt idx="47">
                  <c:v>-62.666982548950756</c:v>
                </c:pt>
                <c:pt idx="49">
                  <c:v>-62.666982548950756</c:v>
                </c:pt>
                <c:pt idx="53">
                  <c:v>-62.658981450797846</c:v>
                </c:pt>
                <c:pt idx="54">
                  <c:v>-63.707322947483824</c:v>
                </c:pt>
                <c:pt idx="57">
                  <c:v>-65.428318773491867</c:v>
                </c:pt>
                <c:pt idx="58">
                  <c:v>-66.534596544181483</c:v>
                </c:pt>
                <c:pt idx="59">
                  <c:v>-66.572485768171759</c:v>
                </c:pt>
                <c:pt idx="60">
                  <c:v>-66.536197014412039</c:v>
                </c:pt>
                <c:pt idx="61">
                  <c:v>-66.644859842359679</c:v>
                </c:pt>
                <c:pt idx="62">
                  <c:v>-66.89528231598851</c:v>
                </c:pt>
                <c:pt idx="63">
                  <c:v>-66.859804974551025</c:v>
                </c:pt>
                <c:pt idx="64">
                  <c:v>-66.94345320256501</c:v>
                </c:pt>
                <c:pt idx="66">
                  <c:v>-67.125926970022846</c:v>
                </c:pt>
                <c:pt idx="67">
                  <c:v>-67.438638128433311</c:v>
                </c:pt>
                <c:pt idx="68">
                  <c:v>-67.680353164516035</c:v>
                </c:pt>
                <c:pt idx="71">
                  <c:v>-67.810389896355346</c:v>
                </c:pt>
                <c:pt idx="72">
                  <c:v>-67.880698370534446</c:v>
                </c:pt>
                <c:pt idx="73">
                  <c:v>-68.10602984820369</c:v>
                </c:pt>
                <c:pt idx="74">
                  <c:v>-68.242754299689068</c:v>
                </c:pt>
                <c:pt idx="75">
                  <c:v>-68.527358029413676</c:v>
                </c:pt>
                <c:pt idx="77">
                  <c:v>-68.974869392707035</c:v>
                </c:pt>
                <c:pt idx="78">
                  <c:v>-69.060562405934164</c:v>
                </c:pt>
                <c:pt idx="79">
                  <c:v>-69.266219646241026</c:v>
                </c:pt>
                <c:pt idx="80">
                  <c:v>-69.338761305293588</c:v>
                </c:pt>
                <c:pt idx="81">
                  <c:v>-70.796057735074584</c:v>
                </c:pt>
                <c:pt idx="82">
                  <c:v>-70.822676054554279</c:v>
                </c:pt>
                <c:pt idx="83">
                  <c:v>-71.415782195899169</c:v>
                </c:pt>
                <c:pt idx="84">
                  <c:v>-73.909198624714904</c:v>
                </c:pt>
                <c:pt idx="85">
                  <c:v>-73.98066219339006</c:v>
                </c:pt>
                <c:pt idx="86">
                  <c:v>-74.281488436537472</c:v>
                </c:pt>
                <c:pt idx="87">
                  <c:v>-74.713637039747653</c:v>
                </c:pt>
                <c:pt idx="88">
                  <c:v>-74.30590443039975</c:v>
                </c:pt>
                <c:pt idx="89">
                  <c:v>-74.463435437246432</c:v>
                </c:pt>
                <c:pt idx="90">
                  <c:v>-75.090373736150354</c:v>
                </c:pt>
                <c:pt idx="91">
                  <c:v>-75.06000557360926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FE-4CD6-B52E-CEE5F8898BE6}"/>
            </c:ext>
          </c:extLst>
        </c:ser>
        <c:ser>
          <c:idx val="9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Convergences!$C$10:$C$118</c:f>
              <c:numCache>
                <c:formatCode>0.0</c:formatCode>
                <c:ptCount val="109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Convergences!$L$10:$L$118</c:f>
              <c:numCache>
                <c:formatCode>\+\ 0.0;\-\ 0.0;\±\ 0.0</c:formatCode>
                <c:ptCount val="109"/>
                <c:pt idx="0">
                  <c:v>0</c:v>
                </c:pt>
                <c:pt idx="1">
                  <c:v>-0.95323530687352331</c:v>
                </c:pt>
                <c:pt idx="2">
                  <c:v>-3.7228396590771595</c:v>
                </c:pt>
                <c:pt idx="3">
                  <c:v>-5.027346276220257</c:v>
                </c:pt>
                <c:pt idx="4">
                  <c:v>-5.8349967404662806</c:v>
                </c:pt>
                <c:pt idx="5">
                  <c:v>-7.5098171215826071</c:v>
                </c:pt>
                <c:pt idx="6">
                  <c:v>-7.0853947536013706</c:v>
                </c:pt>
                <c:pt idx="7">
                  <c:v>-10.667139516309376</c:v>
                </c:pt>
                <c:pt idx="8">
                  <c:v>-12.352625628685665</c:v>
                </c:pt>
                <c:pt idx="9">
                  <c:v>-14.59969838541042</c:v>
                </c:pt>
                <c:pt idx="10">
                  <c:v>-15.948026671035009</c:v>
                </c:pt>
                <c:pt idx="11">
                  <c:v>-16.322193182006117</c:v>
                </c:pt>
                <c:pt idx="12">
                  <c:v>-17.005864258432979</c:v>
                </c:pt>
                <c:pt idx="13">
                  <c:v>-17.265198915079161</c:v>
                </c:pt>
                <c:pt idx="14">
                  <c:v>-17.869972662609257</c:v>
                </c:pt>
                <c:pt idx="15">
                  <c:v>-17.501542931377401</c:v>
                </c:pt>
                <c:pt idx="16">
                  <c:v>-17.541319987919302</c:v>
                </c:pt>
                <c:pt idx="17">
                  <c:v>-20.822315834539751</c:v>
                </c:pt>
                <c:pt idx="18">
                  <c:v>-20.562596715092418</c:v>
                </c:pt>
                <c:pt idx="19">
                  <c:v>-19.4024370073409</c:v>
                </c:pt>
                <c:pt idx="20">
                  <c:v>-19.855826924068509</c:v>
                </c:pt>
                <c:pt idx="21">
                  <c:v>-20.534022230847881</c:v>
                </c:pt>
                <c:pt idx="22">
                  <c:v>-22.852189720436122</c:v>
                </c:pt>
                <c:pt idx="23">
                  <c:v>-22.817248309215721</c:v>
                </c:pt>
                <c:pt idx="24">
                  <c:v>-22.732046616583013</c:v>
                </c:pt>
                <c:pt idx="25">
                  <c:v>-23.172733718202387</c:v>
                </c:pt>
                <c:pt idx="26">
                  <c:v>-23.160454505528172</c:v>
                </c:pt>
                <c:pt idx="27">
                  <c:v>-23.758946855857666</c:v>
                </c:pt>
                <c:pt idx="28">
                  <c:v>-24.193274983573154</c:v>
                </c:pt>
                <c:pt idx="29">
                  <c:v>-25.57101494812386</c:v>
                </c:pt>
                <c:pt idx="30">
                  <c:v>-24.989847442289381</c:v>
                </c:pt>
                <c:pt idx="31">
                  <c:v>-24.543257243384353</c:v>
                </c:pt>
                <c:pt idx="32">
                  <c:v>-25.598155035986281</c:v>
                </c:pt>
                <c:pt idx="33">
                  <c:v>-25.621933615322945</c:v>
                </c:pt>
                <c:pt idx="34">
                  <c:v>-25.557075344815772</c:v>
                </c:pt>
                <c:pt idx="35">
                  <c:v>-25.508127430887484</c:v>
                </c:pt>
                <c:pt idx="36">
                  <c:v>-26.038592074032252</c:v>
                </c:pt>
                <c:pt idx="37">
                  <c:v>-25.943376046869027</c:v>
                </c:pt>
                <c:pt idx="38">
                  <c:v>-26.081663874392369</c:v>
                </c:pt>
                <c:pt idx="39">
                  <c:v>-25.941574467430506</c:v>
                </c:pt>
                <c:pt idx="40">
                  <c:v>-24.344742113663997</c:v>
                </c:pt>
                <c:pt idx="41">
                  <c:v>-26.488745826726223</c:v>
                </c:pt>
                <c:pt idx="42">
                  <c:v>-26.292933136898178</c:v>
                </c:pt>
                <c:pt idx="43">
                  <c:v>-26.695131003137362</c:v>
                </c:pt>
                <c:pt idx="45">
                  <c:v>-27.331451495482106</c:v>
                </c:pt>
                <c:pt idx="46">
                  <c:v>-27.457725511945696</c:v>
                </c:pt>
                <c:pt idx="47">
                  <c:v>-28.121707607810187</c:v>
                </c:pt>
                <c:pt idx="49">
                  <c:v>-28.121707607810187</c:v>
                </c:pt>
                <c:pt idx="53">
                  <c:v>-30.91793851411051</c:v>
                </c:pt>
                <c:pt idx="54">
                  <c:v>-31.41383101041928</c:v>
                </c:pt>
                <c:pt idx="57">
                  <c:v>-33.301813680919778</c:v>
                </c:pt>
                <c:pt idx="58">
                  <c:v>-33.713800933671045</c:v>
                </c:pt>
                <c:pt idx="59">
                  <c:v>-33.92596959526184</c:v>
                </c:pt>
                <c:pt idx="60">
                  <c:v>-33.707413448161638</c:v>
                </c:pt>
                <c:pt idx="61">
                  <c:v>-33.737468054823694</c:v>
                </c:pt>
                <c:pt idx="62">
                  <c:v>-33.71596437281088</c:v>
                </c:pt>
                <c:pt idx="63">
                  <c:v>-33.798095621628832</c:v>
                </c:pt>
                <c:pt idx="64">
                  <c:v>-33.616730923179183</c:v>
                </c:pt>
                <c:pt idx="66">
                  <c:v>-34.196576431439141</c:v>
                </c:pt>
                <c:pt idx="67">
                  <c:v>-34.240163167473803</c:v>
                </c:pt>
                <c:pt idx="68">
                  <c:v>-34.269473994021027</c:v>
                </c:pt>
                <c:pt idx="71">
                  <c:v>-34.81928547737656</c:v>
                </c:pt>
                <c:pt idx="72">
                  <c:v>-34.226620145527242</c:v>
                </c:pt>
                <c:pt idx="73">
                  <c:v>-34.815364445982766</c:v>
                </c:pt>
                <c:pt idx="74">
                  <c:v>-34.819285526435095</c:v>
                </c:pt>
                <c:pt idx="75">
                  <c:v>-35.097007078973341</c:v>
                </c:pt>
                <c:pt idx="77">
                  <c:v>-35.364107270724254</c:v>
                </c:pt>
                <c:pt idx="78">
                  <c:v>-35.834754149456138</c:v>
                </c:pt>
                <c:pt idx="79">
                  <c:v>-35.978970814798394</c:v>
                </c:pt>
                <c:pt idx="80">
                  <c:v>-35.834754149456138</c:v>
                </c:pt>
                <c:pt idx="81">
                  <c:v>-35.429147881001377</c:v>
                </c:pt>
                <c:pt idx="82">
                  <c:v>-35.779756994635648</c:v>
                </c:pt>
                <c:pt idx="83">
                  <c:v>-36.582377946181133</c:v>
                </c:pt>
                <c:pt idx="84">
                  <c:v>-38.371162130453662</c:v>
                </c:pt>
                <c:pt idx="85">
                  <c:v>-38.76816405656669</c:v>
                </c:pt>
                <c:pt idx="86">
                  <c:v>-38.860299680712806</c:v>
                </c:pt>
                <c:pt idx="87">
                  <c:v>-39.091689147771724</c:v>
                </c:pt>
                <c:pt idx="88">
                  <c:v>-38.637509521101343</c:v>
                </c:pt>
                <c:pt idx="89">
                  <c:v>-38.395317697610842</c:v>
                </c:pt>
                <c:pt idx="90">
                  <c:v>-39.100021296216703</c:v>
                </c:pt>
                <c:pt idx="91">
                  <c:v>-37.501233942817791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E-4CD6-B52E-CEE5F8898BE6}"/>
            </c:ext>
          </c:extLst>
        </c:ser>
        <c:ser>
          <c:idx val="10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Convergences!$C$10:$C$118</c:f>
              <c:numCache>
                <c:formatCode>0.0</c:formatCode>
                <c:ptCount val="109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Convergences!$F$10:$F$118</c:f>
              <c:numCache>
                <c:formatCode>\+\ 0.0;\-\ 0.0;\±\ 0.0</c:formatCode>
                <c:ptCount val="109"/>
                <c:pt idx="0">
                  <c:v>0</c:v>
                </c:pt>
                <c:pt idx="1">
                  <c:v>-0.73517134493883418</c:v>
                </c:pt>
                <c:pt idx="2">
                  <c:v>-2.8421862517569174</c:v>
                </c:pt>
                <c:pt idx="3">
                  <c:v>-5.7376901386936296</c:v>
                </c:pt>
                <c:pt idx="4">
                  <c:v>-6.8771751951341997</c:v>
                </c:pt>
                <c:pt idx="5">
                  <c:v>-7.9585990679951202</c:v>
                </c:pt>
                <c:pt idx="6">
                  <c:v>-8.1591464943171488</c:v>
                </c:pt>
                <c:pt idx="7">
                  <c:v>-11.204980885885618</c:v>
                </c:pt>
                <c:pt idx="8">
                  <c:v>-13.750787815181909</c:v>
                </c:pt>
                <c:pt idx="9">
                  <c:v>-16.737918195617763</c:v>
                </c:pt>
                <c:pt idx="10">
                  <c:v>-18.210377764124264</c:v>
                </c:pt>
                <c:pt idx="11">
                  <c:v>-19.584260648960239</c:v>
                </c:pt>
                <c:pt idx="12">
                  <c:v>-20.086643673495885</c:v>
                </c:pt>
                <c:pt idx="13">
                  <c:v>-20.790807723091831</c:v>
                </c:pt>
                <c:pt idx="14">
                  <c:v>-20.961005223810059</c:v>
                </c:pt>
                <c:pt idx="15">
                  <c:v>-21.794825425303088</c:v>
                </c:pt>
                <c:pt idx="16">
                  <c:v>-22.653568321167494</c:v>
                </c:pt>
                <c:pt idx="17">
                  <c:v>-24.976254270256515</c:v>
                </c:pt>
                <c:pt idx="18">
                  <c:v>-25.746057350729323</c:v>
                </c:pt>
                <c:pt idx="19">
                  <c:v>-25.294101673784208</c:v>
                </c:pt>
                <c:pt idx="20">
                  <c:v>-25.954012146617078</c:v>
                </c:pt>
                <c:pt idx="21">
                  <c:v>-26.678897832684623</c:v>
                </c:pt>
                <c:pt idx="22">
                  <c:v>-28.599792223503062</c:v>
                </c:pt>
                <c:pt idx="23">
                  <c:v>-29.043411731875857</c:v>
                </c:pt>
                <c:pt idx="24">
                  <c:v>-29.158082001740304</c:v>
                </c:pt>
                <c:pt idx="25">
                  <c:v>-29.564770539434182</c:v>
                </c:pt>
                <c:pt idx="26">
                  <c:v>-29.861261694680064</c:v>
                </c:pt>
                <c:pt idx="27">
                  <c:v>-30.20736120540235</c:v>
                </c:pt>
                <c:pt idx="28">
                  <c:v>-30.945090337177295</c:v>
                </c:pt>
                <c:pt idx="29">
                  <c:v>-34.234974856629293</c:v>
                </c:pt>
                <c:pt idx="30">
                  <c:v>-34.305372426464587</c:v>
                </c:pt>
                <c:pt idx="31">
                  <c:v>-34.621403062808028</c:v>
                </c:pt>
                <c:pt idx="32">
                  <c:v>-35.223104227689817</c:v>
                </c:pt>
                <c:pt idx="33">
                  <c:v>-35.889884451822063</c:v>
                </c:pt>
                <c:pt idx="34">
                  <c:v>-36.294845708968907</c:v>
                </c:pt>
                <c:pt idx="35">
                  <c:v>-36.550572809739279</c:v>
                </c:pt>
                <c:pt idx="36">
                  <c:v>-36.901843260035875</c:v>
                </c:pt>
                <c:pt idx="37">
                  <c:v>-37.983243609302164</c:v>
                </c:pt>
                <c:pt idx="38">
                  <c:v>-38.142720602199361</c:v>
                </c:pt>
                <c:pt idx="39">
                  <c:v>-38.380160215040426</c:v>
                </c:pt>
                <c:pt idx="40">
                  <c:v>-37.876815351052251</c:v>
                </c:pt>
                <c:pt idx="41">
                  <c:v>-38.537569323483737</c:v>
                </c:pt>
                <c:pt idx="42">
                  <c:v>-39.309691506606903</c:v>
                </c:pt>
                <c:pt idx="43">
                  <c:v>-39.095278982153481</c:v>
                </c:pt>
                <c:pt idx="45">
                  <c:v>-39.664082310962186</c:v>
                </c:pt>
                <c:pt idx="46">
                  <c:v>-39.917106541139887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FE-4CD6-B52E-CEE5F8898BE6}"/>
            </c:ext>
          </c:extLst>
        </c:ser>
        <c:ser>
          <c:idx val="11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Convergences!$C$10:$C$118</c:f>
              <c:numCache>
                <c:formatCode>0.0</c:formatCode>
                <c:ptCount val="109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Convergences!$G$10:$G$118</c:f>
              <c:numCache>
                <c:formatCode>\+\ 0.0;\-\ 0.0;\±\ 0.0</c:formatCode>
                <c:ptCount val="109"/>
                <c:pt idx="0">
                  <c:v>0</c:v>
                </c:pt>
                <c:pt idx="1">
                  <c:v>4.1653275497655073E-2</c:v>
                </c:pt>
                <c:pt idx="2">
                  <c:v>-0.66302310079291438</c:v>
                </c:pt>
                <c:pt idx="3">
                  <c:v>-0.75558407330245103</c:v>
                </c:pt>
                <c:pt idx="4">
                  <c:v>-0.84906071351054102</c:v>
                </c:pt>
                <c:pt idx="5">
                  <c:v>-1.3538773858832176</c:v>
                </c:pt>
                <c:pt idx="6">
                  <c:v>-1.0472110617179009</c:v>
                </c:pt>
                <c:pt idx="7">
                  <c:v>-2.1396156273623124</c:v>
                </c:pt>
                <c:pt idx="8">
                  <c:v>-2.5525980304501594</c:v>
                </c:pt>
                <c:pt idx="9">
                  <c:v>-2.6931309243509727</c:v>
                </c:pt>
                <c:pt idx="10">
                  <c:v>-3.2641505954831285</c:v>
                </c:pt>
                <c:pt idx="11">
                  <c:v>-3.3540245550043313</c:v>
                </c:pt>
                <c:pt idx="12">
                  <c:v>-3.4890575442454441</c:v>
                </c:pt>
                <c:pt idx="13">
                  <c:v>-3.3392102471341278</c:v>
                </c:pt>
                <c:pt idx="14">
                  <c:v>-3.7393970452328507</c:v>
                </c:pt>
                <c:pt idx="15">
                  <c:v>-3.3586791094197821</c:v>
                </c:pt>
                <c:pt idx="16">
                  <c:v>-3.3020459747017394</c:v>
                </c:pt>
                <c:pt idx="17">
                  <c:v>-4.1822059254672528</c:v>
                </c:pt>
                <c:pt idx="18">
                  <c:v>-4.0647403377640501</c:v>
                </c:pt>
                <c:pt idx="19">
                  <c:v>-4.1399499588765654</c:v>
                </c:pt>
                <c:pt idx="20">
                  <c:v>-4.089367759035456</c:v>
                </c:pt>
                <c:pt idx="21">
                  <c:v>-4.142869949459671</c:v>
                </c:pt>
                <c:pt idx="22">
                  <c:v>-4.5707776523806753</c:v>
                </c:pt>
                <c:pt idx="23">
                  <c:v>-4.6415977509473016</c:v>
                </c:pt>
                <c:pt idx="24">
                  <c:v>-4.6631117303357339</c:v>
                </c:pt>
                <c:pt idx="25">
                  <c:v>-4.5164484907096458</c:v>
                </c:pt>
                <c:pt idx="26">
                  <c:v>-4.5750100239112523</c:v>
                </c:pt>
                <c:pt idx="27">
                  <c:v>-4.6387370042459963</c:v>
                </c:pt>
                <c:pt idx="28">
                  <c:v>-5.036725919799423</c:v>
                </c:pt>
                <c:pt idx="29">
                  <c:v>-4.5092956839190013</c:v>
                </c:pt>
                <c:pt idx="30">
                  <c:v>-4.4341022770941763</c:v>
                </c:pt>
                <c:pt idx="31">
                  <c:v>-4.3258776145655986</c:v>
                </c:pt>
                <c:pt idx="32">
                  <c:v>-4.8234923987320322</c:v>
                </c:pt>
                <c:pt idx="33">
                  <c:v>-4.5679622660117492</c:v>
                </c:pt>
                <c:pt idx="34">
                  <c:v>-4.1963077902895662</c:v>
                </c:pt>
                <c:pt idx="35">
                  <c:v>-4.5121980780076232</c:v>
                </c:pt>
                <c:pt idx="36">
                  <c:v>-4.9587584295345266</c:v>
                </c:pt>
                <c:pt idx="37">
                  <c:v>-4.5963911420121573</c:v>
                </c:pt>
                <c:pt idx="38">
                  <c:v>-4.4059764083344</c:v>
                </c:pt>
                <c:pt idx="39">
                  <c:v>-4.0818685769770102</c:v>
                </c:pt>
                <c:pt idx="40">
                  <c:v>-4.3743721397733193</c:v>
                </c:pt>
                <c:pt idx="41">
                  <c:v>-4.2494861975237441</c:v>
                </c:pt>
                <c:pt idx="42">
                  <c:v>-4.4285796285346013</c:v>
                </c:pt>
                <c:pt idx="43">
                  <c:v>-4.4807331306015996</c:v>
                </c:pt>
                <c:pt idx="44">
                  <c:v>-5.4943258633313174</c:v>
                </c:pt>
                <c:pt idx="45">
                  <c:v>-4.9110453856520131</c:v>
                </c:pt>
                <c:pt idx="46">
                  <c:v>-4.4100461073792729</c:v>
                </c:pt>
                <c:pt idx="47">
                  <c:v>-4.9426297948951259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E-4CD6-B52E-CEE5F8898BE6}"/>
            </c:ext>
          </c:extLst>
        </c:ser>
        <c:ser>
          <c:idx val="12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Convergences!$C$10:$C$118</c:f>
              <c:numCache>
                <c:formatCode>0.0</c:formatCode>
                <c:ptCount val="109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Convergences!$J$10:$J$118</c:f>
              <c:numCache>
                <c:formatCode>\+\ 0.0;\-\ 0.0;\±\ 0.0</c:formatCode>
                <c:ptCount val="109"/>
                <c:pt idx="0">
                  <c:v>0</c:v>
                </c:pt>
                <c:pt idx="1">
                  <c:v>-0.31668428425879469</c:v>
                </c:pt>
                <c:pt idx="2">
                  <c:v>-2.0795139895724013</c:v>
                </c:pt>
                <c:pt idx="3">
                  <c:v>-3.8837639746285291</c:v>
                </c:pt>
                <c:pt idx="4">
                  <c:v>-4.4163916293555872</c:v>
                </c:pt>
                <c:pt idx="5">
                  <c:v>-5.5464418967239304</c:v>
                </c:pt>
                <c:pt idx="6">
                  <c:v>-5.1849994864991977</c:v>
                </c:pt>
                <c:pt idx="7">
                  <c:v>-7.7203864499484354</c:v>
                </c:pt>
                <c:pt idx="8">
                  <c:v>-10.285124458923267</c:v>
                </c:pt>
                <c:pt idx="9">
                  <c:v>-12.001256662858228</c:v>
                </c:pt>
                <c:pt idx="10">
                  <c:v>-13.169715953422312</c:v>
                </c:pt>
                <c:pt idx="11">
                  <c:v>-13.770258020612935</c:v>
                </c:pt>
                <c:pt idx="12">
                  <c:v>-14.095531249014748</c:v>
                </c:pt>
                <c:pt idx="13">
                  <c:v>-14.280499900574561</c:v>
                </c:pt>
                <c:pt idx="14">
                  <c:v>-14.671726957743214</c:v>
                </c:pt>
                <c:pt idx="15">
                  <c:v>-14.534592655745193</c:v>
                </c:pt>
                <c:pt idx="16">
                  <c:v>-15.073651624450513</c:v>
                </c:pt>
                <c:pt idx="17">
                  <c:v>-17.040196055300605</c:v>
                </c:pt>
                <c:pt idx="18">
                  <c:v>-17.020274070682628</c:v>
                </c:pt>
                <c:pt idx="19">
                  <c:v>-16.802689789678915</c:v>
                </c:pt>
                <c:pt idx="20">
                  <c:v>-16.930345201680463</c:v>
                </c:pt>
                <c:pt idx="21">
                  <c:v>-17.48583322102526</c:v>
                </c:pt>
                <c:pt idx="22">
                  <c:v>-18.633464270739086</c:v>
                </c:pt>
                <c:pt idx="23">
                  <c:v>-18.967731718713576</c:v>
                </c:pt>
                <c:pt idx="24">
                  <c:v>-18.775102488063133</c:v>
                </c:pt>
                <c:pt idx="25">
                  <c:v>-18.909316528957554</c:v>
                </c:pt>
                <c:pt idx="26">
                  <c:v>-18.871741165128242</c:v>
                </c:pt>
                <c:pt idx="27">
                  <c:v>-19.1465505778603</c:v>
                </c:pt>
                <c:pt idx="28">
                  <c:v>-19.677353398641184</c:v>
                </c:pt>
                <c:pt idx="29">
                  <c:v>-20.4918688967064</c:v>
                </c:pt>
                <c:pt idx="30">
                  <c:v>-20.001396352905321</c:v>
                </c:pt>
                <c:pt idx="31">
                  <c:v>-19.723745406169613</c:v>
                </c:pt>
                <c:pt idx="32">
                  <c:v>-20.266655841067571</c:v>
                </c:pt>
                <c:pt idx="33">
                  <c:v>-20.334228973501123</c:v>
                </c:pt>
                <c:pt idx="34">
                  <c:v>-20.175027969885573</c:v>
                </c:pt>
                <c:pt idx="35">
                  <c:v>-20.037259132791085</c:v>
                </c:pt>
                <c:pt idx="36">
                  <c:v>-20.653085070819976</c:v>
                </c:pt>
                <c:pt idx="37">
                  <c:v>-20.88392054094923</c:v>
                </c:pt>
                <c:pt idx="38">
                  <c:v>-20.601028081567829</c:v>
                </c:pt>
                <c:pt idx="39">
                  <c:v>-20.527607117629021</c:v>
                </c:pt>
                <c:pt idx="40">
                  <c:v>-20.049488393771409</c:v>
                </c:pt>
                <c:pt idx="41">
                  <c:v>-20.445608871685117</c:v>
                </c:pt>
                <c:pt idx="42">
                  <c:v>-21.06556887890676</c:v>
                </c:pt>
                <c:pt idx="43">
                  <c:v>-20.609009965688152</c:v>
                </c:pt>
                <c:pt idx="45">
                  <c:v>-21.104119638521546</c:v>
                </c:pt>
                <c:pt idx="46">
                  <c:v>-21.210371694015961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FE-4CD6-B52E-CEE5F8898BE6}"/>
            </c:ext>
          </c:extLst>
        </c:ser>
        <c:ser>
          <c:idx val="13"/>
          <c:order val="6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Convergences!$C$10:$C$118</c:f>
              <c:numCache>
                <c:formatCode>0.0</c:formatCode>
                <c:ptCount val="109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Convergences!$E$10:$E$118</c:f>
              <c:numCache>
                <c:formatCode>\+\ 0.0;\-\ 0.0;\±\ 0.0</c:formatCode>
                <c:ptCount val="109"/>
                <c:pt idx="0">
                  <c:v>0</c:v>
                </c:pt>
                <c:pt idx="1">
                  <c:v>3.1730076710743127</c:v>
                </c:pt>
                <c:pt idx="2">
                  <c:v>0.11689441591133942</c:v>
                </c:pt>
                <c:pt idx="3">
                  <c:v>-2.0897311557450671</c:v>
                </c:pt>
                <c:pt idx="4">
                  <c:v>-3.6160879544677726</c:v>
                </c:pt>
                <c:pt idx="5">
                  <c:v>-5.1237718503402974</c:v>
                </c:pt>
                <c:pt idx="6">
                  <c:v>-5.3216855289432985</c:v>
                </c:pt>
                <c:pt idx="7">
                  <c:v>-9.5191723899326064</c:v>
                </c:pt>
                <c:pt idx="8">
                  <c:v>-12.095145933888496</c:v>
                </c:pt>
                <c:pt idx="9">
                  <c:v>-15.442252953071556</c:v>
                </c:pt>
                <c:pt idx="10">
                  <c:v>-17.783791678586791</c:v>
                </c:pt>
                <c:pt idx="11">
                  <c:v>-19.560388758663283</c:v>
                </c:pt>
                <c:pt idx="12">
                  <c:v>-20.564518432303558</c:v>
                </c:pt>
                <c:pt idx="13">
                  <c:v>-21.351772153768156</c:v>
                </c:pt>
                <c:pt idx="14">
                  <c:v>-21.79654917754581</c:v>
                </c:pt>
                <c:pt idx="15">
                  <c:v>-23.011526368449609</c:v>
                </c:pt>
                <c:pt idx="16">
                  <c:v>-23.933050487953356</c:v>
                </c:pt>
                <c:pt idx="17">
                  <c:v>-27.758763338264991</c:v>
                </c:pt>
                <c:pt idx="18">
                  <c:v>-28.956668958409537</c:v>
                </c:pt>
                <c:pt idx="19">
                  <c:v>-27.891255208003063</c:v>
                </c:pt>
                <c:pt idx="20">
                  <c:v>-29.145645634440331</c:v>
                </c:pt>
                <c:pt idx="21">
                  <c:v>-30.236168334160762</c:v>
                </c:pt>
                <c:pt idx="22">
                  <c:v>-33.003970789314607</c:v>
                </c:pt>
                <c:pt idx="23">
                  <c:v>-33.426575287932806</c:v>
                </c:pt>
                <c:pt idx="24">
                  <c:v>-34.044630780552424</c:v>
                </c:pt>
                <c:pt idx="25">
                  <c:v>-34.572266914855817</c:v>
                </c:pt>
                <c:pt idx="26">
                  <c:v>-35.060766758705952</c:v>
                </c:pt>
                <c:pt idx="27">
                  <c:v>-35.628645986692135</c:v>
                </c:pt>
                <c:pt idx="28">
                  <c:v>-36.962837013163167</c:v>
                </c:pt>
                <c:pt idx="30">
                  <c:v>-42.10111990218968</c:v>
                </c:pt>
                <c:pt idx="31">
                  <c:v>-42.466318062675427</c:v>
                </c:pt>
                <c:pt idx="32">
                  <c:v>-43.592584382456501</c:v>
                </c:pt>
                <c:pt idx="33">
                  <c:v>-44.432152280544642</c:v>
                </c:pt>
                <c:pt idx="34">
                  <c:v>-45.158765039015059</c:v>
                </c:pt>
                <c:pt idx="35">
                  <c:v>-45.730844215348121</c:v>
                </c:pt>
                <c:pt idx="36">
                  <c:v>-46.447277508169016</c:v>
                </c:pt>
                <c:pt idx="37">
                  <c:v>-47.745563188900775</c:v>
                </c:pt>
                <c:pt idx="40">
                  <c:v>-47.843510136897471</c:v>
                </c:pt>
                <c:pt idx="41">
                  <c:v>-49.090668170076235</c:v>
                </c:pt>
                <c:pt idx="42">
                  <c:v>-49.567924562693207</c:v>
                </c:pt>
                <c:pt idx="43">
                  <c:v>-49.844355777381111</c:v>
                </c:pt>
                <c:pt idx="44">
                  <c:v>-49.159476168903367</c:v>
                </c:pt>
                <c:pt idx="45">
                  <c:v>-50.905450802547051</c:v>
                </c:pt>
                <c:pt idx="46">
                  <c:v>-51.069776971118145</c:v>
                </c:pt>
                <c:pt idx="48">
                  <c:v>0</c:v>
                </c:pt>
                <c:pt idx="49">
                  <c:v>-51.069776971118145</c:v>
                </c:pt>
                <c:pt idx="50">
                  <c:v>-51.416196177407343</c:v>
                </c:pt>
                <c:pt idx="51">
                  <c:v>-51.539745262695561</c:v>
                </c:pt>
                <c:pt idx="52">
                  <c:v>-51.731787254501782</c:v>
                </c:pt>
                <c:pt idx="53">
                  <c:v>-52.428015280328481</c:v>
                </c:pt>
                <c:pt idx="54">
                  <c:v>-51.850150478380826</c:v>
                </c:pt>
                <c:pt idx="55">
                  <c:v>-52.152744791542197</c:v>
                </c:pt>
                <c:pt idx="56">
                  <c:v>-52.399171460006059</c:v>
                </c:pt>
                <c:pt idx="57">
                  <c:v>-53.267940135809155</c:v>
                </c:pt>
                <c:pt idx="58">
                  <c:v>-53.82228857863192</c:v>
                </c:pt>
                <c:pt idx="59">
                  <c:v>-53.827655903223359</c:v>
                </c:pt>
                <c:pt idx="60">
                  <c:v>-53.646171755560971</c:v>
                </c:pt>
                <c:pt idx="61">
                  <c:v>-53.7941795482797</c:v>
                </c:pt>
                <c:pt idx="62">
                  <c:v>-53.911976680906641</c:v>
                </c:pt>
                <c:pt idx="63">
                  <c:v>-53.903248090748427</c:v>
                </c:pt>
                <c:pt idx="64">
                  <c:v>-53.998302791702372</c:v>
                </c:pt>
                <c:pt idx="66">
                  <c:v>-53.893504706885594</c:v>
                </c:pt>
                <c:pt idx="67">
                  <c:v>-54.18304094857929</c:v>
                </c:pt>
                <c:pt idx="68">
                  <c:v>-54.135425132087803</c:v>
                </c:pt>
                <c:pt idx="69">
                  <c:v>-54.878519841063067</c:v>
                </c:pt>
                <c:pt idx="70">
                  <c:v>-55.347679110352217</c:v>
                </c:pt>
                <c:pt idx="71">
                  <c:v>-54.967302091543772</c:v>
                </c:pt>
                <c:pt idx="72">
                  <c:v>-56.008456226250843</c:v>
                </c:pt>
                <c:pt idx="73">
                  <c:v>-55.14247053981736</c:v>
                </c:pt>
                <c:pt idx="74">
                  <c:v>-55.390657457796706</c:v>
                </c:pt>
                <c:pt idx="75">
                  <c:v>-55.438014028019296</c:v>
                </c:pt>
                <c:pt idx="76">
                  <c:v>-56.20826446155958</c:v>
                </c:pt>
                <c:pt idx="77">
                  <c:v>-55.997781426171848</c:v>
                </c:pt>
                <c:pt idx="78">
                  <c:v>-55.642276041300235</c:v>
                </c:pt>
                <c:pt idx="79">
                  <c:v>-55.855385515759082</c:v>
                </c:pt>
                <c:pt idx="80">
                  <c:v>-56.09280146496554</c:v>
                </c:pt>
                <c:pt idx="81">
                  <c:v>-54.229582662984839</c:v>
                </c:pt>
                <c:pt idx="82">
                  <c:v>-54.503940293821884</c:v>
                </c:pt>
                <c:pt idx="83">
                  <c:v>-54.906339564869455</c:v>
                </c:pt>
                <c:pt idx="84">
                  <c:v>-55.862569813240896</c:v>
                </c:pt>
                <c:pt idx="85">
                  <c:v>-55.94852274473228</c:v>
                </c:pt>
                <c:pt idx="86">
                  <c:v>-56.043470172694398</c:v>
                </c:pt>
                <c:pt idx="87">
                  <c:v>-56.195382136011055</c:v>
                </c:pt>
                <c:pt idx="88">
                  <c:v>-55.97567985946128</c:v>
                </c:pt>
                <c:pt idx="89">
                  <c:v>-55.662015523087142</c:v>
                </c:pt>
                <c:pt idx="90">
                  <c:v>-56.179214673615533</c:v>
                </c:pt>
                <c:pt idx="91">
                  <c:v>-56.972091802337317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FE-4CD6-B52E-CEE5F8898BE6}"/>
            </c:ext>
          </c:extLst>
        </c:ser>
        <c:ser>
          <c:idx val="14"/>
          <c:order val="7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9050">
              <a:solidFill>
                <a:schemeClr val="accent3">
                  <a:lumMod val="75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Convergences!$C$10:$C$118</c:f>
              <c:numCache>
                <c:formatCode>0.0</c:formatCode>
                <c:ptCount val="109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Convergences!$K$10:$K$118</c:f>
              <c:numCache>
                <c:formatCode>\+\ 0.0;\-\ 0.0;\±\ 0.0</c:formatCode>
                <c:ptCount val="109"/>
                <c:pt idx="0">
                  <c:v>0</c:v>
                </c:pt>
                <c:pt idx="1">
                  <c:v>1.7508081577526369</c:v>
                </c:pt>
                <c:pt idx="2">
                  <c:v>-1.3429684605252845</c:v>
                </c:pt>
                <c:pt idx="3">
                  <c:v>-2.2716549076413628</c:v>
                </c:pt>
                <c:pt idx="4">
                  <c:v>-2.9080044065414867</c:v>
                </c:pt>
                <c:pt idx="5">
                  <c:v>-4.4750957537118552</c:v>
                </c:pt>
                <c:pt idx="6">
                  <c:v>-4.2871922684444286</c:v>
                </c:pt>
                <c:pt idx="7">
                  <c:v>-7.4171537777880658</c:v>
                </c:pt>
                <c:pt idx="8">
                  <c:v>-8.7618253984800276</c:v>
                </c:pt>
                <c:pt idx="9">
                  <c:v>-10.543634543576097</c:v>
                </c:pt>
                <c:pt idx="10">
                  <c:v>-12.067669643400336</c:v>
                </c:pt>
                <c:pt idx="11">
                  <c:v>-12.56216930019427</c:v>
                </c:pt>
                <c:pt idx="12">
                  <c:v>-13.111443703563097</c:v>
                </c:pt>
                <c:pt idx="13">
                  <c:v>-13.237730406396864</c:v>
                </c:pt>
                <c:pt idx="14">
                  <c:v>-13.739164096256751</c:v>
                </c:pt>
                <c:pt idx="15">
                  <c:v>-13.815202534757987</c:v>
                </c:pt>
                <c:pt idx="16">
                  <c:v>-13.947060612574447</c:v>
                </c:pt>
                <c:pt idx="17">
                  <c:v>-16.983237876220691</c:v>
                </c:pt>
                <c:pt idx="18">
                  <c:v>-16.724647701011897</c:v>
                </c:pt>
                <c:pt idx="19">
                  <c:v>-15.789112130896399</c:v>
                </c:pt>
                <c:pt idx="20">
                  <c:v>-16.853104679283248</c:v>
                </c:pt>
                <c:pt idx="21">
                  <c:v>-17.132078507846593</c:v>
                </c:pt>
                <c:pt idx="22">
                  <c:v>-19.070858787718414</c:v>
                </c:pt>
                <c:pt idx="23">
                  <c:v>-19.015204770750138</c:v>
                </c:pt>
                <c:pt idx="24">
                  <c:v>-19.112240704938444</c:v>
                </c:pt>
                <c:pt idx="25">
                  <c:v>-19.555856895993706</c:v>
                </c:pt>
                <c:pt idx="26">
                  <c:v>-19.19067285581022</c:v>
                </c:pt>
                <c:pt idx="27">
                  <c:v>-19.82228148958054</c:v>
                </c:pt>
                <c:pt idx="28">
                  <c:v>-19.76661239621702</c:v>
                </c:pt>
                <c:pt idx="30">
                  <c:v>-22.064132733270014</c:v>
                </c:pt>
                <c:pt idx="31">
                  <c:v>-21.075993716896058</c:v>
                </c:pt>
                <c:pt idx="32">
                  <c:v>-21.887810927825768</c:v>
                </c:pt>
                <c:pt idx="33">
                  <c:v>-22.12062869834952</c:v>
                </c:pt>
                <c:pt idx="34">
                  <c:v>-22.209868298289415</c:v>
                </c:pt>
                <c:pt idx="35">
                  <c:v>-22.175370483648038</c:v>
                </c:pt>
                <c:pt idx="36">
                  <c:v>-22.875948908368748</c:v>
                </c:pt>
                <c:pt idx="37">
                  <c:v>-22.800082512114628</c:v>
                </c:pt>
                <c:pt idx="40">
                  <c:v>-22.286047777147822</c:v>
                </c:pt>
                <c:pt idx="41">
                  <c:v>-23.599365279204143</c:v>
                </c:pt>
                <c:pt idx="42">
                  <c:v>-23.278113296144376</c:v>
                </c:pt>
                <c:pt idx="43">
                  <c:v>-23.309393730516881</c:v>
                </c:pt>
                <c:pt idx="44">
                  <c:v>-24.19871598399137</c:v>
                </c:pt>
                <c:pt idx="45">
                  <c:v>-24.107808937976039</c:v>
                </c:pt>
                <c:pt idx="46">
                  <c:v>-24.74337853748132</c:v>
                </c:pt>
                <c:pt idx="49">
                  <c:v>-24.74337853748132</c:v>
                </c:pt>
                <c:pt idx="50">
                  <c:v>-24.387411126268077</c:v>
                </c:pt>
                <c:pt idx="51">
                  <c:v>-24.784055278331607</c:v>
                </c:pt>
                <c:pt idx="52">
                  <c:v>-24.068322520135688</c:v>
                </c:pt>
                <c:pt idx="53">
                  <c:v>-24.369343231642304</c:v>
                </c:pt>
                <c:pt idx="54">
                  <c:v>-25.011021805883438</c:v>
                </c:pt>
                <c:pt idx="55">
                  <c:v>-25.670701168738042</c:v>
                </c:pt>
                <c:pt idx="56">
                  <c:v>-25.671197385510602</c:v>
                </c:pt>
                <c:pt idx="57">
                  <c:v>-26.788529110086223</c:v>
                </c:pt>
                <c:pt idx="58">
                  <c:v>-27.376350600879285</c:v>
                </c:pt>
                <c:pt idx="59">
                  <c:v>-27.170472344429264</c:v>
                </c:pt>
                <c:pt idx="60">
                  <c:v>-26.872057884336442</c:v>
                </c:pt>
                <c:pt idx="61">
                  <c:v>-27.103286081418432</c:v>
                </c:pt>
                <c:pt idx="62">
                  <c:v>-27.293288263180671</c:v>
                </c:pt>
                <c:pt idx="63">
                  <c:v>-27.14465309016223</c:v>
                </c:pt>
                <c:pt idx="64">
                  <c:v>-27.004235252377384</c:v>
                </c:pt>
                <c:pt idx="66">
                  <c:v>-27.178567552381239</c:v>
                </c:pt>
                <c:pt idx="67">
                  <c:v>-27.435453031541712</c:v>
                </c:pt>
                <c:pt idx="68">
                  <c:v>-27.128634587035627</c:v>
                </c:pt>
                <c:pt idx="71">
                  <c:v>-27.534835230435206</c:v>
                </c:pt>
                <c:pt idx="72">
                  <c:v>-27.453383992332547</c:v>
                </c:pt>
                <c:pt idx="73">
                  <c:v>-27.904416030484214</c:v>
                </c:pt>
                <c:pt idx="74">
                  <c:v>-27.941656274703242</c:v>
                </c:pt>
                <c:pt idx="75">
                  <c:v>-27.84912017481922</c:v>
                </c:pt>
                <c:pt idx="76">
                  <c:v>-28.22241895965405</c:v>
                </c:pt>
                <c:pt idx="77">
                  <c:v>-28.173561223671761</c:v>
                </c:pt>
                <c:pt idx="78">
                  <c:v>-28.703339784422965</c:v>
                </c:pt>
                <c:pt idx="79">
                  <c:v>-28.5033155183676</c:v>
                </c:pt>
                <c:pt idx="80">
                  <c:v>-28.612203518490809</c:v>
                </c:pt>
                <c:pt idx="81">
                  <c:v>-28.230850210193559</c:v>
                </c:pt>
                <c:pt idx="82">
                  <c:v>-28.768448442977324</c:v>
                </c:pt>
                <c:pt idx="83">
                  <c:v>-29.091152278811094</c:v>
                </c:pt>
                <c:pt idx="84">
                  <c:v>-29.729676491943025</c:v>
                </c:pt>
                <c:pt idx="85">
                  <c:v>-29.779311786763962</c:v>
                </c:pt>
                <c:pt idx="86">
                  <c:v>-29.929434493933371</c:v>
                </c:pt>
                <c:pt idx="87">
                  <c:v>-30.069773427101154</c:v>
                </c:pt>
                <c:pt idx="88">
                  <c:v>-29.713983749330097</c:v>
                </c:pt>
                <c:pt idx="89">
                  <c:v>-29.05129388161054</c:v>
                </c:pt>
                <c:pt idx="90">
                  <c:v>-29.755171191264473</c:v>
                </c:pt>
                <c:pt idx="9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FE-4CD6-B52E-CEE5F8898BE6}"/>
            </c:ext>
          </c:extLst>
        </c:ser>
        <c:ser>
          <c:idx val="0"/>
          <c:order val="8"/>
          <c:tx>
            <c:strRef>
              <c:f>Convergences!$H$9</c:f>
              <c:strCache>
                <c:ptCount val="1"/>
                <c:pt idx="0">
                  <c:v>ID</c:v>
                </c:pt>
              </c:strCache>
            </c:strRef>
          </c:tx>
          <c:spPr>
            <a:ln w="19050"/>
          </c:spPr>
          <c:marker>
            <c:symbol val="circle"/>
            <c:size val="5"/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Convergences!$H$10:$H$101</c:f>
              <c:numCache>
                <c:formatCode>\+\ 0.0;\-\ 0.0;\±\ 0.0</c:formatCode>
                <c:ptCount val="92"/>
                <c:pt idx="0">
                  <c:v>0</c:v>
                </c:pt>
                <c:pt idx="1">
                  <c:v>-0.60444604370735178</c:v>
                </c:pt>
                <c:pt idx="2">
                  <c:v>-4.0546230713842668</c:v>
                </c:pt>
                <c:pt idx="3">
                  <c:v>-6.3430850054690957</c:v>
                </c:pt>
                <c:pt idx="4">
                  <c:v>-7.6902396596323364</c:v>
                </c:pt>
                <c:pt idx="5">
                  <c:v>-9.3612732490448991</c:v>
                </c:pt>
                <c:pt idx="6">
                  <c:v>-9.4283562643884267</c:v>
                </c:pt>
                <c:pt idx="7">
                  <c:v>-14.514323949959884</c:v>
                </c:pt>
                <c:pt idx="8">
                  <c:v>-17.026116896288634</c:v>
                </c:pt>
                <c:pt idx="9">
                  <c:v>-20.305454079857288</c:v>
                </c:pt>
                <c:pt idx="10">
                  <c:v>-23.115252582893486</c:v>
                </c:pt>
                <c:pt idx="11">
                  <c:v>-25.255826105919699</c:v>
                </c:pt>
                <c:pt idx="12">
                  <c:v>-26.461362997951099</c:v>
                </c:pt>
                <c:pt idx="13">
                  <c:v>-27.297956558945735</c:v>
                </c:pt>
                <c:pt idx="14">
                  <c:v>-28.166296935651758</c:v>
                </c:pt>
                <c:pt idx="15">
                  <c:v>-29.485815781046032</c:v>
                </c:pt>
                <c:pt idx="16">
                  <c:v>-30.02303123232819</c:v>
                </c:pt>
                <c:pt idx="17">
                  <c:v>-34.379226288616223</c:v>
                </c:pt>
                <c:pt idx="18">
                  <c:v>-35.786358129064496</c:v>
                </c:pt>
                <c:pt idx="19">
                  <c:v>-35.418659517489019</c:v>
                </c:pt>
                <c:pt idx="20">
                  <c:v>-37.250689832952318</c:v>
                </c:pt>
                <c:pt idx="21">
                  <c:v>-37.75538581547444</c:v>
                </c:pt>
                <c:pt idx="22">
                  <c:v>-40.958226681027995</c:v>
                </c:pt>
                <c:pt idx="23">
                  <c:v>-41.359311546175007</c:v>
                </c:pt>
                <c:pt idx="24">
                  <c:v>-42.226698318137856</c:v>
                </c:pt>
                <c:pt idx="25">
                  <c:v>-42.492597449354186</c:v>
                </c:pt>
                <c:pt idx="26">
                  <c:v>-42.994543444408784</c:v>
                </c:pt>
                <c:pt idx="27">
                  <c:v>-43.761534598612428</c:v>
                </c:pt>
                <c:pt idx="28">
                  <c:v>-44.994044872789019</c:v>
                </c:pt>
                <c:pt idx="29">
                  <c:v>-49.754353821067184</c:v>
                </c:pt>
                <c:pt idx="30">
                  <c:v>-50.388159636556296</c:v>
                </c:pt>
                <c:pt idx="31">
                  <c:v>-50.953681229632068</c:v>
                </c:pt>
                <c:pt idx="32">
                  <c:v>-52.620990811012014</c:v>
                </c:pt>
                <c:pt idx="33">
                  <c:v>-53.418262367257</c:v>
                </c:pt>
                <c:pt idx="34">
                  <c:v>-53.752207532860474</c:v>
                </c:pt>
                <c:pt idx="35">
                  <c:v>-54.788695549545793</c:v>
                </c:pt>
                <c:pt idx="36">
                  <c:v>-55.455358990442072</c:v>
                </c:pt>
                <c:pt idx="37">
                  <c:v>-56.950537008779278</c:v>
                </c:pt>
                <c:pt idx="38">
                  <c:v>-57.581850578976024</c:v>
                </c:pt>
                <c:pt idx="39">
                  <c:v>-57.478939439907784</c:v>
                </c:pt>
                <c:pt idx="40">
                  <c:v>-58.012666773831434</c:v>
                </c:pt>
                <c:pt idx="41">
                  <c:v>-58.240562673914198</c:v>
                </c:pt>
                <c:pt idx="42">
                  <c:v>-59.10606852259059</c:v>
                </c:pt>
                <c:pt idx="43">
                  <c:v>-59.372426465656773</c:v>
                </c:pt>
                <c:pt idx="44">
                  <c:v>-59.807368440997436</c:v>
                </c:pt>
                <c:pt idx="45">
                  <c:v>-60.304465444537939</c:v>
                </c:pt>
                <c:pt idx="46">
                  <c:v>-60.43528002555432</c:v>
                </c:pt>
                <c:pt idx="47">
                  <c:v>-61.268361161207267</c:v>
                </c:pt>
                <c:pt idx="48">
                  <c:v>0</c:v>
                </c:pt>
                <c:pt idx="49">
                  <c:v>-61.268361161207267</c:v>
                </c:pt>
                <c:pt idx="50">
                  <c:v>-61.749622554976739</c:v>
                </c:pt>
                <c:pt idx="51">
                  <c:v>-61.637559931606134</c:v>
                </c:pt>
                <c:pt idx="52">
                  <c:v>-62.032227447079265</c:v>
                </c:pt>
                <c:pt idx="53">
                  <c:v>-62.478583983002437</c:v>
                </c:pt>
                <c:pt idx="54">
                  <c:v>-63.380559136454465</c:v>
                </c:pt>
                <c:pt idx="55">
                  <c:v>-64.232821321469132</c:v>
                </c:pt>
                <c:pt idx="56">
                  <c:v>-64.306528594133994</c:v>
                </c:pt>
                <c:pt idx="57">
                  <c:v>-65.070174343497385</c:v>
                </c:pt>
                <c:pt idx="58">
                  <c:v>-65.910905412005945</c:v>
                </c:pt>
                <c:pt idx="59">
                  <c:v>-65.709981673456767</c:v>
                </c:pt>
                <c:pt idx="60">
                  <c:v>-65.717610846568689</c:v>
                </c:pt>
                <c:pt idx="61">
                  <c:v>-65.698077043244041</c:v>
                </c:pt>
                <c:pt idx="62">
                  <c:v>-66.031164040747385</c:v>
                </c:pt>
                <c:pt idx="63">
                  <c:v>-66.089515143951346</c:v>
                </c:pt>
                <c:pt idx="64">
                  <c:v>-66.039409851152527</c:v>
                </c:pt>
                <c:pt idx="66">
                  <c:v>-66.097267408666838</c:v>
                </c:pt>
                <c:pt idx="67">
                  <c:v>-66.473490026459643</c:v>
                </c:pt>
                <c:pt idx="68">
                  <c:v>-66.58598507469415</c:v>
                </c:pt>
                <c:pt idx="71">
                  <c:v>-66.415443194652653</c:v>
                </c:pt>
                <c:pt idx="72">
                  <c:v>-66.555966588489397</c:v>
                </c:pt>
                <c:pt idx="73">
                  <c:v>-66.724293552060232</c:v>
                </c:pt>
                <c:pt idx="74">
                  <c:v>-66.850114866376487</c:v>
                </c:pt>
                <c:pt idx="75">
                  <c:v>-66.94210526920719</c:v>
                </c:pt>
                <c:pt idx="76">
                  <c:v>-67.183295388324012</c:v>
                </c:pt>
                <c:pt idx="77">
                  <c:v>-67.152447178930885</c:v>
                </c:pt>
                <c:pt idx="78">
                  <c:v>-67.384359246922102</c:v>
                </c:pt>
                <c:pt idx="79">
                  <c:v>-67.411890778427804</c:v>
                </c:pt>
                <c:pt idx="80">
                  <c:v>-67.6407045029448</c:v>
                </c:pt>
                <c:pt idx="81">
                  <c:v>-69.026477725990361</c:v>
                </c:pt>
                <c:pt idx="82">
                  <c:v>-69.338519206856745</c:v>
                </c:pt>
                <c:pt idx="83">
                  <c:v>-69.559996574792848</c:v>
                </c:pt>
                <c:pt idx="84">
                  <c:v>-71.060997064494202</c:v>
                </c:pt>
                <c:pt idx="85">
                  <c:v>-71.083656349836929</c:v>
                </c:pt>
                <c:pt idx="86">
                  <c:v>-71.150051732086439</c:v>
                </c:pt>
                <c:pt idx="87">
                  <c:v>-71.448162715237459</c:v>
                </c:pt>
                <c:pt idx="88">
                  <c:v>-71.181409827238525</c:v>
                </c:pt>
                <c:pt idx="89">
                  <c:v>-71.030257150745967</c:v>
                </c:pt>
                <c:pt idx="90">
                  <c:v>-71.693064494332333</c:v>
                </c:pt>
                <c:pt idx="9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FE-4CD6-B52E-CEE5F8898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06240"/>
        <c:axId val="603506632"/>
      </c:scatterChart>
      <c:valAx>
        <c:axId val="6035062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Distance au front [m]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03506632"/>
        <c:crossesAt val="0"/>
        <c:crossBetween val="midCat"/>
      </c:valAx>
      <c:valAx>
        <c:axId val="603506632"/>
        <c:scaling>
          <c:orientation val="minMax"/>
          <c:max val="20"/>
          <c:min val="-8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Convergence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03506240"/>
        <c:crosses val="autoZero"/>
        <c:crossBetween val="midCat"/>
        <c:majorUnit val="5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11" footer="0.49212598450000411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fr-FR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u="none" strike="noStrike" baseline="0">
                <a:effectLst/>
              </a:rPr>
              <a:t>Déplacement en Z
</a:t>
            </a:r>
            <a:endParaRPr lang="en-US"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Déplacements!$E$10:$E$100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1.0000000000047748</c:v>
                </c:pt>
                <c:pt idx="3">
                  <c:v>1.2000000000114142</c:v>
                </c:pt>
                <c:pt idx="4">
                  <c:v>1.4000000000038426</c:v>
                </c:pt>
                <c:pt idx="5">
                  <c:v>1.6000000000104819</c:v>
                </c:pt>
                <c:pt idx="6">
                  <c:v>1.90000000000623</c:v>
                </c:pt>
                <c:pt idx="7">
                  <c:v>2.7000000000043656</c:v>
                </c:pt>
                <c:pt idx="8">
                  <c:v>2.8000000000076852</c:v>
                </c:pt>
                <c:pt idx="9">
                  <c:v>3.200000000006753</c:v>
                </c:pt>
                <c:pt idx="10">
                  <c:v>3.5000000000025011</c:v>
                </c:pt>
                <c:pt idx="11">
                  <c:v>3.7000000000091404</c:v>
                </c:pt>
                <c:pt idx="12">
                  <c:v>3.7000000000091404</c:v>
                </c:pt>
                <c:pt idx="13">
                  <c:v>3.6000000000058208</c:v>
                </c:pt>
                <c:pt idx="14">
                  <c:v>3.7000000000091404</c:v>
                </c:pt>
                <c:pt idx="15">
                  <c:v>4.0499999999923375</c:v>
                </c:pt>
                <c:pt idx="16">
                  <c:v>5.450000000010391</c:v>
                </c:pt>
                <c:pt idx="17">
                  <c:v>4.4000000000039563</c:v>
                </c:pt>
                <c:pt idx="18">
                  <c:v>4.6000000000105956</c:v>
                </c:pt>
                <c:pt idx="19">
                  <c:v>4.3000000000006366</c:v>
                </c:pt>
                <c:pt idx="20">
                  <c:v>4.8000000000030241</c:v>
                </c:pt>
                <c:pt idx="21">
                  <c:v>4.500000000007276</c:v>
                </c:pt>
                <c:pt idx="22">
                  <c:v>5.0999999999987722</c:v>
                </c:pt>
                <c:pt idx="23">
                  <c:v>6.2000000000068667</c:v>
                </c:pt>
                <c:pt idx="24">
                  <c:v>5.4000000000087311</c:v>
                </c:pt>
                <c:pt idx="25">
                  <c:v>6.5000000000026148</c:v>
                </c:pt>
                <c:pt idx="26">
                  <c:v>6.7000000000092541</c:v>
                </c:pt>
                <c:pt idx="27">
                  <c:v>6.9000000000016826</c:v>
                </c:pt>
                <c:pt idx="28">
                  <c:v>6.3999999999992951</c:v>
                </c:pt>
                <c:pt idx="29">
                  <c:v>6.7999999999983629</c:v>
                </c:pt>
                <c:pt idx="30">
                  <c:v>6.7999999999983629</c:v>
                </c:pt>
                <c:pt idx="31">
                  <c:v>6.7000000000092541</c:v>
                </c:pt>
                <c:pt idx="32">
                  <c:v>5.9000000000111186</c:v>
                </c:pt>
                <c:pt idx="33">
                  <c:v>7.9000000000064574</c:v>
                </c:pt>
                <c:pt idx="34">
                  <c:v>8.2000000000022055</c:v>
                </c:pt>
                <c:pt idx="35">
                  <c:v>7.6000000000107093</c:v>
                </c:pt>
                <c:pt idx="36">
                  <c:v>8.2000000000022055</c:v>
                </c:pt>
                <c:pt idx="37">
                  <c:v>8.4000000000088448</c:v>
                </c:pt>
                <c:pt idx="38">
                  <c:v>8.3000000000055252</c:v>
                </c:pt>
                <c:pt idx="39">
                  <c:v>8.6000000000012733</c:v>
                </c:pt>
                <c:pt idx="40">
                  <c:v>7.6999999999998181</c:v>
                </c:pt>
                <c:pt idx="41">
                  <c:v>7.8000000000031378</c:v>
                </c:pt>
                <c:pt idx="43">
                  <c:v>7.40000000000407</c:v>
                </c:pt>
                <c:pt idx="44">
                  <c:v>8.6000000000012733</c:v>
                </c:pt>
                <c:pt idx="45">
                  <c:v>8.7000000000045929</c:v>
                </c:pt>
                <c:pt idx="46">
                  <c:v>8.0999999999988859</c:v>
                </c:pt>
                <c:pt idx="47">
                  <c:v>7.6000000000107093</c:v>
                </c:pt>
                <c:pt idx="53">
                  <c:v>7.6999999999998181</c:v>
                </c:pt>
                <c:pt idx="54">
                  <c:v>5.4000000000087311</c:v>
                </c:pt>
                <c:pt idx="55">
                  <c:v>4.6999999999997044</c:v>
                </c:pt>
                <c:pt idx="56">
                  <c:v>5.2000000000020918</c:v>
                </c:pt>
                <c:pt idx="57">
                  <c:v>5.49999999999784</c:v>
                </c:pt>
                <c:pt idx="58">
                  <c:v>5.0999999999987722</c:v>
                </c:pt>
                <c:pt idx="59">
                  <c:v>5.2000000000020918</c:v>
                </c:pt>
                <c:pt idx="60">
                  <c:v>5.4000000000087311</c:v>
                </c:pt>
                <c:pt idx="61">
                  <c:v>5.6000000000011596</c:v>
                </c:pt>
                <c:pt idx="62">
                  <c:v>5.7000000000044793</c:v>
                </c:pt>
                <c:pt idx="63">
                  <c:v>5.2000000000020918</c:v>
                </c:pt>
                <c:pt idx="64">
                  <c:v>6.2000000000068667</c:v>
                </c:pt>
                <c:pt idx="66">
                  <c:v>5.8000000000077989</c:v>
                </c:pt>
                <c:pt idx="67">
                  <c:v>5.49999999999784</c:v>
                </c:pt>
                <c:pt idx="68">
                  <c:v>4.3000000000006366</c:v>
                </c:pt>
                <c:pt idx="69">
                  <c:v>5.0999999999987722</c:v>
                </c:pt>
                <c:pt idx="70">
                  <c:v>6.9000000000016826</c:v>
                </c:pt>
                <c:pt idx="71">
                  <c:v>5.4000000000087311</c:v>
                </c:pt>
                <c:pt idx="72">
                  <c:v>5.6000000000011596</c:v>
                </c:pt>
                <c:pt idx="73">
                  <c:v>4.8000000000030241</c:v>
                </c:pt>
                <c:pt idx="74">
                  <c:v>5.7000000000044793</c:v>
                </c:pt>
                <c:pt idx="75">
                  <c:v>6.2000000000068667</c:v>
                </c:pt>
                <c:pt idx="77">
                  <c:v>5.9000000000111186</c:v>
                </c:pt>
                <c:pt idx="78">
                  <c:v>6.100000000003547</c:v>
                </c:pt>
                <c:pt idx="79">
                  <c:v>6.0000000000002274</c:v>
                </c:pt>
                <c:pt idx="80">
                  <c:v>6.3000000000101863</c:v>
                </c:pt>
                <c:pt idx="81">
                  <c:v>6.2000000000068667</c:v>
                </c:pt>
                <c:pt idx="82">
                  <c:v>6.3000000000101863</c:v>
                </c:pt>
                <c:pt idx="83">
                  <c:v>7.1999999999974307</c:v>
                </c:pt>
                <c:pt idx="84">
                  <c:v>7.4999999999931788</c:v>
                </c:pt>
                <c:pt idx="85">
                  <c:v>6.9000000000016826</c:v>
                </c:pt>
                <c:pt idx="86">
                  <c:v>6.6000000000059345</c:v>
                </c:pt>
                <c:pt idx="87">
                  <c:v>6.100000000003547</c:v>
                </c:pt>
                <c:pt idx="88">
                  <c:v>6.100000000003547</c:v>
                </c:pt>
                <c:pt idx="89">
                  <c:v>6.6000000000059345</c:v>
                </c:pt>
                <c:pt idx="90">
                  <c:v>6.5000000000026148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CF-4B64-8C86-7D78C9612E1B}"/>
            </c:ext>
          </c:extLst>
        </c:ser>
        <c:ser>
          <c:idx val="13"/>
          <c:order val="1"/>
          <c:tx>
            <c:strRef>
              <c:f>Déplacements!$H$9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Déplacements!$H$10:$H$100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-3.9000000000015689</c:v>
                </c:pt>
                <c:pt idx="2">
                  <c:v>-4.0000000000048885</c:v>
                </c:pt>
                <c:pt idx="3">
                  <c:v>-4.4000000000039563</c:v>
                </c:pt>
                <c:pt idx="4">
                  <c:v>-4.3000000000006366</c:v>
                </c:pt>
                <c:pt idx="5">
                  <c:v>-4.6000000000105956</c:v>
                </c:pt>
                <c:pt idx="6">
                  <c:v>-4.2000000000115278</c:v>
                </c:pt>
                <c:pt idx="7">
                  <c:v>-4.3000000000006366</c:v>
                </c:pt>
                <c:pt idx="8">
                  <c:v>-4.4000000000039563</c:v>
                </c:pt>
                <c:pt idx="9">
                  <c:v>-4.4000000000039563</c:v>
                </c:pt>
                <c:pt idx="10">
                  <c:v>-4.3000000000006366</c:v>
                </c:pt>
                <c:pt idx="11">
                  <c:v>-4.3000000000006366</c:v>
                </c:pt>
                <c:pt idx="12">
                  <c:v>-4.4000000000039563</c:v>
                </c:pt>
                <c:pt idx="13">
                  <c:v>-4.6000000000105956</c:v>
                </c:pt>
                <c:pt idx="14">
                  <c:v>-4.6999999999997044</c:v>
                </c:pt>
                <c:pt idx="15">
                  <c:v>-4.116666666689639</c:v>
                </c:pt>
                <c:pt idx="16">
                  <c:v>-2.7666666666590345</c:v>
                </c:pt>
                <c:pt idx="17">
                  <c:v>-4.4000000000039563</c:v>
                </c:pt>
                <c:pt idx="18">
                  <c:v>-4.0000000000048885</c:v>
                </c:pt>
                <c:pt idx="19">
                  <c:v>-4.4000000000039563</c:v>
                </c:pt>
                <c:pt idx="20">
                  <c:v>-3.7000000000091404</c:v>
                </c:pt>
                <c:pt idx="21">
                  <c:v>-4.0000000000048885</c:v>
                </c:pt>
                <c:pt idx="22">
                  <c:v>-4.3000000000006366</c:v>
                </c:pt>
                <c:pt idx="23">
                  <c:v>-3.0000000000001137</c:v>
                </c:pt>
                <c:pt idx="24">
                  <c:v>-3.9000000000015689</c:v>
                </c:pt>
                <c:pt idx="25">
                  <c:v>-2.8000000000076852</c:v>
                </c:pt>
                <c:pt idx="26">
                  <c:v>-2.7000000000043656</c:v>
                </c:pt>
                <c:pt idx="27">
                  <c:v>-2.6000000000010459</c:v>
                </c:pt>
                <c:pt idx="28">
                  <c:v>-3.200000000006753</c:v>
                </c:pt>
                <c:pt idx="30">
                  <c:v>-2.9000000000110049</c:v>
                </c:pt>
                <c:pt idx="31">
                  <c:v>-2.8000000000076852</c:v>
                </c:pt>
                <c:pt idx="32">
                  <c:v>-3.3000000000100727</c:v>
                </c:pt>
                <c:pt idx="33">
                  <c:v>-2.7000000000043656</c:v>
                </c:pt>
                <c:pt idx="34">
                  <c:v>-2.5000000000119371</c:v>
                </c:pt>
                <c:pt idx="35">
                  <c:v>-3.200000000006753</c:v>
                </c:pt>
                <c:pt idx="36">
                  <c:v>-2.7000000000043656</c:v>
                </c:pt>
                <c:pt idx="37">
                  <c:v>-2.6000000000010459</c:v>
                </c:pt>
                <c:pt idx="40">
                  <c:v>-3.200000000006753</c:v>
                </c:pt>
                <c:pt idx="41">
                  <c:v>-2.8000000000076852</c:v>
                </c:pt>
                <c:pt idx="43">
                  <c:v>-3.7000000000091404</c:v>
                </c:pt>
                <c:pt idx="44">
                  <c:v>-2.7000000000043656</c:v>
                </c:pt>
                <c:pt idx="45">
                  <c:v>-2.4000000000086175</c:v>
                </c:pt>
                <c:pt idx="46">
                  <c:v>-3.0000000000001137</c:v>
                </c:pt>
                <c:pt idx="49">
                  <c:v>-3.0000000000001137</c:v>
                </c:pt>
                <c:pt idx="50">
                  <c:v>-2.3000000000052978</c:v>
                </c:pt>
                <c:pt idx="51">
                  <c:v>-2.3000000000052978</c:v>
                </c:pt>
                <c:pt idx="52">
                  <c:v>-1.6999999999995907</c:v>
                </c:pt>
                <c:pt idx="53">
                  <c:v>-2.2000000000019782</c:v>
                </c:pt>
                <c:pt idx="54">
                  <c:v>-4.8000000000030241</c:v>
                </c:pt>
                <c:pt idx="55">
                  <c:v>-5.3999999999945203</c:v>
                </c:pt>
                <c:pt idx="56">
                  <c:v>-4.8000000000030241</c:v>
                </c:pt>
                <c:pt idx="57">
                  <c:v>-4.5999999999963848</c:v>
                </c:pt>
                <c:pt idx="58">
                  <c:v>-4.9999999999954525</c:v>
                </c:pt>
                <c:pt idx="59">
                  <c:v>-4.9000000000063437</c:v>
                </c:pt>
                <c:pt idx="60">
                  <c:v>-4.6999999999997044</c:v>
                </c:pt>
                <c:pt idx="61">
                  <c:v>-4.5999999999963848</c:v>
                </c:pt>
                <c:pt idx="62">
                  <c:v>-4.3000000000006366</c:v>
                </c:pt>
                <c:pt idx="63">
                  <c:v>-4.9999999999954525</c:v>
                </c:pt>
                <c:pt idx="64">
                  <c:v>-4.199999999997317</c:v>
                </c:pt>
                <c:pt idx="66">
                  <c:v>-4.500000000007276</c:v>
                </c:pt>
                <c:pt idx="67">
                  <c:v>-4.6999999999997044</c:v>
                </c:pt>
                <c:pt idx="68">
                  <c:v>-6.0000000000002274</c:v>
                </c:pt>
                <c:pt idx="69">
                  <c:v>-5.2000000000020918</c:v>
                </c:pt>
                <c:pt idx="70">
                  <c:v>-3.2999999999958618</c:v>
                </c:pt>
                <c:pt idx="71">
                  <c:v>-4.8000000000030241</c:v>
                </c:pt>
                <c:pt idx="72">
                  <c:v>-4.5999999999963848</c:v>
                </c:pt>
                <c:pt idx="73">
                  <c:v>-5.6000000000011596</c:v>
                </c:pt>
                <c:pt idx="74">
                  <c:v>-4.8000000000030241</c:v>
                </c:pt>
                <c:pt idx="75">
                  <c:v>-4.4000000000039563</c:v>
                </c:pt>
                <c:pt idx="76">
                  <c:v>-4.0000000000048885</c:v>
                </c:pt>
                <c:pt idx="77">
                  <c:v>-4.500000000007276</c:v>
                </c:pt>
                <c:pt idx="78">
                  <c:v>-4.3000000000006366</c:v>
                </c:pt>
                <c:pt idx="79">
                  <c:v>-4.8000000000030241</c:v>
                </c:pt>
                <c:pt idx="80">
                  <c:v>-4.0999999999939973</c:v>
                </c:pt>
                <c:pt idx="81">
                  <c:v>-4.500000000007276</c:v>
                </c:pt>
                <c:pt idx="82">
                  <c:v>-4.4000000000039563</c:v>
                </c:pt>
                <c:pt idx="83">
                  <c:v>-3.5000000000025011</c:v>
                </c:pt>
                <c:pt idx="84">
                  <c:v>-3.5000000000025011</c:v>
                </c:pt>
                <c:pt idx="85">
                  <c:v>-4.199999999997317</c:v>
                </c:pt>
                <c:pt idx="86">
                  <c:v>-4.500000000007276</c:v>
                </c:pt>
                <c:pt idx="87">
                  <c:v>-4.9999999999954525</c:v>
                </c:pt>
                <c:pt idx="88">
                  <c:v>-4.8000000000030241</c:v>
                </c:pt>
                <c:pt idx="89">
                  <c:v>-4.4000000000039563</c:v>
                </c:pt>
                <c:pt idx="90">
                  <c:v>-4.8000000000030241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CF-4B64-8C86-7D78C9612E1B}"/>
            </c:ext>
          </c:extLst>
        </c:ser>
        <c:ser>
          <c:idx val="8"/>
          <c:order val="2"/>
          <c:tx>
            <c:strRef>
              <c:f>Déplacements!$K$9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Déplacements!$K$10:$K$100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-0.19999999999242846</c:v>
                </c:pt>
                <c:pt idx="2">
                  <c:v>-0.79999999999813554</c:v>
                </c:pt>
                <c:pt idx="3">
                  <c:v>-0.79999999999813554</c:v>
                </c:pt>
                <c:pt idx="4">
                  <c:v>-0.69999999999481588</c:v>
                </c:pt>
                <c:pt idx="5">
                  <c:v>-1.1999999999972033</c:v>
                </c:pt>
                <c:pt idx="6">
                  <c:v>-0.50000000000238742</c:v>
                </c:pt>
                <c:pt idx="7">
                  <c:v>-1.4999999999929514</c:v>
                </c:pt>
                <c:pt idx="8">
                  <c:v>-3.3999999999991815</c:v>
                </c:pt>
                <c:pt idx="9">
                  <c:v>-4.0000000000048885</c:v>
                </c:pt>
                <c:pt idx="10">
                  <c:v>-4.5999999999963848</c:v>
                </c:pt>
                <c:pt idx="11">
                  <c:v>-4.8999999999921329</c:v>
                </c:pt>
                <c:pt idx="12">
                  <c:v>-5.3999999999945203</c:v>
                </c:pt>
                <c:pt idx="13">
                  <c:v>-5.7999999999935881</c:v>
                </c:pt>
                <c:pt idx="14">
                  <c:v>-6.1999999999926558</c:v>
                </c:pt>
                <c:pt idx="15">
                  <c:v>-5.533333333318069</c:v>
                </c:pt>
                <c:pt idx="16">
                  <c:v>-4.3000000000006366</c:v>
                </c:pt>
                <c:pt idx="17">
                  <c:v>-7.0000000000050022</c:v>
                </c:pt>
                <c:pt idx="18">
                  <c:v>-6.7999999999983629</c:v>
                </c:pt>
                <c:pt idx="19">
                  <c:v>-6.5999999999917236</c:v>
                </c:pt>
                <c:pt idx="20">
                  <c:v>-6.5000000000026148</c:v>
                </c:pt>
                <c:pt idx="21">
                  <c:v>-7.099999999994111</c:v>
                </c:pt>
                <c:pt idx="22">
                  <c:v>-7.5999999999964984</c:v>
                </c:pt>
                <c:pt idx="23">
                  <c:v>-6.3999999999992951</c:v>
                </c:pt>
                <c:pt idx="24">
                  <c:v>-7.6999999999998181</c:v>
                </c:pt>
                <c:pt idx="25">
                  <c:v>-6.5000000000026148</c:v>
                </c:pt>
                <c:pt idx="26">
                  <c:v>-6.5000000000026148</c:v>
                </c:pt>
                <c:pt idx="27">
                  <c:v>-6.5999999999917236</c:v>
                </c:pt>
                <c:pt idx="28">
                  <c:v>-7.4999999999931788</c:v>
                </c:pt>
                <c:pt idx="29">
                  <c:v>-7.6999999999998181</c:v>
                </c:pt>
                <c:pt idx="30">
                  <c:v>-7.5999999999964984</c:v>
                </c:pt>
                <c:pt idx="31">
                  <c:v>-7.4999999999931788</c:v>
                </c:pt>
                <c:pt idx="32">
                  <c:v>-8.3000000000055252</c:v>
                </c:pt>
                <c:pt idx="33">
                  <c:v>-7.8999999999922466</c:v>
                </c:pt>
                <c:pt idx="34">
                  <c:v>-7.8999999999922466</c:v>
                </c:pt>
                <c:pt idx="35">
                  <c:v>-8.4999999999979536</c:v>
                </c:pt>
                <c:pt idx="36">
                  <c:v>-8.2000000000022055</c:v>
                </c:pt>
                <c:pt idx="37">
                  <c:v>-8.4999999999979536</c:v>
                </c:pt>
                <c:pt idx="38">
                  <c:v>-8.8999999999970214</c:v>
                </c:pt>
                <c:pt idx="39">
                  <c:v>-8.7999999999937017</c:v>
                </c:pt>
                <c:pt idx="40">
                  <c:v>-9.1999999999927695</c:v>
                </c:pt>
                <c:pt idx="41">
                  <c:v>-8.7999999999937017</c:v>
                </c:pt>
                <c:pt idx="43">
                  <c:v>-10.099999999994225</c:v>
                </c:pt>
                <c:pt idx="45">
                  <c:v>-8.8999999999970214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CF-4B64-8C86-7D78C9612E1B}"/>
            </c:ext>
          </c:extLst>
        </c:ser>
        <c:ser>
          <c:idx val="12"/>
          <c:order val="3"/>
          <c:tx>
            <c:strRef>
              <c:f>Déplacements!$N$9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Déplacements!$N$10:$N$100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-1.0999999999938836</c:v>
                </c:pt>
                <c:pt idx="2">
                  <c:v>-4.199999999997317</c:v>
                </c:pt>
                <c:pt idx="3">
                  <c:v>-7.1999999999974307</c:v>
                </c:pt>
                <c:pt idx="4">
                  <c:v>-8.7999999999937017</c:v>
                </c:pt>
                <c:pt idx="5">
                  <c:v>-10.599999999996612</c:v>
                </c:pt>
                <c:pt idx="6">
                  <c:v>-10.499999999993292</c:v>
                </c:pt>
                <c:pt idx="7">
                  <c:v>-15.599999999992065</c:v>
                </c:pt>
                <c:pt idx="8">
                  <c:v>-18.699999999995498</c:v>
                </c:pt>
                <c:pt idx="9">
                  <c:v>-22.700000000000387</c:v>
                </c:pt>
                <c:pt idx="10">
                  <c:v>-25.599999999997181</c:v>
                </c:pt>
                <c:pt idx="11">
                  <c:v>-28.199999999998226</c:v>
                </c:pt>
                <c:pt idx="12">
                  <c:v>-29.600000000002069</c:v>
                </c:pt>
                <c:pt idx="13">
                  <c:v>-30.900000000002592</c:v>
                </c:pt>
                <c:pt idx="14">
                  <c:v>-31.700000000000728</c:v>
                </c:pt>
                <c:pt idx="15">
                  <c:v>-33.10000000000457</c:v>
                </c:pt>
                <c:pt idx="16">
                  <c:v>-32.699999999991292</c:v>
                </c:pt>
                <c:pt idx="17">
                  <c:v>-38.699999999991519</c:v>
                </c:pt>
                <c:pt idx="18">
                  <c:v>-40.39999999999111</c:v>
                </c:pt>
                <c:pt idx="19">
                  <c:v>-40.199999999998681</c:v>
                </c:pt>
                <c:pt idx="20">
                  <c:v>-41.299999999992565</c:v>
                </c:pt>
                <c:pt idx="21">
                  <c:v>-42.599999999993088</c:v>
                </c:pt>
                <c:pt idx="22">
                  <c:v>-46.099999999995589</c:v>
                </c:pt>
                <c:pt idx="23">
                  <c:v>-45.499999999989882</c:v>
                </c:pt>
                <c:pt idx="24">
                  <c:v>-47.499999999999432</c:v>
                </c:pt>
                <c:pt idx="25">
                  <c:v>-46.700000000001296</c:v>
                </c:pt>
                <c:pt idx="26">
                  <c:v>-47.600000000002751</c:v>
                </c:pt>
                <c:pt idx="27">
                  <c:v>-48.099999999990928</c:v>
                </c:pt>
                <c:pt idx="28">
                  <c:v>-50.699999999991974</c:v>
                </c:pt>
                <c:pt idx="29">
                  <c:v>-55.999999999997385</c:v>
                </c:pt>
                <c:pt idx="30">
                  <c:v>-56.89999999999884</c:v>
                </c:pt>
                <c:pt idx="31">
                  <c:v>-58.099999999996044</c:v>
                </c:pt>
                <c:pt idx="32">
                  <c:v>-60.199999999994702</c:v>
                </c:pt>
                <c:pt idx="33">
                  <c:v>-60.59999999999377</c:v>
                </c:pt>
                <c:pt idx="34">
                  <c:v>-61.199999999999477</c:v>
                </c:pt>
                <c:pt idx="35">
                  <c:v>-63.099999999991496</c:v>
                </c:pt>
                <c:pt idx="36">
                  <c:v>-63.299999999998136</c:v>
                </c:pt>
                <c:pt idx="37">
                  <c:v>-65.199999999990155</c:v>
                </c:pt>
                <c:pt idx="38">
                  <c:v>-66.09999999999161</c:v>
                </c:pt>
                <c:pt idx="39">
                  <c:v>-66.19999999999493</c:v>
                </c:pt>
                <c:pt idx="40">
                  <c:v>-66.999999999993065</c:v>
                </c:pt>
                <c:pt idx="41">
                  <c:v>-66.900000000003956</c:v>
                </c:pt>
                <c:pt idx="43">
                  <c:v>-69.400000000001683</c:v>
                </c:pt>
                <c:pt idx="44">
                  <c:v>-67.700000000002092</c:v>
                </c:pt>
                <c:pt idx="45">
                  <c:v>-69.199999999995043</c:v>
                </c:pt>
                <c:pt idx="46">
                  <c:v>-69.599999999994111</c:v>
                </c:pt>
                <c:pt idx="47">
                  <c:v>-70.799999999991314</c:v>
                </c:pt>
                <c:pt idx="49">
                  <c:v>-70.799999999991314</c:v>
                </c:pt>
                <c:pt idx="50">
                  <c:v>-70.899999999994634</c:v>
                </c:pt>
                <c:pt idx="51">
                  <c:v>-70.399999999992247</c:v>
                </c:pt>
                <c:pt idx="52">
                  <c:v>-70.899999999994634</c:v>
                </c:pt>
                <c:pt idx="53">
                  <c:v>-71.999999999988518</c:v>
                </c:pt>
                <c:pt idx="54">
                  <c:v>-74.549999999987904</c:v>
                </c:pt>
                <c:pt idx="55">
                  <c:v>-75.699999999997658</c:v>
                </c:pt>
                <c:pt idx="56">
                  <c:v>-75.499999999991019</c:v>
                </c:pt>
                <c:pt idx="57">
                  <c:v>-75.899999999990087</c:v>
                </c:pt>
                <c:pt idx="58">
                  <c:v>-77.199999999990609</c:v>
                </c:pt>
                <c:pt idx="59">
                  <c:v>-76.999999999998181</c:v>
                </c:pt>
                <c:pt idx="60">
                  <c:v>-76.899999999994861</c:v>
                </c:pt>
                <c:pt idx="61">
                  <c:v>-76.699999999988222</c:v>
                </c:pt>
                <c:pt idx="62">
                  <c:v>-76.699999999988222</c:v>
                </c:pt>
                <c:pt idx="63">
                  <c:v>-77.399999999997249</c:v>
                </c:pt>
                <c:pt idx="64">
                  <c:v>-76.699999999988222</c:v>
                </c:pt>
                <c:pt idx="66">
                  <c:v>-76.999999999998181</c:v>
                </c:pt>
                <c:pt idx="67">
                  <c:v>-77.499999999986358</c:v>
                </c:pt>
                <c:pt idx="68">
                  <c:v>-78.8999999999902</c:v>
                </c:pt>
                <c:pt idx="69">
                  <c:v>-78.299999999984493</c:v>
                </c:pt>
                <c:pt idx="70">
                  <c:v>-76.799999999991542</c:v>
                </c:pt>
                <c:pt idx="71">
                  <c:v>-78.199999999995384</c:v>
                </c:pt>
                <c:pt idx="72">
                  <c:v>-78.799999999986881</c:v>
                </c:pt>
                <c:pt idx="73">
                  <c:v>-79.09999999999684</c:v>
                </c:pt>
                <c:pt idx="74">
                  <c:v>-78.499999999991132</c:v>
                </c:pt>
                <c:pt idx="75">
                  <c:v>-78.299999999984493</c:v>
                </c:pt>
                <c:pt idx="76">
                  <c:v>-78.299999999984493</c:v>
                </c:pt>
                <c:pt idx="77">
                  <c:v>-78.8999999999902</c:v>
                </c:pt>
                <c:pt idx="78">
                  <c:v>-78.299999999984493</c:v>
                </c:pt>
                <c:pt idx="79">
                  <c:v>-78.8999999999902</c:v>
                </c:pt>
                <c:pt idx="80">
                  <c:v>-78.599999999994452</c:v>
                </c:pt>
                <c:pt idx="81">
                  <c:v>-79.09999999999684</c:v>
                </c:pt>
                <c:pt idx="82">
                  <c:v>-78.99999999999352</c:v>
                </c:pt>
                <c:pt idx="83">
                  <c:v>-78.499999999991132</c:v>
                </c:pt>
                <c:pt idx="84">
                  <c:v>-79.999999999998295</c:v>
                </c:pt>
                <c:pt idx="85">
                  <c:v>-80.79999999999643</c:v>
                </c:pt>
                <c:pt idx="86">
                  <c:v>-81.199999999995498</c:v>
                </c:pt>
                <c:pt idx="87">
                  <c:v>-81.899999999990314</c:v>
                </c:pt>
                <c:pt idx="88">
                  <c:v>-81.599999999994566</c:v>
                </c:pt>
                <c:pt idx="89">
                  <c:v>-81.099999999992178</c:v>
                </c:pt>
                <c:pt idx="90">
                  <c:v>-81.999999999993634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CF-4B64-8C86-7D78C9612E1B}"/>
            </c:ext>
          </c:extLst>
        </c:ser>
        <c:ser>
          <c:idx val="11"/>
          <c:order val="4"/>
          <c:tx>
            <c:strRef>
              <c:f>Déplacements!$Q$9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Déplacements!$Q$10:$Q$100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-0.69999999999481588</c:v>
                </c:pt>
                <c:pt idx="2">
                  <c:v>-2.6000000000010459</c:v>
                </c:pt>
                <c:pt idx="3">
                  <c:v>-4.3000000000006366</c:v>
                </c:pt>
                <c:pt idx="4">
                  <c:v>-5.199999999987881</c:v>
                </c:pt>
                <c:pt idx="5">
                  <c:v>-6.5999999999917236</c:v>
                </c:pt>
                <c:pt idx="6">
                  <c:v>-6.2999999999959755</c:v>
                </c:pt>
                <c:pt idx="7">
                  <c:v>-9.7999999999984766</c:v>
                </c:pt>
                <c:pt idx="8">
                  <c:v>-12.199999999992883</c:v>
                </c:pt>
                <c:pt idx="9">
                  <c:v>-14.59999999998729</c:v>
                </c:pt>
                <c:pt idx="10">
                  <c:v>-16.700000000000159</c:v>
                </c:pt>
                <c:pt idx="11">
                  <c:v>-18.599999999992178</c:v>
                </c:pt>
                <c:pt idx="12">
                  <c:v>-19.799999999989382</c:v>
                </c:pt>
                <c:pt idx="13">
                  <c:v>-20.699999999990837</c:v>
                </c:pt>
                <c:pt idx="14">
                  <c:v>-21.299999999996544</c:v>
                </c:pt>
                <c:pt idx="15">
                  <c:v>-22.649999999998727</c:v>
                </c:pt>
                <c:pt idx="16">
                  <c:v>-22.04999999999302</c:v>
                </c:pt>
                <c:pt idx="17">
                  <c:v>-26.899999999997704</c:v>
                </c:pt>
                <c:pt idx="18">
                  <c:v>-28.199999999998226</c:v>
                </c:pt>
                <c:pt idx="19">
                  <c:v>-28.499999999993975</c:v>
                </c:pt>
                <c:pt idx="20">
                  <c:v>-29.19999999998879</c:v>
                </c:pt>
                <c:pt idx="21">
                  <c:v>-30.299999999996885</c:v>
                </c:pt>
                <c:pt idx="22">
                  <c:v>-32.599999999987972</c:v>
                </c:pt>
                <c:pt idx="23">
                  <c:v>-31.899999999993156</c:v>
                </c:pt>
                <c:pt idx="24">
                  <c:v>-33.599999999992747</c:v>
                </c:pt>
                <c:pt idx="25">
                  <c:v>-32.699999999991292</c:v>
                </c:pt>
                <c:pt idx="26">
                  <c:v>-33.199999999993679</c:v>
                </c:pt>
                <c:pt idx="27">
                  <c:v>-33.599999999992747</c:v>
                </c:pt>
                <c:pt idx="28">
                  <c:v>-35.799999999994725</c:v>
                </c:pt>
                <c:pt idx="29">
                  <c:v>-39.400000000000546</c:v>
                </c:pt>
                <c:pt idx="30">
                  <c:v>-39.799999999999613</c:v>
                </c:pt>
                <c:pt idx="31">
                  <c:v>-40.700000000001069</c:v>
                </c:pt>
                <c:pt idx="32">
                  <c:v>-42.19999999999402</c:v>
                </c:pt>
                <c:pt idx="33">
                  <c:v>-42.19999999999402</c:v>
                </c:pt>
                <c:pt idx="34">
                  <c:v>-42.699999999996407</c:v>
                </c:pt>
                <c:pt idx="35">
                  <c:v>-43.599999999997863</c:v>
                </c:pt>
                <c:pt idx="36">
                  <c:v>-43.599999999997863</c:v>
                </c:pt>
                <c:pt idx="37">
                  <c:v>-45.299999999997453</c:v>
                </c:pt>
                <c:pt idx="38">
                  <c:v>-45.89999999998895</c:v>
                </c:pt>
                <c:pt idx="39">
                  <c:v>-46.199999999998909</c:v>
                </c:pt>
                <c:pt idx="40">
                  <c:v>-46.699999999987085</c:v>
                </c:pt>
                <c:pt idx="41">
                  <c:v>-46.399999999991337</c:v>
                </c:pt>
                <c:pt idx="43">
                  <c:v>-47.999999999987608</c:v>
                </c:pt>
                <c:pt idx="44">
                  <c:v>-46.899999999993724</c:v>
                </c:pt>
                <c:pt idx="45">
                  <c:v>-47.100000000000364</c:v>
                </c:pt>
                <c:pt idx="46">
                  <c:v>-47.999999999987608</c:v>
                </c:pt>
                <c:pt idx="47">
                  <c:v>-49.099999999995703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CF-4B64-8C86-7D78C9612E1B}"/>
            </c:ext>
          </c:extLst>
        </c:ser>
        <c:ser>
          <c:idx val="9"/>
          <c:order val="5"/>
          <c:tx>
            <c:strRef>
              <c:f>Déplacements!$T$9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Déplacements!$T$10:$T$100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-0.10000000000331966</c:v>
                </c:pt>
                <c:pt idx="2">
                  <c:v>0.10000000000331966</c:v>
                </c:pt>
                <c:pt idx="3">
                  <c:v>0.20000000000663931</c:v>
                </c:pt>
                <c:pt idx="4">
                  <c:v>0.50000000000238742</c:v>
                </c:pt>
                <c:pt idx="5">
                  <c:v>0.20000000000663931</c:v>
                </c:pt>
                <c:pt idx="6">
                  <c:v>0.60000000000570708</c:v>
                </c:pt>
                <c:pt idx="7">
                  <c:v>0.90000000000145519</c:v>
                </c:pt>
                <c:pt idx="8">
                  <c:v>0.90000000000145519</c:v>
                </c:pt>
                <c:pt idx="9">
                  <c:v>0.79999999999813554</c:v>
                </c:pt>
                <c:pt idx="10">
                  <c:v>0.90000000000145519</c:v>
                </c:pt>
                <c:pt idx="11">
                  <c:v>1.0000000000047748</c:v>
                </c:pt>
                <c:pt idx="12">
                  <c:v>1.0000000000047748</c:v>
                </c:pt>
                <c:pt idx="13">
                  <c:v>0.90000000000145519</c:v>
                </c:pt>
                <c:pt idx="14">
                  <c:v>0.79999999999813554</c:v>
                </c:pt>
                <c:pt idx="15">
                  <c:v>1.0999999999938836</c:v>
                </c:pt>
                <c:pt idx="16">
                  <c:v>2.6000000000152568</c:v>
                </c:pt>
                <c:pt idx="17">
                  <c:v>1.1000000000080945</c:v>
                </c:pt>
                <c:pt idx="18">
                  <c:v>1.5000000000071623</c:v>
                </c:pt>
                <c:pt idx="19">
                  <c:v>1.1999999999972033</c:v>
                </c:pt>
                <c:pt idx="20">
                  <c:v>1.6999999999995907</c:v>
                </c:pt>
                <c:pt idx="21">
                  <c:v>1.5000000000071623</c:v>
                </c:pt>
                <c:pt idx="22">
                  <c:v>1.5999999999962711</c:v>
                </c:pt>
                <c:pt idx="23">
                  <c:v>2.8000000000076852</c:v>
                </c:pt>
                <c:pt idx="24">
                  <c:v>1.8000000000029104</c:v>
                </c:pt>
                <c:pt idx="25">
                  <c:v>3.0000000000001137</c:v>
                </c:pt>
                <c:pt idx="26">
                  <c:v>3.0000000000001137</c:v>
                </c:pt>
                <c:pt idx="27">
                  <c:v>3.200000000006753</c:v>
                </c:pt>
                <c:pt idx="28">
                  <c:v>2.4999999999977263</c:v>
                </c:pt>
                <c:pt idx="29">
                  <c:v>3.0000000000001137</c:v>
                </c:pt>
                <c:pt idx="30">
                  <c:v>3.0000000000001137</c:v>
                </c:pt>
                <c:pt idx="31">
                  <c:v>3.0000000000001137</c:v>
                </c:pt>
                <c:pt idx="32">
                  <c:v>2.6000000000010459</c:v>
                </c:pt>
                <c:pt idx="33">
                  <c:v>3.3999999999991815</c:v>
                </c:pt>
                <c:pt idx="34">
                  <c:v>3.5000000000025011</c:v>
                </c:pt>
                <c:pt idx="35">
                  <c:v>2.899999999996794</c:v>
                </c:pt>
                <c:pt idx="36">
                  <c:v>3.2999999999958618</c:v>
                </c:pt>
                <c:pt idx="37">
                  <c:v>3.6999999999949296</c:v>
                </c:pt>
                <c:pt idx="38">
                  <c:v>3.3999999999991815</c:v>
                </c:pt>
                <c:pt idx="39">
                  <c:v>3.3999999999991815</c:v>
                </c:pt>
                <c:pt idx="40">
                  <c:v>3.0000000000001137</c:v>
                </c:pt>
                <c:pt idx="41">
                  <c:v>3.5000000000025011</c:v>
                </c:pt>
                <c:pt idx="43">
                  <c:v>2.6000000000010459</c:v>
                </c:pt>
                <c:pt idx="44">
                  <c:v>3.6000000000058208</c:v>
                </c:pt>
                <c:pt idx="45">
                  <c:v>3.7999999999982492</c:v>
                </c:pt>
                <c:pt idx="46">
                  <c:v>3.2999999999958618</c:v>
                </c:pt>
                <c:pt idx="47">
                  <c:v>2.8000000000076852</c:v>
                </c:pt>
                <c:pt idx="49">
                  <c:v>2.8000000000076852</c:v>
                </c:pt>
                <c:pt idx="50">
                  <c:v>3.5000000000025011</c:v>
                </c:pt>
                <c:pt idx="51">
                  <c:v>4.0000000000048885</c:v>
                </c:pt>
                <c:pt idx="52">
                  <c:v>4.1000000000082082</c:v>
                </c:pt>
                <c:pt idx="53">
                  <c:v>3.7000000000091404</c:v>
                </c:pt>
                <c:pt idx="54">
                  <c:v>1.1500000000097543</c:v>
                </c:pt>
                <c:pt idx="55">
                  <c:v>0.50000000000238742</c:v>
                </c:pt>
                <c:pt idx="56">
                  <c:v>0.80000000001234639</c:v>
                </c:pt>
                <c:pt idx="57">
                  <c:v>1.0000000000047748</c:v>
                </c:pt>
                <c:pt idx="58">
                  <c:v>0.30000000000995897</c:v>
                </c:pt>
                <c:pt idx="59">
                  <c:v>0.50000000000238742</c:v>
                </c:pt>
                <c:pt idx="60">
                  <c:v>0.60000000000570708</c:v>
                </c:pt>
                <c:pt idx="61">
                  <c:v>0.80000000001234639</c:v>
                </c:pt>
                <c:pt idx="62">
                  <c:v>1.0000000000047748</c:v>
                </c:pt>
                <c:pt idx="63">
                  <c:v>0.50000000000238742</c:v>
                </c:pt>
                <c:pt idx="64">
                  <c:v>1.3000000000147338</c:v>
                </c:pt>
                <c:pt idx="66">
                  <c:v>0.80000000001234639</c:v>
                </c:pt>
                <c:pt idx="67">
                  <c:v>0.70000000000902673</c:v>
                </c:pt>
                <c:pt idx="68">
                  <c:v>-0.39999999998485691</c:v>
                </c:pt>
                <c:pt idx="71">
                  <c:v>0.30000000000995897</c:v>
                </c:pt>
                <c:pt idx="72">
                  <c:v>0.60000000000570708</c:v>
                </c:pt>
                <c:pt idx="73">
                  <c:v>-0.39999999998485691</c:v>
                </c:pt>
                <c:pt idx="74">
                  <c:v>0.50000000000238742</c:v>
                </c:pt>
                <c:pt idx="75">
                  <c:v>0.80000000001234639</c:v>
                </c:pt>
                <c:pt idx="76">
                  <c:v>1.4000000000038426</c:v>
                </c:pt>
                <c:pt idx="77">
                  <c:v>0.50000000000238742</c:v>
                </c:pt>
                <c:pt idx="78">
                  <c:v>0.80000000001234639</c:v>
                </c:pt>
                <c:pt idx="79">
                  <c:v>0.60000000000570708</c:v>
                </c:pt>
                <c:pt idx="80">
                  <c:v>1.1000000000080945</c:v>
                </c:pt>
                <c:pt idx="81">
                  <c:v>0.60000000000570708</c:v>
                </c:pt>
                <c:pt idx="82">
                  <c:v>0.90000000001566605</c:v>
                </c:pt>
                <c:pt idx="83">
                  <c:v>1.6000000000104819</c:v>
                </c:pt>
                <c:pt idx="84">
                  <c:v>1.5999999999962711</c:v>
                </c:pt>
                <c:pt idx="85">
                  <c:v>0.80000000001234639</c:v>
                </c:pt>
                <c:pt idx="86">
                  <c:v>0.40000000001327862</c:v>
                </c:pt>
                <c:pt idx="87">
                  <c:v>1.4210854715202004E-11</c:v>
                </c:pt>
                <c:pt idx="88">
                  <c:v>0.10000000000331966</c:v>
                </c:pt>
                <c:pt idx="89">
                  <c:v>0.70000000000902673</c:v>
                </c:pt>
                <c:pt idx="90">
                  <c:v>0.30000000000995897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CF-4B64-8C86-7D78C9612E1B}"/>
            </c:ext>
          </c:extLst>
        </c:ser>
        <c:ser>
          <c:idx val="10"/>
          <c:order val="6"/>
          <c:tx>
            <c:strRef>
              <c:f>Déplacements!$W$9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Déplacements!$W$10:$W$100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9.9999999989108801E-2</c:v>
                </c:pt>
                <c:pt idx="2">
                  <c:v>0.29999999999574811</c:v>
                </c:pt>
                <c:pt idx="3">
                  <c:v>0.29999999999574811</c:v>
                </c:pt>
                <c:pt idx="4">
                  <c:v>0</c:v>
                </c:pt>
                <c:pt idx="5">
                  <c:v>0.29999999999574811</c:v>
                </c:pt>
                <c:pt idx="6">
                  <c:v>0.50000000000238742</c:v>
                </c:pt>
                <c:pt idx="7">
                  <c:v>1.0999999999938836</c:v>
                </c:pt>
                <c:pt idx="8">
                  <c:v>1.3999999999896318</c:v>
                </c:pt>
                <c:pt idx="9">
                  <c:v>1.5999999999962711</c:v>
                </c:pt>
                <c:pt idx="10">
                  <c:v>2.0999999999986585</c:v>
                </c:pt>
                <c:pt idx="11">
                  <c:v>1.9999999999953388</c:v>
                </c:pt>
                <c:pt idx="12">
                  <c:v>2.0999999999986585</c:v>
                </c:pt>
                <c:pt idx="13">
                  <c:v>1.9999999999953388</c:v>
                </c:pt>
                <c:pt idx="14">
                  <c:v>1.9999999999953388</c:v>
                </c:pt>
                <c:pt idx="15">
                  <c:v>2.4499999999960664</c:v>
                </c:pt>
                <c:pt idx="16">
                  <c:v>3.6000000000058208</c:v>
                </c:pt>
                <c:pt idx="17">
                  <c:v>2.7999999999934744</c:v>
                </c:pt>
                <c:pt idx="18">
                  <c:v>2.899999999996794</c:v>
                </c:pt>
                <c:pt idx="19">
                  <c:v>2.4999999999977263</c:v>
                </c:pt>
                <c:pt idx="20">
                  <c:v>3.0000000000001137</c:v>
                </c:pt>
                <c:pt idx="21">
                  <c:v>3.0000000000001137</c:v>
                </c:pt>
                <c:pt idx="22">
                  <c:v>3.2999999999958618</c:v>
                </c:pt>
                <c:pt idx="23">
                  <c:v>4.5999999999963848</c:v>
                </c:pt>
                <c:pt idx="24">
                  <c:v>3.5999999999916099</c:v>
                </c:pt>
                <c:pt idx="25">
                  <c:v>4.6999999999997044</c:v>
                </c:pt>
                <c:pt idx="26">
                  <c:v>4.9999999999954525</c:v>
                </c:pt>
                <c:pt idx="27">
                  <c:v>5.0999999999987722</c:v>
                </c:pt>
                <c:pt idx="28">
                  <c:v>4.5999999999963848</c:v>
                </c:pt>
                <c:pt idx="29">
                  <c:v>5.2000000000020918</c:v>
                </c:pt>
                <c:pt idx="30">
                  <c:v>4.8999999999921329</c:v>
                </c:pt>
                <c:pt idx="31">
                  <c:v>4.8999999999921329</c:v>
                </c:pt>
                <c:pt idx="32">
                  <c:v>4.6999999999997044</c:v>
                </c:pt>
                <c:pt idx="33">
                  <c:v>5.3999999999945203</c:v>
                </c:pt>
                <c:pt idx="34">
                  <c:v>5.7999999999935881</c:v>
                </c:pt>
                <c:pt idx="35">
                  <c:v>5.0999999999987722</c:v>
                </c:pt>
                <c:pt idx="36">
                  <c:v>5.49999999999784</c:v>
                </c:pt>
                <c:pt idx="37">
                  <c:v>6.0999999999893362</c:v>
                </c:pt>
                <c:pt idx="38">
                  <c:v>5.7999999999935881</c:v>
                </c:pt>
                <c:pt idx="39">
                  <c:v>5.8999999999969077</c:v>
                </c:pt>
                <c:pt idx="40">
                  <c:v>-7.0000000000050022</c:v>
                </c:pt>
                <c:pt idx="41">
                  <c:v>-6.0000000000002274</c:v>
                </c:pt>
                <c:pt idx="43">
                  <c:v>-7.0000000000050022</c:v>
                </c:pt>
                <c:pt idx="45">
                  <c:v>-5.49999999999784</c:v>
                </c:pt>
                <c:pt idx="53">
                  <c:v>-8.6000000000012733</c:v>
                </c:pt>
                <c:pt idx="54">
                  <c:v>-10.850000000004911</c:v>
                </c:pt>
                <c:pt idx="57">
                  <c:v>-10.900000000006571</c:v>
                </c:pt>
                <c:pt idx="58">
                  <c:v>-11.200000000002319</c:v>
                </c:pt>
                <c:pt idx="59">
                  <c:v>-10.900000000006571</c:v>
                </c:pt>
                <c:pt idx="60">
                  <c:v>-10.900000000006571</c:v>
                </c:pt>
                <c:pt idx="61">
                  <c:v>-10.600000000010823</c:v>
                </c:pt>
                <c:pt idx="62">
                  <c:v>-10.300000000000864</c:v>
                </c:pt>
                <c:pt idx="63">
                  <c:v>-11.099999999999</c:v>
                </c:pt>
                <c:pt idx="64">
                  <c:v>-10.100000000008436</c:v>
                </c:pt>
                <c:pt idx="66">
                  <c:v>-10.500000000007503</c:v>
                </c:pt>
                <c:pt idx="67">
                  <c:v>-10.600000000010823</c:v>
                </c:pt>
                <c:pt idx="68">
                  <c:v>-11.800000000008026</c:v>
                </c:pt>
                <c:pt idx="71">
                  <c:v>-10.800000000003251</c:v>
                </c:pt>
                <c:pt idx="72">
                  <c:v>-10.600000000010823</c:v>
                </c:pt>
                <c:pt idx="73">
                  <c:v>-11.400000000008959</c:v>
                </c:pt>
                <c:pt idx="74">
                  <c:v>-10.500000000007503</c:v>
                </c:pt>
                <c:pt idx="75">
                  <c:v>-10.100000000008436</c:v>
                </c:pt>
                <c:pt idx="77">
                  <c:v>-10.199999999997544</c:v>
                </c:pt>
                <c:pt idx="78">
                  <c:v>-9.9000000000017963</c:v>
                </c:pt>
                <c:pt idx="79">
                  <c:v>-10.199999999997544</c:v>
                </c:pt>
                <c:pt idx="80">
                  <c:v>-9.7000000000093678</c:v>
                </c:pt>
                <c:pt idx="81">
                  <c:v>-9.9000000000017963</c:v>
                </c:pt>
                <c:pt idx="82">
                  <c:v>-9.7000000000093678</c:v>
                </c:pt>
                <c:pt idx="83">
                  <c:v>-8.8999999999970214</c:v>
                </c:pt>
                <c:pt idx="84">
                  <c:v>-8.5000000000121645</c:v>
                </c:pt>
                <c:pt idx="85">
                  <c:v>-9.3000000000103</c:v>
                </c:pt>
                <c:pt idx="86">
                  <c:v>-9.3999999999994088</c:v>
                </c:pt>
                <c:pt idx="87">
                  <c:v>-9.7000000000093678</c:v>
                </c:pt>
                <c:pt idx="88">
                  <c:v>-9.7999999999984766</c:v>
                </c:pt>
                <c:pt idx="89">
                  <c:v>-9.2000000000069804</c:v>
                </c:pt>
                <c:pt idx="90">
                  <c:v>-9.5000000000027285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CF-4B64-8C86-7D78C9612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07416"/>
        <c:axId val="603507808"/>
      </c:scatterChart>
      <c:valAx>
        <c:axId val="6035074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Distance au front [m]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03507808"/>
        <c:crossesAt val="0"/>
        <c:crossBetween val="midCat"/>
      </c:valAx>
      <c:valAx>
        <c:axId val="603507808"/>
        <c:scaling>
          <c:orientation val="minMax"/>
          <c:max val="20"/>
          <c:min val="-8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Déplacement</a:t>
                </a:r>
                <a:r>
                  <a:rPr lang="fr-FR" sz="800" b="1" baseline="0"/>
                  <a:t> en Z</a:t>
                </a:r>
                <a:r>
                  <a:rPr lang="fr-FR" sz="800" b="1"/>
                  <a:t>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03507416"/>
        <c:crosses val="autoZero"/>
        <c:crossBetween val="midCat"/>
        <c:majorUnit val="5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22" footer="0.49212598450000422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fr-FR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u="none" strike="noStrike" baseline="0">
                <a:effectLst/>
              </a:rPr>
              <a:t>Déplacement en PM
</a:t>
            </a:r>
            <a:endParaRPr lang="en-US"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Déplacements!$C$10:$C$100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0.17558600995926099</c:v>
                </c:pt>
                <c:pt idx="2">
                  <c:v>3.7019210282096537E-2</c:v>
                </c:pt>
                <c:pt idx="3">
                  <c:v>-0.24096726977518301</c:v>
                </c:pt>
                <c:pt idx="4">
                  <c:v>0.83081613462354653</c:v>
                </c:pt>
                <c:pt idx="5">
                  <c:v>-0.33159642626401364</c:v>
                </c:pt>
                <c:pt idx="6">
                  <c:v>0.43081613461026791</c:v>
                </c:pt>
                <c:pt idx="7">
                  <c:v>-0.14338632038857213</c:v>
                </c:pt>
                <c:pt idx="8">
                  <c:v>0.73081613462022688</c:v>
                </c:pt>
                <c:pt idx="9">
                  <c:v>-0.56918386539450694</c:v>
                </c:pt>
                <c:pt idx="10">
                  <c:v>-0.46918386539118728</c:v>
                </c:pt>
                <c:pt idx="11">
                  <c:v>0.63081613461690722</c:v>
                </c:pt>
                <c:pt idx="12">
                  <c:v>-0.66918386539782659</c:v>
                </c:pt>
                <c:pt idx="13">
                  <c:v>-6.918386537790866E-2</c:v>
                </c:pt>
                <c:pt idx="14">
                  <c:v>-0.46918386539118728</c:v>
                </c:pt>
                <c:pt idx="15">
                  <c:v>2.5461345330768381E-2</c:v>
                </c:pt>
                <c:pt idx="16">
                  <c:v>-0.51483801709650834</c:v>
                </c:pt>
                <c:pt idx="17">
                  <c:v>-2.0034816513430087</c:v>
                </c:pt>
                <c:pt idx="18">
                  <c:v>-0.98869028229842115</c:v>
                </c:pt>
                <c:pt idx="19">
                  <c:v>0.52675802274393391</c:v>
                </c:pt>
                <c:pt idx="20">
                  <c:v>0.46009758239051735</c:v>
                </c:pt>
                <c:pt idx="21">
                  <c:v>0.72588645605264901</c:v>
                </c:pt>
                <c:pt idx="22">
                  <c:v>-2.0278767586034974</c:v>
                </c:pt>
                <c:pt idx="23">
                  <c:v>-0.56918386539450694</c:v>
                </c:pt>
                <c:pt idx="24">
                  <c:v>-0.82005606529378383</c:v>
                </c:pt>
                <c:pt idx="25">
                  <c:v>0.2308161346036286</c:v>
                </c:pt>
                <c:pt idx="26">
                  <c:v>0.13081613460030894</c:v>
                </c:pt>
                <c:pt idx="27">
                  <c:v>-0.76918386537272454</c:v>
                </c:pt>
                <c:pt idx="28">
                  <c:v>0.13081613460030894</c:v>
                </c:pt>
                <c:pt idx="29">
                  <c:v>-6.918386537790866E-2</c:v>
                </c:pt>
                <c:pt idx="30">
                  <c:v>-0.270181904824085</c:v>
                </c:pt>
                <c:pt idx="31">
                  <c:v>0.2308161346036286</c:v>
                </c:pt>
                <c:pt idx="32">
                  <c:v>-1.1691838653860032</c:v>
                </c:pt>
                <c:pt idx="33">
                  <c:v>-0.56918386539450694</c:v>
                </c:pt>
                <c:pt idx="34">
                  <c:v>-0.76918386537272454</c:v>
                </c:pt>
                <c:pt idx="35">
                  <c:v>-0.26918386538454797</c:v>
                </c:pt>
                <c:pt idx="36">
                  <c:v>3.0816134625410996E-2</c:v>
                </c:pt>
                <c:pt idx="37">
                  <c:v>3.0816134625410996E-2</c:v>
                </c:pt>
                <c:pt idx="38">
                  <c:v>0.2308161346036286</c:v>
                </c:pt>
                <c:pt idx="39">
                  <c:v>0.2308161346036286</c:v>
                </c:pt>
                <c:pt idx="40">
                  <c:v>1.1308161346050838</c:v>
                </c:pt>
                <c:pt idx="41">
                  <c:v>0.63081613461690722</c:v>
                </c:pt>
                <c:pt idx="43">
                  <c:v>-6.918386537790866E-2</c:v>
                </c:pt>
                <c:pt idx="44">
                  <c:v>1.9598082361085289</c:v>
                </c:pt>
                <c:pt idx="45">
                  <c:v>0.73936334135282777</c:v>
                </c:pt>
                <c:pt idx="46">
                  <c:v>1.8447838668578243</c:v>
                </c:pt>
                <c:pt idx="47">
                  <c:v>1.1925093347144866</c:v>
                </c:pt>
                <c:pt idx="53">
                  <c:v>-1.2540527648354782</c:v>
                </c:pt>
                <c:pt idx="54">
                  <c:v>-1.6891155969460669</c:v>
                </c:pt>
                <c:pt idx="55">
                  <c:v>-2.9877787970065128</c:v>
                </c:pt>
                <c:pt idx="56">
                  <c:v>-3.2113024430486803</c:v>
                </c:pt>
                <c:pt idx="57">
                  <c:v>-3.1629384158122775</c:v>
                </c:pt>
                <c:pt idx="58">
                  <c:v>-3.6343809206584865</c:v>
                </c:pt>
                <c:pt idx="59">
                  <c:v>-3.2413699659059603</c:v>
                </c:pt>
                <c:pt idx="60">
                  <c:v>-2.9276436529528382</c:v>
                </c:pt>
                <c:pt idx="61">
                  <c:v>-2.9333160685212079</c:v>
                </c:pt>
                <c:pt idx="62">
                  <c:v>-2.7163176132489752</c:v>
                </c:pt>
                <c:pt idx="63">
                  <c:v>-2.7703540560821693</c:v>
                </c:pt>
                <c:pt idx="64">
                  <c:v>-2.0575179887032391</c:v>
                </c:pt>
                <c:pt idx="65">
                  <c:v>-3.1080491906720908</c:v>
                </c:pt>
                <c:pt idx="66">
                  <c:v>-3.0235188338281205</c:v>
                </c:pt>
                <c:pt idx="67">
                  <c:v>-3.0235188338281205</c:v>
                </c:pt>
                <c:pt idx="68">
                  <c:v>-2.449675957279851</c:v>
                </c:pt>
                <c:pt idx="69">
                  <c:v>-2.799995187785953</c:v>
                </c:pt>
                <c:pt idx="70">
                  <c:v>-3.6104120990785304</c:v>
                </c:pt>
                <c:pt idx="71">
                  <c:v>-3.2539940689275682</c:v>
                </c:pt>
                <c:pt idx="72">
                  <c:v>-3.0544392373599294</c:v>
                </c:pt>
                <c:pt idx="73">
                  <c:v>-5.5733341928601021</c:v>
                </c:pt>
                <c:pt idx="74">
                  <c:v>-3.3202280126545247</c:v>
                </c:pt>
                <c:pt idx="75">
                  <c:v>-3.4470235970900376</c:v>
                </c:pt>
                <c:pt idx="77">
                  <c:v>-3.4409248958411354</c:v>
                </c:pt>
                <c:pt idx="78">
                  <c:v>-3.3137029202521262</c:v>
                </c:pt>
                <c:pt idx="79">
                  <c:v>-4.292754048549341</c:v>
                </c:pt>
                <c:pt idx="80">
                  <c:v>-3.8457069603339278</c:v>
                </c:pt>
                <c:pt idx="81">
                  <c:v>-2.4562012535511712</c:v>
                </c:pt>
                <c:pt idx="82">
                  <c:v>-2.395639612842615</c:v>
                </c:pt>
                <c:pt idx="83">
                  <c:v>-2.9455135693865486</c:v>
                </c:pt>
                <c:pt idx="84">
                  <c:v>-2.62526206563507</c:v>
                </c:pt>
                <c:pt idx="85">
                  <c:v>-2.2082823947471297</c:v>
                </c:pt>
                <c:pt idx="86">
                  <c:v>-2.4801699696865853</c:v>
                </c:pt>
                <c:pt idx="87">
                  <c:v>-2.5707992316483796</c:v>
                </c:pt>
                <c:pt idx="88">
                  <c:v>-2.5285340039999937</c:v>
                </c:pt>
                <c:pt idx="89">
                  <c:v>-1.9424936194809561</c:v>
                </c:pt>
                <c:pt idx="90">
                  <c:v>-1.6767047458188244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C-4008-BE7B-73D2DEF1E26C}"/>
            </c:ext>
          </c:extLst>
        </c:ser>
        <c:ser>
          <c:idx val="13"/>
          <c:order val="1"/>
          <c:tx>
            <c:strRef>
              <c:f>Déplacements!$F$9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Déplacements!$F$10:$F$100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-9.551380033570922</c:v>
                </c:pt>
                <c:pt idx="2">
                  <c:v>-9.2790660675063918</c:v>
                </c:pt>
                <c:pt idx="3">
                  <c:v>-9.8651065504498092</c:v>
                </c:pt>
                <c:pt idx="4">
                  <c:v>-8.7769517596427704</c:v>
                </c:pt>
                <c:pt idx="5">
                  <c:v>-9.5993176767592558</c:v>
                </c:pt>
                <c:pt idx="6">
                  <c:v>-9.176951759656049</c:v>
                </c:pt>
                <c:pt idx="7">
                  <c:v>-9.1392200944255819</c:v>
                </c:pt>
                <c:pt idx="8">
                  <c:v>-8.5769517596645528</c:v>
                </c:pt>
                <c:pt idx="9">
                  <c:v>-9.3769517596626883</c:v>
                </c:pt>
                <c:pt idx="10">
                  <c:v>-9.4769517596375863</c:v>
                </c:pt>
                <c:pt idx="11">
                  <c:v>-7.9769517596446349</c:v>
                </c:pt>
                <c:pt idx="12">
                  <c:v>-9.3769517596626883</c:v>
                </c:pt>
                <c:pt idx="13">
                  <c:v>-8.3769517596579135</c:v>
                </c:pt>
                <c:pt idx="14">
                  <c:v>-8.5769517596645528</c:v>
                </c:pt>
                <c:pt idx="15">
                  <c:v>-9.2783554812285729</c:v>
                </c:pt>
                <c:pt idx="16">
                  <c:v>-9.5599101909442652</c:v>
                </c:pt>
                <c:pt idx="17">
                  <c:v>-10.763594067441318</c:v>
                </c:pt>
                <c:pt idx="18">
                  <c:v>-9.8394320587829043</c:v>
                </c:pt>
                <c:pt idx="19">
                  <c:v>-8.6320376582023073</c:v>
                </c:pt>
                <c:pt idx="20">
                  <c:v>-8.6625316706090416</c:v>
                </c:pt>
                <c:pt idx="21">
                  <c:v>-8.2516508064713889</c:v>
                </c:pt>
                <c:pt idx="22">
                  <c:v>-11.011512926245359</c:v>
                </c:pt>
                <c:pt idx="23">
                  <c:v>-9.0769517596527294</c:v>
                </c:pt>
                <c:pt idx="24">
                  <c:v>-9.7130627670480862</c:v>
                </c:pt>
                <c:pt idx="25">
                  <c:v>-8.6769517596394508</c:v>
                </c:pt>
                <c:pt idx="26">
                  <c:v>-8.6769517596394508</c:v>
                </c:pt>
                <c:pt idx="27">
                  <c:v>-9.0769517596527294</c:v>
                </c:pt>
                <c:pt idx="28">
                  <c:v>-8.6769517596394508</c:v>
                </c:pt>
                <c:pt idx="30">
                  <c:v>-9.3623171454169096</c:v>
                </c:pt>
                <c:pt idx="31">
                  <c:v>-8.9769517596494097</c:v>
                </c:pt>
                <c:pt idx="32">
                  <c:v>-9.5769517596409059</c:v>
                </c:pt>
                <c:pt idx="33">
                  <c:v>-9.6769517596442256</c:v>
                </c:pt>
                <c:pt idx="34">
                  <c:v>-9.5769517596409059</c:v>
                </c:pt>
                <c:pt idx="35">
                  <c:v>-9.2769517596593687</c:v>
                </c:pt>
                <c:pt idx="36">
                  <c:v>-8.7769517596427704</c:v>
                </c:pt>
                <c:pt idx="37">
                  <c:v>-8.8769517596460901</c:v>
                </c:pt>
                <c:pt idx="40">
                  <c:v>-7.8769517596413152</c:v>
                </c:pt>
                <c:pt idx="41">
                  <c:v>-8.7769517596427704</c:v>
                </c:pt>
                <c:pt idx="43">
                  <c:v>-8.4769517596612332</c:v>
                </c:pt>
                <c:pt idx="44">
                  <c:v>-6.6974774171910667</c:v>
                </c:pt>
                <c:pt idx="45">
                  <c:v>-7.9662863462317546</c:v>
                </c:pt>
                <c:pt idx="46">
                  <c:v>-7.5253378537638582</c:v>
                </c:pt>
                <c:pt idx="49">
                  <c:v>-7.5253378537638582</c:v>
                </c:pt>
                <c:pt idx="50">
                  <c:v>-6.7727504443553244</c:v>
                </c:pt>
                <c:pt idx="51">
                  <c:v>-7.4253378537605386</c:v>
                </c:pt>
                <c:pt idx="52">
                  <c:v>-7.9936217302076784</c:v>
                </c:pt>
                <c:pt idx="53">
                  <c:v>-7.3409209124122299</c:v>
                </c:pt>
                <c:pt idx="54">
                  <c:v>-7.2986555792908803</c:v>
                </c:pt>
                <c:pt idx="55">
                  <c:v>-8.6275996524420862</c:v>
                </c:pt>
                <c:pt idx="56">
                  <c:v>-8.851123298541097</c:v>
                </c:pt>
                <c:pt idx="57">
                  <c:v>-9.4249661751177882</c:v>
                </c:pt>
                <c:pt idx="58">
                  <c:v>-9.9386738091880034</c:v>
                </c:pt>
                <c:pt idx="59">
                  <c:v>-9.3282381135111336</c:v>
                </c:pt>
                <c:pt idx="60">
                  <c:v>-9.0145118005295899</c:v>
                </c:pt>
                <c:pt idx="61">
                  <c:v>-9.3705033411026761</c:v>
                </c:pt>
                <c:pt idx="62">
                  <c:v>-9.2441341477922379</c:v>
                </c:pt>
                <c:pt idx="63">
                  <c:v>-8.851123298541097</c:v>
                </c:pt>
                <c:pt idx="64">
                  <c:v>-8.3195456496127917</c:v>
                </c:pt>
                <c:pt idx="65">
                  <c:v>-8.9774924918515353</c:v>
                </c:pt>
                <c:pt idx="66">
                  <c:v>-8.8445982061671202</c:v>
                </c:pt>
                <c:pt idx="67">
                  <c:v>-8.9774924918515353</c:v>
                </c:pt>
                <c:pt idx="68">
                  <c:v>-8.4942789756325965</c:v>
                </c:pt>
                <c:pt idx="69">
                  <c:v>-8.7962340734293321</c:v>
                </c:pt>
                <c:pt idx="70">
                  <c:v>-9.6972802466837038</c:v>
                </c:pt>
                <c:pt idx="71">
                  <c:v>-9.2563317541873857</c:v>
                </c:pt>
                <c:pt idx="72">
                  <c:v>-9.141307384936681</c:v>
                </c:pt>
                <c:pt idx="73">
                  <c:v>-11.925991108626022</c:v>
                </c:pt>
                <c:pt idx="74">
                  <c:v>-9.183572612585067</c:v>
                </c:pt>
                <c:pt idx="75">
                  <c:v>-9.8057793195778231</c:v>
                </c:pt>
                <c:pt idx="76">
                  <c:v>-9.2981705906822754</c:v>
                </c:pt>
                <c:pt idx="77">
                  <c:v>-9.6184221999067177</c:v>
                </c:pt>
                <c:pt idx="78">
                  <c:v>-9.7147237719923396</c:v>
                </c:pt>
                <c:pt idx="79">
                  <c:v>-10.560880614605139</c:v>
                </c:pt>
                <c:pt idx="80">
                  <c:v>-9.9809390368079676</c:v>
                </c:pt>
                <c:pt idx="81">
                  <c:v>-9.1230109789535163</c:v>
                </c:pt>
                <c:pt idx="82">
                  <c:v>-9.6001256883937458</c:v>
                </c:pt>
                <c:pt idx="83">
                  <c:v>-10.149999848891866</c:v>
                </c:pt>
                <c:pt idx="84">
                  <c:v>-9.3404357198778598</c:v>
                </c:pt>
                <c:pt idx="85">
                  <c:v>-8.7060313080939977</c:v>
                </c:pt>
                <c:pt idx="86">
                  <c:v>-8.8872897264877793</c:v>
                </c:pt>
                <c:pt idx="87">
                  <c:v>-8.7543953353304005</c:v>
                </c:pt>
                <c:pt idx="88">
                  <c:v>-9.4249661751177882</c:v>
                </c:pt>
                <c:pt idx="89">
                  <c:v>-8.9718201817561294</c:v>
                </c:pt>
                <c:pt idx="90">
                  <c:v>-8.712130107738858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DC-4008-BE7B-73D2DEF1E26C}"/>
            </c:ext>
          </c:extLst>
        </c:ser>
        <c:ser>
          <c:idx val="8"/>
          <c:order val="2"/>
          <c:tx>
            <c:strRef>
              <c:f>Déplacements!$I$9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Déplacements!$I$10:$I$100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0.26011646519918941</c:v>
                </c:pt>
                <c:pt idx="2">
                  <c:v>0.52633163161885932</c:v>
                </c:pt>
                <c:pt idx="3">
                  <c:v>-0.38563277067282797</c:v>
                </c:pt>
                <c:pt idx="4">
                  <c:v>0.35175721075120236</c:v>
                </c:pt>
                <c:pt idx="5">
                  <c:v>-0.16820792424709907</c:v>
                </c:pt>
                <c:pt idx="6">
                  <c:v>0.35175721075120236</c:v>
                </c:pt>
                <c:pt idx="7">
                  <c:v>-0.28195312003731487</c:v>
                </c:pt>
                <c:pt idx="8">
                  <c:v>0.45175721075452202</c:v>
                </c:pt>
                <c:pt idx="9">
                  <c:v>-0.74824278925689214</c:v>
                </c:pt>
                <c:pt idx="10">
                  <c:v>-0.54824278925025283</c:v>
                </c:pt>
                <c:pt idx="11">
                  <c:v>0.85175721073937893</c:v>
                </c:pt>
                <c:pt idx="12">
                  <c:v>-0.64824278925357248</c:v>
                </c:pt>
                <c:pt idx="13">
                  <c:v>-0.34824278927203522</c:v>
                </c:pt>
                <c:pt idx="14">
                  <c:v>-0.34824278927203522</c:v>
                </c:pt>
                <c:pt idx="15">
                  <c:v>-0.48065506379657563</c:v>
                </c:pt>
                <c:pt idx="16">
                  <c:v>-1.3018482049460545</c:v>
                </c:pt>
                <c:pt idx="17">
                  <c:v>-2.6666743070506982</c:v>
                </c:pt>
                <c:pt idx="18">
                  <c:v>-1.6457843422585938</c:v>
                </c:pt>
                <c:pt idx="19">
                  <c:v>-0.29329794415389188</c:v>
                </c:pt>
                <c:pt idx="20">
                  <c:v>-0.36605708572778894</c:v>
                </c:pt>
                <c:pt idx="21">
                  <c:v>-0.13643473843671927</c:v>
                </c:pt>
                <c:pt idx="22">
                  <c:v>-2.6305079845485579</c:v>
                </c:pt>
                <c:pt idx="23">
                  <c:v>-1.0482427892668511</c:v>
                </c:pt>
                <c:pt idx="24">
                  <c:v>-1.5494827702013936</c:v>
                </c:pt>
                <c:pt idx="25">
                  <c:v>-0.64824278925357248</c:v>
                </c:pt>
                <c:pt idx="26">
                  <c:v>-0.54824278925025283</c:v>
                </c:pt>
                <c:pt idx="27">
                  <c:v>-1.2482427892450687</c:v>
                </c:pt>
                <c:pt idx="28">
                  <c:v>-0.74824278925689214</c:v>
                </c:pt>
                <c:pt idx="29">
                  <c:v>-0.24824278926871557</c:v>
                </c:pt>
                <c:pt idx="30">
                  <c:v>-1.1142066933018668</c:v>
                </c:pt>
                <c:pt idx="31">
                  <c:v>-0.44824278924693317</c:v>
                </c:pt>
                <c:pt idx="32">
                  <c:v>-1.0482427892668511</c:v>
                </c:pt>
                <c:pt idx="33">
                  <c:v>-1.1482427892701708</c:v>
                </c:pt>
                <c:pt idx="34">
                  <c:v>-1.2482427892450687</c:v>
                </c:pt>
                <c:pt idx="35">
                  <c:v>-0.54824278925025283</c:v>
                </c:pt>
                <c:pt idx="36">
                  <c:v>-0.54824278925025283</c:v>
                </c:pt>
                <c:pt idx="37">
                  <c:v>-0.94824278926353145</c:v>
                </c:pt>
                <c:pt idx="38">
                  <c:v>-0.54824278925025283</c:v>
                </c:pt>
                <c:pt idx="39">
                  <c:v>-0.64824278925357248</c:v>
                </c:pt>
                <c:pt idx="40">
                  <c:v>-0.14824278926539591</c:v>
                </c:pt>
                <c:pt idx="41">
                  <c:v>-4.8242789262076258E-2</c:v>
                </c:pt>
                <c:pt idx="43">
                  <c:v>-0.54824278925025283</c:v>
                </c:pt>
                <c:pt idx="45">
                  <c:v>-0.10466144709653236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DC-4008-BE7B-73D2DEF1E26C}"/>
            </c:ext>
          </c:extLst>
        </c:ser>
        <c:ser>
          <c:idx val="12"/>
          <c:order val="3"/>
          <c:tx>
            <c:strRef>
              <c:f>Déplacements!$L$9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Déplacements!$L$10:$L$100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-0.10849927681988447</c:v>
                </c:pt>
                <c:pt idx="2">
                  <c:v>-1.1716544763373804</c:v>
                </c:pt>
                <c:pt idx="3">
                  <c:v>-2.3559329430611342</c:v>
                </c:pt>
                <c:pt idx="4">
                  <c:v>-3.033115571952294</c:v>
                </c:pt>
                <c:pt idx="5">
                  <c:v>-2.9724673399869062</c:v>
                </c:pt>
                <c:pt idx="6">
                  <c:v>-2.8331155719456547</c:v>
                </c:pt>
                <c:pt idx="7">
                  <c:v>-4.4216817997266844</c:v>
                </c:pt>
                <c:pt idx="8">
                  <c:v>-4.2331155719352864</c:v>
                </c:pt>
                <c:pt idx="9">
                  <c:v>-5.5331155719500202</c:v>
                </c:pt>
                <c:pt idx="10">
                  <c:v>-6.1331155719415165</c:v>
                </c:pt>
                <c:pt idx="11">
                  <c:v>-4.9331155719301023</c:v>
                </c:pt>
                <c:pt idx="12">
                  <c:v>-6.5331155719547951</c:v>
                </c:pt>
                <c:pt idx="13">
                  <c:v>-6.2331155719448361</c:v>
                </c:pt>
                <c:pt idx="14">
                  <c:v>-6.2331155719448361</c:v>
                </c:pt>
                <c:pt idx="15">
                  <c:v>-7.2738787460764343</c:v>
                </c:pt>
                <c:pt idx="16">
                  <c:v>-7.9834522708210898</c:v>
                </c:pt>
                <c:pt idx="17">
                  <c:v>-10.040266063725767</c:v>
                </c:pt>
                <c:pt idx="18">
                  <c:v>-9.6899468332196648</c:v>
                </c:pt>
                <c:pt idx="19">
                  <c:v>-8.4581573183015735</c:v>
                </c:pt>
                <c:pt idx="20">
                  <c:v>-7.908709654515178</c:v>
                </c:pt>
                <c:pt idx="21">
                  <c:v>-8.0054377161218326</c:v>
                </c:pt>
                <c:pt idx="22">
                  <c:v>-11.14611298038426</c:v>
                </c:pt>
                <c:pt idx="23">
                  <c:v>-9.8331155719506569</c:v>
                </c:pt>
                <c:pt idx="24">
                  <c:v>-9.841564119966506</c:v>
                </c:pt>
                <c:pt idx="25">
                  <c:v>-9.0331155719525213</c:v>
                </c:pt>
                <c:pt idx="26">
                  <c:v>-9.7331155719473372</c:v>
                </c:pt>
                <c:pt idx="27">
                  <c:v>-10.133115571932194</c:v>
                </c:pt>
                <c:pt idx="28">
                  <c:v>-9.9331155719539765</c:v>
                </c:pt>
                <c:pt idx="29">
                  <c:v>-9.1331155719274193</c:v>
                </c:pt>
                <c:pt idx="30">
                  <c:v>-9.5757752463327961</c:v>
                </c:pt>
                <c:pt idx="31">
                  <c:v>-9.3331155719340586</c:v>
                </c:pt>
                <c:pt idx="32">
                  <c:v>-10.433115571942153</c:v>
                </c:pt>
                <c:pt idx="33">
                  <c:v>-10.233115571935514</c:v>
                </c:pt>
                <c:pt idx="34">
                  <c:v>-10.533115571945473</c:v>
                </c:pt>
                <c:pt idx="35">
                  <c:v>-11.433115571946928</c:v>
                </c:pt>
                <c:pt idx="36">
                  <c:v>-11.833115571931785</c:v>
                </c:pt>
                <c:pt idx="37">
                  <c:v>-11.933115571935105</c:v>
                </c:pt>
                <c:pt idx="38">
                  <c:v>-11.633115571953567</c:v>
                </c:pt>
                <c:pt idx="39">
                  <c:v>-11.133115571936969</c:v>
                </c:pt>
                <c:pt idx="40">
                  <c:v>-10.93311557193033</c:v>
                </c:pt>
                <c:pt idx="41">
                  <c:v>-9.9331155719539765</c:v>
                </c:pt>
                <c:pt idx="43">
                  <c:v>-11.633115571953567</c:v>
                </c:pt>
                <c:pt idx="44">
                  <c:v>-9.1823381042956953</c:v>
                </c:pt>
                <c:pt idx="45">
                  <c:v>-11.321272599190024</c:v>
                </c:pt>
                <c:pt idx="46">
                  <c:v>-9.5936453666638499</c:v>
                </c:pt>
                <c:pt idx="47">
                  <c:v>-10.161389338065874</c:v>
                </c:pt>
                <c:pt idx="49">
                  <c:v>-10.161389338065874</c:v>
                </c:pt>
                <c:pt idx="50">
                  <c:v>-9.7000695625695244</c:v>
                </c:pt>
                <c:pt idx="51">
                  <c:v>-10.161389338065874</c:v>
                </c:pt>
                <c:pt idx="52">
                  <c:v>-10.069111695713673</c:v>
                </c:pt>
                <c:pt idx="53">
                  <c:v>-10.769750156754299</c:v>
                </c:pt>
                <c:pt idx="54">
                  <c:v>-10.775635613185841</c:v>
                </c:pt>
                <c:pt idx="55">
                  <c:v>-13.065121360682497</c:v>
                </c:pt>
                <c:pt idx="56">
                  <c:v>-13.288645006724664</c:v>
                </c:pt>
                <c:pt idx="57">
                  <c:v>-13.566631388385986</c:v>
                </c:pt>
                <c:pt idx="58">
                  <c:v>-14.080339015350773</c:v>
                </c:pt>
                <c:pt idx="59">
                  <c:v>-13.651161843625914</c:v>
                </c:pt>
                <c:pt idx="60">
                  <c:v>-13.150078207075921</c:v>
                </c:pt>
                <c:pt idx="61">
                  <c:v>-13.602797809255662</c:v>
                </c:pt>
                <c:pt idx="62">
                  <c:v>-13.295170204628448</c:v>
                </c:pt>
                <c:pt idx="63">
                  <c:v>-13.349206541988679</c:v>
                </c:pt>
                <c:pt idx="64">
                  <c:v>-12.908258154993746</c:v>
                </c:pt>
                <c:pt idx="65">
                  <c:v>-13.469477034050215</c:v>
                </c:pt>
                <c:pt idx="66">
                  <c:v>-13.384946578810286</c:v>
                </c:pt>
                <c:pt idx="67">
                  <c:v>-13.566204997232489</c:v>
                </c:pt>
                <c:pt idx="68">
                  <c:v>-13.258150994346352</c:v>
                </c:pt>
                <c:pt idx="69">
                  <c:v>-14.297337470651428</c:v>
                </c:pt>
                <c:pt idx="70">
                  <c:v>-14.624540661856145</c:v>
                </c:pt>
                <c:pt idx="71">
                  <c:v>-14.26202393045628</c:v>
                </c:pt>
                <c:pt idx="72">
                  <c:v>-14.926495865069001</c:v>
                </c:pt>
                <c:pt idx="73">
                  <c:v>-16.532999921679448</c:v>
                </c:pt>
                <c:pt idx="74">
                  <c:v>-14.600145554595656</c:v>
                </c:pt>
                <c:pt idx="75">
                  <c:v>-15.488141135278966</c:v>
                </c:pt>
                <c:pt idx="76">
                  <c:v>-15.222352360012792</c:v>
                </c:pt>
                <c:pt idx="77">
                  <c:v>-15.041093941533745</c:v>
                </c:pt>
                <c:pt idx="78">
                  <c:v>-15.312555125319705</c:v>
                </c:pt>
                <c:pt idx="79">
                  <c:v>-15.627134326109626</c:v>
                </c:pt>
                <c:pt idx="80">
                  <c:v>-15.494239934923826</c:v>
                </c:pt>
                <c:pt idx="81">
                  <c:v>-14.534038018041429</c:v>
                </c:pt>
                <c:pt idx="82">
                  <c:v>-15.532573530066429</c:v>
                </c:pt>
                <c:pt idx="83">
                  <c:v>-16.327346290466949</c:v>
                </c:pt>
                <c:pt idx="84">
                  <c:v>-15.608411521867538</c:v>
                </c:pt>
                <c:pt idx="85">
                  <c:v>-15.511683460232462</c:v>
                </c:pt>
                <c:pt idx="86">
                  <c:v>-15.783571140644881</c:v>
                </c:pt>
                <c:pt idx="87">
                  <c:v>-15.964829559095506</c:v>
                </c:pt>
                <c:pt idx="88">
                  <c:v>-15.735207106303051</c:v>
                </c:pt>
                <c:pt idx="89">
                  <c:v>-15.5417510814857</c:v>
                </c:pt>
                <c:pt idx="90">
                  <c:v>-15.378789076123667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DC-4008-BE7B-73D2DEF1E26C}"/>
            </c:ext>
          </c:extLst>
        </c:ser>
        <c:ser>
          <c:idx val="11"/>
          <c:order val="4"/>
          <c:tx>
            <c:strRef>
              <c:f>Déplacements!$O$9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Déplacements!$O$10:$O$100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-0.28365889565407088</c:v>
                </c:pt>
                <c:pt idx="2">
                  <c:v>-0.59781159976068921</c:v>
                </c:pt>
                <c:pt idx="3">
                  <c:v>-0.56774407693183093</c:v>
                </c:pt>
                <c:pt idx="4">
                  <c:v>-0.20967949382111328</c:v>
                </c:pt>
                <c:pt idx="5">
                  <c:v>-0.25401766552590743</c:v>
                </c:pt>
                <c:pt idx="6">
                  <c:v>-0.30967949382443294</c:v>
                </c:pt>
                <c:pt idx="7">
                  <c:v>-0.10240047717502421</c:v>
                </c:pt>
                <c:pt idx="8">
                  <c:v>0.99032050619030088</c:v>
                </c:pt>
                <c:pt idx="9">
                  <c:v>0.39032050617038294</c:v>
                </c:pt>
                <c:pt idx="10">
                  <c:v>0.89032050618698122</c:v>
                </c:pt>
                <c:pt idx="11">
                  <c:v>2.4903205061832523</c:v>
                </c:pt>
                <c:pt idx="12">
                  <c:v>0.99032050619030088</c:v>
                </c:pt>
                <c:pt idx="13">
                  <c:v>1.7903205061884364</c:v>
                </c:pt>
                <c:pt idx="14">
                  <c:v>1.9903205061950757</c:v>
                </c:pt>
                <c:pt idx="15">
                  <c:v>1.1211864599545152</c:v>
                </c:pt>
                <c:pt idx="16">
                  <c:v>0.36230358500688453</c:v>
                </c:pt>
                <c:pt idx="17">
                  <c:v>-0.90629209219628137</c:v>
                </c:pt>
                <c:pt idx="18">
                  <c:v>-0.32635041597472991</c:v>
                </c:pt>
                <c:pt idx="19">
                  <c:v>1.4370168533446304</c:v>
                </c:pt>
                <c:pt idx="20">
                  <c:v>1.5877812523115153</c:v>
                </c:pt>
                <c:pt idx="21">
                  <c:v>1.7145768367470282</c:v>
                </c:pt>
                <c:pt idx="22">
                  <c:v>-0.80389172049422086</c:v>
                </c:pt>
                <c:pt idx="23">
                  <c:v>0.69032050618034191</c:v>
                </c:pt>
                <c:pt idx="24">
                  <c:v>0.50065723834791243</c:v>
                </c:pt>
                <c:pt idx="25">
                  <c:v>1.4903205061784774</c:v>
                </c:pt>
                <c:pt idx="26">
                  <c:v>1.0903205061936205</c:v>
                </c:pt>
                <c:pt idx="27">
                  <c:v>0.59032050617702225</c:v>
                </c:pt>
                <c:pt idx="28">
                  <c:v>0.79032050618366156</c:v>
                </c:pt>
                <c:pt idx="29">
                  <c:v>1.4903205061784774</c:v>
                </c:pt>
                <c:pt idx="30">
                  <c:v>1.9568232870881275</c:v>
                </c:pt>
                <c:pt idx="31">
                  <c:v>2.0903205061699737</c:v>
                </c:pt>
                <c:pt idx="32">
                  <c:v>1.4903205061784774</c:v>
                </c:pt>
                <c:pt idx="33">
                  <c:v>1.5903205061817971</c:v>
                </c:pt>
                <c:pt idx="34">
                  <c:v>1.2903205061718381</c:v>
                </c:pt>
                <c:pt idx="35">
                  <c:v>1.8903205061917561</c:v>
                </c:pt>
                <c:pt idx="36">
                  <c:v>1.5903205061817971</c:v>
                </c:pt>
                <c:pt idx="37">
                  <c:v>1.1903205061685185</c:v>
                </c:pt>
                <c:pt idx="38">
                  <c:v>1.4903205061784774</c:v>
                </c:pt>
                <c:pt idx="39">
                  <c:v>1.3903205061751578</c:v>
                </c:pt>
                <c:pt idx="40">
                  <c:v>1.8903205061917561</c:v>
                </c:pt>
                <c:pt idx="41">
                  <c:v>1.5903205061817971</c:v>
                </c:pt>
                <c:pt idx="43">
                  <c:v>0.79032050618366156</c:v>
                </c:pt>
                <c:pt idx="44">
                  <c:v>2.3441617278479043</c:v>
                </c:pt>
                <c:pt idx="45">
                  <c:v>1.437869635651623</c:v>
                </c:pt>
                <c:pt idx="46">
                  <c:v>1.8788180226181339</c:v>
                </c:pt>
                <c:pt idx="47">
                  <c:v>0.89409438032816979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DC-4008-BE7B-73D2DEF1E26C}"/>
            </c:ext>
          </c:extLst>
        </c:ser>
        <c:ser>
          <c:idx val="10"/>
          <c:order val="5"/>
          <c:tx>
            <c:strRef>
              <c:f>Déplacements!$U$9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Déplacements!$U$10:$U$100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-0.92416200862999176</c:v>
                </c:pt>
                <c:pt idx="2">
                  <c:v>-1.0936492118673868</c:v>
                </c:pt>
                <c:pt idx="3">
                  <c:v>-1.0940756029924614</c:v>
                </c:pt>
                <c:pt idx="4">
                  <c:v>8.4956488478837855E-2</c:v>
                </c:pt>
                <c:pt idx="5">
                  <c:v>-0.35769721066003513</c:v>
                </c:pt>
                <c:pt idx="6">
                  <c:v>-0.41504351150933871</c:v>
                </c:pt>
                <c:pt idx="7">
                  <c:v>-0.79254689637764386</c:v>
                </c:pt>
                <c:pt idx="8">
                  <c:v>-0.51504351151265837</c:v>
                </c:pt>
                <c:pt idx="9">
                  <c:v>-1.3150435115107939</c:v>
                </c:pt>
                <c:pt idx="10">
                  <c:v>-1.0150435115008349</c:v>
                </c:pt>
                <c:pt idx="11">
                  <c:v>0.68495648849875579</c:v>
                </c:pt>
                <c:pt idx="12">
                  <c:v>-0.2150435115026994</c:v>
                </c:pt>
                <c:pt idx="13">
                  <c:v>8.4956488478837855E-2</c:v>
                </c:pt>
                <c:pt idx="14">
                  <c:v>0.48495648849211648</c:v>
                </c:pt>
                <c:pt idx="15">
                  <c:v>-0.728160713208581</c:v>
                </c:pt>
                <c:pt idx="16">
                  <c:v>-0.88183231957827957</c:v>
                </c:pt>
                <c:pt idx="17">
                  <c:v>-2.6612994793424605</c:v>
                </c:pt>
                <c:pt idx="18">
                  <c:v>-1.3262566065463943</c:v>
                </c:pt>
                <c:pt idx="19">
                  <c:v>0.31031507128886915</c:v>
                </c:pt>
                <c:pt idx="20">
                  <c:v>0.45498067768789952</c:v>
                </c:pt>
                <c:pt idx="21">
                  <c:v>0.92599668587922679</c:v>
                </c:pt>
                <c:pt idx="22">
                  <c:v>-2.0700129790895971</c:v>
                </c:pt>
                <c:pt idx="23">
                  <c:v>-0.31504351150601906</c:v>
                </c:pt>
                <c:pt idx="24">
                  <c:v>-0.36678095929687515</c:v>
                </c:pt>
                <c:pt idx="25">
                  <c:v>0.48495648849211648</c:v>
                </c:pt>
                <c:pt idx="26">
                  <c:v>-1.5043511524481801E-2</c:v>
                </c:pt>
                <c:pt idx="27">
                  <c:v>-0.41504351150933871</c:v>
                </c:pt>
                <c:pt idx="28">
                  <c:v>-1.5043511524481801E-2</c:v>
                </c:pt>
                <c:pt idx="29">
                  <c:v>-0.51504351151265837</c:v>
                </c:pt>
                <c:pt idx="30">
                  <c:v>-0.63909503083436903</c:v>
                </c:pt>
                <c:pt idx="31">
                  <c:v>-0.11504351149937975</c:v>
                </c:pt>
                <c:pt idx="32">
                  <c:v>-0.71504351151929768</c:v>
                </c:pt>
                <c:pt idx="33">
                  <c:v>-0.61504351151597803</c:v>
                </c:pt>
                <c:pt idx="34">
                  <c:v>-1.5043511524481801E-2</c:v>
                </c:pt>
                <c:pt idx="35">
                  <c:v>0.38495648848879682</c:v>
                </c:pt>
                <c:pt idx="36">
                  <c:v>0.38495648848879682</c:v>
                </c:pt>
                <c:pt idx="37">
                  <c:v>0.28495648848547717</c:v>
                </c:pt>
                <c:pt idx="38">
                  <c:v>0.58495648849543613</c:v>
                </c:pt>
                <c:pt idx="39">
                  <c:v>0.38495648848879682</c:v>
                </c:pt>
                <c:pt idx="40">
                  <c:v>-2.0150435115056098</c:v>
                </c:pt>
                <c:pt idx="41">
                  <c:v>-2.8150435115037453</c:v>
                </c:pt>
                <c:pt idx="43">
                  <c:v>-4.0150435115151595</c:v>
                </c:pt>
                <c:pt idx="45">
                  <c:v>-2.9165963183288568</c:v>
                </c:pt>
                <c:pt idx="53">
                  <c:v>-1.0264334716225676</c:v>
                </c:pt>
                <c:pt idx="54">
                  <c:v>-1.340799420518124</c:v>
                </c:pt>
                <c:pt idx="57">
                  <c:v>-4.0293948239877864</c:v>
                </c:pt>
                <c:pt idx="58">
                  <c:v>-4.1988820271967597</c:v>
                </c:pt>
                <c:pt idx="59">
                  <c:v>-4.2590172696748141</c:v>
                </c:pt>
                <c:pt idx="60">
                  <c:v>-3.7156684055048572</c:v>
                </c:pt>
                <c:pt idx="61">
                  <c:v>-4.2590172696748141</c:v>
                </c:pt>
                <c:pt idx="62">
                  <c:v>-3.2808187197588268</c:v>
                </c:pt>
                <c:pt idx="63">
                  <c:v>-3.5161135810710675</c:v>
                </c:pt>
                <c:pt idx="64">
                  <c:v>-2.887807968903644</c:v>
                </c:pt>
                <c:pt idx="65">
                  <c:v>-3.9505368756920234</c:v>
                </c:pt>
                <c:pt idx="66">
                  <c:v>-3.914370349264118</c:v>
                </c:pt>
                <c:pt idx="67">
                  <c:v>-4.004999611254334</c:v>
                </c:pt>
                <c:pt idx="68">
                  <c:v>-3.9688331832508084</c:v>
                </c:pt>
                <c:pt idx="71">
                  <c:v>-4.2960364799569106</c:v>
                </c:pt>
                <c:pt idx="72">
                  <c:v>-4.4829673068988996</c:v>
                </c:pt>
                <c:pt idx="73">
                  <c:v>-5.1836056695151456</c:v>
                </c:pt>
                <c:pt idx="74">
                  <c:v>-4.3622705291852526</c:v>
                </c:pt>
                <c:pt idx="75">
                  <c:v>-4.1387468831430851</c:v>
                </c:pt>
                <c:pt idx="77">
                  <c:v>-4.2293760396034941</c:v>
                </c:pt>
                <c:pt idx="78">
                  <c:v>-4.8755516666290077</c:v>
                </c:pt>
                <c:pt idx="79">
                  <c:v>-5.4559197410526394</c:v>
                </c:pt>
                <c:pt idx="80">
                  <c:v>-5.4075557067108093</c:v>
                </c:pt>
                <c:pt idx="81">
                  <c:v>-4.0964816554946992</c:v>
                </c:pt>
                <c:pt idx="82">
                  <c:v>-4.3139064948434225</c:v>
                </c:pt>
                <c:pt idx="83">
                  <c:v>-4.9304408917407727</c:v>
                </c:pt>
                <c:pt idx="84">
                  <c:v>-4.6589797079832351</c:v>
                </c:pt>
                <c:pt idx="85">
                  <c:v>-4.3870921330722012</c:v>
                </c:pt>
                <c:pt idx="86">
                  <c:v>-4.6167144803632709</c:v>
                </c:pt>
                <c:pt idx="87">
                  <c:v>-4.4899188959277581</c:v>
                </c:pt>
                <c:pt idx="88">
                  <c:v>-4.6589797079832351</c:v>
                </c:pt>
                <c:pt idx="89">
                  <c:v>-4.7374113635783033</c:v>
                </c:pt>
                <c:pt idx="90">
                  <c:v>-4.8040716984303344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DC-4008-BE7B-73D2DEF1E26C}"/>
            </c:ext>
          </c:extLst>
        </c:ser>
        <c:ser>
          <c:idx val="9"/>
          <c:order val="6"/>
          <c:tx>
            <c:strRef>
              <c:f>Déplacements!$R$9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Déplacements!$R$10:$R$100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-0.3742880521144798</c:v>
                </c:pt>
                <c:pt idx="2">
                  <c:v>-0.320251609252864</c:v>
                </c:pt>
                <c:pt idx="3">
                  <c:v>-0.26011646519918941</c:v>
                </c:pt>
                <c:pt idx="4">
                  <c:v>0.87710783896000066</c:v>
                </c:pt>
                <c:pt idx="5">
                  <c:v>0.25883718626573682</c:v>
                </c:pt>
                <c:pt idx="6">
                  <c:v>7.7107838961865127E-2</c:v>
                </c:pt>
                <c:pt idx="7">
                  <c:v>-0.79212050525256927</c:v>
                </c:pt>
                <c:pt idx="8">
                  <c:v>-0.22289216104809384</c:v>
                </c:pt>
                <c:pt idx="9">
                  <c:v>-1.122892161049549</c:v>
                </c:pt>
                <c:pt idx="10">
                  <c:v>-0.92289216104290972</c:v>
                </c:pt>
                <c:pt idx="11">
                  <c:v>0.37710783894340238</c:v>
                </c:pt>
                <c:pt idx="12">
                  <c:v>-0.52289216105805281</c:v>
                </c:pt>
                <c:pt idx="13">
                  <c:v>-0.12289216104477418</c:v>
                </c:pt>
                <c:pt idx="14">
                  <c:v>0.17710783893676307</c:v>
                </c:pt>
                <c:pt idx="15">
                  <c:v>-0.94196777308752644</c:v>
                </c:pt>
                <c:pt idx="16">
                  <c:v>-1.3312893791521674</c:v>
                </c:pt>
                <c:pt idx="17">
                  <c:v>-3.0351611403318657</c:v>
                </c:pt>
                <c:pt idx="18">
                  <c:v>-1.5672238763784208</c:v>
                </c:pt>
                <c:pt idx="19">
                  <c:v>-0.46832864711632283</c:v>
                </c:pt>
                <c:pt idx="20">
                  <c:v>-0.43868741701658109</c:v>
                </c:pt>
                <c:pt idx="21">
                  <c:v>0.32251257923121557</c:v>
                </c:pt>
                <c:pt idx="22">
                  <c:v>-2.5345038949069476</c:v>
                </c:pt>
                <c:pt idx="23">
                  <c:v>-0.92289216104290972</c:v>
                </c:pt>
                <c:pt idx="24">
                  <c:v>-0.87963590951289916</c:v>
                </c:pt>
                <c:pt idx="25">
                  <c:v>-0.3228921610514135</c:v>
                </c:pt>
                <c:pt idx="26">
                  <c:v>-0.42289216105473315</c:v>
                </c:pt>
                <c:pt idx="27">
                  <c:v>-0.82289216103959006</c:v>
                </c:pt>
                <c:pt idx="28">
                  <c:v>-0.82289216103959006</c:v>
                </c:pt>
                <c:pt idx="29">
                  <c:v>-0.82289216103959006</c:v>
                </c:pt>
                <c:pt idx="30">
                  <c:v>-0.92232752822951625</c:v>
                </c:pt>
                <c:pt idx="31">
                  <c:v>-0.52289216105805281</c:v>
                </c:pt>
                <c:pt idx="32">
                  <c:v>-1.0228921610462294</c:v>
                </c:pt>
                <c:pt idx="33">
                  <c:v>-1.122892161049549</c:v>
                </c:pt>
                <c:pt idx="34">
                  <c:v>-0.72289216103627041</c:v>
                </c:pt>
                <c:pt idx="35">
                  <c:v>-0.12289216104477418</c:v>
                </c:pt>
                <c:pt idx="36">
                  <c:v>-0.42289216105473315</c:v>
                </c:pt>
                <c:pt idx="37">
                  <c:v>-0.3228921610514135</c:v>
                </c:pt>
                <c:pt idx="38">
                  <c:v>-0.52289216105805281</c:v>
                </c:pt>
                <c:pt idx="39">
                  <c:v>-0.62289216106137246</c:v>
                </c:pt>
                <c:pt idx="40">
                  <c:v>-0.3228921610514135</c:v>
                </c:pt>
                <c:pt idx="41">
                  <c:v>-0.52289216105805281</c:v>
                </c:pt>
                <c:pt idx="43">
                  <c:v>-1.5228921610628277</c:v>
                </c:pt>
                <c:pt idx="44">
                  <c:v>7.4593720398752339E-2</c:v>
                </c:pt>
                <c:pt idx="45">
                  <c:v>-1.0129566847467686</c:v>
                </c:pt>
                <c:pt idx="46">
                  <c:v>-0.27615190126084599</c:v>
                </c:pt>
                <c:pt idx="47">
                  <c:v>-0.72319909497764456</c:v>
                </c:pt>
                <c:pt idx="49">
                  <c:v>-0.72319909497764456</c:v>
                </c:pt>
                <c:pt idx="50">
                  <c:v>0.10065379805723751</c:v>
                </c:pt>
                <c:pt idx="51">
                  <c:v>-1.4231990949724604</c:v>
                </c:pt>
                <c:pt idx="52">
                  <c:v>1.2601105625265063</c:v>
                </c:pt>
                <c:pt idx="53">
                  <c:v>0.29368343174951406</c:v>
                </c:pt>
                <c:pt idx="54">
                  <c:v>0.13944323120540503</c:v>
                </c:pt>
                <c:pt idx="55">
                  <c:v>-2.1472063577334666</c:v>
                </c:pt>
                <c:pt idx="56">
                  <c:v>-2.3707299053512543</c:v>
                </c:pt>
                <c:pt idx="57">
                  <c:v>-2.9750667943062581</c:v>
                </c:pt>
                <c:pt idx="58">
                  <c:v>-3.3258124159942781</c:v>
                </c:pt>
                <c:pt idx="59">
                  <c:v>-3.4704781207892665</c:v>
                </c:pt>
                <c:pt idx="60">
                  <c:v>-2.7458708381686847</c:v>
                </c:pt>
                <c:pt idx="61">
                  <c:v>-2.8844376378458492</c:v>
                </c:pt>
                <c:pt idx="62">
                  <c:v>-2.4500144416492731</c:v>
                </c:pt>
                <c:pt idx="63">
                  <c:v>-2.455686751744679</c:v>
                </c:pt>
                <c:pt idx="64">
                  <c:v>-2.0992688199896747</c:v>
                </c:pt>
                <c:pt idx="65">
                  <c:v>-2.9807392099314711</c:v>
                </c:pt>
                <c:pt idx="66">
                  <c:v>-2.7633143635057422</c:v>
                </c:pt>
                <c:pt idx="67">
                  <c:v>-3.2164603568389794</c:v>
                </c:pt>
                <c:pt idx="68">
                  <c:v>-2.5458896225813987</c:v>
                </c:pt>
                <c:pt idx="71">
                  <c:v>-3.2295108509856618</c:v>
                </c:pt>
                <c:pt idx="72">
                  <c:v>-4.1414753517301506</c:v>
                </c:pt>
                <c:pt idx="73">
                  <c:v>-4.2983385573904798</c:v>
                </c:pt>
                <c:pt idx="74">
                  <c:v>-4.2865673421772499</c:v>
                </c:pt>
                <c:pt idx="75">
                  <c:v>-3.7427920868537967</c:v>
                </c:pt>
                <c:pt idx="76">
                  <c:v>-4.0508460897399345</c:v>
                </c:pt>
                <c:pt idx="77">
                  <c:v>-4.5039920830731717</c:v>
                </c:pt>
                <c:pt idx="78">
                  <c:v>-4.7937496799761448</c:v>
                </c:pt>
                <c:pt idx="79">
                  <c:v>-4.9632368831566964</c:v>
                </c:pt>
                <c:pt idx="80">
                  <c:v>-5.1022301723833152</c:v>
                </c:pt>
                <c:pt idx="81">
                  <c:v>-3.6521629303649661</c:v>
                </c:pt>
                <c:pt idx="82">
                  <c:v>-4.0992101240817647</c:v>
                </c:pt>
                <c:pt idx="83">
                  <c:v>-4.389394105004385</c:v>
                </c:pt>
                <c:pt idx="84">
                  <c:v>-4.4922209733613272</c:v>
                </c:pt>
                <c:pt idx="85">
                  <c:v>-3.7249220719957066</c:v>
                </c:pt>
                <c:pt idx="86">
                  <c:v>-4.7157446194034947</c:v>
                </c:pt>
                <c:pt idx="87">
                  <c:v>-4.4076905180929771</c:v>
                </c:pt>
                <c:pt idx="88">
                  <c:v>-5.0237986222896325</c:v>
                </c:pt>
                <c:pt idx="89">
                  <c:v>-4.3288324713728343</c:v>
                </c:pt>
                <c:pt idx="90">
                  <c:v>-4.4015917113995329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DC-4008-BE7B-73D2DEF1E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08592"/>
        <c:axId val="603508984"/>
      </c:scatterChart>
      <c:valAx>
        <c:axId val="6035085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Distance au front [m]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03508984"/>
        <c:crossesAt val="0"/>
        <c:crossBetween val="midCat"/>
      </c:valAx>
      <c:valAx>
        <c:axId val="603508984"/>
        <c:scaling>
          <c:orientation val="minMax"/>
          <c:max val="20"/>
          <c:min val="-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Déplacement</a:t>
                </a:r>
                <a:r>
                  <a:rPr lang="fr-FR" sz="800" b="1" baseline="0"/>
                  <a:t> en PM</a:t>
                </a:r>
                <a:r>
                  <a:rPr lang="fr-FR" sz="800" b="1"/>
                  <a:t>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03508592"/>
        <c:crosses val="autoZero"/>
        <c:crossBetween val="midCat"/>
        <c:majorUnit val="5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11" footer="0.49212598450000411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fr-FR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u="none" strike="noStrike" baseline="0">
                <a:effectLst/>
              </a:rPr>
              <a:t>Déplacement en déport
</a:t>
            </a:r>
            <a:endParaRPr lang="en-US"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Déplacements!$D$10:$D$100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1.5163013967258721</c:v>
                </c:pt>
                <c:pt idx="2">
                  <c:v>2.9964362107990361</c:v>
                </c:pt>
                <c:pt idx="3">
                  <c:v>2.6461170857952077</c:v>
                </c:pt>
                <c:pt idx="4">
                  <c:v>2.6010247454251179</c:v>
                </c:pt>
                <c:pt idx="5">
                  <c:v>2.6038519073803279</c:v>
                </c:pt>
                <c:pt idx="6">
                  <c:v>2.9010247454253069</c:v>
                </c:pt>
                <c:pt idx="7">
                  <c:v>6.2224948181155426</c:v>
                </c:pt>
                <c:pt idx="8">
                  <c:v>6.3010247454253765</c:v>
                </c:pt>
                <c:pt idx="9">
                  <c:v>6.6010247454251214</c:v>
                </c:pt>
                <c:pt idx="10">
                  <c:v>6.6010247454251214</c:v>
                </c:pt>
                <c:pt idx="11">
                  <c:v>4.3010247454251527</c:v>
                </c:pt>
                <c:pt idx="12">
                  <c:v>4.4010247454253637</c:v>
                </c:pt>
                <c:pt idx="13">
                  <c:v>4.4010247454253637</c:v>
                </c:pt>
                <c:pt idx="14">
                  <c:v>4.0010247454254078</c:v>
                </c:pt>
                <c:pt idx="15">
                  <c:v>5.0323306346644614</c:v>
                </c:pt>
                <c:pt idx="16">
                  <c:v>6.5457955634267151</c:v>
                </c:pt>
                <c:pt idx="17">
                  <c:v>8.5548852815207077</c:v>
                </c:pt>
                <c:pt idx="18">
                  <c:v>8.0350787915044464</c:v>
                </c:pt>
                <c:pt idx="19">
                  <c:v>4.548903930039927</c:v>
                </c:pt>
                <c:pt idx="20">
                  <c:v>3.7454387061748307</c:v>
                </c:pt>
                <c:pt idx="21">
                  <c:v>3.6487105882847537</c:v>
                </c:pt>
                <c:pt idx="22">
                  <c:v>7.6607908449131124</c:v>
                </c:pt>
                <c:pt idx="23">
                  <c:v>6.0010247454251875</c:v>
                </c:pt>
                <c:pt idx="24">
                  <c:v>6.0172676343688281</c:v>
                </c:pt>
                <c:pt idx="25">
                  <c:v>5.2010247454252756</c:v>
                </c:pt>
                <c:pt idx="26">
                  <c:v>6.5010247454253545</c:v>
                </c:pt>
                <c:pt idx="27">
                  <c:v>5.9010247454254205</c:v>
                </c:pt>
                <c:pt idx="28">
                  <c:v>7.1010247454252884</c:v>
                </c:pt>
                <c:pt idx="29">
                  <c:v>8.7010247454251122</c:v>
                </c:pt>
                <c:pt idx="30">
                  <c:v>6.4943823930101452</c:v>
                </c:pt>
                <c:pt idx="31">
                  <c:v>6.4010247454251434</c:v>
                </c:pt>
                <c:pt idx="32">
                  <c:v>6.1010247454253985</c:v>
                </c:pt>
                <c:pt idx="33">
                  <c:v>6.1010247454253985</c:v>
                </c:pt>
                <c:pt idx="34">
                  <c:v>6.2010247454251655</c:v>
                </c:pt>
                <c:pt idx="35">
                  <c:v>6.8010247454250994</c:v>
                </c:pt>
                <c:pt idx="36">
                  <c:v>7.3010247454252664</c:v>
                </c:pt>
                <c:pt idx="37">
                  <c:v>7.0010247454255214</c:v>
                </c:pt>
                <c:pt idx="38">
                  <c:v>7.4010247454254774</c:v>
                </c:pt>
                <c:pt idx="39">
                  <c:v>7.6010247454254554</c:v>
                </c:pt>
                <c:pt idx="40">
                  <c:v>7.0010247454255214</c:v>
                </c:pt>
                <c:pt idx="41">
                  <c:v>7.8010247454254333</c:v>
                </c:pt>
                <c:pt idx="43">
                  <c:v>8.6010247454253452</c:v>
                </c:pt>
                <c:pt idx="44">
                  <c:v>9.5204596792020091</c:v>
                </c:pt>
                <c:pt idx="45">
                  <c:v>9.0616413265713902</c:v>
                </c:pt>
                <c:pt idx="46">
                  <c:v>8.5841000149535773</c:v>
                </c:pt>
                <c:pt idx="47">
                  <c:v>9.2729673170777183</c:v>
                </c:pt>
                <c:pt idx="53">
                  <c:v>9.7871013915002969</c:v>
                </c:pt>
                <c:pt idx="54">
                  <c:v>9.4186989997528947</c:v>
                </c:pt>
                <c:pt idx="55">
                  <c:v>10.192309847124381</c:v>
                </c:pt>
                <c:pt idx="56">
                  <c:v>10.198408703072204</c:v>
                </c:pt>
                <c:pt idx="57">
                  <c:v>10.331302932458097</c:v>
                </c:pt>
                <c:pt idx="58">
                  <c:v>9.4494061584722289</c:v>
                </c:pt>
                <c:pt idx="59">
                  <c:v>10.736084996929129</c:v>
                </c:pt>
                <c:pt idx="60">
                  <c:v>9.1169570483793372</c:v>
                </c:pt>
                <c:pt idx="61">
                  <c:v>10.54872777885496</c:v>
                </c:pt>
                <c:pt idx="62">
                  <c:v>8.6638109494932003</c:v>
                </c:pt>
                <c:pt idx="63">
                  <c:v>9.9626874506353325</c:v>
                </c:pt>
                <c:pt idx="64">
                  <c:v>9.8537618318310649</c:v>
                </c:pt>
                <c:pt idx="65">
                  <c:v>12.343015395444468</c:v>
                </c:pt>
                <c:pt idx="66">
                  <c:v>12.161757082511659</c:v>
                </c:pt>
                <c:pt idx="67">
                  <c:v>12.161757082511659</c:v>
                </c:pt>
                <c:pt idx="68">
                  <c:v>11.877671795715194</c:v>
                </c:pt>
                <c:pt idx="69">
                  <c:v>12.155658226594035</c:v>
                </c:pt>
                <c:pt idx="70">
                  <c:v>8.6882061622368667</c:v>
                </c:pt>
                <c:pt idx="71">
                  <c:v>8.6337432227421296</c:v>
                </c:pt>
                <c:pt idx="72">
                  <c:v>9.3888446232481826</c:v>
                </c:pt>
                <c:pt idx="73">
                  <c:v>10.531284204342573</c:v>
                </c:pt>
                <c:pt idx="74">
                  <c:v>9.4855725301723481</c:v>
                </c:pt>
                <c:pt idx="75">
                  <c:v>9.7574601050762766</c:v>
                </c:pt>
                <c:pt idx="77">
                  <c:v>9.9809838074471635</c:v>
                </c:pt>
                <c:pt idx="78">
                  <c:v>11.364390714597494</c:v>
                </c:pt>
                <c:pt idx="79">
                  <c:v>9.9147498074292351</c:v>
                </c:pt>
                <c:pt idx="80">
                  <c:v>9.9025522573361613</c:v>
                </c:pt>
                <c:pt idx="81">
                  <c:v>9.9988537731072746</c:v>
                </c:pt>
                <c:pt idx="82">
                  <c:v>10.578795505608696</c:v>
                </c:pt>
                <c:pt idx="83">
                  <c:v>10.101680585157258</c:v>
                </c:pt>
                <c:pt idx="84">
                  <c:v>10.361370609973442</c:v>
                </c:pt>
                <c:pt idx="85">
                  <c:v>10.88684940300011</c:v>
                </c:pt>
                <c:pt idx="86">
                  <c:v>10.760053818553938</c:v>
                </c:pt>
                <c:pt idx="87">
                  <c:v>10.71778859093131</c:v>
                </c:pt>
                <c:pt idx="88">
                  <c:v>10.627159328966407</c:v>
                </c:pt>
                <c:pt idx="89">
                  <c:v>10.790121496089711</c:v>
                </c:pt>
                <c:pt idx="90">
                  <c:v>10.693393378183202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32-4DAD-BCEA-45D98FADD109}"/>
            </c:ext>
          </c:extLst>
        </c:ser>
        <c:ser>
          <c:idx val="13"/>
          <c:order val="1"/>
          <c:tx>
            <c:strRef>
              <c:f>Déplacements!$G$9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Déplacements!$G$10:$G$100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-0.81310432867987004</c:v>
                </c:pt>
                <c:pt idx="2">
                  <c:v>0.96898573784276465</c:v>
                </c:pt>
                <c:pt idx="3">
                  <c:v>0.80602378170002709</c:v>
                </c:pt>
                <c:pt idx="4">
                  <c:v>0.28569420518564925</c:v>
                </c:pt>
                <c:pt idx="5">
                  <c:v>0.70929566381039422</c:v>
                </c:pt>
                <c:pt idx="6">
                  <c:v>1.2856942051855391</c:v>
                </c:pt>
                <c:pt idx="7">
                  <c:v>4.4547343699967712</c:v>
                </c:pt>
                <c:pt idx="8">
                  <c:v>4.5856942051858418</c:v>
                </c:pt>
                <c:pt idx="9">
                  <c:v>4.7856942051858198</c:v>
                </c:pt>
                <c:pt idx="10">
                  <c:v>4.9856942051857978</c:v>
                </c:pt>
                <c:pt idx="11">
                  <c:v>2.785694205185596</c:v>
                </c:pt>
                <c:pt idx="12">
                  <c:v>2.885694205185807</c:v>
                </c:pt>
                <c:pt idx="13">
                  <c:v>2.685694205185829</c:v>
                </c:pt>
                <c:pt idx="14">
                  <c:v>2.2856942051858731</c:v>
                </c:pt>
                <c:pt idx="15">
                  <c:v>3.7278100152864369</c:v>
                </c:pt>
                <c:pt idx="16">
                  <c:v>5.1596517382637153</c:v>
                </c:pt>
                <c:pt idx="17">
                  <c:v>7.2280732695757521</c:v>
                </c:pt>
                <c:pt idx="18">
                  <c:v>6.666001762955176</c:v>
                </c:pt>
                <c:pt idx="19">
                  <c:v>3.3671838593281045</c:v>
                </c:pt>
                <c:pt idx="20">
                  <c:v>2.249565882164184</c:v>
                </c:pt>
                <c:pt idx="21">
                  <c:v>2.5515209235709158</c:v>
                </c:pt>
                <c:pt idx="22">
                  <c:v>6.3400776396629333</c:v>
                </c:pt>
                <c:pt idx="23">
                  <c:v>4.5856942051858418</c:v>
                </c:pt>
                <c:pt idx="24">
                  <c:v>4.7388194949578022</c:v>
                </c:pt>
                <c:pt idx="25">
                  <c:v>3.8856942051856969</c:v>
                </c:pt>
                <c:pt idx="26">
                  <c:v>5.0856942051855647</c:v>
                </c:pt>
                <c:pt idx="27">
                  <c:v>4.5856942051858418</c:v>
                </c:pt>
                <c:pt idx="28">
                  <c:v>5.8856942051859207</c:v>
                </c:pt>
                <c:pt idx="30">
                  <c:v>6.1161275461598663</c:v>
                </c:pt>
                <c:pt idx="31">
                  <c:v>5.3856942051857537</c:v>
                </c:pt>
                <c:pt idx="32">
                  <c:v>4.8856942051855867</c:v>
                </c:pt>
                <c:pt idx="33">
                  <c:v>5.2856942051855427</c:v>
                </c:pt>
                <c:pt idx="34">
                  <c:v>5.4856942051859647</c:v>
                </c:pt>
                <c:pt idx="35">
                  <c:v>6.0856942051858987</c:v>
                </c:pt>
                <c:pt idx="36">
                  <c:v>6.5856942051856215</c:v>
                </c:pt>
                <c:pt idx="37">
                  <c:v>6.2856942051858766</c:v>
                </c:pt>
                <c:pt idx="40">
                  <c:v>6.5856942051856215</c:v>
                </c:pt>
                <c:pt idx="41">
                  <c:v>7.1856942051855555</c:v>
                </c:pt>
                <c:pt idx="43">
                  <c:v>7.5856942051859555</c:v>
                </c:pt>
                <c:pt idx="44">
                  <c:v>8.6829600885955927</c:v>
                </c:pt>
                <c:pt idx="45">
                  <c:v>8.0912472463761098</c:v>
                </c:pt>
                <c:pt idx="46">
                  <c:v>7.8555260431434348</c:v>
                </c:pt>
                <c:pt idx="49">
                  <c:v>7.8555260431434348</c:v>
                </c:pt>
                <c:pt idx="50">
                  <c:v>8.2272942794552328</c:v>
                </c:pt>
                <c:pt idx="51">
                  <c:v>7.9555260431436459</c:v>
                </c:pt>
                <c:pt idx="52">
                  <c:v>6.1131814447406008</c:v>
                </c:pt>
                <c:pt idx="53">
                  <c:v>7.0796085755242544</c:v>
                </c:pt>
                <c:pt idx="54">
                  <c:v>6.9889793627662122</c:v>
                </c:pt>
                <c:pt idx="55">
                  <c:v>7.4726193193161983</c:v>
                </c:pt>
                <c:pt idx="56">
                  <c:v>7.4787181752387077</c:v>
                </c:pt>
                <c:pt idx="57">
                  <c:v>7.7628034620143005</c:v>
                </c:pt>
                <c:pt idx="58">
                  <c:v>6.9715357390367494</c:v>
                </c:pt>
                <c:pt idx="59">
                  <c:v>8.0285921809810645</c:v>
                </c:pt>
                <c:pt idx="60">
                  <c:v>6.4094642324143969</c:v>
                </c:pt>
                <c:pt idx="61">
                  <c:v>8.1192214429761655</c:v>
                </c:pt>
                <c:pt idx="62">
                  <c:v>6.1920393859931089</c:v>
                </c:pt>
                <c:pt idx="63">
                  <c:v>7.4787181752387077</c:v>
                </c:pt>
                <c:pt idx="64">
                  <c:v>7.2852621504440052</c:v>
                </c:pt>
                <c:pt idx="65">
                  <c:v>9.4059002322142149</c:v>
                </c:pt>
                <c:pt idx="66">
                  <c:v>9.3575363596491989</c:v>
                </c:pt>
                <c:pt idx="67">
                  <c:v>9.4059002322142149</c:v>
                </c:pt>
                <c:pt idx="68">
                  <c:v>9.0795499288014447</c:v>
                </c:pt>
                <c:pt idx="69">
                  <c:v>9.4904306382277426</c:v>
                </c:pt>
                <c:pt idx="70">
                  <c:v>5.9807133462816964</c:v>
                </c:pt>
                <c:pt idx="71">
                  <c:v>5.7449921430681172</c:v>
                </c:pt>
                <c:pt idx="72">
                  <c:v>6.681351807306779</c:v>
                </c:pt>
                <c:pt idx="73">
                  <c:v>7.9205195555127617</c:v>
                </c:pt>
                <c:pt idx="74">
                  <c:v>6.7719810692934423</c:v>
                </c:pt>
                <c:pt idx="75">
                  <c:v>6.9231717046616126</c:v>
                </c:pt>
                <c:pt idx="76">
                  <c:v>7.490915887115257</c:v>
                </c:pt>
                <c:pt idx="77">
                  <c:v>7.231225813079778</c:v>
                </c:pt>
                <c:pt idx="78">
                  <c:v>8.6207313651733841</c:v>
                </c:pt>
                <c:pt idx="79">
                  <c:v>7.1227265854445498</c:v>
                </c:pt>
                <c:pt idx="80">
                  <c:v>7.0621650010114223</c:v>
                </c:pt>
                <c:pt idx="81">
                  <c:v>7.3519225415696887</c:v>
                </c:pt>
                <c:pt idx="82">
                  <c:v>7.9017965965713088</c:v>
                </c:pt>
                <c:pt idx="83">
                  <c:v>7.4246818379029023</c:v>
                </c:pt>
                <c:pt idx="84">
                  <c:v>7.5815449380751687</c:v>
                </c:pt>
                <c:pt idx="85">
                  <c:v>7.8774013345968008</c:v>
                </c:pt>
                <c:pt idx="86">
                  <c:v>7.7928709285655096</c:v>
                </c:pt>
                <c:pt idx="87">
                  <c:v>7.7445071052077985</c:v>
                </c:pt>
                <c:pt idx="88">
                  <c:v>7.7628034620143005</c:v>
                </c:pt>
                <c:pt idx="89">
                  <c:v>7.9741294525303985</c:v>
                </c:pt>
                <c:pt idx="90">
                  <c:v>7.6538778432504451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32-4DAD-BCEA-45D98FADD109}"/>
            </c:ext>
          </c:extLst>
        </c:ser>
        <c:ser>
          <c:idx val="8"/>
          <c:order val="2"/>
          <c:tx>
            <c:strRef>
              <c:f>Déplacements!$J$9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Déplacements!$J$10:$J$100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1.3350428727729735</c:v>
                </c:pt>
                <c:pt idx="2">
                  <c:v>2.8936094479456997</c:v>
                </c:pt>
                <c:pt idx="3">
                  <c:v>3.9027281974806094</c:v>
                </c:pt>
                <c:pt idx="4">
                  <c:v>3.8583723222780364</c:v>
                </c:pt>
                <c:pt idx="5">
                  <c:v>3.6731058502033065</c:v>
                </c:pt>
                <c:pt idx="6">
                  <c:v>4.2583723222779923</c:v>
                </c:pt>
                <c:pt idx="7">
                  <c:v>7.702629632160729</c:v>
                </c:pt>
                <c:pt idx="8">
                  <c:v>9.3583723222780968</c:v>
                </c:pt>
                <c:pt idx="9">
                  <c:v>10.358372322277987</c:v>
                </c:pt>
                <c:pt idx="10">
                  <c:v>10.658372322278176</c:v>
                </c:pt>
                <c:pt idx="11">
                  <c:v>8.8583723222779298</c:v>
                </c:pt>
                <c:pt idx="12">
                  <c:v>8.9583723222781408</c:v>
                </c:pt>
                <c:pt idx="13">
                  <c:v>9.0583723222779078</c:v>
                </c:pt>
                <c:pt idx="14">
                  <c:v>8.6583723222779518</c:v>
                </c:pt>
                <c:pt idx="15">
                  <c:v>10.258117244994924</c:v>
                </c:pt>
                <c:pt idx="16">
                  <c:v>11.861266330843279</c:v>
                </c:pt>
                <c:pt idx="17">
                  <c:v>13.762588674272269</c:v>
                </c:pt>
                <c:pt idx="18">
                  <c:v>13.466305837406267</c:v>
                </c:pt>
                <c:pt idx="19">
                  <c:v>10.566171353384224</c:v>
                </c:pt>
                <c:pt idx="20">
                  <c:v>9.539182427170001</c:v>
                </c:pt>
                <c:pt idx="21">
                  <c:v>9.7566072735948417</c:v>
                </c:pt>
                <c:pt idx="22">
                  <c:v>13.448435871751041</c:v>
                </c:pt>
                <c:pt idx="23">
                  <c:v>11.95837232227781</c:v>
                </c:pt>
                <c:pt idx="24">
                  <c:v>12.07680028534508</c:v>
                </c:pt>
                <c:pt idx="25">
                  <c:v>11.058372322278132</c:v>
                </c:pt>
                <c:pt idx="26">
                  <c:v>12.458372322277977</c:v>
                </c:pt>
                <c:pt idx="27">
                  <c:v>11.858372322278043</c:v>
                </c:pt>
                <c:pt idx="28">
                  <c:v>13.258372322277889</c:v>
                </c:pt>
                <c:pt idx="29">
                  <c:v>14.958372322277924</c:v>
                </c:pt>
                <c:pt idx="30">
                  <c:v>13.272849812605347</c:v>
                </c:pt>
                <c:pt idx="31">
                  <c:v>13.058372322277911</c:v>
                </c:pt>
                <c:pt idx="32">
                  <c:v>12.558372322278188</c:v>
                </c:pt>
                <c:pt idx="33">
                  <c:v>13.058372322277911</c:v>
                </c:pt>
                <c:pt idx="34">
                  <c:v>13.058372322277911</c:v>
                </c:pt>
                <c:pt idx="35">
                  <c:v>13.758372322278056</c:v>
                </c:pt>
                <c:pt idx="36">
                  <c:v>14.258372322277779</c:v>
                </c:pt>
                <c:pt idx="37">
                  <c:v>14.258372322277779</c:v>
                </c:pt>
                <c:pt idx="38">
                  <c:v>14.458372322277757</c:v>
                </c:pt>
                <c:pt idx="39">
                  <c:v>14.958372322277924</c:v>
                </c:pt>
                <c:pt idx="40">
                  <c:v>14.958372322277924</c:v>
                </c:pt>
                <c:pt idx="41">
                  <c:v>14.658372322278179</c:v>
                </c:pt>
                <c:pt idx="43">
                  <c:v>15.658372322278069</c:v>
                </c:pt>
                <c:pt idx="45">
                  <c:v>15.840108746190573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32-4DAD-BCEA-45D98FADD109}"/>
            </c:ext>
          </c:extLst>
        </c:ser>
        <c:ser>
          <c:idx val="12"/>
          <c:order val="3"/>
          <c:tx>
            <c:strRef>
              <c:f>Déplacements!$M$9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Déplacements!$M$10:$M$100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0.94245852017868503</c:v>
                </c:pt>
                <c:pt idx="2">
                  <c:v>1.3293703587819172</c:v>
                </c:pt>
                <c:pt idx="3">
                  <c:v>0.55639925285583258</c:v>
                </c:pt>
                <c:pt idx="4">
                  <c:v>3.0364312648800684E-2</c:v>
                </c:pt>
                <c:pt idx="5">
                  <c:v>-0.72418089147038844</c:v>
                </c:pt>
                <c:pt idx="6">
                  <c:v>-6.9635687351188302E-2</c:v>
                </c:pt>
                <c:pt idx="7">
                  <c:v>1.9101648735788956</c:v>
                </c:pt>
                <c:pt idx="8">
                  <c:v>1.3303643126487963</c:v>
                </c:pt>
                <c:pt idx="9">
                  <c:v>0.63036431264881787</c:v>
                </c:pt>
                <c:pt idx="10">
                  <c:v>0.33036431264882316</c:v>
                </c:pt>
                <c:pt idx="11">
                  <c:v>-1.8696356873511843</c:v>
                </c:pt>
                <c:pt idx="12">
                  <c:v>-1.9696356873512011</c:v>
                </c:pt>
                <c:pt idx="13">
                  <c:v>-2.1696356873511791</c:v>
                </c:pt>
                <c:pt idx="14">
                  <c:v>-2.5696356873511905</c:v>
                </c:pt>
                <c:pt idx="15">
                  <c:v>-0.96472156622132155</c:v>
                </c:pt>
                <c:pt idx="16">
                  <c:v>8.3613014680933295E-2</c:v>
                </c:pt>
                <c:pt idx="17">
                  <c:v>0.94501691623363748</c:v>
                </c:pt>
                <c:pt idx="18">
                  <c:v>0.66703048538827026</c:v>
                </c:pt>
                <c:pt idx="19">
                  <c:v>-1.7376927213938742</c:v>
                </c:pt>
                <c:pt idx="20">
                  <c:v>-2.9158724939844785</c:v>
                </c:pt>
                <c:pt idx="21">
                  <c:v>-3.1816612129769437</c:v>
                </c:pt>
                <c:pt idx="22">
                  <c:v>-0.2327362542214606</c:v>
                </c:pt>
                <c:pt idx="23">
                  <c:v>-1.9696356873512011</c:v>
                </c:pt>
                <c:pt idx="24">
                  <c:v>-1.6104706965863191</c:v>
                </c:pt>
                <c:pt idx="25">
                  <c:v>-2.8696356873511855</c:v>
                </c:pt>
                <c:pt idx="26">
                  <c:v>-1.4696356873512006</c:v>
                </c:pt>
                <c:pt idx="27">
                  <c:v>-2.1696356873511791</c:v>
                </c:pt>
                <c:pt idx="28">
                  <c:v>-0.86963568735118346</c:v>
                </c:pt>
                <c:pt idx="29">
                  <c:v>-0.36963568735118302</c:v>
                </c:pt>
                <c:pt idx="30">
                  <c:v>-1.7071988144910233</c:v>
                </c:pt>
                <c:pt idx="31">
                  <c:v>-1.6696356873511786</c:v>
                </c:pt>
                <c:pt idx="32">
                  <c:v>-2.2696356873511956</c:v>
                </c:pt>
                <c:pt idx="33">
                  <c:v>-2.1696356873511791</c:v>
                </c:pt>
                <c:pt idx="34">
                  <c:v>-2.2696356873511956</c:v>
                </c:pt>
                <c:pt idx="35">
                  <c:v>-1.3696356873511839</c:v>
                </c:pt>
                <c:pt idx="36">
                  <c:v>-0.9696356873512002</c:v>
                </c:pt>
                <c:pt idx="37">
                  <c:v>-1.4696356873512006</c:v>
                </c:pt>
                <c:pt idx="38">
                  <c:v>-1.2696356873511949</c:v>
                </c:pt>
                <c:pt idx="39">
                  <c:v>-0.86963568735118346</c:v>
                </c:pt>
                <c:pt idx="40">
                  <c:v>-0.26963568735119403</c:v>
                </c:pt>
                <c:pt idx="41">
                  <c:v>-0.9696356873512002</c:v>
                </c:pt>
                <c:pt idx="43">
                  <c:v>-0.16963568735117729</c:v>
                </c:pt>
                <c:pt idx="44">
                  <c:v>1.234774667823374</c:v>
                </c:pt>
                <c:pt idx="45">
                  <c:v>-9.3743168922966191E-2</c:v>
                </c:pt>
                <c:pt idx="46">
                  <c:v>-0.72247511590878277</c:v>
                </c:pt>
                <c:pt idx="47">
                  <c:v>-0.21486628857944612</c:v>
                </c:pt>
                <c:pt idx="49">
                  <c:v>-0.21486628857944612</c:v>
                </c:pt>
                <c:pt idx="50">
                  <c:v>0.29918127769087977</c:v>
                </c:pt>
                <c:pt idx="51">
                  <c:v>-0.71486628857944656</c:v>
                </c:pt>
                <c:pt idx="52">
                  <c:v>-1.7486975570087104</c:v>
                </c:pt>
                <c:pt idx="53">
                  <c:v>-1.1927246953320758</c:v>
                </c:pt>
                <c:pt idx="54">
                  <c:v>-0.58860126217177844</c:v>
                </c:pt>
                <c:pt idx="55">
                  <c:v>-5.638392100568157E-2</c:v>
                </c:pt>
                <c:pt idx="56">
                  <c:v>-5.0285065031768772E-2</c:v>
                </c:pt>
                <c:pt idx="57">
                  <c:v>-0.4006044010685661</c:v>
                </c:pt>
                <c:pt idx="58">
                  <c:v>-1.19187186384348</c:v>
                </c:pt>
                <c:pt idx="59">
                  <c:v>-0.21934587712033049</c:v>
                </c:pt>
                <c:pt idx="60">
                  <c:v>-1.530419879135464</c:v>
                </c:pt>
                <c:pt idx="61">
                  <c:v>-8.6451387513369893E-2</c:v>
                </c:pt>
                <c:pt idx="62">
                  <c:v>-1.9291032986717138</c:v>
                </c:pt>
                <c:pt idx="63">
                  <c:v>-0.63022674837329151</c:v>
                </c:pt>
                <c:pt idx="64">
                  <c:v>-0.86594800079822787</c:v>
                </c:pt>
                <c:pt idx="65">
                  <c:v>1.5204790109793753</c:v>
                </c:pt>
                <c:pt idx="66">
                  <c:v>1.339220487042575</c:v>
                </c:pt>
                <c:pt idx="67">
                  <c:v>1.2546900809912442</c:v>
                </c:pt>
                <c:pt idx="68">
                  <c:v>1.0673329121095587</c:v>
                </c:pt>
                <c:pt idx="69">
                  <c:v>0.69304496553682093</c:v>
                </c:pt>
                <c:pt idx="70">
                  <c:v>-3.1007575640134286</c:v>
                </c:pt>
                <c:pt idx="71">
                  <c:v>-2.9316968011327269</c:v>
                </c:pt>
                <c:pt idx="72">
                  <c:v>-2.6898769037785044</c:v>
                </c:pt>
                <c:pt idx="73">
                  <c:v>-0.90126154100247935</c:v>
                </c:pt>
                <c:pt idx="74">
                  <c:v>-2.206663127384684</c:v>
                </c:pt>
                <c:pt idx="75">
                  <c:v>-1.9587443740574917</c:v>
                </c:pt>
                <c:pt idx="76">
                  <c:v>-2.0554722809554562</c:v>
                </c:pt>
                <c:pt idx="77">
                  <c:v>-1.9709418749470908</c:v>
                </c:pt>
                <c:pt idx="78">
                  <c:v>-0.44244297732978777</c:v>
                </c:pt>
                <c:pt idx="79">
                  <c:v>-2.1339040420703395</c:v>
                </c:pt>
                <c:pt idx="80">
                  <c:v>-2.1822678654185026</c:v>
                </c:pt>
                <c:pt idx="81">
                  <c:v>0.54795302427493309</c:v>
                </c:pt>
                <c:pt idx="82">
                  <c:v>0.7540329410743174</c:v>
                </c:pt>
                <c:pt idx="83">
                  <c:v>7.7363350889453342E-2</c:v>
                </c:pt>
                <c:pt idx="84">
                  <c:v>0.19196143446256753</c:v>
                </c:pt>
                <c:pt idx="85">
                  <c:v>0.45775015344121095</c:v>
                </c:pt>
                <c:pt idx="86">
                  <c:v>0.33095451978940038</c:v>
                </c:pt>
                <c:pt idx="87">
                  <c:v>0.24642411374745099</c:v>
                </c:pt>
                <c:pt idx="88">
                  <c:v>0.46384900938825635</c:v>
                </c:pt>
                <c:pt idx="89">
                  <c:v>0.99542665833371458</c:v>
                </c:pt>
                <c:pt idx="90">
                  <c:v>0.40938606986709591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32-4DAD-BCEA-45D98FADD109}"/>
            </c:ext>
          </c:extLst>
        </c:ser>
        <c:ser>
          <c:idx val="11"/>
          <c:order val="4"/>
          <c:tx>
            <c:strRef>
              <c:f>Déplacements!$P$9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Déplacements!$P$10:$P$100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1.0814516054953316</c:v>
                </c:pt>
                <c:pt idx="2">
                  <c:v>1.0452850720186202</c:v>
                </c:pt>
                <c:pt idx="3">
                  <c:v>0.50760877816169447</c:v>
                </c:pt>
                <c:pt idx="4">
                  <c:v>-1.2153208128529158E-2</c:v>
                </c:pt>
                <c:pt idx="5">
                  <c:v>-1.1115193814501545</c:v>
                </c:pt>
                <c:pt idx="6">
                  <c:v>-0.11215320812851814</c:v>
                </c:pt>
                <c:pt idx="7">
                  <c:v>1.1659820115514918</c:v>
                </c:pt>
                <c:pt idx="8">
                  <c:v>0.2878467918714378</c:v>
                </c:pt>
                <c:pt idx="9">
                  <c:v>-0.11215320812851814</c:v>
                </c:pt>
                <c:pt idx="10">
                  <c:v>-0.81215320812844105</c:v>
                </c:pt>
                <c:pt idx="11">
                  <c:v>-2.9121532081284318</c:v>
                </c:pt>
                <c:pt idx="12">
                  <c:v>-3.1121532081284098</c:v>
                </c:pt>
                <c:pt idx="13">
                  <c:v>-3.0121532081284208</c:v>
                </c:pt>
                <c:pt idx="14">
                  <c:v>-3.8121532081285547</c:v>
                </c:pt>
                <c:pt idx="15">
                  <c:v>-1.8126551276615999</c:v>
                </c:pt>
                <c:pt idx="16">
                  <c:v>-0.65858658363837641</c:v>
                </c:pt>
                <c:pt idx="17">
                  <c:v>-0.4226520301398029</c:v>
                </c:pt>
                <c:pt idx="18">
                  <c:v>-0.48321382557214854</c:v>
                </c:pt>
                <c:pt idx="19">
                  <c:v>-3.0813930079711671</c:v>
                </c:pt>
                <c:pt idx="20">
                  <c:v>-4.1144808393271948</c:v>
                </c:pt>
                <c:pt idx="21">
                  <c:v>-4.3863684142360082</c:v>
                </c:pt>
                <c:pt idx="22">
                  <c:v>-1.5886340908737306</c:v>
                </c:pt>
                <c:pt idx="23">
                  <c:v>-3.3121532081283878</c:v>
                </c:pt>
                <c:pt idx="24">
                  <c:v>-2.9663687442367248</c:v>
                </c:pt>
                <c:pt idx="25">
                  <c:v>-4.1121532081285217</c:v>
                </c:pt>
                <c:pt idx="26">
                  <c:v>-2.6121532081284649</c:v>
                </c:pt>
                <c:pt idx="27">
                  <c:v>-3.4121532081283767</c:v>
                </c:pt>
                <c:pt idx="28">
                  <c:v>-2.4121532081284869</c:v>
                </c:pt>
                <c:pt idx="29">
                  <c:v>-0.91215320812843004</c:v>
                </c:pt>
                <c:pt idx="30">
                  <c:v>-2.0666017936328274</c:v>
                </c:pt>
                <c:pt idx="31">
                  <c:v>-1.9121532081285419</c:v>
                </c:pt>
                <c:pt idx="32">
                  <c:v>-2.8121532081284428</c:v>
                </c:pt>
                <c:pt idx="33">
                  <c:v>-2.3121532081284979</c:v>
                </c:pt>
                <c:pt idx="34">
                  <c:v>-2.0121532081285309</c:v>
                </c:pt>
                <c:pt idx="35">
                  <c:v>-1.212153208128397</c:v>
                </c:pt>
                <c:pt idx="36">
                  <c:v>-0.91215320812843004</c:v>
                </c:pt>
                <c:pt idx="37">
                  <c:v>-1.312153208128386</c:v>
                </c:pt>
                <c:pt idx="38">
                  <c:v>-0.81215320812844105</c:v>
                </c:pt>
                <c:pt idx="39">
                  <c:v>-0.21215320812850713</c:v>
                </c:pt>
                <c:pt idx="40">
                  <c:v>0.18784679187144881</c:v>
                </c:pt>
                <c:pt idx="41">
                  <c:v>-0.31215320812849612</c:v>
                </c:pt>
                <c:pt idx="43">
                  <c:v>0.48784679187163782</c:v>
                </c:pt>
                <c:pt idx="44">
                  <c:v>0.65184798631512386</c:v>
                </c:pt>
                <c:pt idx="45">
                  <c:v>0.22919595617598709</c:v>
                </c:pt>
                <c:pt idx="46">
                  <c:v>-6.5252962921924507E-3</c:v>
                </c:pt>
                <c:pt idx="47">
                  <c:v>-2.4395261925436174E-2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32-4DAD-BCEA-45D98FADD109}"/>
            </c:ext>
          </c:extLst>
        </c:ser>
        <c:ser>
          <c:idx val="9"/>
          <c:order val="5"/>
          <c:tx>
            <c:strRef>
              <c:f>Déplacements!$S$9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Déplacements!$S$10:$S$100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1.039186427066241</c:v>
                </c:pt>
                <c:pt idx="2">
                  <c:v>-0.25969007403903177</c:v>
                </c:pt>
                <c:pt idx="3">
                  <c:v>-1.3350428728013952</c:v>
                </c:pt>
                <c:pt idx="4">
                  <c:v>-2.1256524826283041</c:v>
                </c:pt>
                <c:pt idx="5">
                  <c:v>-3.6308406226099876</c:v>
                </c:pt>
                <c:pt idx="6">
                  <c:v>-2.825652482628449</c:v>
                </c:pt>
                <c:pt idx="7">
                  <c:v>-2.7968813300627282</c:v>
                </c:pt>
                <c:pt idx="8">
                  <c:v>-3.9256524826285499</c:v>
                </c:pt>
                <c:pt idx="9">
                  <c:v>-5.6256524826285847</c:v>
                </c:pt>
                <c:pt idx="10">
                  <c:v>-6.9256524826282195</c:v>
                </c:pt>
                <c:pt idx="11">
                  <c:v>-9.6256524826285883</c:v>
                </c:pt>
                <c:pt idx="12">
                  <c:v>-10.025652482628544</c:v>
                </c:pt>
                <c:pt idx="13">
                  <c:v>-10.325652482628289</c:v>
                </c:pt>
                <c:pt idx="14">
                  <c:v>-11.325652482628623</c:v>
                </c:pt>
                <c:pt idx="15">
                  <c:v>-9.9285041808467867</c:v>
                </c:pt>
                <c:pt idx="16">
                  <c:v>-8.6204796385493943</c:v>
                </c:pt>
                <c:pt idx="17">
                  <c:v>-9.5805948725002921</c:v>
                </c:pt>
                <c:pt idx="18">
                  <c:v>-9.8890751610554162</c:v>
                </c:pt>
                <c:pt idx="19">
                  <c:v>-12.245434495251395</c:v>
                </c:pt>
                <c:pt idx="20">
                  <c:v>-14.438405482227079</c:v>
                </c:pt>
                <c:pt idx="21">
                  <c:v>-14.414436660601826</c:v>
                </c:pt>
                <c:pt idx="22">
                  <c:v>-12.546963356603769</c:v>
                </c:pt>
                <c:pt idx="23">
                  <c:v>-14.225652482628526</c:v>
                </c:pt>
                <c:pt idx="24">
                  <c:v>-14.202684278989963</c:v>
                </c:pt>
                <c:pt idx="25">
                  <c:v>-15.425652482628394</c:v>
                </c:pt>
                <c:pt idx="26">
                  <c:v>-13.925652482628337</c:v>
                </c:pt>
                <c:pt idx="27">
                  <c:v>-15.025652482628438</c:v>
                </c:pt>
                <c:pt idx="28">
                  <c:v>-13.725652482628359</c:v>
                </c:pt>
                <c:pt idx="29">
                  <c:v>-14.425652482628504</c:v>
                </c:pt>
                <c:pt idx="30">
                  <c:v>-15.767349499083316</c:v>
                </c:pt>
                <c:pt idx="31">
                  <c:v>-15.425652482628394</c:v>
                </c:pt>
                <c:pt idx="32">
                  <c:v>-16.825652482628239</c:v>
                </c:pt>
                <c:pt idx="33">
                  <c:v>-16.625652482628261</c:v>
                </c:pt>
                <c:pt idx="34">
                  <c:v>-16.625652482628261</c:v>
                </c:pt>
                <c:pt idx="35">
                  <c:v>-15.925652482628561</c:v>
                </c:pt>
                <c:pt idx="36">
                  <c:v>-15.725652482628583</c:v>
                </c:pt>
                <c:pt idx="37">
                  <c:v>-16.325652482628517</c:v>
                </c:pt>
                <c:pt idx="38">
                  <c:v>-16.425652482628283</c:v>
                </c:pt>
                <c:pt idx="39">
                  <c:v>-15.82565248262835</c:v>
                </c:pt>
                <c:pt idx="40">
                  <c:v>-15.425652482628394</c:v>
                </c:pt>
                <c:pt idx="41">
                  <c:v>-16.225652482628306</c:v>
                </c:pt>
                <c:pt idx="43">
                  <c:v>-15.525652482628605</c:v>
                </c:pt>
                <c:pt idx="44">
                  <c:v>-15.302432290511092</c:v>
                </c:pt>
                <c:pt idx="45">
                  <c:v>-15.809614677514183</c:v>
                </c:pt>
                <c:pt idx="46">
                  <c:v>-16.679740341702942</c:v>
                </c:pt>
                <c:pt idx="47">
                  <c:v>-16.667542840873573</c:v>
                </c:pt>
                <c:pt idx="49">
                  <c:v>-16.667542840873573</c:v>
                </c:pt>
                <c:pt idx="50">
                  <c:v>-15.948845515157739</c:v>
                </c:pt>
                <c:pt idx="51">
                  <c:v>-17.16754284087374</c:v>
                </c:pt>
                <c:pt idx="52">
                  <c:v>-17.725263166085359</c:v>
                </c:pt>
                <c:pt idx="53">
                  <c:v>-17.072562348266374</c:v>
                </c:pt>
                <c:pt idx="54">
                  <c:v>-17.806531135006853</c:v>
                </c:pt>
                <c:pt idx="55">
                  <c:v>-17.99019905359156</c:v>
                </c:pt>
                <c:pt idx="56">
                  <c:v>-17.984100408629633</c:v>
                </c:pt>
                <c:pt idx="57">
                  <c:v>-18.817633099007747</c:v>
                </c:pt>
                <c:pt idx="58">
                  <c:v>-20.194941150243118</c:v>
                </c:pt>
                <c:pt idx="59">
                  <c:v>-18.938329876748039</c:v>
                </c:pt>
                <c:pt idx="60">
                  <c:v>-20.255502734660702</c:v>
                </c:pt>
                <c:pt idx="61">
                  <c:v>-18.775367920619512</c:v>
                </c:pt>
                <c:pt idx="62">
                  <c:v>-20.88990714646588</c:v>
                </c:pt>
                <c:pt idx="63">
                  <c:v>-19.458136366751422</c:v>
                </c:pt>
                <c:pt idx="64">
                  <c:v>-19.512599095255823</c:v>
                </c:pt>
                <c:pt idx="65">
                  <c:v>-17.38586236851436</c:v>
                </c:pt>
                <c:pt idx="66">
                  <c:v>-17.61548471579566</c:v>
                </c:pt>
                <c:pt idx="67">
                  <c:v>-17.826810706320639</c:v>
                </c:pt>
                <c:pt idx="68">
                  <c:v>-17.84510711233489</c:v>
                </c:pt>
                <c:pt idx="71">
                  <c:v>-21.584446962546799</c:v>
                </c:pt>
                <c:pt idx="72">
                  <c:v>-20.575328002010007</c:v>
                </c:pt>
                <c:pt idx="73">
                  <c:v>-19.76576392222773</c:v>
                </c:pt>
                <c:pt idx="74">
                  <c:v>-20.974011161357886</c:v>
                </c:pt>
                <c:pt idx="75">
                  <c:v>-20.720419943245361</c:v>
                </c:pt>
                <c:pt idx="76">
                  <c:v>-20.533062774395372</c:v>
                </c:pt>
                <c:pt idx="77">
                  <c:v>-20.744388764863508</c:v>
                </c:pt>
                <c:pt idx="78">
                  <c:v>-19.886460861742172</c:v>
                </c:pt>
                <c:pt idx="79">
                  <c:v>-21.179238506933373</c:v>
                </c:pt>
                <c:pt idx="80">
                  <c:v>-21.354397963897043</c:v>
                </c:pt>
                <c:pt idx="81">
                  <c:v>-20.678154764843359</c:v>
                </c:pt>
                <c:pt idx="82">
                  <c:v>-20.665957263973134</c:v>
                </c:pt>
                <c:pt idx="83">
                  <c:v>-21.46332358268177</c:v>
                </c:pt>
                <c:pt idx="84">
                  <c:v>-21.952636053240493</c:v>
                </c:pt>
                <c:pt idx="85">
                  <c:v>-21.705143691067352</c:v>
                </c:pt>
                <c:pt idx="86">
                  <c:v>-21.946537197277571</c:v>
                </c:pt>
                <c:pt idx="87">
                  <c:v>-22.133894577186286</c:v>
                </c:pt>
                <c:pt idx="88">
                  <c:v>-21.759180028418701</c:v>
                </c:pt>
                <c:pt idx="89">
                  <c:v>-20.883382110392201</c:v>
                </c:pt>
                <c:pt idx="90">
                  <c:v>-21.91037082558811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32-4DAD-BCEA-45D98FADD109}"/>
            </c:ext>
          </c:extLst>
        </c:ser>
        <c:ser>
          <c:idx val="10"/>
          <c:order val="6"/>
          <c:tx>
            <c:strRef>
              <c:f>Déplacements!$V$9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Convergences!$C$10:$C$101</c:f>
              <c:numCache>
                <c:formatCode>0.0</c:formatCode>
                <c:ptCount val="92"/>
                <c:pt idx="0">
                  <c:v>1.0999999999999943</c:v>
                </c:pt>
                <c:pt idx="1">
                  <c:v>2.2000000000000171</c:v>
                </c:pt>
                <c:pt idx="2">
                  <c:v>2.9000000000000057</c:v>
                </c:pt>
                <c:pt idx="3">
                  <c:v>3.3000000000000114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6.4800000000000182</c:v>
                </c:pt>
                <c:pt idx="8">
                  <c:v>7.5</c:v>
                </c:pt>
                <c:pt idx="9">
                  <c:v>7.5</c:v>
                </c:pt>
                <c:pt idx="10">
                  <c:v>10.219999999999999</c:v>
                </c:pt>
                <c:pt idx="11">
                  <c:v>10.219999999999999</c:v>
                </c:pt>
                <c:pt idx="12">
                  <c:v>10.219999999999999</c:v>
                </c:pt>
                <c:pt idx="13">
                  <c:v>10.219999999999999</c:v>
                </c:pt>
                <c:pt idx="14">
                  <c:v>11.099999999999994</c:v>
                </c:pt>
                <c:pt idx="15">
                  <c:v>12.200000000000017</c:v>
                </c:pt>
                <c:pt idx="16">
                  <c:v>14.200000000000017</c:v>
                </c:pt>
                <c:pt idx="17">
                  <c:v>17.400000000000006</c:v>
                </c:pt>
                <c:pt idx="18">
                  <c:v>17.879999999999995</c:v>
                </c:pt>
                <c:pt idx="19">
                  <c:v>18.900000000000006</c:v>
                </c:pt>
                <c:pt idx="20">
                  <c:v>19.450000000000017</c:v>
                </c:pt>
                <c:pt idx="21">
                  <c:v>20.77000000000001</c:v>
                </c:pt>
                <c:pt idx="22">
                  <c:v>21.620000000000005</c:v>
                </c:pt>
                <c:pt idx="23">
                  <c:v>22.700000000000017</c:v>
                </c:pt>
                <c:pt idx="24">
                  <c:v>23.349999999999994</c:v>
                </c:pt>
                <c:pt idx="25">
                  <c:v>24.400000000000006</c:v>
                </c:pt>
                <c:pt idx="26">
                  <c:v>25.599999999999994</c:v>
                </c:pt>
                <c:pt idx="27">
                  <c:v>26.800000000000011</c:v>
                </c:pt>
                <c:pt idx="28">
                  <c:v>26.800000000000011</c:v>
                </c:pt>
                <c:pt idx="29">
                  <c:v>26.800000000000011</c:v>
                </c:pt>
                <c:pt idx="30">
                  <c:v>26.800000000000011</c:v>
                </c:pt>
                <c:pt idx="31">
                  <c:v>26.800000000000011</c:v>
                </c:pt>
                <c:pt idx="32">
                  <c:v>26.800000000000011</c:v>
                </c:pt>
                <c:pt idx="33">
                  <c:v>26.800000000000011</c:v>
                </c:pt>
                <c:pt idx="34">
                  <c:v>26.800000000000011</c:v>
                </c:pt>
                <c:pt idx="35">
                  <c:v>26.800000000000011</c:v>
                </c:pt>
                <c:pt idx="36">
                  <c:v>26.800000000000011</c:v>
                </c:pt>
                <c:pt idx="37">
                  <c:v>26.800000000000011</c:v>
                </c:pt>
                <c:pt idx="38">
                  <c:v>26.800000000000011</c:v>
                </c:pt>
                <c:pt idx="39">
                  <c:v>26.800000000000011</c:v>
                </c:pt>
                <c:pt idx="40">
                  <c:v>26.800000000000011</c:v>
                </c:pt>
                <c:pt idx="41">
                  <c:v>26.800000000000011</c:v>
                </c:pt>
                <c:pt idx="42">
                  <c:v>26.800000000000011</c:v>
                </c:pt>
                <c:pt idx="43">
                  <c:v>26.800000000000011</c:v>
                </c:pt>
                <c:pt idx="44">
                  <c:v>26.800000000000011</c:v>
                </c:pt>
                <c:pt idx="45">
                  <c:v>26.800000000000011</c:v>
                </c:pt>
                <c:pt idx="46">
                  <c:v>26.800000000000011</c:v>
                </c:pt>
                <c:pt idx="47">
                  <c:v>26.800000000000011</c:v>
                </c:pt>
                <c:pt idx="49">
                  <c:v>26.800000000000011</c:v>
                </c:pt>
                <c:pt idx="50">
                  <c:v>26.800000000000011</c:v>
                </c:pt>
                <c:pt idx="51">
                  <c:v>26.800000000000011</c:v>
                </c:pt>
                <c:pt idx="52">
                  <c:v>26.800000000000011</c:v>
                </c:pt>
                <c:pt idx="53">
                  <c:v>26.800000000000011</c:v>
                </c:pt>
                <c:pt idx="54">
                  <c:v>26.800000000000011</c:v>
                </c:pt>
                <c:pt idx="55">
                  <c:v>26.800000000000011</c:v>
                </c:pt>
                <c:pt idx="56">
                  <c:v>26.800000000000011</c:v>
                </c:pt>
                <c:pt idx="57">
                  <c:v>26.800000000000011</c:v>
                </c:pt>
                <c:pt idx="58">
                  <c:v>26.800000000000011</c:v>
                </c:pt>
                <c:pt idx="59">
                  <c:v>26.800000000000011</c:v>
                </c:pt>
                <c:pt idx="60">
                  <c:v>26.800000000000011</c:v>
                </c:pt>
                <c:pt idx="61">
                  <c:v>26.800000000000011</c:v>
                </c:pt>
                <c:pt idx="62">
                  <c:v>26.800000000000011</c:v>
                </c:pt>
                <c:pt idx="63">
                  <c:v>26.800000000000011</c:v>
                </c:pt>
                <c:pt idx="64">
                  <c:v>26.800000000000011</c:v>
                </c:pt>
                <c:pt idx="65">
                  <c:v>26.800000000000011</c:v>
                </c:pt>
                <c:pt idx="66">
                  <c:v>26.800000000000011</c:v>
                </c:pt>
                <c:pt idx="67">
                  <c:v>26.800000000000011</c:v>
                </c:pt>
                <c:pt idx="68">
                  <c:v>26.800000000000011</c:v>
                </c:pt>
                <c:pt idx="69">
                  <c:v>26.800000000000011</c:v>
                </c:pt>
                <c:pt idx="70">
                  <c:v>26.800000000000011</c:v>
                </c:pt>
                <c:pt idx="71">
                  <c:v>26.800000000000011</c:v>
                </c:pt>
                <c:pt idx="72">
                  <c:v>26.800000000000011</c:v>
                </c:pt>
                <c:pt idx="73">
                  <c:v>26.800000000000011</c:v>
                </c:pt>
                <c:pt idx="74">
                  <c:v>26.800000000000011</c:v>
                </c:pt>
                <c:pt idx="75">
                  <c:v>26.800000000000011</c:v>
                </c:pt>
                <c:pt idx="76">
                  <c:v>26.800000000000011</c:v>
                </c:pt>
                <c:pt idx="77">
                  <c:v>26.800000000000011</c:v>
                </c:pt>
                <c:pt idx="78">
                  <c:v>26.800000000000011</c:v>
                </c:pt>
                <c:pt idx="79">
                  <c:v>26.800000000000011</c:v>
                </c:pt>
                <c:pt idx="80">
                  <c:v>26.800000000000011</c:v>
                </c:pt>
                <c:pt idx="81">
                  <c:v>26.800000000000011</c:v>
                </c:pt>
                <c:pt idx="82">
                  <c:v>26.800000000000011</c:v>
                </c:pt>
                <c:pt idx="83">
                  <c:v>26.800000000000011</c:v>
                </c:pt>
                <c:pt idx="84">
                  <c:v>26.800000000000011</c:v>
                </c:pt>
                <c:pt idx="85">
                  <c:v>26.800000000000011</c:v>
                </c:pt>
                <c:pt idx="86">
                  <c:v>26.800000000000011</c:v>
                </c:pt>
                <c:pt idx="87">
                  <c:v>26.800000000000011</c:v>
                </c:pt>
                <c:pt idx="88">
                  <c:v>26.800000000000011</c:v>
                </c:pt>
                <c:pt idx="89">
                  <c:v>26.800000000000011</c:v>
                </c:pt>
                <c:pt idx="90">
                  <c:v>26.800000000000011</c:v>
                </c:pt>
                <c:pt idx="91">
                  <c:v>26.800000000000011</c:v>
                </c:pt>
              </c:numCache>
            </c:numRef>
          </c:xVal>
          <c:yVal>
            <c:numRef>
              <c:f>Déplacements!$V$10:$V$100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0.56207150661524707</c:v>
                </c:pt>
                <c:pt idx="2">
                  <c:v>-0.73070613856707212</c:v>
                </c:pt>
                <c:pt idx="3">
                  <c:v>-2.3860006206457562</c:v>
                </c:pt>
                <c:pt idx="4">
                  <c:v>-2.9223238672915208</c:v>
                </c:pt>
                <c:pt idx="5">
                  <c:v>-4.9114207669234133</c:v>
                </c:pt>
                <c:pt idx="6">
                  <c:v>-4.1223238672913887</c:v>
                </c:pt>
                <c:pt idx="7">
                  <c:v>-4.4521758121436328</c:v>
                </c:pt>
                <c:pt idx="8">
                  <c:v>-6.0223238672914015</c:v>
                </c:pt>
                <c:pt idx="9">
                  <c:v>-8.0223238672916253</c:v>
                </c:pt>
                <c:pt idx="10">
                  <c:v>-9.3223238672917041</c:v>
                </c:pt>
                <c:pt idx="11">
                  <c:v>-12.022323867291629</c:v>
                </c:pt>
                <c:pt idx="12">
                  <c:v>-12.522323867291352</c:v>
                </c:pt>
                <c:pt idx="13">
                  <c:v>-12.922323867291752</c:v>
                </c:pt>
                <c:pt idx="14">
                  <c:v>-13.922323867291642</c:v>
                </c:pt>
                <c:pt idx="15">
                  <c:v>-12.476947734478383</c:v>
                </c:pt>
                <c:pt idx="16">
                  <c:v>-11.003857092215519</c:v>
                </c:pt>
                <c:pt idx="17">
                  <c:v>-12.275075781675859</c:v>
                </c:pt>
                <c:pt idx="18">
                  <c:v>-12.53519224685018</c:v>
                </c:pt>
                <c:pt idx="19">
                  <c:v>-14.861484114527812</c:v>
                </c:pt>
                <c:pt idx="20">
                  <c:v>-16.118095177033442</c:v>
                </c:pt>
                <c:pt idx="21">
                  <c:v>-16.891492934337116</c:v>
                </c:pt>
                <c:pt idx="22">
                  <c:v>-15.199179298339693</c:v>
                </c:pt>
                <c:pt idx="23">
                  <c:v>-16.822323867291544</c:v>
                </c:pt>
                <c:pt idx="24">
                  <c:v>-16.722005731137468</c:v>
                </c:pt>
                <c:pt idx="25">
                  <c:v>-18.022323867291412</c:v>
                </c:pt>
                <c:pt idx="26">
                  <c:v>-16.722323867291777</c:v>
                </c:pt>
                <c:pt idx="27">
                  <c:v>-17.822323867291434</c:v>
                </c:pt>
                <c:pt idx="28">
                  <c:v>-17.122323867291733</c:v>
                </c:pt>
                <c:pt idx="29">
                  <c:v>-16.922323867291755</c:v>
                </c:pt>
                <c:pt idx="30">
                  <c:v>-18.504095846854973</c:v>
                </c:pt>
                <c:pt idx="31">
                  <c:v>-18.122323867291623</c:v>
                </c:pt>
                <c:pt idx="32">
                  <c:v>-19.522323867291469</c:v>
                </c:pt>
                <c:pt idx="33">
                  <c:v>-19.522323867291469</c:v>
                </c:pt>
                <c:pt idx="34">
                  <c:v>-19.322323867291491</c:v>
                </c:pt>
                <c:pt idx="35">
                  <c:v>-18.722323867291557</c:v>
                </c:pt>
                <c:pt idx="36">
                  <c:v>-18.522323867291579</c:v>
                </c:pt>
                <c:pt idx="37">
                  <c:v>-19.022323867291746</c:v>
                </c:pt>
                <c:pt idx="38">
                  <c:v>-18.722323867291557</c:v>
                </c:pt>
                <c:pt idx="39">
                  <c:v>-18.322323867291601</c:v>
                </c:pt>
                <c:pt idx="40">
                  <c:v>-17.422323867291478</c:v>
                </c:pt>
                <c:pt idx="41">
                  <c:v>-18.722323867291557</c:v>
                </c:pt>
                <c:pt idx="43">
                  <c:v>-18.22232386729139</c:v>
                </c:pt>
                <c:pt idx="45">
                  <c:v>-18.352478609341194</c:v>
                </c:pt>
                <c:pt idx="53">
                  <c:v>-21.222545626835121</c:v>
                </c:pt>
                <c:pt idx="54">
                  <c:v>-22.086359295864</c:v>
                </c:pt>
                <c:pt idx="57">
                  <c:v>-23.064344495506983</c:v>
                </c:pt>
                <c:pt idx="58">
                  <c:v>-24.357122140656884</c:v>
                </c:pt>
                <c:pt idx="59">
                  <c:v>-23.281769130914398</c:v>
                </c:pt>
                <c:pt idx="60">
                  <c:v>-24.683472394844586</c:v>
                </c:pt>
                <c:pt idx="61">
                  <c:v>-23.281769130914398</c:v>
                </c:pt>
                <c:pt idx="62">
                  <c:v>-25.142717349672772</c:v>
                </c:pt>
                <c:pt idx="63">
                  <c:v>-23.928371254563263</c:v>
                </c:pt>
                <c:pt idx="64">
                  <c:v>-23.856038349387099</c:v>
                </c:pt>
                <c:pt idx="65">
                  <c:v>-21.81383181771146</c:v>
                </c:pt>
                <c:pt idx="66">
                  <c:v>-22.127984782019716</c:v>
                </c:pt>
                <c:pt idx="67">
                  <c:v>-22.170250009667214</c:v>
                </c:pt>
                <c:pt idx="68">
                  <c:v>-22.484402762987798</c:v>
                </c:pt>
                <c:pt idx="71">
                  <c:v>-26.278205341711214</c:v>
                </c:pt>
                <c:pt idx="72">
                  <c:v>-24.930964757019058</c:v>
                </c:pt>
                <c:pt idx="73">
                  <c:v>-24.374992106334759</c:v>
                </c:pt>
                <c:pt idx="74">
                  <c:v>-25.426376083512281</c:v>
                </c:pt>
                <c:pt idx="75">
                  <c:v>-25.432474939449445</c:v>
                </c:pt>
                <c:pt idx="77">
                  <c:v>-25.474740117835903</c:v>
                </c:pt>
                <c:pt idx="78">
                  <c:v>-24.562349275244699</c:v>
                </c:pt>
                <c:pt idx="79">
                  <c:v>-26.157082222052708</c:v>
                </c:pt>
                <c:pt idx="80">
                  <c:v>-26.024187732486492</c:v>
                </c:pt>
                <c:pt idx="81">
                  <c:v>-25.523104201421454</c:v>
                </c:pt>
                <c:pt idx="82">
                  <c:v>-25.293481593901213</c:v>
                </c:pt>
                <c:pt idx="83">
                  <c:v>-26.574061738239063</c:v>
                </c:pt>
                <c:pt idx="84">
                  <c:v>-28.102560635864471</c:v>
                </c:pt>
                <c:pt idx="85">
                  <c:v>-27.975765051415635</c:v>
                </c:pt>
                <c:pt idx="86">
                  <c:v>-28.193189897822268</c:v>
                </c:pt>
                <c:pt idx="87">
                  <c:v>-28.465077472732858</c:v>
                </c:pt>
                <c:pt idx="88">
                  <c:v>-28.102560635864471</c:v>
                </c:pt>
                <c:pt idx="89">
                  <c:v>-27.697778620566105</c:v>
                </c:pt>
                <c:pt idx="90">
                  <c:v>-28.501243795203468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32-4DAD-BCEA-45D98FAD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09768"/>
        <c:axId val="603510160"/>
      </c:scatterChart>
      <c:valAx>
        <c:axId val="6035097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Distance au front [m]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03510160"/>
        <c:crossesAt val="0"/>
        <c:crossBetween val="midCat"/>
      </c:valAx>
      <c:valAx>
        <c:axId val="603510160"/>
        <c:scaling>
          <c:orientation val="minMax"/>
          <c:max val="20"/>
          <c:min val="-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Déplacement</a:t>
                </a:r>
                <a:r>
                  <a:rPr lang="fr-FR" sz="800" b="1" baseline="0"/>
                  <a:t> en déport </a:t>
                </a:r>
                <a:r>
                  <a:rPr lang="fr-FR" sz="800" b="1"/>
                  <a:t>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03509768"/>
        <c:crosses val="autoZero"/>
        <c:crossBetween val="midCat"/>
        <c:majorUnit val="5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11" footer="0.49212598450000411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if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95250</xdr:colOff>
      <xdr:row>1</xdr:row>
      <xdr:rowOff>38100</xdr:rowOff>
    </xdr:from>
    <xdr:to>
      <xdr:col>30</xdr:col>
      <xdr:colOff>314325</xdr:colOff>
      <xdr:row>2</xdr:row>
      <xdr:rowOff>76200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7345025" y="561975"/>
          <a:ext cx="21907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400050</xdr:colOff>
      <xdr:row>7</xdr:row>
      <xdr:rowOff>0</xdr:rowOff>
    </xdr:from>
    <xdr:to>
      <xdr:col>25</xdr:col>
      <xdr:colOff>0</xdr:colOff>
      <xdr:row>7</xdr:row>
      <xdr:rowOff>28575</xdr:rowOff>
    </xdr:to>
    <xdr:sp macro="" textlink="">
      <xdr:nvSpPr>
        <xdr:cNvPr id="1026" name="Freeform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/>
        </xdr:cNvSpPr>
      </xdr:nvSpPr>
      <xdr:spPr bwMode="auto">
        <a:xfrm>
          <a:off x="3771900" y="1724025"/>
          <a:ext cx="11134725" cy="28575"/>
        </a:xfrm>
        <a:custGeom>
          <a:avLst/>
          <a:gdLst>
            <a:gd name="T0" fmla="*/ 0 w 143"/>
            <a:gd name="T1" fmla="*/ 0 h 1"/>
            <a:gd name="T2" fmla="*/ 1142238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400050</xdr:colOff>
      <xdr:row>7</xdr:row>
      <xdr:rowOff>0</xdr:rowOff>
    </xdr:from>
    <xdr:to>
      <xdr:col>65</xdr:col>
      <xdr:colOff>0</xdr:colOff>
      <xdr:row>7</xdr:row>
      <xdr:rowOff>28575</xdr:rowOff>
    </xdr:to>
    <xdr:sp macro="" textlink="">
      <xdr:nvSpPr>
        <xdr:cNvPr id="1027" name="Freeform 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/>
        </xdr:cNvSpPr>
      </xdr:nvSpPr>
      <xdr:spPr bwMode="auto">
        <a:xfrm>
          <a:off x="27098625" y="1724025"/>
          <a:ext cx="12801600" cy="28575"/>
        </a:xfrm>
        <a:custGeom>
          <a:avLst/>
          <a:gdLst>
            <a:gd name="T0" fmla="*/ 0 w 143"/>
            <a:gd name="T1" fmla="*/ 0 h 1"/>
            <a:gd name="T2" fmla="*/ 13144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400050</xdr:colOff>
      <xdr:row>7</xdr:row>
      <xdr:rowOff>0</xdr:rowOff>
    </xdr:from>
    <xdr:to>
      <xdr:col>87</xdr:col>
      <xdr:colOff>0</xdr:colOff>
      <xdr:row>7</xdr:row>
      <xdr:rowOff>28575</xdr:rowOff>
    </xdr:to>
    <xdr:sp macro="" textlink="">
      <xdr:nvSpPr>
        <xdr:cNvPr id="1028" name="Freeform 5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/>
        </xdr:cNvSpPr>
      </xdr:nvSpPr>
      <xdr:spPr bwMode="auto">
        <a:xfrm>
          <a:off x="421767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400050</xdr:colOff>
      <xdr:row>7</xdr:row>
      <xdr:rowOff>0</xdr:rowOff>
    </xdr:from>
    <xdr:to>
      <xdr:col>109</xdr:col>
      <xdr:colOff>0</xdr:colOff>
      <xdr:row>7</xdr:row>
      <xdr:rowOff>28575</xdr:rowOff>
    </xdr:to>
    <xdr:sp macro="" textlink="">
      <xdr:nvSpPr>
        <xdr:cNvPr id="1029" name="Freeform 6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/>
        </xdr:cNvSpPr>
      </xdr:nvSpPr>
      <xdr:spPr bwMode="auto">
        <a:xfrm>
          <a:off x="600075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171450</xdr:colOff>
      <xdr:row>0</xdr:row>
      <xdr:rowOff>104775</xdr:rowOff>
    </xdr:from>
    <xdr:to>
      <xdr:col>3</xdr:col>
      <xdr:colOff>142875</xdr:colOff>
      <xdr:row>3</xdr:row>
      <xdr:rowOff>38100</xdr:rowOff>
    </xdr:to>
    <xdr:pic>
      <xdr:nvPicPr>
        <xdr:cNvPr id="1030" name="Image 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502088</xdr:colOff>
      <xdr:row>56</xdr:row>
      <xdr:rowOff>248191</xdr:rowOff>
    </xdr:from>
    <xdr:ext cx="13124264" cy="715516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488206" y="19880897"/>
          <a:ext cx="13124264" cy="7155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fr-FR" sz="5400" b="1" cap="none" spc="0">
              <a:ln w="31550" cmpd="sng">
                <a:gradFill>
                  <a:gsLst>
                    <a:gs pos="25000">
                      <a:schemeClr val="accent1">
                        <a:shade val="25000"/>
                        <a:satMod val="190000"/>
                      </a:schemeClr>
                    </a:gs>
                    <a:gs pos="80000">
                      <a:schemeClr val="accent1">
                        <a:tint val="75000"/>
                        <a:satMod val="190000"/>
                      </a:schemeClr>
                    </a:gs>
                  </a:gsLst>
                  <a:lin ang="5400000"/>
                </a:gradFill>
                <a:prstDash val="solid"/>
              </a:ln>
              <a:solidFill>
                <a:srgbClr val="FFFFFF"/>
              </a:solidFill>
              <a:effectLst>
                <a:outerShdw blurRad="41275" dist="12700" dir="12000000" algn="tl" rotWithShape="0">
                  <a:srgbClr val="000000">
                    <a:alpha val="40000"/>
                  </a:srgbClr>
                </a:outerShdw>
              </a:effectLst>
            </a:rPr>
            <a:t>Reinstrumentation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586468</xdr:colOff>
      <xdr:row>3</xdr:row>
      <xdr:rowOff>161925</xdr:rowOff>
    </xdr:to>
    <xdr:pic>
      <xdr:nvPicPr>
        <xdr:cNvPr id="2049" name="Image 3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"/>
          <a:ext cx="17621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419100</xdr:colOff>
      <xdr:row>10</xdr:row>
      <xdr:rowOff>95250</xdr:rowOff>
    </xdr:from>
    <xdr:to>
      <xdr:col>17</xdr:col>
      <xdr:colOff>247650</xdr:colOff>
      <xdr:row>24</xdr:row>
      <xdr:rowOff>57150</xdr:rowOff>
    </xdr:to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7168243" y="2422071"/>
          <a:ext cx="2631621" cy="2901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108858</xdr:colOff>
      <xdr:row>9</xdr:row>
      <xdr:rowOff>43063</xdr:rowOff>
    </xdr:from>
    <xdr:to>
      <xdr:col>16</xdr:col>
      <xdr:colOff>375605</xdr:colOff>
      <xdr:row>20</xdr:row>
      <xdr:rowOff>217714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86" r="24931" b="3778"/>
        <a:stretch/>
      </xdr:blipFill>
      <xdr:spPr>
        <a:xfrm>
          <a:off x="6858001" y="2124956"/>
          <a:ext cx="2593568" cy="28688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0</xdr:colOff>
      <xdr:row>7</xdr:row>
      <xdr:rowOff>28575</xdr:rowOff>
    </xdr:to>
    <xdr:sp macro="" textlink="">
      <xdr:nvSpPr>
        <xdr:cNvPr id="3074" name="Freeform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/>
        </xdr:cNvSpPr>
      </xdr:nvSpPr>
      <xdr:spPr bwMode="auto">
        <a:xfrm>
          <a:off x="514350" y="1543050"/>
          <a:ext cx="0" cy="28575"/>
        </a:xfrm>
        <a:custGeom>
          <a:avLst/>
          <a:gdLst>
            <a:gd name="T0" fmla="*/ 0 w 143"/>
            <a:gd name="T1" fmla="*/ 0 h 1"/>
            <a:gd name="T2" fmla="*/ 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0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400050</xdr:colOff>
      <xdr:row>7</xdr:row>
      <xdr:rowOff>0</xdr:rowOff>
    </xdr:from>
    <xdr:to>
      <xdr:col>23</xdr:col>
      <xdr:colOff>0</xdr:colOff>
      <xdr:row>7</xdr:row>
      <xdr:rowOff>28575</xdr:rowOff>
    </xdr:to>
    <xdr:sp macro="" textlink="">
      <xdr:nvSpPr>
        <xdr:cNvPr id="3075" name="Freeform 4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/>
        </xdr:cNvSpPr>
      </xdr:nvSpPr>
      <xdr:spPr bwMode="auto">
        <a:xfrm>
          <a:off x="2409825" y="1543050"/>
          <a:ext cx="10134600" cy="28575"/>
        </a:xfrm>
        <a:custGeom>
          <a:avLst/>
          <a:gdLst>
            <a:gd name="T0" fmla="*/ 0 w 143"/>
            <a:gd name="T1" fmla="*/ 0 h 1"/>
            <a:gd name="T2" fmla="*/ 10477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6" name="Text Box 5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7" name="Text Box 3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8" name="Text Box 32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9" name="Text Box 33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4</xdr:row>
      <xdr:rowOff>76200</xdr:rowOff>
    </xdr:to>
    <xdr:sp macro="" textlink="">
      <xdr:nvSpPr>
        <xdr:cNvPr id="3080" name="Text Box 34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419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</xdr:row>
      <xdr:rowOff>38100</xdr:rowOff>
    </xdr:from>
    <xdr:to>
      <xdr:col>1</xdr:col>
      <xdr:colOff>0</xdr:colOff>
      <xdr:row>5</xdr:row>
      <xdr:rowOff>76200</xdr:rowOff>
    </xdr:to>
    <xdr:sp macro="" textlink="">
      <xdr:nvSpPr>
        <xdr:cNvPr id="3081" name="Text Box 35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 txBox="1">
          <a:spLocks noChangeArrowheads="1"/>
        </xdr:cNvSpPr>
      </xdr:nvSpPr>
      <xdr:spPr bwMode="auto">
        <a:xfrm>
          <a:off x="514350" y="971550"/>
          <a:ext cx="0" cy="266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566057</xdr:colOff>
      <xdr:row>3</xdr:row>
      <xdr:rowOff>95250</xdr:rowOff>
    </xdr:to>
    <xdr:pic>
      <xdr:nvPicPr>
        <xdr:cNvPr id="3082" name="Image 12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7625"/>
          <a:ext cx="200025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3</xdr:col>
      <xdr:colOff>348448</xdr:colOff>
      <xdr:row>5</xdr:row>
      <xdr:rowOff>66857</xdr:rowOff>
    </xdr:to>
    <xdr:pic>
      <xdr:nvPicPr>
        <xdr:cNvPr id="4099" name="Image 9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7918" y="163286"/>
          <a:ext cx="1781280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195944</xdr:colOff>
      <xdr:row>1</xdr:row>
      <xdr:rowOff>0</xdr:rowOff>
    </xdr:from>
    <xdr:to>
      <xdr:col>15</xdr:col>
      <xdr:colOff>532432</xdr:colOff>
      <xdr:row>5</xdr:row>
      <xdr:rowOff>66857</xdr:rowOff>
    </xdr:to>
    <xdr:pic>
      <xdr:nvPicPr>
        <xdr:cNvPr id="4100" name="Image 13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98480" y="163286"/>
          <a:ext cx="1778846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400050</xdr:colOff>
      <xdr:row>37</xdr:row>
      <xdr:rowOff>0</xdr:rowOff>
    </xdr:from>
    <xdr:to>
      <xdr:col>3</xdr:col>
      <xdr:colOff>494936</xdr:colOff>
      <xdr:row>41</xdr:row>
      <xdr:rowOff>66857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8443" y="5878286"/>
          <a:ext cx="1537243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37</xdr:row>
      <xdr:rowOff>0</xdr:rowOff>
    </xdr:from>
    <xdr:to>
      <xdr:col>15</xdr:col>
      <xdr:colOff>494935</xdr:colOff>
      <xdr:row>41</xdr:row>
      <xdr:rowOff>66857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02586" y="5878286"/>
          <a:ext cx="1537243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220436</xdr:colOff>
      <xdr:row>44</xdr:row>
      <xdr:rowOff>66674</xdr:rowOff>
    </xdr:from>
    <xdr:to>
      <xdr:col>23</xdr:col>
      <xdr:colOff>568650</xdr:colOff>
      <xdr:row>70</xdr:row>
      <xdr:rowOff>141245</xdr:rowOff>
    </xdr:to>
    <xdr:graphicFrame macro="">
      <xdr:nvGraphicFramePr>
        <xdr:cNvPr id="9" name="Graphique 1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216031</xdr:colOff>
      <xdr:row>79</xdr:row>
      <xdr:rowOff>82520</xdr:rowOff>
    </xdr:from>
    <xdr:to>
      <xdr:col>11</xdr:col>
      <xdr:colOff>564246</xdr:colOff>
      <xdr:row>105</xdr:row>
      <xdr:rowOff>157091</xdr:rowOff>
    </xdr:to>
    <xdr:graphicFrame macro="">
      <xdr:nvGraphicFramePr>
        <xdr:cNvPr id="14" name="Graphiqu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400050</xdr:colOff>
      <xdr:row>73</xdr:row>
      <xdr:rowOff>0</xdr:rowOff>
    </xdr:from>
    <xdr:ext cx="1597297" cy="720000"/>
    <xdr:pic>
      <xdr:nvPicPr>
        <xdr:cNvPr id="15" name="Image 13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8443" y="11430000"/>
          <a:ext cx="1597297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</xdr:col>
      <xdr:colOff>400050</xdr:colOff>
      <xdr:row>73</xdr:row>
      <xdr:rowOff>0</xdr:rowOff>
    </xdr:from>
    <xdr:ext cx="1597298" cy="720000"/>
    <xdr:pic>
      <xdr:nvPicPr>
        <xdr:cNvPr id="16" name="Image 13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02586" y="11430000"/>
          <a:ext cx="1597298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13</xdr:col>
      <xdr:colOff>220436</xdr:colOff>
      <xdr:row>79</xdr:row>
      <xdr:rowOff>107495</xdr:rowOff>
    </xdr:from>
    <xdr:to>
      <xdr:col>23</xdr:col>
      <xdr:colOff>568650</xdr:colOff>
      <xdr:row>106</xdr:row>
      <xdr:rowOff>18780</xdr:rowOff>
    </xdr:to>
    <xdr:graphicFrame macro="">
      <xdr:nvGraphicFramePr>
        <xdr:cNvPr id="17" name="Graphique 15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</xdr:col>
      <xdr:colOff>180023</xdr:colOff>
      <xdr:row>44</xdr:row>
      <xdr:rowOff>42486</xdr:rowOff>
    </xdr:from>
    <xdr:to>
      <xdr:col>11</xdr:col>
      <xdr:colOff>528238</xdr:colOff>
      <xdr:row>70</xdr:row>
      <xdr:rowOff>117057</xdr:rowOff>
    </xdr:to>
    <xdr:graphicFrame macro="">
      <xdr:nvGraphicFramePr>
        <xdr:cNvPr id="19" name="Graphique 12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</xdr:col>
      <xdr:colOff>222670</xdr:colOff>
      <xdr:row>8</xdr:row>
      <xdr:rowOff>21528</xdr:rowOff>
    </xdr:from>
    <xdr:to>
      <xdr:col>11</xdr:col>
      <xdr:colOff>570885</xdr:colOff>
      <xdr:row>34</xdr:row>
      <xdr:rowOff>96100</xdr:rowOff>
    </xdr:to>
    <xdr:graphicFrame macro="">
      <xdr:nvGraphicFramePr>
        <xdr:cNvPr id="20" name="Graphique 1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13</xdr:col>
      <xdr:colOff>176742</xdr:colOff>
      <xdr:row>7</xdr:row>
      <xdr:rowOff>144862</xdr:rowOff>
    </xdr:from>
    <xdr:to>
      <xdr:col>23</xdr:col>
      <xdr:colOff>524956</xdr:colOff>
      <xdr:row>34</xdr:row>
      <xdr:rowOff>56148</xdr:rowOff>
    </xdr:to>
    <xdr:graphicFrame macro="">
      <xdr:nvGraphicFramePr>
        <xdr:cNvPr id="21" name="Graphique 1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133350</xdr:colOff>
          <xdr:row>3</xdr:row>
          <xdr:rowOff>123825</xdr:rowOff>
        </xdr:from>
        <xdr:to>
          <xdr:col>27</xdr:col>
          <xdr:colOff>190500</xdr:colOff>
          <xdr:row>5</xdr:row>
          <xdr:rowOff>104775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MAJ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0.51926</cdr:x>
      <cdr:y>0.2923</cdr:y>
    </cdr:from>
    <cdr:to>
      <cdr:x>0.68142</cdr:x>
      <cdr:y>0.52932</cdr:y>
    </cdr:to>
    <cdr:pic>
      <cdr:nvPicPr>
        <cdr:cNvPr id="2" name="Image 1">
          <a:extLst xmlns:a="http://schemas.openxmlformats.org/drawingml/2006/main">
            <a:ext uri="{FF2B5EF4-FFF2-40B4-BE49-F238E27FC236}">
              <a16:creationId xmlns:a16="http://schemas.microsoft.com/office/drawing/2014/main" id="{1E33F57B-2858-44AD-B399-E62B6588EC57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l="23889" r="23910" b="-4784"/>
        <a:stretch xmlns:a="http://schemas.openxmlformats.org/drawingml/2006/main"/>
      </cdr:blipFill>
      <cdr:spPr>
        <a:xfrm xmlns:a="http://schemas.openxmlformats.org/drawingml/2006/main">
          <a:off x="3982961" y="1197130"/>
          <a:ext cx="1243853" cy="970721"/>
        </a:xfrm>
        <a:prstGeom xmlns:a="http://schemas.openxmlformats.org/drawingml/2006/main" prst="ellipse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7</xdr:row>
      <xdr:rowOff>47625</xdr:rowOff>
    </xdr:from>
    <xdr:to>
      <xdr:col>10</xdr:col>
      <xdr:colOff>342900</xdr:colOff>
      <xdr:row>31</xdr:row>
      <xdr:rowOff>47625</xdr:rowOff>
    </xdr:to>
    <xdr:graphicFrame macro="">
      <xdr:nvGraphicFramePr>
        <xdr:cNvPr id="2" name="Graphique 2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7</xdr:row>
      <xdr:rowOff>28576</xdr:rowOff>
    </xdr:from>
    <xdr:to>
      <xdr:col>21</xdr:col>
      <xdr:colOff>352425</xdr:colOff>
      <xdr:row>31</xdr:row>
      <xdr:rowOff>9526</xdr:rowOff>
    </xdr:to>
    <xdr:graphicFrame macro="">
      <xdr:nvGraphicFramePr>
        <xdr:cNvPr id="3" name="Graphique 2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333375</xdr:colOff>
      <xdr:row>4</xdr:row>
      <xdr:rowOff>28575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0"/>
          <a:ext cx="199072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400050</xdr:colOff>
      <xdr:row>0</xdr:row>
      <xdr:rowOff>0</xdr:rowOff>
    </xdr:from>
    <xdr:to>
      <xdr:col>14</xdr:col>
      <xdr:colOff>238125</xdr:colOff>
      <xdr:row>4</xdr:row>
      <xdr:rowOff>28575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0" y="0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37</xdr:row>
      <xdr:rowOff>66675</xdr:rowOff>
    </xdr:from>
    <xdr:to>
      <xdr:col>10</xdr:col>
      <xdr:colOff>333375</xdr:colOff>
      <xdr:row>63</xdr:row>
      <xdr:rowOff>85725</xdr:rowOff>
    </xdr:to>
    <xdr:graphicFrame macro="">
      <xdr:nvGraphicFramePr>
        <xdr:cNvPr id="6" name="Graphique 2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400050</xdr:colOff>
      <xdr:row>32</xdr:row>
      <xdr:rowOff>0</xdr:rowOff>
    </xdr:from>
    <xdr:to>
      <xdr:col>3</xdr:col>
      <xdr:colOff>238125</xdr:colOff>
      <xdr:row>35</xdr:row>
      <xdr:rowOff>85725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400050</xdr:colOff>
      <xdr:row>32</xdr:row>
      <xdr:rowOff>0</xdr:rowOff>
    </xdr:from>
    <xdr:to>
      <xdr:col>14</xdr:col>
      <xdr:colOff>238125</xdr:colOff>
      <xdr:row>35</xdr:row>
      <xdr:rowOff>85725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722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152400</xdr:colOff>
      <xdr:row>37</xdr:row>
      <xdr:rowOff>66675</xdr:rowOff>
    </xdr:from>
    <xdr:to>
      <xdr:col>21</xdr:col>
      <xdr:colOff>371475</xdr:colOff>
      <xdr:row>63</xdr:row>
      <xdr:rowOff>85725</xdr:rowOff>
    </xdr:to>
    <xdr:graphicFrame macro="">
      <xdr:nvGraphicFramePr>
        <xdr:cNvPr id="9" name="Graphique 2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DJ101"/>
  <sheetViews>
    <sheetView tabSelected="1" zoomScale="85" zoomScaleNormal="85" zoomScaleSheetLayoutView="85" workbookViewId="0">
      <pane xSplit="4" ySplit="9" topLeftCell="CA94" activePane="bottomRight" state="frozenSplit"/>
      <selection activeCell="C7" sqref="C7"/>
      <selection pane="topRight" activeCell="C7" sqref="C7"/>
      <selection pane="bottomLeft" activeCell="C7" sqref="C7"/>
      <selection pane="bottomRight" activeCell="CD101" sqref="CD101:CF101"/>
    </sheetView>
  </sheetViews>
  <sheetFormatPr baseColWidth="10" defaultColWidth="11.42578125" defaultRowHeight="12.75" x14ac:dyDescent="0.2"/>
  <cols>
    <col min="1" max="1" width="14.7109375" style="2" customWidth="1"/>
    <col min="2" max="4" width="7.7109375" style="2" customWidth="1"/>
    <col min="5" max="5" width="12.7109375" style="2" customWidth="1"/>
    <col min="6" max="6" width="13.7109375" style="2" customWidth="1"/>
    <col min="7" max="7" width="10.7109375" style="2" customWidth="1"/>
    <col min="8" max="8" width="11.5703125" style="2" bestFit="1" customWidth="1"/>
    <col min="9" max="9" width="12.5703125" style="2" bestFit="1" customWidth="1"/>
    <col min="10" max="10" width="10.7109375" style="2" customWidth="1"/>
    <col min="11" max="11" width="12.7109375" style="2" customWidth="1"/>
    <col min="12" max="12" width="13.7109375" style="2" customWidth="1"/>
    <col min="13" max="13" width="10.7109375" style="2" customWidth="1"/>
    <col min="14" max="14" width="12.7109375" style="2" customWidth="1"/>
    <col min="15" max="15" width="13.7109375" style="2" customWidth="1"/>
    <col min="16" max="16" width="10.7109375" style="2" customWidth="1"/>
    <col min="17" max="17" width="12.7109375" style="2" customWidth="1"/>
    <col min="18" max="18" width="13.7109375" style="2" customWidth="1"/>
    <col min="19" max="19" width="10.7109375" style="2" customWidth="1"/>
    <col min="20" max="20" width="11.5703125" style="2" bestFit="1" customWidth="1"/>
    <col min="21" max="21" width="12.5703125" style="2" bestFit="1" customWidth="1"/>
    <col min="22" max="22" width="10.7109375" style="2" customWidth="1"/>
    <col min="23" max="23" width="12.7109375" style="2" customWidth="1"/>
    <col min="24" max="24" width="13.7109375" style="2" customWidth="1"/>
    <col min="25" max="25" width="10.7109375" style="2" customWidth="1"/>
    <col min="26" max="34" width="11.7109375" style="2" customWidth="1"/>
    <col min="35" max="39" width="14.7109375" style="2" customWidth="1"/>
    <col min="40" max="40" width="12.7109375" style="2" bestFit="1" customWidth="1"/>
    <col min="41" max="42" width="12.7109375" style="2" customWidth="1"/>
    <col min="43" max="44" width="11.42578125" style="2"/>
    <col min="45" max="65" width="14.140625" style="2" customWidth="1"/>
    <col min="66" max="66" width="11.42578125" style="2"/>
    <col min="67" max="109" width="16.7109375" style="2" customWidth="1"/>
    <col min="110" max="16384" width="11.42578125" style="2"/>
  </cols>
  <sheetData>
    <row r="1" spans="1:109" ht="41.25" customHeight="1" x14ac:dyDescent="0.2">
      <c r="F1" s="112" t="str">
        <f>"CONVERGENCE GVA3 - PM" &amp; PM</f>
        <v>CONVERGENCE GVA3 - PM196.1</v>
      </c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6"/>
      <c r="Y1" s="6"/>
      <c r="AE1" s="6"/>
      <c r="AF1" s="6"/>
      <c r="AG1" s="6"/>
      <c r="AH1" s="6"/>
      <c r="AI1" s="13"/>
      <c r="AJ1" s="13"/>
      <c r="AK1" s="13"/>
      <c r="AL1" s="13"/>
      <c r="AM1" s="13"/>
    </row>
    <row r="2" spans="1:109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109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109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97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BX4" s="14"/>
    </row>
    <row r="5" spans="1:109" ht="13.5" thickBo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97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109" ht="16.5" thickBot="1" x14ac:dyDescent="0.25">
      <c r="A6" s="36" t="s">
        <v>47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T6" s="12"/>
      <c r="U6" s="12"/>
      <c r="V6" s="15" t="s">
        <v>48</v>
      </c>
      <c r="W6" s="35">
        <v>196.1</v>
      </c>
      <c r="Y6" s="12"/>
      <c r="Z6" s="12"/>
      <c r="AA6" s="12"/>
      <c r="AB6" s="15"/>
      <c r="AC6" s="15"/>
      <c r="AD6" s="12"/>
      <c r="AE6" s="15"/>
      <c r="AF6" s="15"/>
      <c r="AG6" s="15"/>
      <c r="AH6" s="15"/>
      <c r="AI6" s="15"/>
      <c r="AJ6" s="15"/>
      <c r="AK6" s="15"/>
      <c r="AL6" s="15"/>
      <c r="AM6" s="15"/>
    </row>
    <row r="7" spans="1:109" ht="26.25" customHeight="1" thickBot="1" x14ac:dyDescent="0.25">
      <c r="A7" s="36">
        <f>MIN(A10:A19)</f>
        <v>43705</v>
      </c>
      <c r="B7" s="1"/>
      <c r="C7" s="1"/>
      <c r="D7" s="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109" ht="16.5" thickBot="1" x14ac:dyDescent="0.25">
      <c r="A8" s="108" t="s">
        <v>11</v>
      </c>
      <c r="B8" s="110" t="s">
        <v>44</v>
      </c>
      <c r="C8" s="110" t="s">
        <v>45</v>
      </c>
      <c r="D8" s="110" t="s">
        <v>46</v>
      </c>
      <c r="E8" s="106" t="s">
        <v>1</v>
      </c>
      <c r="F8" s="106"/>
      <c r="G8" s="107"/>
      <c r="H8" s="106" t="s">
        <v>59</v>
      </c>
      <c r="I8" s="106"/>
      <c r="J8" s="107"/>
      <c r="K8" s="105" t="s">
        <v>14</v>
      </c>
      <c r="L8" s="106"/>
      <c r="M8" s="107"/>
      <c r="N8" s="105" t="s">
        <v>2</v>
      </c>
      <c r="O8" s="106"/>
      <c r="P8" s="107"/>
      <c r="Q8" s="105" t="s">
        <v>15</v>
      </c>
      <c r="R8" s="106"/>
      <c r="S8" s="107"/>
      <c r="T8" s="106" t="s">
        <v>60</v>
      </c>
      <c r="U8" s="106"/>
      <c r="V8" s="107"/>
      <c r="W8" s="105" t="s">
        <v>3</v>
      </c>
      <c r="X8" s="106"/>
      <c r="Y8" s="107"/>
      <c r="AI8" s="113" t="s">
        <v>4</v>
      </c>
      <c r="AJ8" s="114"/>
      <c r="AK8" s="114"/>
      <c r="AL8" s="114"/>
      <c r="AM8" s="114"/>
      <c r="AN8" s="114"/>
      <c r="AO8" s="114"/>
      <c r="AP8" s="114"/>
      <c r="AQ8" s="115"/>
      <c r="AS8" s="105" t="s">
        <v>1</v>
      </c>
      <c r="AT8" s="106"/>
      <c r="AU8" s="107"/>
      <c r="AV8" s="105" t="s">
        <v>59</v>
      </c>
      <c r="AW8" s="106"/>
      <c r="AX8" s="107"/>
      <c r="AY8" s="105" t="s">
        <v>14</v>
      </c>
      <c r="AZ8" s="106"/>
      <c r="BA8" s="107"/>
      <c r="BB8" s="105" t="s">
        <v>2</v>
      </c>
      <c r="BC8" s="106"/>
      <c r="BD8" s="107"/>
      <c r="BE8" s="105" t="s">
        <v>15</v>
      </c>
      <c r="BF8" s="106"/>
      <c r="BG8" s="107"/>
      <c r="BH8" s="105" t="s">
        <v>60</v>
      </c>
      <c r="BI8" s="106"/>
      <c r="BJ8" s="107"/>
      <c r="BK8" s="105" t="s">
        <v>3</v>
      </c>
      <c r="BL8" s="106"/>
      <c r="BM8" s="107"/>
      <c r="BO8" s="105" t="s">
        <v>1</v>
      </c>
      <c r="BP8" s="106"/>
      <c r="BQ8" s="107"/>
      <c r="BR8" s="105" t="s">
        <v>59</v>
      </c>
      <c r="BS8" s="106"/>
      <c r="BT8" s="107"/>
      <c r="BU8" s="105" t="s">
        <v>14</v>
      </c>
      <c r="BV8" s="106"/>
      <c r="BW8" s="107"/>
      <c r="BX8" s="105" t="s">
        <v>2</v>
      </c>
      <c r="BY8" s="106"/>
      <c r="BZ8" s="107"/>
      <c r="CA8" s="105" t="s">
        <v>15</v>
      </c>
      <c r="CB8" s="106"/>
      <c r="CC8" s="107"/>
      <c r="CD8" s="105" t="s">
        <v>60</v>
      </c>
      <c r="CE8" s="106"/>
      <c r="CF8" s="107"/>
      <c r="CG8" s="105" t="s">
        <v>3</v>
      </c>
      <c r="CH8" s="106"/>
      <c r="CI8" s="107"/>
      <c r="CK8" s="105" t="s">
        <v>1</v>
      </c>
      <c r="CL8" s="106"/>
      <c r="CM8" s="107"/>
      <c r="CN8" s="105" t="s">
        <v>59</v>
      </c>
      <c r="CO8" s="106"/>
      <c r="CP8" s="107"/>
      <c r="CQ8" s="105" t="s">
        <v>14</v>
      </c>
      <c r="CR8" s="106"/>
      <c r="CS8" s="107"/>
      <c r="CT8" s="105" t="s">
        <v>2</v>
      </c>
      <c r="CU8" s="106"/>
      <c r="CV8" s="107"/>
      <c r="CW8" s="105" t="s">
        <v>15</v>
      </c>
      <c r="CX8" s="106"/>
      <c r="CY8" s="107"/>
      <c r="CZ8" s="105" t="s">
        <v>60</v>
      </c>
      <c r="DA8" s="106"/>
      <c r="DB8" s="107"/>
      <c r="DC8" s="105" t="s">
        <v>3</v>
      </c>
      <c r="DD8" s="106"/>
      <c r="DE8" s="107"/>
    </row>
    <row r="9" spans="1:109" s="17" customFormat="1" ht="25.5" customHeight="1" thickBot="1" x14ac:dyDescent="0.25">
      <c r="A9" s="109"/>
      <c r="B9" s="111"/>
      <c r="C9" s="111"/>
      <c r="D9" s="111"/>
      <c r="E9" s="5" t="s">
        <v>5</v>
      </c>
      <c r="F9" s="5" t="s">
        <v>6</v>
      </c>
      <c r="G9" s="5" t="s">
        <v>7</v>
      </c>
      <c r="H9" s="5"/>
      <c r="I9" s="5"/>
      <c r="J9" s="5"/>
      <c r="K9" s="5" t="s">
        <v>5</v>
      </c>
      <c r="L9" s="5" t="s">
        <v>6</v>
      </c>
      <c r="M9" s="5" t="s">
        <v>7</v>
      </c>
      <c r="N9" s="16" t="s">
        <v>5</v>
      </c>
      <c r="O9" s="16" t="s">
        <v>6</v>
      </c>
      <c r="P9" s="16" t="s">
        <v>7</v>
      </c>
      <c r="Q9" s="16" t="s">
        <v>5</v>
      </c>
      <c r="R9" s="16" t="s">
        <v>6</v>
      </c>
      <c r="S9" s="16" t="s">
        <v>7</v>
      </c>
      <c r="T9" s="5"/>
      <c r="U9" s="5"/>
      <c r="V9" s="5"/>
      <c r="W9" s="16" t="s">
        <v>5</v>
      </c>
      <c r="X9" s="16" t="s">
        <v>6</v>
      </c>
      <c r="Y9" s="16" t="s">
        <v>7</v>
      </c>
      <c r="Z9" s="16" t="s">
        <v>16</v>
      </c>
      <c r="AA9" s="16" t="s">
        <v>51</v>
      </c>
      <c r="AB9" s="16" t="s">
        <v>19</v>
      </c>
      <c r="AC9" s="16" t="s">
        <v>20</v>
      </c>
      <c r="AD9" s="16" t="s">
        <v>52</v>
      </c>
      <c r="AE9" s="16" t="s">
        <v>17</v>
      </c>
      <c r="AF9" s="16" t="s">
        <v>21</v>
      </c>
      <c r="AG9" s="16" t="s">
        <v>53</v>
      </c>
      <c r="AH9" s="16" t="s">
        <v>18</v>
      </c>
      <c r="AI9" s="60" t="s">
        <v>16</v>
      </c>
      <c r="AJ9" s="59" t="s">
        <v>51</v>
      </c>
      <c r="AK9" s="44" t="s">
        <v>19</v>
      </c>
      <c r="AL9" s="44" t="s">
        <v>20</v>
      </c>
      <c r="AM9" s="59" t="s">
        <v>52</v>
      </c>
      <c r="AN9" s="44" t="s">
        <v>17</v>
      </c>
      <c r="AO9" s="44" t="s">
        <v>21</v>
      </c>
      <c r="AP9" s="59" t="s">
        <v>53</v>
      </c>
      <c r="AQ9" s="61" t="s">
        <v>18</v>
      </c>
      <c r="AS9" s="4" t="s">
        <v>23</v>
      </c>
      <c r="AT9" s="4" t="s">
        <v>24</v>
      </c>
      <c r="AU9" s="4" t="s">
        <v>25</v>
      </c>
      <c r="AV9" s="4" t="s">
        <v>23</v>
      </c>
      <c r="AW9" s="4" t="s">
        <v>24</v>
      </c>
      <c r="AX9" s="4" t="s">
        <v>25</v>
      </c>
      <c r="AY9" s="4" t="s">
        <v>23</v>
      </c>
      <c r="AZ9" s="4" t="s">
        <v>24</v>
      </c>
      <c r="BA9" s="4" t="s">
        <v>25</v>
      </c>
      <c r="BB9" s="4" t="s">
        <v>23</v>
      </c>
      <c r="BC9" s="4" t="s">
        <v>24</v>
      </c>
      <c r="BD9" s="4" t="s">
        <v>25</v>
      </c>
      <c r="BE9" s="4" t="s">
        <v>23</v>
      </c>
      <c r="BF9" s="4" t="s">
        <v>24</v>
      </c>
      <c r="BG9" s="4" t="s">
        <v>25</v>
      </c>
      <c r="BH9" s="4" t="s">
        <v>23</v>
      </c>
      <c r="BI9" s="4" t="s">
        <v>24</v>
      </c>
      <c r="BJ9" s="4" t="s">
        <v>25</v>
      </c>
      <c r="BK9" s="4" t="s">
        <v>23</v>
      </c>
      <c r="BL9" s="4" t="s">
        <v>24</v>
      </c>
      <c r="BM9" s="4" t="s">
        <v>25</v>
      </c>
      <c r="BO9" s="5" t="s">
        <v>0</v>
      </c>
      <c r="BP9" s="5" t="s">
        <v>8</v>
      </c>
      <c r="BQ9" s="5" t="s">
        <v>22</v>
      </c>
      <c r="BR9" s="5" t="s">
        <v>0</v>
      </c>
      <c r="BS9" s="5" t="s">
        <v>8</v>
      </c>
      <c r="BT9" s="5" t="s">
        <v>22</v>
      </c>
      <c r="BU9" s="5" t="s">
        <v>0</v>
      </c>
      <c r="BV9" s="5" t="s">
        <v>8</v>
      </c>
      <c r="BW9" s="5" t="s">
        <v>22</v>
      </c>
      <c r="BX9" s="5" t="s">
        <v>0</v>
      </c>
      <c r="BY9" s="5" t="s">
        <v>8</v>
      </c>
      <c r="BZ9" s="5" t="s">
        <v>22</v>
      </c>
      <c r="CA9" s="5" t="s">
        <v>0</v>
      </c>
      <c r="CB9" s="5" t="s">
        <v>8</v>
      </c>
      <c r="CC9" s="5" t="s">
        <v>22</v>
      </c>
      <c r="CD9" s="5" t="s">
        <v>0</v>
      </c>
      <c r="CE9" s="5" t="s">
        <v>8</v>
      </c>
      <c r="CF9" s="5" t="s">
        <v>22</v>
      </c>
      <c r="CG9" s="5" t="s">
        <v>0</v>
      </c>
      <c r="CH9" s="5" t="s">
        <v>8</v>
      </c>
      <c r="CI9" s="5" t="s">
        <v>22</v>
      </c>
      <c r="CJ9" s="2"/>
      <c r="CK9" s="4" t="s">
        <v>27</v>
      </c>
      <c r="CL9" s="4" t="s">
        <v>26</v>
      </c>
      <c r="CM9" s="4" t="s">
        <v>25</v>
      </c>
      <c r="CN9" s="4" t="s">
        <v>27</v>
      </c>
      <c r="CO9" s="4" t="s">
        <v>26</v>
      </c>
      <c r="CP9" s="4" t="s">
        <v>25</v>
      </c>
      <c r="CQ9" s="4" t="s">
        <v>27</v>
      </c>
      <c r="CR9" s="4" t="s">
        <v>26</v>
      </c>
      <c r="CS9" s="4" t="s">
        <v>25</v>
      </c>
      <c r="CT9" s="4" t="s">
        <v>27</v>
      </c>
      <c r="CU9" s="4" t="s">
        <v>26</v>
      </c>
      <c r="CV9" s="4" t="s">
        <v>25</v>
      </c>
      <c r="CW9" s="4" t="s">
        <v>27</v>
      </c>
      <c r="CX9" s="4" t="s">
        <v>26</v>
      </c>
      <c r="CY9" s="4" t="s">
        <v>25</v>
      </c>
      <c r="CZ9" s="4" t="s">
        <v>27</v>
      </c>
      <c r="DA9" s="4" t="s">
        <v>26</v>
      </c>
      <c r="DB9" s="4" t="s">
        <v>25</v>
      </c>
      <c r="DC9" s="4" t="s">
        <v>27</v>
      </c>
      <c r="DD9" s="4" t="s">
        <v>26</v>
      </c>
      <c r="DE9" s="4" t="s">
        <v>25</v>
      </c>
    </row>
    <row r="10" spans="1:109" ht="29.25" customHeight="1" x14ac:dyDescent="0.2">
      <c r="A10" s="36">
        <v>43705</v>
      </c>
      <c r="B10" s="45">
        <v>0</v>
      </c>
      <c r="C10" s="46">
        <v>197.2</v>
      </c>
      <c r="D10" s="46">
        <f t="shared" ref="D10:D11" si="0">C10-PM</f>
        <v>1.0999999999999943</v>
      </c>
      <c r="E10" s="47">
        <v>823244.33039999998</v>
      </c>
      <c r="F10" s="47">
        <v>1091518.7845000001</v>
      </c>
      <c r="G10" s="47">
        <v>-124.5515</v>
      </c>
      <c r="H10" s="58">
        <v>823244.24300000002</v>
      </c>
      <c r="I10" s="58">
        <v>1091518.9601</v>
      </c>
      <c r="J10" s="58">
        <v>-123.18219999999999</v>
      </c>
      <c r="K10" s="47">
        <v>823244.50959999999</v>
      </c>
      <c r="L10" s="47">
        <v>1091518.4804</v>
      </c>
      <c r="M10" s="47">
        <v>-121.8104</v>
      </c>
      <c r="N10" s="47">
        <v>823245.30570000003</v>
      </c>
      <c r="O10" s="47">
        <v>1091516.6583</v>
      </c>
      <c r="P10" s="47">
        <v>-120.8554</v>
      </c>
      <c r="Q10" s="47">
        <v>823245.97420000006</v>
      </c>
      <c r="R10" s="47">
        <v>1091515.1802999999</v>
      </c>
      <c r="S10" s="47">
        <v>-121.25360000000001</v>
      </c>
      <c r="T10" s="58">
        <v>823246.55850000004</v>
      </c>
      <c r="U10" s="58">
        <v>1091514.0999</v>
      </c>
      <c r="V10" s="58">
        <v>-123.4431</v>
      </c>
      <c r="W10" s="47">
        <v>823246.47560000001</v>
      </c>
      <c r="X10" s="47">
        <v>1091514.1706999999</v>
      </c>
      <c r="Y10" s="47">
        <v>-124.5718</v>
      </c>
      <c r="Z10" s="47">
        <f t="shared" ref="Z10:Z34" si="1">IF(Xhaut="","",SQRT(((Xbasgauche-Xhaut)^2+(Ybasgauche-Yhaut)^2)+(Zbasgauche-Zhaut)^2))</f>
        <v>4.3741389713106171</v>
      </c>
      <c r="AA10" s="58">
        <f t="shared" ref="AA10:AA56" si="2">IF(Xhaut="","",SQRT(((Xintergauche-Xhaut)^2+(Yintergauche-Yhaut)^2)+(Zintergauche-Zhaut)^2))</f>
        <v>3.4411644497309597</v>
      </c>
      <c r="AB10" s="47">
        <f t="shared" ref="AB10:AB34" si="3">IF(Xhaut="","",SQRT(((Xhautgauche-Xhaut)^2+(Yhautgauche-Yhaut)^2)+(Zhautgauche-Zhaut)^2))</f>
        <v>2.2058668636211789</v>
      </c>
      <c r="AC10" s="47">
        <f t="shared" ref="AC10:AC34" si="4">IF(Xhaut="","",SQRT(((Xhautdroit-Xhaut)^2+(Yhautdroit-Yhaut)^2)+(Zhautdroit-Zhaut)^2))</f>
        <v>1.6703111956731251</v>
      </c>
      <c r="AD10" s="58">
        <f t="shared" ref="AD10:AD75" si="5">IF(Xhaut="","",SQRT(((Xinterdroit-Xhaut)^2+(Yinterdroit-Yhaut)^2)+(Zinterdroit-Zhaut)^2))</f>
        <v>3.8485204546602834</v>
      </c>
      <c r="AE10" s="47">
        <f t="shared" ref="AE10:AE34" si="6">IF(Xhaut="","",SQRT(((Xbasdroit-Xhaut)^2+(Ybasdroit-Yhaut)^2)+(Zbasdroit-Zhaut)^2))</f>
        <v>4.6226019437645292</v>
      </c>
      <c r="AF10" s="47">
        <f t="shared" ref="AF10:AF34" si="7">IF(Xhautdroit="","",SQRT(((Xhautdroit-Xhautgauche)^2+(Yhautdroit-Yhautgauche)^2)+(Zhautdroit-Zhautgauche)^2))</f>
        <v>3.6531820938618353</v>
      </c>
      <c r="AG10" s="58">
        <f t="shared" ref="AG10:AG75" si="8">IF(Xinterdroit="","",SQRT(((Xinterdroit-Xintergauche)^2+(Yinterdroit-Yintergauche)^2)+(Zinterdroit-Zintergauche)^2))</f>
        <v>5.389912160701444</v>
      </c>
      <c r="AH10" s="47">
        <f t="shared" ref="AH10:AH34" si="9">IF(Xbasdroit="","",SQRT(((Xbasdroit-Xbasgauche)^2+(Ybasdroit-Ybasgauche)^2)+(Zbasdroit-Zbasgauche)^2))</f>
        <v>5.0881672114482699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8">
        <v>0</v>
      </c>
      <c r="AO10" s="48">
        <v>0</v>
      </c>
      <c r="AP10" s="48">
        <v>0</v>
      </c>
      <c r="AQ10" s="48">
        <v>0</v>
      </c>
      <c r="AR10" s="40"/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v>0</v>
      </c>
      <c r="BB10" s="49">
        <v>0</v>
      </c>
      <c r="BC10" s="49">
        <v>0</v>
      </c>
      <c r="BD10" s="49">
        <v>0</v>
      </c>
      <c r="BE10" s="49">
        <v>0</v>
      </c>
      <c r="BF10" s="49">
        <v>0</v>
      </c>
      <c r="BG10" s="49">
        <v>0</v>
      </c>
      <c r="BH10" s="49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40"/>
      <c r="BO10" s="47">
        <v>196.10476918386539</v>
      </c>
      <c r="BP10" s="47">
        <v>-2.5372010247454253</v>
      </c>
      <c r="BQ10" s="47">
        <v>-0.96966769183866575</v>
      </c>
      <c r="BR10" s="47">
        <v>196.09977695175965</v>
      </c>
      <c r="BS10" s="47">
        <v>-2.7332856942051857</v>
      </c>
      <c r="BT10" s="47">
        <v>0.39968223048241214</v>
      </c>
      <c r="BU10" s="47">
        <v>196.13864824278926</v>
      </c>
      <c r="BV10" s="47">
        <v>-2.185858372322278</v>
      </c>
      <c r="BW10" s="47">
        <v>1.7710935175720977</v>
      </c>
      <c r="BX10" s="47">
        <v>196.09003311557194</v>
      </c>
      <c r="BY10" s="47">
        <v>-0.19803036431264881</v>
      </c>
      <c r="BZ10" s="47">
        <v>2.7265796688442805</v>
      </c>
      <c r="CA10" s="47">
        <v>196.07120967949382</v>
      </c>
      <c r="CB10" s="47">
        <v>1.4240121532081285</v>
      </c>
      <c r="CC10" s="47">
        <v>2.3285679032050552</v>
      </c>
      <c r="CD10" s="47">
        <v>196.14412289216105</v>
      </c>
      <c r="CE10" s="47">
        <v>2.6501256524826284</v>
      </c>
      <c r="CF10" s="47">
        <v>0.13833877107838077</v>
      </c>
      <c r="CG10" s="47">
        <v>196.09891504351151</v>
      </c>
      <c r="CH10" s="47">
        <v>2.5509223238672916</v>
      </c>
      <c r="CI10" s="47">
        <v>-0.98990915043511052</v>
      </c>
      <c r="CJ10" s="40"/>
      <c r="CK10" s="49">
        <v>0</v>
      </c>
      <c r="CL10" s="49">
        <v>0</v>
      </c>
      <c r="CM10" s="49">
        <v>0</v>
      </c>
      <c r="CN10" s="49">
        <v>0</v>
      </c>
      <c r="CO10" s="49">
        <v>0</v>
      </c>
      <c r="CP10" s="49">
        <v>0</v>
      </c>
      <c r="CQ10" s="49">
        <v>0</v>
      </c>
      <c r="CR10" s="49">
        <v>0</v>
      </c>
      <c r="CS10" s="49">
        <v>0</v>
      </c>
      <c r="CT10" s="49">
        <v>0</v>
      </c>
      <c r="CU10" s="49">
        <v>0</v>
      </c>
      <c r="CV10" s="49">
        <v>0</v>
      </c>
      <c r="CW10" s="49">
        <v>0</v>
      </c>
      <c r="CX10" s="49">
        <v>0</v>
      </c>
      <c r="CY10" s="49">
        <v>0</v>
      </c>
      <c r="CZ10" s="49">
        <v>0</v>
      </c>
      <c r="DA10" s="49">
        <v>0</v>
      </c>
      <c r="DB10" s="49">
        <v>0</v>
      </c>
      <c r="DC10" s="49">
        <v>0</v>
      </c>
      <c r="DD10" s="49">
        <v>0</v>
      </c>
      <c r="DE10" s="49">
        <v>0</v>
      </c>
    </row>
    <row r="11" spans="1:109" s="76" customFormat="1" ht="29.25" customHeight="1" x14ac:dyDescent="0.2">
      <c r="A11" s="37">
        <v>43706</v>
      </c>
      <c r="B11" s="29">
        <f t="shared" ref="B11:B24" si="10">A11-A$10</f>
        <v>1</v>
      </c>
      <c r="C11" s="38">
        <v>198.3</v>
      </c>
      <c r="D11" s="38">
        <f t="shared" si="0"/>
        <v>2.2000000000000171</v>
      </c>
      <c r="E11" s="39">
        <v>823244.33120000002</v>
      </c>
      <c r="F11" s="39">
        <v>1091518.7831999999</v>
      </c>
      <c r="G11" s="39">
        <v>-124.5515</v>
      </c>
      <c r="H11" s="39">
        <v>823244.23400000005</v>
      </c>
      <c r="I11" s="39">
        <v>1091518.9568</v>
      </c>
      <c r="J11" s="39">
        <v>-123.1861</v>
      </c>
      <c r="K11" s="39">
        <v>823244.51040000003</v>
      </c>
      <c r="L11" s="39">
        <v>1091518.4793</v>
      </c>
      <c r="M11" s="39">
        <v>-121.81059999999999</v>
      </c>
      <c r="N11" s="39">
        <v>823245.30599999998</v>
      </c>
      <c r="O11" s="39">
        <v>1091516.6573999999</v>
      </c>
      <c r="P11" s="39">
        <v>-120.8565</v>
      </c>
      <c r="Q11" s="39">
        <v>823245.97439999995</v>
      </c>
      <c r="R11" s="39">
        <v>1091515.1791999999</v>
      </c>
      <c r="S11" s="39">
        <v>-121.2543</v>
      </c>
      <c r="T11" s="39">
        <v>823246.55859999999</v>
      </c>
      <c r="U11" s="39">
        <v>1091514.0988</v>
      </c>
      <c r="V11" s="39">
        <v>-123.4432</v>
      </c>
      <c r="W11" s="39">
        <v>823246.47499999998</v>
      </c>
      <c r="X11" s="39">
        <v>1091514.1698</v>
      </c>
      <c r="Y11" s="39">
        <v>-124.57170000000001</v>
      </c>
      <c r="Z11" s="39">
        <f t="shared" si="1"/>
        <v>4.3729035754402013</v>
      </c>
      <c r="AA11" s="39">
        <f t="shared" si="2"/>
        <v>3.444337457402034</v>
      </c>
      <c r="AB11" s="39">
        <f t="shared" si="3"/>
        <v>2.2051316922762401</v>
      </c>
      <c r="AC11" s="39">
        <f t="shared" si="4"/>
        <v>1.6703528489486228</v>
      </c>
      <c r="AD11" s="39">
        <f t="shared" si="5"/>
        <v>3.847916008616576</v>
      </c>
      <c r="AE11" s="39">
        <f t="shared" si="6"/>
        <v>4.6214095035360732</v>
      </c>
      <c r="AF11" s="39">
        <f t="shared" si="7"/>
        <v>3.6528654095775765</v>
      </c>
      <c r="AG11" s="39">
        <f t="shared" si="8"/>
        <v>5.3916629688591966</v>
      </c>
      <c r="AH11" s="39">
        <f t="shared" si="9"/>
        <v>5.0872139761413964</v>
      </c>
      <c r="AI11" s="43">
        <f>IF(Z11="","",(Z11-Z$10)*1000)</f>
        <v>-1.2353958704158785</v>
      </c>
      <c r="AJ11" s="43">
        <f t="shared" ref="AJ11:AQ11" si="11">IF(AA11="","",(AA11-AA$10)*1000)</f>
        <v>3.1730076710743127</v>
      </c>
      <c r="AK11" s="43">
        <f t="shared" si="11"/>
        <v>-0.73517134493883418</v>
      </c>
      <c r="AL11" s="43">
        <f t="shared" si="11"/>
        <v>4.1653275497655073E-2</v>
      </c>
      <c r="AM11" s="43">
        <f t="shared" si="11"/>
        <v>-0.60444604370735178</v>
      </c>
      <c r="AN11" s="43">
        <f t="shared" si="11"/>
        <v>-1.1924402284559932</v>
      </c>
      <c r="AO11" s="43">
        <f t="shared" si="11"/>
        <v>-0.31668428425879469</v>
      </c>
      <c r="AP11" s="43">
        <f t="shared" si="11"/>
        <v>1.7508081577526369</v>
      </c>
      <c r="AQ11" s="43">
        <f t="shared" si="11"/>
        <v>-0.95323530687352331</v>
      </c>
      <c r="AR11" s="40"/>
      <c r="AS11" s="43">
        <f t="shared" ref="AS11:BM11" si="12">IF(E11="","",(E11-E$10)*1000)</f>
        <v>0.80000003799796104</v>
      </c>
      <c r="AT11" s="43">
        <f t="shared" si="12"/>
        <v>-1.3000001199543476</v>
      </c>
      <c r="AU11" s="43">
        <f t="shared" si="12"/>
        <v>0</v>
      </c>
      <c r="AV11" s="43">
        <f t="shared" si="12"/>
        <v>-8.9999999618157744</v>
      </c>
      <c r="AW11" s="43">
        <f t="shared" si="12"/>
        <v>-3.2999999821186066</v>
      </c>
      <c r="AX11" s="43">
        <f t="shared" si="12"/>
        <v>-3.9000000000015689</v>
      </c>
      <c r="AY11" s="43">
        <f t="shared" si="12"/>
        <v>0.80000003799796104</v>
      </c>
      <c r="AZ11" s="43">
        <f t="shared" si="12"/>
        <v>-1.0999999940395355</v>
      </c>
      <c r="BA11" s="43">
        <f t="shared" si="12"/>
        <v>-0.19999999999242846</v>
      </c>
      <c r="BB11" s="43">
        <f t="shared" si="12"/>
        <v>0.29999995604157448</v>
      </c>
      <c r="BC11" s="43">
        <f t="shared" si="12"/>
        <v>-0.90000010095536709</v>
      </c>
      <c r="BD11" s="43">
        <f t="shared" si="12"/>
        <v>-1.0999999999938836</v>
      </c>
      <c r="BE11" s="43">
        <f t="shared" si="12"/>
        <v>0.19999989308416843</v>
      </c>
      <c r="BF11" s="43">
        <f t="shared" si="12"/>
        <v>-1.0999999940395355</v>
      </c>
      <c r="BG11" s="43">
        <f t="shared" si="12"/>
        <v>-0.69999999999481588</v>
      </c>
      <c r="BH11" s="43">
        <f t="shared" si="12"/>
        <v>9.9999946542084217E-2</v>
      </c>
      <c r="BI11" s="43">
        <f t="shared" si="12"/>
        <v>-1.0999999940395355</v>
      </c>
      <c r="BJ11" s="43">
        <f t="shared" si="12"/>
        <v>-0.10000000000331966</v>
      </c>
      <c r="BK11" s="43">
        <f t="shared" si="12"/>
        <v>-0.60000002849847078</v>
      </c>
      <c r="BL11" s="43">
        <f t="shared" si="12"/>
        <v>-0.89999986812472343</v>
      </c>
      <c r="BM11" s="43">
        <f t="shared" si="12"/>
        <v>9.9999999989108801E-2</v>
      </c>
      <c r="BN11" s="40"/>
      <c r="BO11" s="39">
        <v>196.10494476987535</v>
      </c>
      <c r="BP11" s="39">
        <v>-2.5356847233486994</v>
      </c>
      <c r="BQ11" s="39">
        <v>-0.96966944769876307</v>
      </c>
      <c r="BR11" s="39">
        <v>196.09022557172608</v>
      </c>
      <c r="BS11" s="39">
        <v>-2.7340987985338656</v>
      </c>
      <c r="BT11" s="39">
        <v>0.39587774428274258</v>
      </c>
      <c r="BU11" s="39">
        <v>196.13890835925446</v>
      </c>
      <c r="BV11" s="39">
        <v>-2.184523329449505</v>
      </c>
      <c r="BW11" s="39">
        <v>1.7708909164074527</v>
      </c>
      <c r="BX11" s="39">
        <v>196.08992461629512</v>
      </c>
      <c r="BY11" s="39">
        <v>-0.19708790579247012</v>
      </c>
      <c r="BZ11" s="39">
        <v>2.7254807538370471</v>
      </c>
      <c r="CA11" s="39">
        <v>196.07092602059816</v>
      </c>
      <c r="CB11" s="39">
        <v>1.4250936048136238</v>
      </c>
      <c r="CC11" s="39">
        <v>2.3278707397940082</v>
      </c>
      <c r="CD11" s="39">
        <v>196.14374860410894</v>
      </c>
      <c r="CE11" s="39">
        <v>2.6511648389096947</v>
      </c>
      <c r="CF11" s="39">
        <v>0.1382425139589003</v>
      </c>
      <c r="CG11" s="39">
        <v>196.09799088150288</v>
      </c>
      <c r="CH11" s="39">
        <v>2.5514843953739068</v>
      </c>
      <c r="CI11" s="39">
        <v>-0.9897999088150442</v>
      </c>
      <c r="CJ11" s="40"/>
      <c r="CK11" s="43">
        <f t="shared" ref="CK11:CK12" si="13">IF(BO11="","",(BO11-BO$10)*1000)</f>
        <v>0.17558600995926099</v>
      </c>
      <c r="CL11" s="43">
        <f t="shared" ref="CL11:CL12" si="14">IF(BP11="","",(BP11-BP$10)*1000)</f>
        <v>1.5163013967258721</v>
      </c>
      <c r="CM11" s="43">
        <f t="shared" ref="CM11:CM12" si="15">IF(BQ11="","",(BQ11-BQ$10)*1000)</f>
        <v>-1.7558600973188732E-3</v>
      </c>
      <c r="CN11" s="43">
        <f t="shared" ref="CN11:CN12" si="16">IF(BR11="","",(BR11-BR$10)*1000)</f>
        <v>-9.551380033570922</v>
      </c>
      <c r="CO11" s="43">
        <f t="shared" ref="CO11:DE11" si="17">IF(BS11="","",(BS11-BS$10)*1000)</f>
        <v>-0.81310432867987004</v>
      </c>
      <c r="CP11" s="43">
        <f t="shared" si="17"/>
        <v>-3.8044861996695545</v>
      </c>
      <c r="CQ11" s="43">
        <f t="shared" si="17"/>
        <v>0.26011646519918941</v>
      </c>
      <c r="CR11" s="43">
        <f t="shared" si="17"/>
        <v>1.3350428727729735</v>
      </c>
      <c r="CS11" s="43">
        <f t="shared" si="17"/>
        <v>-0.20260116464498878</v>
      </c>
      <c r="CT11" s="43">
        <f t="shared" si="17"/>
        <v>-0.10849927681988447</v>
      </c>
      <c r="CU11" s="43">
        <f t="shared" si="17"/>
        <v>0.94245852017868503</v>
      </c>
      <c r="CV11" s="43">
        <f t="shared" si="17"/>
        <v>-1.0989150072333587</v>
      </c>
      <c r="CW11" s="43">
        <f t="shared" si="17"/>
        <v>-0.28365889565407088</v>
      </c>
      <c r="CX11" s="43">
        <f t="shared" si="17"/>
        <v>1.0814516054953316</v>
      </c>
      <c r="CY11" s="43">
        <f t="shared" si="17"/>
        <v>-0.6971634110470859</v>
      </c>
      <c r="CZ11" s="43">
        <f t="shared" si="17"/>
        <v>-0.3742880521144798</v>
      </c>
      <c r="DA11" s="43">
        <f t="shared" si="17"/>
        <v>1.039186427066241</v>
      </c>
      <c r="DB11" s="43">
        <f t="shared" si="17"/>
        <v>-9.6257119480469555E-2</v>
      </c>
      <c r="DC11" s="43">
        <f t="shared" si="17"/>
        <v>-0.92416200862999176</v>
      </c>
      <c r="DD11" s="43">
        <f t="shared" si="17"/>
        <v>0.56207150661524707</v>
      </c>
      <c r="DE11" s="43">
        <f t="shared" si="17"/>
        <v>0.10924162006631377</v>
      </c>
    </row>
    <row r="12" spans="1:109" s="76" customFormat="1" ht="29.25" customHeight="1" x14ac:dyDescent="0.2">
      <c r="A12" s="37">
        <v>43707</v>
      </c>
      <c r="B12" s="29">
        <f t="shared" si="10"/>
        <v>2</v>
      </c>
      <c r="C12" s="38">
        <v>199</v>
      </c>
      <c r="D12" s="38">
        <f t="shared" ref="D12:D20" si="18">C12-PM</f>
        <v>2.9000000000000057</v>
      </c>
      <c r="E12" s="39">
        <v>823244.33169999998</v>
      </c>
      <c r="F12" s="39">
        <v>1091518.7818</v>
      </c>
      <c r="G12" s="39">
        <v>-124.5505</v>
      </c>
      <c r="H12" s="39">
        <v>823244.23499999999</v>
      </c>
      <c r="I12" s="39">
        <v>1091518.9553</v>
      </c>
      <c r="J12" s="39">
        <v>-123.1862</v>
      </c>
      <c r="K12" s="39">
        <v>823244.51130000001</v>
      </c>
      <c r="L12" s="39">
        <v>1091518.4779999999</v>
      </c>
      <c r="M12" s="39">
        <v>-121.8112</v>
      </c>
      <c r="N12" s="39">
        <v>823245.30519999994</v>
      </c>
      <c r="O12" s="39">
        <v>1091516.6566000001</v>
      </c>
      <c r="P12" s="39">
        <v>-120.8596</v>
      </c>
      <c r="Q12" s="39">
        <v>823245.97409999999</v>
      </c>
      <c r="R12" s="39">
        <v>1091515.1791000001</v>
      </c>
      <c r="S12" s="39">
        <v>-121.25620000000001</v>
      </c>
      <c r="T12" s="39">
        <v>823246.55810000002</v>
      </c>
      <c r="U12" s="39">
        <v>1091514.1000000001</v>
      </c>
      <c r="V12" s="39">
        <v>-123.443</v>
      </c>
      <c r="W12" s="39">
        <v>823246.4743</v>
      </c>
      <c r="X12" s="39">
        <v>1091514.1709</v>
      </c>
      <c r="Y12" s="39">
        <v>-124.5715</v>
      </c>
      <c r="Z12" s="39">
        <f t="shared" si="1"/>
        <v>4.3688579857297771</v>
      </c>
      <c r="AA12" s="39">
        <f t="shared" si="2"/>
        <v>3.441281344146871</v>
      </c>
      <c r="AB12" s="39">
        <f t="shared" si="3"/>
        <v>2.203024677369422</v>
      </c>
      <c r="AC12" s="39">
        <f t="shared" si="4"/>
        <v>1.6696481725723322</v>
      </c>
      <c r="AD12" s="39">
        <f t="shared" si="5"/>
        <v>3.8444658315888991</v>
      </c>
      <c r="AE12" s="39">
        <f t="shared" si="6"/>
        <v>4.6177592954288293</v>
      </c>
      <c r="AF12" s="39">
        <f t="shared" si="7"/>
        <v>3.6511025798722629</v>
      </c>
      <c r="AG12" s="39">
        <f t="shared" si="8"/>
        <v>5.3885691922409187</v>
      </c>
      <c r="AH12" s="39">
        <f t="shared" si="9"/>
        <v>5.0844443717891927</v>
      </c>
      <c r="AI12" s="43">
        <f t="shared" ref="AI12" si="19">IF(Z12="","",(Z12-Z$10)*1000)</f>
        <v>-5.280985580840003</v>
      </c>
      <c r="AJ12" s="43">
        <f t="shared" ref="AJ12" si="20">IF(AA12="","",(AA12-AA$10)*1000)</f>
        <v>0.11689441591133942</v>
      </c>
      <c r="AK12" s="43">
        <f t="shared" ref="AK12" si="21">IF(AB12="","",(AB12-AB$10)*1000)</f>
        <v>-2.8421862517569174</v>
      </c>
      <c r="AL12" s="43">
        <f t="shared" ref="AL12" si="22">IF(AC12="","",(AC12-AC$10)*1000)</f>
        <v>-0.66302310079291438</v>
      </c>
      <c r="AM12" s="43">
        <f t="shared" ref="AM12" si="23">IF(AD12="","",(AD12-AD$10)*1000)</f>
        <v>-4.0546230713842668</v>
      </c>
      <c r="AN12" s="43">
        <f t="shared" ref="AN12" si="24">IF(AE12="","",(AE12-AE$10)*1000)</f>
        <v>-4.8426483356998062</v>
      </c>
      <c r="AO12" s="43">
        <f t="shared" ref="AO12" si="25">IF(AF12="","",(AF12-AF$10)*1000)</f>
        <v>-2.0795139895724013</v>
      </c>
      <c r="AP12" s="43">
        <f t="shared" ref="AP12" si="26">IF(AG12="","",(AG12-AG$10)*1000)</f>
        <v>-1.3429684605252845</v>
      </c>
      <c r="AQ12" s="43">
        <f t="shared" ref="AQ12" si="27">IF(AH12="","",(AH12-AH$10)*1000)</f>
        <v>-3.7228396590771595</v>
      </c>
      <c r="AR12" s="40"/>
      <c r="AS12" s="43">
        <f t="shared" ref="AS12" si="28">IF(E12="","",(E12-E$10)*1000)</f>
        <v>1.3000000035390258</v>
      </c>
      <c r="AT12" s="43">
        <f t="shared" ref="AT12" si="29">IF(F12="","",(F12-F$10)*1000)</f>
        <v>-2.7000000700354576</v>
      </c>
      <c r="AU12" s="43">
        <f t="shared" ref="AU12" si="30">IF(G12="","",(G12-G$10)*1000)</f>
        <v>1.0000000000047748</v>
      </c>
      <c r="AV12" s="43">
        <f t="shared" ref="AV12" si="31">IF(H12="","",(H12-H$10)*1000)</f>
        <v>-8.000000030733645</v>
      </c>
      <c r="AW12" s="43">
        <f t="shared" ref="AW12" si="32">IF(I12="","",(I12-I$10)*1000)</f>
        <v>-4.7999999951571226</v>
      </c>
      <c r="AX12" s="43">
        <f t="shared" ref="AX12" si="33">IF(J12="","",(J12-J$10)*1000)</f>
        <v>-4.0000000000048885</v>
      </c>
      <c r="AY12" s="43">
        <f t="shared" ref="AY12" si="34">IF(K12="","",(K12-K$10)*1000)</f>
        <v>1.7000000225380063</v>
      </c>
      <c r="AZ12" s="43">
        <f t="shared" ref="AZ12" si="35">IF(L12="","",(L12-L$10)*1000)</f>
        <v>-2.4000001139938831</v>
      </c>
      <c r="BA12" s="43">
        <f t="shared" ref="BA12" si="36">IF(M12="","",(M12-M$10)*1000)</f>
        <v>-0.79999999999813554</v>
      </c>
      <c r="BB12" s="43">
        <f t="shared" ref="BB12" si="37">IF(N12="","",(N12-N$10)*1000)</f>
        <v>-0.50000008195638657</v>
      </c>
      <c r="BC12" s="43">
        <f t="shared" ref="BC12" si="38">IF(O12="","",(O12-O$10)*1000)</f>
        <v>-1.6999999061226845</v>
      </c>
      <c r="BD12" s="43">
        <f t="shared" ref="BD12" si="39">IF(P12="","",(P12-P$10)*1000)</f>
        <v>-4.199999999997317</v>
      </c>
      <c r="BE12" s="43">
        <f t="shared" ref="BE12" si="40">IF(Q12="","",(Q12-Q$10)*1000)</f>
        <v>-0.10000006295740604</v>
      </c>
      <c r="BF12" s="43">
        <f t="shared" ref="BF12" si="41">IF(R12="","",(R12-R$10)*1000)</f>
        <v>-1.1999998241662979</v>
      </c>
      <c r="BG12" s="43">
        <f t="shared" ref="BG12" si="42">IF(S12="","",(S12-S$10)*1000)</f>
        <v>-2.6000000000010459</v>
      </c>
      <c r="BH12" s="43">
        <f t="shared" ref="BH12" si="43">IF(T12="","",(T12-T$10)*1000)</f>
        <v>-0.40000001899898052</v>
      </c>
      <c r="BI12" s="43">
        <f t="shared" ref="BI12" si="44">IF(U12="","",(U12-U$10)*1000)</f>
        <v>0.10000006295740604</v>
      </c>
      <c r="BJ12" s="43">
        <f t="shared" ref="BJ12" si="45">IF(V12="","",(V12-V$10)*1000)</f>
        <v>0.10000000000331966</v>
      </c>
      <c r="BK12" s="43">
        <f t="shared" ref="BK12" si="46">IF(W12="","",(W12-W$10)*1000)</f>
        <v>-1.3000000035390258</v>
      </c>
      <c r="BL12" s="43">
        <f t="shared" ref="BL12" si="47">IF(X12="","",(X12-X$10)*1000)</f>
        <v>0.20000012591481209</v>
      </c>
      <c r="BM12" s="43">
        <f t="shared" ref="BM12" si="48">IF(Y12="","",(Y12-Y$10)*1000)</f>
        <v>0.29999999999574811</v>
      </c>
      <c r="BN12" s="40"/>
      <c r="BO12" s="39">
        <v>196.10480620307567</v>
      </c>
      <c r="BP12" s="39">
        <v>-2.5342045885346263</v>
      </c>
      <c r="BQ12" s="39">
        <v>-0.96866806203075839</v>
      </c>
      <c r="BR12" s="39">
        <v>196.09049788569214</v>
      </c>
      <c r="BS12" s="39">
        <v>-2.732316708467343</v>
      </c>
      <c r="BT12" s="39">
        <v>0.39577502114308061</v>
      </c>
      <c r="BU12" s="39">
        <v>196.13917457442088</v>
      </c>
      <c r="BV12" s="39">
        <v>-2.1829647628743323</v>
      </c>
      <c r="BW12" s="39">
        <v>1.7702882542557887</v>
      </c>
      <c r="BX12" s="39">
        <v>196.0888614610956</v>
      </c>
      <c r="BY12" s="39">
        <v>-0.19670099395386689</v>
      </c>
      <c r="BZ12" s="39">
        <v>2.7223913853890451</v>
      </c>
      <c r="CA12" s="39">
        <v>196.07061186789406</v>
      </c>
      <c r="CB12" s="39">
        <v>1.4250574382801471</v>
      </c>
      <c r="CC12" s="39">
        <v>2.3259738813210475</v>
      </c>
      <c r="CD12" s="39">
        <v>196.1438026405518</v>
      </c>
      <c r="CE12" s="39">
        <v>2.6498659624085894</v>
      </c>
      <c r="CF12" s="39">
        <v>0.13844197359448174</v>
      </c>
      <c r="CG12" s="39">
        <v>196.09782139429964</v>
      </c>
      <c r="CH12" s="39">
        <v>2.5501916177287245</v>
      </c>
      <c r="CI12" s="39">
        <v>-0.98959821394299752</v>
      </c>
      <c r="CJ12" s="40"/>
      <c r="CK12" s="43">
        <f t="shared" si="13"/>
        <v>3.7019210282096537E-2</v>
      </c>
      <c r="CL12" s="43">
        <f t="shared" si="14"/>
        <v>2.9964362107990361</v>
      </c>
      <c r="CM12" s="43">
        <f t="shared" si="15"/>
        <v>0.99962980790735401</v>
      </c>
      <c r="CN12" s="43">
        <f t="shared" si="16"/>
        <v>-9.2790660675063918</v>
      </c>
      <c r="CO12" s="43">
        <f t="shared" ref="CO12" si="49">IF(BS12="","",(BS12-BS$10)*1000)</f>
        <v>0.96898573784276465</v>
      </c>
      <c r="CP12" s="43">
        <f t="shared" ref="CP12" si="50">IF(BT12="","",(BT12-BT$10)*1000)</f>
        <v>-3.9072093393315299</v>
      </c>
      <c r="CQ12" s="43">
        <f t="shared" ref="CQ12" si="51">IF(BU12="","",(BU12-BU$10)*1000)</f>
        <v>0.52633163161885932</v>
      </c>
      <c r="CR12" s="43">
        <f t="shared" ref="CR12" si="52">IF(BV12="","",(BV12-BV$10)*1000)</f>
        <v>2.8936094479456997</v>
      </c>
      <c r="CS12" s="43">
        <f t="shared" ref="CS12" si="53">IF(BW12="","",(BW12-BW$10)*1000)</f>
        <v>-0.805263316308924</v>
      </c>
      <c r="CT12" s="43">
        <f t="shared" ref="CT12" si="54">IF(BX12="","",(BX12-BX$10)*1000)</f>
        <v>-1.1716544763373804</v>
      </c>
      <c r="CU12" s="43">
        <f t="shared" ref="CU12" si="55">IF(BY12="","",(BY12-BY$10)*1000)</f>
        <v>1.3293703587819172</v>
      </c>
      <c r="CV12" s="43">
        <f t="shared" ref="CV12" si="56">IF(BZ12="","",(BZ12-BZ$10)*1000)</f>
        <v>-4.1882834552353643</v>
      </c>
      <c r="CW12" s="43">
        <f t="shared" ref="CW12" si="57">IF(CA12="","",(CA12-CA$10)*1000)</f>
        <v>-0.59781159976068921</v>
      </c>
      <c r="CX12" s="43">
        <f t="shared" ref="CX12" si="58">IF(CB12="","",(CB12-CB$10)*1000)</f>
        <v>1.0452850720186202</v>
      </c>
      <c r="CY12" s="43">
        <f t="shared" ref="CY12" si="59">IF(CC12="","",(CC12-CC$10)*1000)</f>
        <v>-2.5940218840077023</v>
      </c>
      <c r="CZ12" s="43">
        <f t="shared" ref="CZ12" si="60">IF(CD12="","",(CD12-CD$10)*1000)</f>
        <v>-0.320251609252864</v>
      </c>
      <c r="DA12" s="43">
        <f t="shared" ref="DA12" si="61">IF(CE12="","",(CE12-CE$10)*1000)</f>
        <v>-0.25969007403903177</v>
      </c>
      <c r="DB12" s="43">
        <f t="shared" ref="DB12" si="62">IF(CF12="","",(CF12-CF$10)*1000)</f>
        <v>0.1032025161009642</v>
      </c>
      <c r="DC12" s="43">
        <f t="shared" ref="DC12" si="63">IF(CG12="","",(CG12-CG$10)*1000)</f>
        <v>-1.0936492118673868</v>
      </c>
      <c r="DD12" s="43">
        <f t="shared" ref="DD12" si="64">IF(CH12="","",(CH12-CH$10)*1000)</f>
        <v>-0.73070613856707212</v>
      </c>
      <c r="DE12" s="43">
        <f t="shared" ref="DE12" si="65">IF(CI12="","",(CI12-CI$10)*1000)</f>
        <v>0.3109364921130009</v>
      </c>
    </row>
    <row r="13" spans="1:109" s="76" customFormat="1" ht="29.25" customHeight="1" x14ac:dyDescent="0.2">
      <c r="A13" s="37">
        <v>43710</v>
      </c>
      <c r="B13" s="29">
        <f t="shared" si="10"/>
        <v>5</v>
      </c>
      <c r="C13" s="38">
        <v>199.4</v>
      </c>
      <c r="D13" s="38">
        <f t="shared" si="18"/>
        <v>3.3000000000000114</v>
      </c>
      <c r="E13" s="39">
        <v>823244.33129999996</v>
      </c>
      <c r="F13" s="39">
        <v>1091518.7819999999</v>
      </c>
      <c r="G13" s="39">
        <v>-124.55029999999999</v>
      </c>
      <c r="H13" s="39">
        <v>823244.23439999996</v>
      </c>
      <c r="I13" s="39">
        <v>1091518.9552</v>
      </c>
      <c r="J13" s="39">
        <v>-123.1866</v>
      </c>
      <c r="K13" s="39">
        <v>823244.51089999999</v>
      </c>
      <c r="L13" s="39">
        <v>1091518.4767</v>
      </c>
      <c r="M13" s="39">
        <v>-121.8112</v>
      </c>
      <c r="N13" s="39">
        <v>823245.30379999999</v>
      </c>
      <c r="O13" s="39">
        <v>1091516.6568</v>
      </c>
      <c r="P13" s="39">
        <v>-120.8626</v>
      </c>
      <c r="Q13" s="39">
        <v>823245.97389999998</v>
      </c>
      <c r="R13" s="39">
        <v>1091515.1795999999</v>
      </c>
      <c r="S13" s="39">
        <v>-121.25790000000001</v>
      </c>
      <c r="T13" s="39">
        <v>823246.5577</v>
      </c>
      <c r="U13" s="39">
        <v>1091514.101</v>
      </c>
      <c r="V13" s="39">
        <v>-123.44289999999999</v>
      </c>
      <c r="W13" s="39">
        <v>823246.47360000003</v>
      </c>
      <c r="X13" s="39">
        <v>1091514.1724</v>
      </c>
      <c r="Y13" s="39">
        <v>-124.5715</v>
      </c>
      <c r="Z13" s="39">
        <f t="shared" si="1"/>
        <v>4.3659320401958741</v>
      </c>
      <c r="AA13" s="39">
        <f t="shared" si="2"/>
        <v>3.4390747185752146</v>
      </c>
      <c r="AB13" s="39">
        <f t="shared" si="3"/>
        <v>2.2001291734824853</v>
      </c>
      <c r="AC13" s="39">
        <f t="shared" si="4"/>
        <v>1.6695556115998227</v>
      </c>
      <c r="AD13" s="39">
        <f t="shared" si="5"/>
        <v>3.8421773696548143</v>
      </c>
      <c r="AE13" s="39">
        <f t="shared" si="6"/>
        <v>4.6148255232310582</v>
      </c>
      <c r="AF13" s="39">
        <f t="shared" si="7"/>
        <v>3.6492983298872068</v>
      </c>
      <c r="AG13" s="39">
        <f t="shared" si="8"/>
        <v>5.3876405057938026</v>
      </c>
      <c r="AH13" s="39">
        <f t="shared" si="9"/>
        <v>5.0831398651720496</v>
      </c>
      <c r="AI13" s="43">
        <f t="shared" ref="AI13:AI16" si="66">IF(Z13="","",(Z13-Z$10)*1000)</f>
        <v>-8.2069311147430213</v>
      </c>
      <c r="AJ13" s="43">
        <f t="shared" ref="AJ13:AJ16" si="67">IF(AA13="","",(AA13-AA$10)*1000)</f>
        <v>-2.0897311557450671</v>
      </c>
      <c r="AK13" s="43">
        <f t="shared" ref="AK13:AK16" si="68">IF(AB13="","",(AB13-AB$10)*1000)</f>
        <v>-5.7376901386936296</v>
      </c>
      <c r="AL13" s="43">
        <f t="shared" ref="AL13:AL16" si="69">IF(AC13="","",(AC13-AC$10)*1000)</f>
        <v>-0.75558407330245103</v>
      </c>
      <c r="AM13" s="43">
        <f t="shared" ref="AM13:AM16" si="70">IF(AD13="","",(AD13-AD$10)*1000)</f>
        <v>-6.3430850054690957</v>
      </c>
      <c r="AN13" s="43">
        <f t="shared" ref="AN13:AN16" si="71">IF(AE13="","",(AE13-AE$10)*1000)</f>
        <v>-7.7764205334709402</v>
      </c>
      <c r="AO13" s="43">
        <f t="shared" ref="AO13:AO16" si="72">IF(AF13="","",(AF13-AF$10)*1000)</f>
        <v>-3.8837639746285291</v>
      </c>
      <c r="AP13" s="43">
        <f t="shared" ref="AP13:AP16" si="73">IF(AG13="","",(AG13-AG$10)*1000)</f>
        <v>-2.2716549076413628</v>
      </c>
      <c r="AQ13" s="43">
        <f t="shared" ref="AQ13:AQ16" si="74">IF(AH13="","",(AH13-AH$10)*1000)</f>
        <v>-5.027346276220257</v>
      </c>
      <c r="AR13" s="40"/>
      <c r="AS13" s="43">
        <f t="shared" ref="AS13:AS16" si="75">IF(E13="","",(E13-E$10)*1000)</f>
        <v>0.89999998454004526</v>
      </c>
      <c r="AT13" s="43">
        <f t="shared" ref="AT13:AT16" si="76">IF(F13="","",(F13-F$10)*1000)</f>
        <v>-2.5000001769512892</v>
      </c>
      <c r="AU13" s="43">
        <f t="shared" ref="AU13:AU16" si="77">IF(G13="","",(G13-G$10)*1000)</f>
        <v>1.2000000000114142</v>
      </c>
      <c r="AV13" s="43">
        <f t="shared" ref="AV13:AV16" si="78">IF(H13="","",(H13-H$10)*1000)</f>
        <v>-8.6000000592321157</v>
      </c>
      <c r="AW13" s="43">
        <f t="shared" ref="AW13:AW16" si="79">IF(I13="","",(I13-I$10)*1000)</f>
        <v>-4.9000000581145287</v>
      </c>
      <c r="AX13" s="43">
        <f t="shared" ref="AX13:AX16" si="80">IF(J13="","",(J13-J$10)*1000)</f>
        <v>-4.4000000000039563</v>
      </c>
      <c r="AY13" s="43">
        <f t="shared" ref="AY13:AY16" si="81">IF(K13="","",(K13-K$10)*1000)</f>
        <v>1.3000000035390258</v>
      </c>
      <c r="AZ13" s="43">
        <f t="shared" ref="AZ13:AZ16" si="82">IF(L13="","",(L13-L$10)*1000)</f>
        <v>-3.7000000011175871</v>
      </c>
      <c r="BA13" s="43">
        <f t="shared" ref="BA13:BA16" si="83">IF(M13="","",(M13-M$10)*1000)</f>
        <v>-0.79999999999813554</v>
      </c>
      <c r="BB13" s="43">
        <f t="shared" ref="BB13:BB16" si="84">IF(N13="","",(N13-N$10)*1000)</f>
        <v>-1.9000000320374966</v>
      </c>
      <c r="BC13" s="43">
        <f t="shared" ref="BC13:BC16" si="85">IF(O13="","",(O13-O$10)*1000)</f>
        <v>-1.500000013038516</v>
      </c>
      <c r="BD13" s="43">
        <f t="shared" ref="BD13:BD16" si="86">IF(P13="","",(P13-P$10)*1000)</f>
        <v>-7.1999999999974307</v>
      </c>
      <c r="BE13" s="43">
        <f t="shared" ref="BE13:BE16" si="87">IF(Q13="","",(Q13-Q$10)*1000)</f>
        <v>-0.30000007245689631</v>
      </c>
      <c r="BF13" s="43">
        <f t="shared" ref="BF13:BF16" si="88">IF(R13="","",(R13-R$10)*1000)</f>
        <v>-0.699999975040555</v>
      </c>
      <c r="BG13" s="43">
        <f t="shared" ref="BG13:BG16" si="89">IF(S13="","",(S13-S$10)*1000)</f>
        <v>-4.3000000000006366</v>
      </c>
      <c r="BH13" s="43">
        <f t="shared" ref="BH13:BH16" si="90">IF(T13="","",(T13-T$10)*1000)</f>
        <v>-0.80000003799796104</v>
      </c>
      <c r="BI13" s="43">
        <f t="shared" ref="BI13:BI16" si="91">IF(U13="","",(U13-U$10)*1000)</f>
        <v>1.0999999940395355</v>
      </c>
      <c r="BJ13" s="43">
        <f t="shared" ref="BJ13:BJ16" si="92">IF(V13="","",(V13-V$10)*1000)</f>
        <v>0.20000000000663931</v>
      </c>
      <c r="BK13" s="43">
        <f t="shared" ref="BK13:BK16" si="93">IF(W13="","",(W13-W$10)*1000)</f>
        <v>-1.9999999785795808</v>
      </c>
      <c r="BL13" s="43">
        <f t="shared" ref="BL13:BL16" si="94">IF(X13="","",(X13-X$10)*1000)</f>
        <v>1.7000001389533281</v>
      </c>
      <c r="BM13" s="43">
        <f t="shared" ref="BM13:BM16" si="95">IF(Y13="","",(Y13-Y$10)*1000)</f>
        <v>0.29999999999574811</v>
      </c>
      <c r="BN13" s="40"/>
      <c r="BO13" s="39">
        <v>196.10452821659561</v>
      </c>
      <c r="BP13" s="39">
        <v>-2.5345549076596301</v>
      </c>
      <c r="BQ13" s="39">
        <v>-0.96846528216595118</v>
      </c>
      <c r="BR13" s="39">
        <v>196.0899118452092</v>
      </c>
      <c r="BS13" s="39">
        <v>-2.7324796704234857</v>
      </c>
      <c r="BT13" s="39">
        <v>0.39538088154790785</v>
      </c>
      <c r="BU13" s="39">
        <v>196.13826261001859</v>
      </c>
      <c r="BV13" s="39">
        <v>-2.1819556441247974</v>
      </c>
      <c r="BW13" s="39">
        <v>1.7702973738998082</v>
      </c>
      <c r="BX13" s="39">
        <v>196.08767718262888</v>
      </c>
      <c r="BY13" s="39">
        <v>-0.19747396505979298</v>
      </c>
      <c r="BZ13" s="39">
        <v>2.7194032281737037</v>
      </c>
      <c r="CA13" s="39">
        <v>196.07064193541689</v>
      </c>
      <c r="CB13" s="39">
        <v>1.4245197619862902</v>
      </c>
      <c r="CC13" s="39">
        <v>2.3242735806458228</v>
      </c>
      <c r="CD13" s="39">
        <v>196.14386277569585</v>
      </c>
      <c r="CE13" s="39">
        <v>2.648790609609827</v>
      </c>
      <c r="CF13" s="39">
        <v>0.13854137224303997</v>
      </c>
      <c r="CG13" s="39">
        <v>196.09782096790852</v>
      </c>
      <c r="CH13" s="39">
        <v>2.5485363232466458</v>
      </c>
      <c r="CI13" s="39">
        <v>-0.9895982096790874</v>
      </c>
      <c r="CJ13" s="40"/>
      <c r="CK13" s="43">
        <f t="shared" ref="CK13:CK16" si="96">IF(BO13="","",(BO13-BO$10)*1000)</f>
        <v>-0.24096726977518301</v>
      </c>
      <c r="CL13" s="43">
        <f t="shared" ref="CL13:CL16" si="97">IF(BP13="","",(BP13-BP$10)*1000)</f>
        <v>2.6461170857952077</v>
      </c>
      <c r="CM13" s="43">
        <f t="shared" ref="CM13:CM16" si="98">IF(BQ13="","",(BQ13-BQ$10)*1000)</f>
        <v>1.2024096727145661</v>
      </c>
      <c r="CN13" s="43">
        <f t="shared" ref="CN13:CN16" si="99">IF(BR13="","",(BR13-BR$10)*1000)</f>
        <v>-9.8651065504498092</v>
      </c>
      <c r="CO13" s="43">
        <f t="shared" ref="CO13:CO16" si="100">IF(BS13="","",(BS13-BS$10)*1000)</f>
        <v>0.80602378170002709</v>
      </c>
      <c r="CP13" s="43">
        <f t="shared" ref="CP13:CP16" si="101">IF(BT13="","",(BT13-BT$10)*1000)</f>
        <v>-4.3013489345042899</v>
      </c>
      <c r="CQ13" s="43">
        <f t="shared" ref="CQ13:CQ16" si="102">IF(BU13="","",(BU13-BU$10)*1000)</f>
        <v>-0.38563277067282797</v>
      </c>
      <c r="CR13" s="43">
        <f t="shared" ref="CR13:CR16" si="103">IF(BV13="","",(BV13-BV$10)*1000)</f>
        <v>3.9027281974806094</v>
      </c>
      <c r="CS13" s="43">
        <f t="shared" ref="CS13:CS16" si="104">IF(BW13="","",(BW13-BW$10)*1000)</f>
        <v>-0.79614367228941774</v>
      </c>
      <c r="CT13" s="43">
        <f t="shared" ref="CT13:CT16" si="105">IF(BX13="","",(BX13-BX$10)*1000)</f>
        <v>-2.3559329430611342</v>
      </c>
      <c r="CU13" s="43">
        <f t="shared" ref="CU13:CU16" si="106">IF(BY13="","",(BY13-BY$10)*1000)</f>
        <v>0.55639925285583258</v>
      </c>
      <c r="CV13" s="43">
        <f t="shared" ref="CV13:CV16" si="107">IF(BZ13="","",(BZ13-BZ$10)*1000)</f>
        <v>-7.1764406705767669</v>
      </c>
      <c r="CW13" s="43">
        <f t="shared" ref="CW13:CW16" si="108">IF(CA13="","",(CA13-CA$10)*1000)</f>
        <v>-0.56774407693183093</v>
      </c>
      <c r="CX13" s="43">
        <f t="shared" ref="CX13:CX16" si="109">IF(CB13="","",(CB13-CB$10)*1000)</f>
        <v>0.50760877816169447</v>
      </c>
      <c r="CY13" s="43">
        <f t="shared" ref="CY13:CY16" si="110">IF(CC13="","",(CC13-CC$10)*1000)</f>
        <v>-4.2943225592324552</v>
      </c>
      <c r="CZ13" s="43">
        <f t="shared" ref="CZ13:CZ16" si="111">IF(CD13="","",(CD13-CD$10)*1000)</f>
        <v>-0.26011646519918941</v>
      </c>
      <c r="DA13" s="43">
        <f t="shared" ref="DA13:DA16" si="112">IF(CE13="","",(CE13-CE$10)*1000)</f>
        <v>-1.3350428728013952</v>
      </c>
      <c r="DB13" s="43">
        <f t="shared" ref="DB13:DB16" si="113">IF(CF13="","",(CF13-CF$10)*1000)</f>
        <v>0.20260116465919964</v>
      </c>
      <c r="DC13" s="43">
        <f t="shared" ref="DC13:DC16" si="114">IF(CG13="","",(CG13-CG$10)*1000)</f>
        <v>-1.0940756029924614</v>
      </c>
      <c r="DD13" s="43">
        <f t="shared" ref="DD13:DD16" si="115">IF(CH13="","",(CH13-CH$10)*1000)</f>
        <v>-2.3860006206457562</v>
      </c>
      <c r="DE13" s="43">
        <f t="shared" ref="DE13:DE16" si="116">IF(CI13="","",(CI13-CI$10)*1000)</f>
        <v>0.31094075602311477</v>
      </c>
    </row>
    <row r="14" spans="1:109" s="76" customFormat="1" ht="29.25" customHeight="1" x14ac:dyDescent="0.2">
      <c r="A14" s="37">
        <v>43711</v>
      </c>
      <c r="B14" s="29">
        <f t="shared" si="10"/>
        <v>6</v>
      </c>
      <c r="C14" s="38">
        <v>200.6</v>
      </c>
      <c r="D14" s="38">
        <f t="shared" si="18"/>
        <v>4.5</v>
      </c>
      <c r="E14" s="39">
        <v>823244.33219999995</v>
      </c>
      <c r="F14" s="39">
        <v>1091518.7825</v>
      </c>
      <c r="G14" s="39">
        <v>-124.5501</v>
      </c>
      <c r="H14" s="39">
        <v>823244.23490000004</v>
      </c>
      <c r="I14" s="39">
        <v>1091518.9556</v>
      </c>
      <c r="J14" s="39">
        <v>-123.1865</v>
      </c>
      <c r="K14" s="39">
        <v>823244.51130000001</v>
      </c>
      <c r="L14" s="39">
        <v>1091518.4771</v>
      </c>
      <c r="M14" s="39">
        <v>-121.8111</v>
      </c>
      <c r="N14" s="39">
        <v>823245.30330000003</v>
      </c>
      <c r="O14" s="39">
        <v>1091516.6573000001</v>
      </c>
      <c r="P14" s="39">
        <v>-120.8642</v>
      </c>
      <c r="Q14" s="39">
        <v>823245.97380000004</v>
      </c>
      <c r="R14" s="39">
        <v>1091515.1802000001</v>
      </c>
      <c r="S14" s="39">
        <v>-121.25879999999999</v>
      </c>
      <c r="T14" s="39">
        <v>823246.55799999996</v>
      </c>
      <c r="U14" s="39">
        <v>1091514.102</v>
      </c>
      <c r="V14" s="39">
        <v>-123.4426</v>
      </c>
      <c r="W14" s="39">
        <v>823246.4743</v>
      </c>
      <c r="X14" s="39">
        <v>1091514.1736999999</v>
      </c>
      <c r="Y14" s="39">
        <v>-124.5718</v>
      </c>
      <c r="Z14" s="39">
        <f t="shared" si="1"/>
        <v>4.3641000286090899</v>
      </c>
      <c r="AA14" s="39">
        <f t="shared" si="2"/>
        <v>3.4375483617764919</v>
      </c>
      <c r="AB14" s="39">
        <f t="shared" si="3"/>
        <v>2.1989896884260447</v>
      </c>
      <c r="AC14" s="39">
        <f t="shared" si="4"/>
        <v>1.6694621349596146</v>
      </c>
      <c r="AD14" s="39">
        <f t="shared" si="5"/>
        <v>3.840830215000651</v>
      </c>
      <c r="AE14" s="39">
        <f t="shared" si="6"/>
        <v>4.6136544864882945</v>
      </c>
      <c r="AF14" s="39">
        <f t="shared" si="7"/>
        <v>3.6487657022324798</v>
      </c>
      <c r="AG14" s="39">
        <f t="shared" si="8"/>
        <v>5.3870041562949025</v>
      </c>
      <c r="AH14" s="39">
        <f t="shared" si="9"/>
        <v>5.0823322147078036</v>
      </c>
      <c r="AI14" s="43">
        <f t="shared" si="66"/>
        <v>-10.038942701527276</v>
      </c>
      <c r="AJ14" s="43">
        <f t="shared" si="67"/>
        <v>-3.6160879544677726</v>
      </c>
      <c r="AK14" s="43">
        <f t="shared" si="68"/>
        <v>-6.8771751951341997</v>
      </c>
      <c r="AL14" s="43">
        <f t="shared" si="69"/>
        <v>-0.84906071351054102</v>
      </c>
      <c r="AM14" s="43">
        <f t="shared" si="70"/>
        <v>-7.6902396596323364</v>
      </c>
      <c r="AN14" s="43">
        <f t="shared" si="71"/>
        <v>-8.9474572762346938</v>
      </c>
      <c r="AO14" s="43">
        <f t="shared" si="72"/>
        <v>-4.4163916293555872</v>
      </c>
      <c r="AP14" s="43">
        <f t="shared" si="73"/>
        <v>-2.9080044065414867</v>
      </c>
      <c r="AQ14" s="43">
        <f t="shared" si="74"/>
        <v>-5.8349967404662806</v>
      </c>
      <c r="AR14" s="40"/>
      <c r="AS14" s="43">
        <f t="shared" si="75"/>
        <v>1.7999999690800905</v>
      </c>
      <c r="AT14" s="43">
        <f t="shared" si="76"/>
        <v>-2.0000000949949026</v>
      </c>
      <c r="AU14" s="43">
        <f t="shared" si="77"/>
        <v>1.4000000000038426</v>
      </c>
      <c r="AV14" s="43">
        <f t="shared" si="78"/>
        <v>-8.0999999772757292</v>
      </c>
      <c r="AW14" s="43">
        <f t="shared" si="79"/>
        <v>-4.5000000391155481</v>
      </c>
      <c r="AX14" s="43">
        <f t="shared" si="80"/>
        <v>-4.3000000000006366</v>
      </c>
      <c r="AY14" s="43">
        <f t="shared" si="81"/>
        <v>1.7000000225380063</v>
      </c>
      <c r="AZ14" s="43">
        <f t="shared" si="82"/>
        <v>-3.2999999821186066</v>
      </c>
      <c r="BA14" s="43">
        <f t="shared" si="83"/>
        <v>-0.69999999999481588</v>
      </c>
      <c r="BB14" s="43">
        <f t="shared" si="84"/>
        <v>-2.3999999975785613</v>
      </c>
      <c r="BC14" s="43">
        <f t="shared" si="85"/>
        <v>-0.99999993108212948</v>
      </c>
      <c r="BD14" s="43">
        <f t="shared" si="86"/>
        <v>-8.7999999999937017</v>
      </c>
      <c r="BE14" s="43">
        <f t="shared" si="87"/>
        <v>-0.40000001899898052</v>
      </c>
      <c r="BF14" s="43">
        <f t="shared" si="88"/>
        <v>-9.999983012676239E-2</v>
      </c>
      <c r="BG14" s="43">
        <f t="shared" si="89"/>
        <v>-5.199999999987881</v>
      </c>
      <c r="BH14" s="43">
        <f t="shared" si="90"/>
        <v>-0.50000008195638657</v>
      </c>
      <c r="BI14" s="43">
        <f t="shared" si="91"/>
        <v>2.099999925121665</v>
      </c>
      <c r="BJ14" s="43">
        <f t="shared" si="92"/>
        <v>0.50000000000238742</v>
      </c>
      <c r="BK14" s="43">
        <f t="shared" si="93"/>
        <v>-1.3000000035390258</v>
      </c>
      <c r="BL14" s="43">
        <f t="shared" si="94"/>
        <v>3.0000000260770321</v>
      </c>
      <c r="BM14" s="43">
        <f t="shared" si="95"/>
        <v>0</v>
      </c>
      <c r="BN14" s="40"/>
      <c r="BO14" s="39">
        <v>196.10560000000001</v>
      </c>
      <c r="BP14" s="39">
        <v>-2.5346000000000002</v>
      </c>
      <c r="BQ14" s="39">
        <v>-0.96830000000000005</v>
      </c>
      <c r="BR14" s="39">
        <v>196.09100000000001</v>
      </c>
      <c r="BS14" s="39">
        <v>-2.7330000000000001</v>
      </c>
      <c r="BT14" s="39">
        <v>0.39500000000000002</v>
      </c>
      <c r="BU14" s="39">
        <v>196.13900000000001</v>
      </c>
      <c r="BV14" s="39">
        <v>-2.1819999999999999</v>
      </c>
      <c r="BW14" s="39">
        <v>1.77</v>
      </c>
      <c r="BX14" s="39">
        <v>196.08699999999999</v>
      </c>
      <c r="BY14" s="39">
        <v>-0.19800000000000001</v>
      </c>
      <c r="BZ14" s="39">
        <v>2.718</v>
      </c>
      <c r="CA14" s="39">
        <v>196.071</v>
      </c>
      <c r="CB14" s="39">
        <v>1.4239999999999999</v>
      </c>
      <c r="CC14" s="39">
        <v>2.323</v>
      </c>
      <c r="CD14" s="39">
        <v>196.14500000000001</v>
      </c>
      <c r="CE14" s="39">
        <v>2.6480000000000001</v>
      </c>
      <c r="CF14" s="39">
        <v>0.13900000000000001</v>
      </c>
      <c r="CG14" s="39">
        <v>196.09899999999999</v>
      </c>
      <c r="CH14" s="39">
        <v>2.548</v>
      </c>
      <c r="CI14" s="39">
        <v>-0.99</v>
      </c>
      <c r="CJ14" s="40"/>
      <c r="CK14" s="43">
        <f t="shared" si="96"/>
        <v>0.83081613462354653</v>
      </c>
      <c r="CL14" s="43">
        <f t="shared" si="97"/>
        <v>2.6010247454251179</v>
      </c>
      <c r="CM14" s="43">
        <f t="shared" si="98"/>
        <v>1.3676918386656967</v>
      </c>
      <c r="CN14" s="43">
        <f t="shared" si="99"/>
        <v>-8.7769517596427704</v>
      </c>
      <c r="CO14" s="43">
        <f t="shared" si="100"/>
        <v>0.28569420518564925</v>
      </c>
      <c r="CP14" s="43">
        <f t="shared" si="101"/>
        <v>-4.6822304824121197</v>
      </c>
      <c r="CQ14" s="43">
        <f t="shared" si="102"/>
        <v>0.35175721075120236</v>
      </c>
      <c r="CR14" s="43">
        <f t="shared" si="103"/>
        <v>3.8583723222780364</v>
      </c>
      <c r="CS14" s="43">
        <f t="shared" si="104"/>
        <v>-1.0935175720976353</v>
      </c>
      <c r="CT14" s="43">
        <f t="shared" si="105"/>
        <v>-3.033115571952294</v>
      </c>
      <c r="CU14" s="43">
        <f t="shared" si="106"/>
        <v>3.0364312648800684E-2</v>
      </c>
      <c r="CV14" s="43">
        <f t="shared" si="107"/>
        <v>-8.5796688442805191</v>
      </c>
      <c r="CW14" s="43">
        <f t="shared" si="108"/>
        <v>-0.20967949382111328</v>
      </c>
      <c r="CX14" s="43">
        <f t="shared" si="109"/>
        <v>-1.2153208128529158E-2</v>
      </c>
      <c r="CY14" s="43">
        <f t="shared" si="110"/>
        <v>-5.5679032050552912</v>
      </c>
      <c r="CZ14" s="43">
        <f t="shared" si="111"/>
        <v>0.87710783896000066</v>
      </c>
      <c r="DA14" s="43">
        <f t="shared" si="112"/>
        <v>-2.1256524826283041</v>
      </c>
      <c r="DB14" s="43">
        <f t="shared" si="113"/>
        <v>0.66122892161923907</v>
      </c>
      <c r="DC14" s="43">
        <f t="shared" si="114"/>
        <v>8.4956488478837855E-2</v>
      </c>
      <c r="DD14" s="43">
        <f t="shared" si="115"/>
        <v>-2.9223238672915208</v>
      </c>
      <c r="DE14" s="43">
        <f t="shared" si="116"/>
        <v>-9.0849564889472489E-2</v>
      </c>
    </row>
    <row r="15" spans="1:109" ht="29.25" customHeight="1" x14ac:dyDescent="0.2">
      <c r="A15" s="37">
        <v>43712</v>
      </c>
      <c r="B15" s="29">
        <f t="shared" si="10"/>
        <v>7</v>
      </c>
      <c r="C15" s="38">
        <v>200.6</v>
      </c>
      <c r="D15" s="38">
        <f t="shared" si="18"/>
        <v>4.5</v>
      </c>
      <c r="E15" s="39">
        <v>823244.33120000002</v>
      </c>
      <c r="F15" s="39">
        <v>1091518.7819999999</v>
      </c>
      <c r="G15" s="39">
        <v>-124.54989999999999</v>
      </c>
      <c r="H15" s="39">
        <v>823244.23459999997</v>
      </c>
      <c r="I15" s="39">
        <v>1091518.9554000001</v>
      </c>
      <c r="J15" s="39">
        <v>-123.18680000000001</v>
      </c>
      <c r="K15" s="39">
        <v>823244.51100000006</v>
      </c>
      <c r="L15" s="39">
        <v>1091518.477</v>
      </c>
      <c r="M15" s="39">
        <v>-121.8116</v>
      </c>
      <c r="N15" s="39">
        <v>823245.3027</v>
      </c>
      <c r="O15" s="39">
        <v>1091516.6577000001</v>
      </c>
      <c r="P15" s="39">
        <v>-120.866</v>
      </c>
      <c r="Q15" s="39">
        <v>823245.97349999996</v>
      </c>
      <c r="R15" s="39">
        <v>1091515.1812</v>
      </c>
      <c r="S15" s="39">
        <v>-121.2602</v>
      </c>
      <c r="T15" s="39">
        <v>823246.55720000004</v>
      </c>
      <c r="U15" s="39">
        <v>1091514.1033000001</v>
      </c>
      <c r="V15" s="39">
        <v>-123.44289999999999</v>
      </c>
      <c r="W15" s="39">
        <v>823246.47320000001</v>
      </c>
      <c r="X15" s="39">
        <v>1091514.175</v>
      </c>
      <c r="Y15" s="39">
        <v>-124.5715</v>
      </c>
      <c r="Z15" s="39">
        <f t="shared" si="1"/>
        <v>4.362061662687478</v>
      </c>
      <c r="AA15" s="39">
        <f t="shared" si="2"/>
        <v>3.4360406778806194</v>
      </c>
      <c r="AB15" s="39">
        <f t="shared" si="3"/>
        <v>2.1979082645531838</v>
      </c>
      <c r="AC15" s="39">
        <f t="shared" si="4"/>
        <v>1.6689573182872419</v>
      </c>
      <c r="AD15" s="39">
        <f t="shared" si="5"/>
        <v>3.8391591814112385</v>
      </c>
      <c r="AE15" s="39">
        <f t="shared" si="6"/>
        <v>4.6113555263363413</v>
      </c>
      <c r="AF15" s="39">
        <f t="shared" si="7"/>
        <v>3.6476356519651114</v>
      </c>
      <c r="AG15" s="39">
        <f t="shared" si="8"/>
        <v>5.3854370649477321</v>
      </c>
      <c r="AH15" s="39">
        <f t="shared" si="9"/>
        <v>5.0806573943266873</v>
      </c>
      <c r="AI15" s="43">
        <f t="shared" si="66"/>
        <v>-12.07730862313916</v>
      </c>
      <c r="AJ15" s="43">
        <f t="shared" si="67"/>
        <v>-5.1237718503402974</v>
      </c>
      <c r="AK15" s="43">
        <f t="shared" si="68"/>
        <v>-7.9585990679951202</v>
      </c>
      <c r="AL15" s="43">
        <f t="shared" si="69"/>
        <v>-1.3538773858832176</v>
      </c>
      <c r="AM15" s="43">
        <f t="shared" si="70"/>
        <v>-9.3612732490448991</v>
      </c>
      <c r="AN15" s="43">
        <f t="shared" si="71"/>
        <v>-11.246417428187883</v>
      </c>
      <c r="AO15" s="43">
        <f t="shared" si="72"/>
        <v>-5.5464418967239304</v>
      </c>
      <c r="AP15" s="43">
        <f t="shared" si="73"/>
        <v>-4.4750957537118552</v>
      </c>
      <c r="AQ15" s="43">
        <f t="shared" si="74"/>
        <v>-7.5098171215826071</v>
      </c>
      <c r="AR15" s="40"/>
      <c r="AS15" s="43">
        <f t="shared" si="75"/>
        <v>0.80000003799796104</v>
      </c>
      <c r="AT15" s="43">
        <f t="shared" si="76"/>
        <v>-2.5000001769512892</v>
      </c>
      <c r="AU15" s="43">
        <f t="shared" si="77"/>
        <v>1.6000000000104819</v>
      </c>
      <c r="AV15" s="43">
        <f t="shared" si="78"/>
        <v>-8.4000000497326255</v>
      </c>
      <c r="AW15" s="43">
        <f t="shared" si="79"/>
        <v>-4.6999999321997166</v>
      </c>
      <c r="AX15" s="43">
        <f t="shared" si="80"/>
        <v>-4.6000000000105956</v>
      </c>
      <c r="AY15" s="43">
        <f t="shared" si="81"/>
        <v>1.4000000664964318</v>
      </c>
      <c r="AZ15" s="43">
        <f t="shared" si="82"/>
        <v>-3.4000000450760126</v>
      </c>
      <c r="BA15" s="43">
        <f t="shared" si="83"/>
        <v>-1.1999999999972033</v>
      </c>
      <c r="BB15" s="43">
        <f t="shared" si="84"/>
        <v>-3.0000000260770321</v>
      </c>
      <c r="BC15" s="43">
        <f t="shared" si="85"/>
        <v>-0.59999991208314896</v>
      </c>
      <c r="BD15" s="43">
        <f t="shared" si="86"/>
        <v>-10.599999999996612</v>
      </c>
      <c r="BE15" s="43">
        <f t="shared" si="87"/>
        <v>-0.70000009145587683</v>
      </c>
      <c r="BF15" s="43">
        <f t="shared" si="88"/>
        <v>0.90000010095536709</v>
      </c>
      <c r="BG15" s="43">
        <f t="shared" si="89"/>
        <v>-6.5999999999917236</v>
      </c>
      <c r="BH15" s="43">
        <f t="shared" si="90"/>
        <v>-1.3000000035390258</v>
      </c>
      <c r="BI15" s="43">
        <f t="shared" si="91"/>
        <v>3.4000000450760126</v>
      </c>
      <c r="BJ15" s="43">
        <f t="shared" si="92"/>
        <v>0.20000000000663931</v>
      </c>
      <c r="BK15" s="43">
        <f t="shared" si="93"/>
        <v>-2.3999999975785613</v>
      </c>
      <c r="BL15" s="43">
        <f t="shared" si="94"/>
        <v>4.3000001460313797</v>
      </c>
      <c r="BM15" s="43">
        <f t="shared" si="95"/>
        <v>0.29999999999574811</v>
      </c>
      <c r="BN15" s="40"/>
      <c r="BO15" s="39">
        <v>196.10443758743912</v>
      </c>
      <c r="BP15" s="39">
        <v>-2.534597172838045</v>
      </c>
      <c r="BQ15" s="39">
        <v>-0.9680643758743912</v>
      </c>
      <c r="BR15" s="39">
        <v>196.09017763408289</v>
      </c>
      <c r="BS15" s="39">
        <v>-2.7325763985413754</v>
      </c>
      <c r="BT15" s="39">
        <v>0.39517822365915833</v>
      </c>
      <c r="BU15" s="39">
        <v>196.13848003486501</v>
      </c>
      <c r="BV15" s="39">
        <v>-2.1821852664720747</v>
      </c>
      <c r="BW15" s="39">
        <v>1.7698951996513443</v>
      </c>
      <c r="BX15" s="39">
        <v>196.08706064823195</v>
      </c>
      <c r="BY15" s="39">
        <v>-0.1987545452041192</v>
      </c>
      <c r="BZ15" s="39">
        <v>2.7160093935176803</v>
      </c>
      <c r="CA15" s="39">
        <v>196.07095566182829</v>
      </c>
      <c r="CB15" s="39">
        <v>1.4229006338266783</v>
      </c>
      <c r="CC15" s="39">
        <v>2.3219704433817157</v>
      </c>
      <c r="CD15" s="39">
        <v>196.14438172934732</v>
      </c>
      <c r="CE15" s="39">
        <v>2.6464948118600184</v>
      </c>
      <c r="CF15" s="39">
        <v>0.13853618270653101</v>
      </c>
      <c r="CG15" s="39">
        <v>196.09855734630085</v>
      </c>
      <c r="CH15" s="39">
        <v>2.5460109031003682</v>
      </c>
      <c r="CI15" s="39">
        <v>-0.98960557346300959</v>
      </c>
      <c r="CJ15" s="40"/>
      <c r="CK15" s="43">
        <f t="shared" si="96"/>
        <v>-0.33159642626401364</v>
      </c>
      <c r="CL15" s="43">
        <f t="shared" si="97"/>
        <v>2.6038519073803279</v>
      </c>
      <c r="CM15" s="43">
        <f t="shared" si="98"/>
        <v>1.6033159642745431</v>
      </c>
      <c r="CN15" s="43">
        <f t="shared" si="99"/>
        <v>-9.5993176767592558</v>
      </c>
      <c r="CO15" s="43">
        <f t="shared" si="100"/>
        <v>0.70929566381039422</v>
      </c>
      <c r="CP15" s="43">
        <f t="shared" si="101"/>
        <v>-4.5040068232538033</v>
      </c>
      <c r="CQ15" s="43">
        <f t="shared" si="102"/>
        <v>-0.16820792424709907</v>
      </c>
      <c r="CR15" s="43">
        <f t="shared" si="103"/>
        <v>3.6731058502033065</v>
      </c>
      <c r="CS15" s="43">
        <f t="shared" si="104"/>
        <v>-1.1983179207533112</v>
      </c>
      <c r="CT15" s="43">
        <f t="shared" si="105"/>
        <v>-2.9724673399869062</v>
      </c>
      <c r="CU15" s="43">
        <f t="shared" si="106"/>
        <v>-0.72418089147038844</v>
      </c>
      <c r="CV15" s="43">
        <f t="shared" si="107"/>
        <v>-10.570275326600154</v>
      </c>
      <c r="CW15" s="43">
        <f t="shared" si="108"/>
        <v>-0.25401766552590743</v>
      </c>
      <c r="CX15" s="43">
        <f t="shared" si="109"/>
        <v>-1.1115193814501545</v>
      </c>
      <c r="CY15" s="43">
        <f t="shared" si="110"/>
        <v>-6.5974598233395909</v>
      </c>
      <c r="CZ15" s="43">
        <f t="shared" si="111"/>
        <v>0.25883718626573682</v>
      </c>
      <c r="DA15" s="43">
        <f t="shared" si="112"/>
        <v>-3.6308406226099876</v>
      </c>
      <c r="DB15" s="43">
        <f t="shared" si="113"/>
        <v>0.19741162815023472</v>
      </c>
      <c r="DC15" s="43">
        <f t="shared" si="114"/>
        <v>-0.35769721066003513</v>
      </c>
      <c r="DD15" s="43">
        <f t="shared" si="115"/>
        <v>-4.9114207669234133</v>
      </c>
      <c r="DE15" s="43">
        <f t="shared" si="116"/>
        <v>0.30357697210092738</v>
      </c>
    </row>
    <row r="16" spans="1:109" ht="29.25" customHeight="1" x14ac:dyDescent="0.2">
      <c r="A16" s="37">
        <v>43713</v>
      </c>
      <c r="B16" s="29">
        <f t="shared" si="10"/>
        <v>8</v>
      </c>
      <c r="C16" s="38">
        <v>200.6</v>
      </c>
      <c r="D16" s="38">
        <f t="shared" si="18"/>
        <v>4.5</v>
      </c>
      <c r="E16" s="39">
        <v>823244.33200000005</v>
      </c>
      <c r="F16" s="39">
        <v>1091518.7819999999</v>
      </c>
      <c r="G16" s="39">
        <v>-124.5496</v>
      </c>
      <c r="H16" s="39">
        <v>823244.2352</v>
      </c>
      <c r="I16" s="39">
        <v>1091518.9550000001</v>
      </c>
      <c r="J16" s="39">
        <v>-123.18640000000001</v>
      </c>
      <c r="K16" s="39">
        <v>823244.51170000003</v>
      </c>
      <c r="L16" s="39">
        <v>1091518.4767</v>
      </c>
      <c r="M16" s="39">
        <v>-121.8109</v>
      </c>
      <c r="N16" s="39">
        <v>823245.30310000002</v>
      </c>
      <c r="O16" s="39">
        <v>1091516.6572</v>
      </c>
      <c r="P16" s="39">
        <v>-120.8659</v>
      </c>
      <c r="Q16" s="39">
        <v>823245.97389999998</v>
      </c>
      <c r="R16" s="39">
        <v>1091515.1802999999</v>
      </c>
      <c r="S16" s="39">
        <v>-121.2599</v>
      </c>
      <c r="T16" s="39">
        <v>823246.55740000005</v>
      </c>
      <c r="U16" s="39">
        <v>1091514.1025</v>
      </c>
      <c r="V16" s="39">
        <v>-123.4425</v>
      </c>
      <c r="W16" s="39">
        <v>823246.47349999996</v>
      </c>
      <c r="X16" s="39">
        <v>1091514.1743000001</v>
      </c>
      <c r="Y16" s="39">
        <v>-124.57129999999999</v>
      </c>
      <c r="Z16" s="39">
        <f t="shared" si="1"/>
        <v>4.3620472188410666</v>
      </c>
      <c r="AA16" s="39">
        <f t="shared" si="2"/>
        <v>3.4358427642020164</v>
      </c>
      <c r="AB16" s="39">
        <f t="shared" si="3"/>
        <v>2.1977077171268617</v>
      </c>
      <c r="AC16" s="39">
        <f t="shared" si="4"/>
        <v>1.6692639846114072</v>
      </c>
      <c r="AD16" s="39">
        <f t="shared" si="5"/>
        <v>3.8390920983958949</v>
      </c>
      <c r="AE16" s="39">
        <f t="shared" si="6"/>
        <v>4.6113574714604821</v>
      </c>
      <c r="AF16" s="39">
        <f t="shared" si="7"/>
        <v>3.6479970943753361</v>
      </c>
      <c r="AG16" s="39">
        <f t="shared" si="8"/>
        <v>5.3856249684329995</v>
      </c>
      <c r="AH16" s="39">
        <f t="shared" si="9"/>
        <v>5.0810818166946685</v>
      </c>
      <c r="AI16" s="43">
        <f t="shared" si="66"/>
        <v>-12.091752469550521</v>
      </c>
      <c r="AJ16" s="43">
        <f t="shared" si="67"/>
        <v>-5.3216855289432985</v>
      </c>
      <c r="AK16" s="43">
        <f t="shared" si="68"/>
        <v>-8.1591464943171488</v>
      </c>
      <c r="AL16" s="43">
        <f t="shared" si="69"/>
        <v>-1.0472110617179009</v>
      </c>
      <c r="AM16" s="43">
        <f t="shared" si="70"/>
        <v>-9.4283562643884267</v>
      </c>
      <c r="AN16" s="43">
        <f t="shared" si="71"/>
        <v>-11.244472304047015</v>
      </c>
      <c r="AO16" s="43">
        <f t="shared" si="72"/>
        <v>-5.1849994864991977</v>
      </c>
      <c r="AP16" s="43">
        <f t="shared" si="73"/>
        <v>-4.2871922684444286</v>
      </c>
      <c r="AQ16" s="43">
        <f t="shared" si="74"/>
        <v>-7.0853947536013706</v>
      </c>
      <c r="AR16" s="40"/>
      <c r="AS16" s="43">
        <f t="shared" si="75"/>
        <v>1.6000000759959221</v>
      </c>
      <c r="AT16" s="43">
        <f t="shared" si="76"/>
        <v>-2.5000001769512892</v>
      </c>
      <c r="AU16" s="43">
        <f t="shared" si="77"/>
        <v>1.90000000000623</v>
      </c>
      <c r="AV16" s="43">
        <f t="shared" si="78"/>
        <v>-7.8000000212341547</v>
      </c>
      <c r="AW16" s="43">
        <f t="shared" si="79"/>
        <v>-5.0999999511986971</v>
      </c>
      <c r="AX16" s="43">
        <f t="shared" si="80"/>
        <v>-4.2000000000115278</v>
      </c>
      <c r="AY16" s="43">
        <f t="shared" si="81"/>
        <v>2.1000000415369868</v>
      </c>
      <c r="AZ16" s="43">
        <f t="shared" si="82"/>
        <v>-3.7000000011175871</v>
      </c>
      <c r="BA16" s="43">
        <f t="shared" si="83"/>
        <v>-0.50000000000238742</v>
      </c>
      <c r="BB16" s="43">
        <f t="shared" si="84"/>
        <v>-2.6000000070780516</v>
      </c>
      <c r="BC16" s="43">
        <f t="shared" si="85"/>
        <v>-1.0999999940395355</v>
      </c>
      <c r="BD16" s="43">
        <f t="shared" si="86"/>
        <v>-10.499999999993292</v>
      </c>
      <c r="BE16" s="43">
        <f t="shared" si="87"/>
        <v>-0.30000007245689631</v>
      </c>
      <c r="BF16" s="43">
        <f t="shared" si="88"/>
        <v>0</v>
      </c>
      <c r="BG16" s="43">
        <f t="shared" si="89"/>
        <v>-6.2999999999959755</v>
      </c>
      <c r="BH16" s="43">
        <f t="shared" si="90"/>
        <v>-1.0999999940395355</v>
      </c>
      <c r="BI16" s="43">
        <f t="shared" si="91"/>
        <v>2.6000000070780516</v>
      </c>
      <c r="BJ16" s="43">
        <f t="shared" si="92"/>
        <v>0.60000000000570708</v>
      </c>
      <c r="BK16" s="43">
        <f t="shared" si="93"/>
        <v>-2.1000000415369868</v>
      </c>
      <c r="BL16" s="43">
        <f t="shared" si="94"/>
        <v>3.6000001709908247</v>
      </c>
      <c r="BM16" s="43">
        <f t="shared" si="95"/>
        <v>0.50000000000238742</v>
      </c>
      <c r="BN16" s="40"/>
      <c r="BO16" s="39">
        <v>196.1052</v>
      </c>
      <c r="BP16" s="39">
        <v>-2.5343</v>
      </c>
      <c r="BQ16" s="39">
        <v>-0.96779999999999999</v>
      </c>
      <c r="BR16" s="39">
        <v>196.09059999999999</v>
      </c>
      <c r="BS16" s="39">
        <v>-2.7320000000000002</v>
      </c>
      <c r="BT16" s="39">
        <v>0.39560000000000001</v>
      </c>
      <c r="BU16" s="39">
        <v>196.13900000000001</v>
      </c>
      <c r="BV16" s="39">
        <v>-2.1816</v>
      </c>
      <c r="BW16" s="39">
        <v>1.7706</v>
      </c>
      <c r="BX16" s="39">
        <v>196.0872</v>
      </c>
      <c r="BY16" s="39">
        <v>-0.1981</v>
      </c>
      <c r="BZ16" s="39">
        <v>2.7161</v>
      </c>
      <c r="CA16" s="39">
        <v>196.07089999999999</v>
      </c>
      <c r="CB16" s="39">
        <v>1.4238999999999999</v>
      </c>
      <c r="CC16" s="39">
        <v>2.3222999999999998</v>
      </c>
      <c r="CD16" s="39">
        <v>196.14420000000001</v>
      </c>
      <c r="CE16" s="39">
        <v>2.6473</v>
      </c>
      <c r="CF16" s="39">
        <v>0.1389</v>
      </c>
      <c r="CG16" s="39">
        <v>196.0985</v>
      </c>
      <c r="CH16" s="39">
        <v>2.5468000000000002</v>
      </c>
      <c r="CI16" s="39">
        <v>-0.98939999999999995</v>
      </c>
      <c r="CJ16" s="40"/>
      <c r="CK16" s="43">
        <f t="shared" si="96"/>
        <v>0.43081613461026791</v>
      </c>
      <c r="CL16" s="43">
        <f t="shared" si="97"/>
        <v>2.9010247454253069</v>
      </c>
      <c r="CM16" s="43">
        <f t="shared" si="98"/>
        <v>1.8676918386657526</v>
      </c>
      <c r="CN16" s="43">
        <f t="shared" si="99"/>
        <v>-9.176951759656049</v>
      </c>
      <c r="CO16" s="43">
        <f t="shared" si="100"/>
        <v>1.2856942051855391</v>
      </c>
      <c r="CP16" s="43">
        <f t="shared" si="101"/>
        <v>-4.0822304824121307</v>
      </c>
      <c r="CQ16" s="43">
        <f t="shared" si="102"/>
        <v>0.35175721075120236</v>
      </c>
      <c r="CR16" s="43">
        <f t="shared" si="103"/>
        <v>4.2583723222779923</v>
      </c>
      <c r="CS16" s="43">
        <f t="shared" si="104"/>
        <v>-0.49351757209770142</v>
      </c>
      <c r="CT16" s="43">
        <f t="shared" si="105"/>
        <v>-2.8331155719456547</v>
      </c>
      <c r="CU16" s="43">
        <f t="shared" si="106"/>
        <v>-6.9635687351188302E-2</v>
      </c>
      <c r="CV16" s="43">
        <f t="shared" si="107"/>
        <v>-10.479668844280532</v>
      </c>
      <c r="CW16" s="43">
        <f t="shared" si="108"/>
        <v>-0.30967949382443294</v>
      </c>
      <c r="CX16" s="43">
        <f t="shared" si="109"/>
        <v>-0.11215320812851814</v>
      </c>
      <c r="CY16" s="43">
        <f t="shared" si="110"/>
        <v>-6.2679032050554362</v>
      </c>
      <c r="CZ16" s="43">
        <f t="shared" si="111"/>
        <v>7.7107838961865127E-2</v>
      </c>
      <c r="DA16" s="43">
        <f t="shared" si="112"/>
        <v>-2.825652482628449</v>
      </c>
      <c r="DB16" s="43">
        <f t="shared" si="113"/>
        <v>0.56122892161922233</v>
      </c>
      <c r="DC16" s="43">
        <f t="shared" si="114"/>
        <v>-0.41504351150933871</v>
      </c>
      <c r="DD16" s="43">
        <f t="shared" si="115"/>
        <v>-4.1223238672913887</v>
      </c>
      <c r="DE16" s="43">
        <f t="shared" si="116"/>
        <v>0.50915043511057245</v>
      </c>
    </row>
    <row r="17" spans="1:109" ht="29.25" customHeight="1" x14ac:dyDescent="0.2">
      <c r="A17" s="37">
        <v>43718</v>
      </c>
      <c r="B17" s="29">
        <f t="shared" si="10"/>
        <v>13</v>
      </c>
      <c r="C17" s="38">
        <v>202.58</v>
      </c>
      <c r="D17" s="38">
        <f t="shared" si="18"/>
        <v>6.4800000000000182</v>
      </c>
      <c r="E17" s="39">
        <v>823244.33290000004</v>
      </c>
      <c r="F17" s="39">
        <v>1091518.7788</v>
      </c>
      <c r="G17" s="39">
        <v>-124.5488</v>
      </c>
      <c r="H17" s="39">
        <v>823244.23659999995</v>
      </c>
      <c r="I17" s="39">
        <v>1091518.9521999999</v>
      </c>
      <c r="J17" s="39">
        <v>-123.1865</v>
      </c>
      <c r="K17" s="39">
        <v>823244.51260000002</v>
      </c>
      <c r="L17" s="39">
        <v>1091518.4733</v>
      </c>
      <c r="M17" s="39">
        <v>-121.81189999999999</v>
      </c>
      <c r="N17" s="39">
        <v>823245.30249999999</v>
      </c>
      <c r="O17" s="39">
        <v>1091516.6547000001</v>
      </c>
      <c r="P17" s="39">
        <v>-120.871</v>
      </c>
      <c r="Q17" s="39">
        <v>823245.97459999996</v>
      </c>
      <c r="R17" s="39">
        <v>1091515.1791999999</v>
      </c>
      <c r="S17" s="39">
        <v>-121.2634</v>
      </c>
      <c r="T17" s="39">
        <v>823246.55660000001</v>
      </c>
      <c r="U17" s="39">
        <v>1091514.1021</v>
      </c>
      <c r="V17" s="39">
        <v>-123.4422</v>
      </c>
      <c r="W17" s="39">
        <v>823246.473</v>
      </c>
      <c r="X17" s="39">
        <v>1091514.1743999999</v>
      </c>
      <c r="Y17" s="39">
        <v>-124.5707</v>
      </c>
      <c r="Z17" s="39">
        <f t="shared" si="1"/>
        <v>4.3563904564995237</v>
      </c>
      <c r="AA17" s="39">
        <f t="shared" si="2"/>
        <v>3.4316452773410271</v>
      </c>
      <c r="AB17" s="39">
        <f t="shared" si="3"/>
        <v>2.1946618827352933</v>
      </c>
      <c r="AC17" s="39">
        <f t="shared" si="4"/>
        <v>1.6681715800457628</v>
      </c>
      <c r="AD17" s="39">
        <f t="shared" si="5"/>
        <v>3.8340061307103235</v>
      </c>
      <c r="AE17" s="39">
        <f t="shared" si="6"/>
        <v>4.6054031778837796</v>
      </c>
      <c r="AF17" s="39">
        <f t="shared" si="7"/>
        <v>3.6454617074118869</v>
      </c>
      <c r="AG17" s="39">
        <f t="shared" si="8"/>
        <v>5.3824950069236559</v>
      </c>
      <c r="AH17" s="39">
        <f t="shared" si="9"/>
        <v>5.0775000719319605</v>
      </c>
      <c r="AI17" s="43">
        <f t="shared" ref="AI17" si="117">IF(Z17="","",(Z17-Z$10)*1000)</f>
        <v>-17.748514811093408</v>
      </c>
      <c r="AJ17" s="43">
        <f t="shared" ref="AJ17" si="118">IF(AA17="","",(AA17-AA$10)*1000)</f>
        <v>-9.5191723899326064</v>
      </c>
      <c r="AK17" s="43">
        <f t="shared" ref="AK17" si="119">IF(AB17="","",(AB17-AB$10)*1000)</f>
        <v>-11.204980885885618</v>
      </c>
      <c r="AL17" s="43">
        <f t="shared" ref="AL17" si="120">IF(AC17="","",(AC17-AC$10)*1000)</f>
        <v>-2.1396156273623124</v>
      </c>
      <c r="AM17" s="43">
        <f t="shared" ref="AM17" si="121">IF(AD17="","",(AD17-AD$10)*1000)</f>
        <v>-14.514323949959884</v>
      </c>
      <c r="AN17" s="43">
        <f t="shared" ref="AN17" si="122">IF(AE17="","",(AE17-AE$10)*1000)</f>
        <v>-17.198765880749534</v>
      </c>
      <c r="AO17" s="43">
        <f t="shared" ref="AO17" si="123">IF(AF17="","",(AF17-AF$10)*1000)</f>
        <v>-7.7203864499484354</v>
      </c>
      <c r="AP17" s="43">
        <f t="shared" ref="AP17" si="124">IF(AG17="","",(AG17-AG$10)*1000)</f>
        <v>-7.4171537777880658</v>
      </c>
      <c r="AQ17" s="43">
        <f t="shared" ref="AQ17" si="125">IF(AH17="","",(AH17-AH$10)*1000)</f>
        <v>-10.667139516309376</v>
      </c>
      <c r="AR17" s="40"/>
      <c r="AS17" s="43">
        <f t="shared" ref="AS17" si="126">IF(E17="","",(E17-E$10)*1000)</f>
        <v>2.5000000605359674</v>
      </c>
      <c r="AT17" s="43">
        <f t="shared" ref="AT17" si="127">IF(F17="","",(F17-F$10)*1000)</f>
        <v>-5.7000000961124897</v>
      </c>
      <c r="AU17" s="43">
        <f t="shared" ref="AU17" si="128">IF(G17="","",(G17-G$10)*1000)</f>
        <v>2.7000000000043656</v>
      </c>
      <c r="AV17" s="43">
        <f t="shared" ref="AV17" si="129">IF(H17="","",(H17-H$10)*1000)</f>
        <v>-6.4000000711530447</v>
      </c>
      <c r="AW17" s="43">
        <f t="shared" ref="AW17" si="130">IF(I17="","",(I17-I$10)*1000)</f>
        <v>-7.9000000841915607</v>
      </c>
      <c r="AX17" s="43">
        <f t="shared" ref="AX17" si="131">IF(J17="","",(J17-J$10)*1000)</f>
        <v>-4.3000000000006366</v>
      </c>
      <c r="AY17" s="43">
        <f t="shared" ref="AY17" si="132">IF(K17="","",(K17-K$10)*1000)</f>
        <v>3.0000000260770321</v>
      </c>
      <c r="AZ17" s="43">
        <f t="shared" ref="AZ17" si="133">IF(L17="","",(L17-L$10)*1000)</f>
        <v>-7.1000000461935997</v>
      </c>
      <c r="BA17" s="43">
        <f t="shared" ref="BA17" si="134">IF(M17="","",(M17-M$10)*1000)</f>
        <v>-1.4999999999929514</v>
      </c>
      <c r="BB17" s="43">
        <f t="shared" ref="BB17" si="135">IF(N17="","",(N17-N$10)*1000)</f>
        <v>-3.2000000355765224</v>
      </c>
      <c r="BC17" s="43">
        <f t="shared" ref="BC17" si="136">IF(O17="","",(O17-O$10)*1000)</f>
        <v>-3.599999938160181</v>
      </c>
      <c r="BD17" s="43">
        <f t="shared" ref="BD17" si="137">IF(P17="","",(P17-P$10)*1000)</f>
        <v>-15.599999999992065</v>
      </c>
      <c r="BE17" s="43">
        <f t="shared" ref="BE17" si="138">IF(Q17="","",(Q17-Q$10)*1000)</f>
        <v>0.3999999025836587</v>
      </c>
      <c r="BF17" s="43">
        <f t="shared" ref="BF17" si="139">IF(R17="","",(R17-R$10)*1000)</f>
        <v>-1.0999999940395355</v>
      </c>
      <c r="BG17" s="43">
        <f t="shared" ref="BG17" si="140">IF(S17="","",(S17-S$10)*1000)</f>
        <v>-9.7999999999984766</v>
      </c>
      <c r="BH17" s="43">
        <f t="shared" ref="BH17" si="141">IF(T17="","",(T17-T$10)*1000)</f>
        <v>-1.9000000320374966</v>
      </c>
      <c r="BI17" s="43">
        <f t="shared" ref="BI17" si="142">IF(U17="","",(U17-U$10)*1000)</f>
        <v>2.199999988079071</v>
      </c>
      <c r="BJ17" s="43">
        <f t="shared" ref="BJ17" si="143">IF(V17="","",(V17-V$10)*1000)</f>
        <v>0.90000000000145519</v>
      </c>
      <c r="BK17" s="43">
        <f t="shared" ref="BK17" si="144">IF(W17="","",(W17-W$10)*1000)</f>
        <v>-2.6000000070780516</v>
      </c>
      <c r="BL17" s="43">
        <f t="shared" ref="BL17" si="145">IF(X17="","",(X17-X$10)*1000)</f>
        <v>3.7000000011175871</v>
      </c>
      <c r="BM17" s="43">
        <f t="shared" ref="BM17" si="146">IF(Y17="","",(Y17-Y$10)*1000)</f>
        <v>1.0999999999938836</v>
      </c>
      <c r="BN17" s="40"/>
      <c r="BO17" s="39">
        <v>196.104625797545</v>
      </c>
      <c r="BP17" s="39">
        <v>-2.5309785299273098</v>
      </c>
      <c r="BQ17" s="39">
        <v>-0.96696625797545721</v>
      </c>
      <c r="BR17" s="39">
        <v>196.09063773166523</v>
      </c>
      <c r="BS17" s="39">
        <v>-2.728830959835189</v>
      </c>
      <c r="BT17" s="39">
        <v>0.39547362268335462</v>
      </c>
      <c r="BU17" s="39">
        <v>196.13836628966922</v>
      </c>
      <c r="BV17" s="39">
        <v>-2.1781557426901172</v>
      </c>
      <c r="BW17" s="39">
        <v>1.7695963371033088</v>
      </c>
      <c r="BX17" s="39">
        <v>196.08561143377221</v>
      </c>
      <c r="BY17" s="39">
        <v>-0.19612019943906991</v>
      </c>
      <c r="BZ17" s="39">
        <v>2.7110238856622857</v>
      </c>
      <c r="CA17" s="39">
        <v>196.07110727901664</v>
      </c>
      <c r="CB17" s="39">
        <v>1.42517813521968</v>
      </c>
      <c r="CC17" s="39">
        <v>2.3187689272098311</v>
      </c>
      <c r="CD17" s="39">
        <v>196.1433307716558</v>
      </c>
      <c r="CE17" s="39">
        <v>2.6473287711525657</v>
      </c>
      <c r="CF17" s="39">
        <v>0.13924669228343589</v>
      </c>
      <c r="CG17" s="39">
        <v>196.09812249661513</v>
      </c>
      <c r="CH17" s="39">
        <v>2.5464701480551479</v>
      </c>
      <c r="CI17" s="39">
        <v>-0.98880122496615286</v>
      </c>
      <c r="CJ17" s="40"/>
      <c r="CK17" s="43">
        <f t="shared" ref="CK17" si="147">IF(BO17="","",(BO17-BO$10)*1000)</f>
        <v>-0.14338632038857213</v>
      </c>
      <c r="CL17" s="43">
        <f t="shared" ref="CL17" si="148">IF(BP17="","",(BP17-BP$10)*1000)</f>
        <v>6.2224948181155426</v>
      </c>
      <c r="CM17" s="43">
        <f t="shared" ref="CM17" si="149">IF(BQ17="","",(BQ17-BQ$10)*1000)</f>
        <v>2.7014338632085355</v>
      </c>
      <c r="CN17" s="43">
        <f t="shared" ref="CN17" si="150">IF(BR17="","",(BR17-BR$10)*1000)</f>
        <v>-9.1392200944255819</v>
      </c>
      <c r="CO17" s="43">
        <f t="shared" ref="CO17" si="151">IF(BS17="","",(BS17-BS$10)*1000)</f>
        <v>4.4547343699967712</v>
      </c>
      <c r="CP17" s="43">
        <f t="shared" ref="CP17" si="152">IF(BT17="","",(BT17-BT$10)*1000)</f>
        <v>-4.2086077990575177</v>
      </c>
      <c r="CQ17" s="43">
        <f t="shared" ref="CQ17" si="153">IF(BU17="","",(BU17-BU$10)*1000)</f>
        <v>-0.28195312003731487</v>
      </c>
      <c r="CR17" s="43">
        <f t="shared" ref="CR17" si="154">IF(BV17="","",(BV17-BV$10)*1000)</f>
        <v>7.702629632160729</v>
      </c>
      <c r="CS17" s="43">
        <f t="shared" ref="CS17" si="155">IF(BW17="","",(BW17-BW$10)*1000)</f>
        <v>-1.4971804687888834</v>
      </c>
      <c r="CT17" s="43">
        <f t="shared" ref="CT17" si="156">IF(BX17="","",(BX17-BX$10)*1000)</f>
        <v>-4.4216817997266844</v>
      </c>
      <c r="CU17" s="43">
        <f t="shared" ref="CU17" si="157">IF(BY17="","",(BY17-BY$10)*1000)</f>
        <v>1.9101648735788956</v>
      </c>
      <c r="CV17" s="43">
        <f t="shared" ref="CV17" si="158">IF(BZ17="","",(BZ17-BZ$10)*1000)</f>
        <v>-15.555783181994798</v>
      </c>
      <c r="CW17" s="43">
        <f t="shared" ref="CW17" si="159">IF(CA17="","",(CA17-CA$10)*1000)</f>
        <v>-0.10240047717502421</v>
      </c>
      <c r="CX17" s="43">
        <f t="shared" ref="CX17" si="160">IF(CB17="","",(CB17-CB$10)*1000)</f>
        <v>1.1659820115514918</v>
      </c>
      <c r="CY17" s="43">
        <f t="shared" ref="CY17" si="161">IF(CC17="","",(CC17-CC$10)*1000)</f>
        <v>-9.7989759952241684</v>
      </c>
      <c r="CZ17" s="43">
        <f t="shared" ref="CZ17" si="162">IF(CD17="","",(CD17-CD$10)*1000)</f>
        <v>-0.79212050525256927</v>
      </c>
      <c r="DA17" s="43">
        <f t="shared" ref="DA17" si="163">IF(CE17="","",(CE17-CE$10)*1000)</f>
        <v>-2.7968813300627282</v>
      </c>
      <c r="DB17" s="43">
        <f t="shared" ref="DB17" si="164">IF(CF17="","",(CF17-CF$10)*1000)</f>
        <v>0.90792120505511775</v>
      </c>
      <c r="DC17" s="43">
        <f t="shared" ref="DC17" si="165">IF(CG17="","",(CG17-CG$10)*1000)</f>
        <v>-0.79254689637764386</v>
      </c>
      <c r="DD17" s="43">
        <f t="shared" ref="DD17" si="166">IF(CH17="","",(CH17-CH$10)*1000)</f>
        <v>-4.4521758121436328</v>
      </c>
      <c r="DE17" s="43">
        <f t="shared" ref="DE17" si="167">IF(CI17="","",(CI17-CI$10)*1000)</f>
        <v>1.1079254689576601</v>
      </c>
    </row>
    <row r="18" spans="1:109" ht="29.25" customHeight="1" x14ac:dyDescent="0.2">
      <c r="A18" s="37">
        <v>43720</v>
      </c>
      <c r="B18" s="29">
        <f t="shared" si="10"/>
        <v>15</v>
      </c>
      <c r="C18" s="38">
        <v>203.6</v>
      </c>
      <c r="D18" s="38">
        <f t="shared" si="18"/>
        <v>7.5</v>
      </c>
      <c r="E18" s="39">
        <v>823244.33369999996</v>
      </c>
      <c r="F18" s="39">
        <v>1091518.7790999999</v>
      </c>
      <c r="G18" s="39">
        <v>-124.5487</v>
      </c>
      <c r="H18" s="39">
        <v>823244.23719999997</v>
      </c>
      <c r="I18" s="39">
        <v>1091518.9523</v>
      </c>
      <c r="J18" s="39">
        <v>-123.1866</v>
      </c>
      <c r="K18" s="39">
        <v>823244.51399999997</v>
      </c>
      <c r="L18" s="39">
        <v>1091518.4720999999</v>
      </c>
      <c r="M18" s="39">
        <v>-121.8138</v>
      </c>
      <c r="N18" s="39">
        <v>823245.30240000004</v>
      </c>
      <c r="O18" s="39">
        <v>1091516.6553</v>
      </c>
      <c r="P18" s="39">
        <v>-120.8741</v>
      </c>
      <c r="Q18" s="39">
        <v>823245.97519999999</v>
      </c>
      <c r="R18" s="39">
        <v>1091515.1804</v>
      </c>
      <c r="S18" s="39">
        <v>-121.2658</v>
      </c>
      <c r="T18" s="39">
        <v>823246.55660000001</v>
      </c>
      <c r="U18" s="39">
        <v>1091514.1033999999</v>
      </c>
      <c r="V18" s="39">
        <v>-123.4422</v>
      </c>
      <c r="W18" s="39">
        <v>823246.47259999998</v>
      </c>
      <c r="X18" s="39">
        <v>1091514.176</v>
      </c>
      <c r="Y18" s="39">
        <v>-124.57040000000001</v>
      </c>
      <c r="Z18" s="39">
        <f t="shared" si="1"/>
        <v>4.3533425422222907</v>
      </c>
      <c r="AA18" s="39">
        <f t="shared" si="2"/>
        <v>3.4290693037970712</v>
      </c>
      <c r="AB18" s="39">
        <f t="shared" si="3"/>
        <v>2.192116075805997</v>
      </c>
      <c r="AC18" s="39">
        <f t="shared" si="4"/>
        <v>1.667758597642675</v>
      </c>
      <c r="AD18" s="39">
        <f t="shared" si="5"/>
        <v>3.8314943377639947</v>
      </c>
      <c r="AE18" s="39">
        <f t="shared" si="6"/>
        <v>4.6020571726000234</v>
      </c>
      <c r="AF18" s="39">
        <f t="shared" si="7"/>
        <v>3.6428969694029121</v>
      </c>
      <c r="AG18" s="39">
        <f t="shared" si="8"/>
        <v>5.3811503353029639</v>
      </c>
      <c r="AH18" s="39">
        <f t="shared" si="9"/>
        <v>5.0758145858195842</v>
      </c>
      <c r="AI18" s="43">
        <f t="shared" ref="AI18" si="168">IF(Z18="","",(Z18-Z$10)*1000)</f>
        <v>-20.796429088326462</v>
      </c>
      <c r="AJ18" s="43">
        <f t="shared" ref="AJ18" si="169">IF(AA18="","",(AA18-AA$10)*1000)</f>
        <v>-12.095145933888496</v>
      </c>
      <c r="AK18" s="43">
        <f t="shared" ref="AK18" si="170">IF(AB18="","",(AB18-AB$10)*1000)</f>
        <v>-13.750787815181909</v>
      </c>
      <c r="AL18" s="43">
        <f t="shared" ref="AL18" si="171">IF(AC18="","",(AC18-AC$10)*1000)</f>
        <v>-2.5525980304501594</v>
      </c>
      <c r="AM18" s="43">
        <f t="shared" ref="AM18" si="172">IF(AD18="","",(AD18-AD$10)*1000)</f>
        <v>-17.026116896288634</v>
      </c>
      <c r="AN18" s="43">
        <f t="shared" ref="AN18" si="173">IF(AE18="","",(AE18-AE$10)*1000)</f>
        <v>-20.544771164505704</v>
      </c>
      <c r="AO18" s="43">
        <f t="shared" ref="AO18" si="174">IF(AF18="","",(AF18-AF$10)*1000)</f>
        <v>-10.285124458923267</v>
      </c>
      <c r="AP18" s="43">
        <f t="shared" ref="AP18" si="175">IF(AG18="","",(AG18-AG$10)*1000)</f>
        <v>-8.7618253984800276</v>
      </c>
      <c r="AQ18" s="43">
        <f t="shared" ref="AQ18" si="176">IF(AH18="","",(AH18-AH$10)*1000)</f>
        <v>-12.352625628685665</v>
      </c>
      <c r="AR18" s="40"/>
      <c r="AS18" s="43">
        <f t="shared" ref="AS18" si="177">IF(E18="","",(E18-E$10)*1000)</f>
        <v>3.2999999821186066</v>
      </c>
      <c r="AT18" s="43">
        <f t="shared" ref="AT18" si="178">IF(F18="","",(F18-F$10)*1000)</f>
        <v>-5.4000001400709152</v>
      </c>
      <c r="AU18" s="43">
        <f t="shared" ref="AU18" si="179">IF(G18="","",(G18-G$10)*1000)</f>
        <v>2.8000000000076852</v>
      </c>
      <c r="AV18" s="43">
        <f t="shared" ref="AV18" si="180">IF(H18="","",(H18-H$10)*1000)</f>
        <v>-5.8000000426545739</v>
      </c>
      <c r="AW18" s="43">
        <f t="shared" ref="AW18" si="181">IF(I18="","",(I18-I$10)*1000)</f>
        <v>-7.8000000212341547</v>
      </c>
      <c r="AX18" s="43">
        <f t="shared" ref="AX18" si="182">IF(J18="","",(J18-J$10)*1000)</f>
        <v>-4.4000000000039563</v>
      </c>
      <c r="AY18" s="43">
        <f t="shared" ref="AY18" si="183">IF(K18="","",(K18-K$10)*1000)</f>
        <v>4.3999999761581421</v>
      </c>
      <c r="AZ18" s="43">
        <f t="shared" ref="AZ18" si="184">IF(L18="","",(L18-L$10)*1000)</f>
        <v>-8.3000001031905413</v>
      </c>
      <c r="BA18" s="43">
        <f t="shared" ref="BA18" si="185">IF(M18="","",(M18-M$10)*1000)</f>
        <v>-3.3999999999991815</v>
      </c>
      <c r="BB18" s="43">
        <f t="shared" ref="BB18" si="186">IF(N18="","",(N18-N$10)*1000)</f>
        <v>-3.2999999821186066</v>
      </c>
      <c r="BC18" s="43">
        <f t="shared" ref="BC18" si="187">IF(O18="","",(O18-O$10)*1000)</f>
        <v>-3.0000000260770321</v>
      </c>
      <c r="BD18" s="43">
        <f t="shared" ref="BD18" si="188">IF(P18="","",(P18-P$10)*1000)</f>
        <v>-18.699999999995498</v>
      </c>
      <c r="BE18" s="43">
        <f t="shared" ref="BE18" si="189">IF(Q18="","",(Q18-Q$10)*1000)</f>
        <v>0.99999993108212948</v>
      </c>
      <c r="BF18" s="43">
        <f t="shared" ref="BF18" si="190">IF(R18="","",(R18-R$10)*1000)</f>
        <v>0.10000006295740604</v>
      </c>
      <c r="BG18" s="43">
        <f t="shared" ref="BG18" si="191">IF(S18="","",(S18-S$10)*1000)</f>
        <v>-12.199999999992883</v>
      </c>
      <c r="BH18" s="43">
        <f t="shared" ref="BH18" si="192">IF(T18="","",(T18-T$10)*1000)</f>
        <v>-1.9000000320374966</v>
      </c>
      <c r="BI18" s="43">
        <f t="shared" ref="BI18" si="193">IF(U18="","",(U18-U$10)*1000)</f>
        <v>3.499999875202775</v>
      </c>
      <c r="BJ18" s="43">
        <f t="shared" ref="BJ18" si="194">IF(V18="","",(V18-V$10)*1000)</f>
        <v>0.90000000000145519</v>
      </c>
      <c r="BK18" s="43">
        <f t="shared" ref="BK18" si="195">IF(W18="","",(W18-W$10)*1000)</f>
        <v>-3.0000000260770321</v>
      </c>
      <c r="BL18" s="43">
        <f t="shared" ref="BL18" si="196">IF(X18="","",(X18-X$10)*1000)</f>
        <v>5.3000000771135092</v>
      </c>
      <c r="BM18" s="43">
        <f t="shared" ref="BM18" si="197">IF(Y18="","",(Y18-Y$10)*1000)</f>
        <v>1.3999999999896318</v>
      </c>
      <c r="BN18" s="40"/>
      <c r="BO18" s="39">
        <v>196.10550000000001</v>
      </c>
      <c r="BP18" s="39">
        <v>-2.5308999999999999</v>
      </c>
      <c r="BQ18" s="39">
        <v>-0.96689999999999998</v>
      </c>
      <c r="BR18" s="39">
        <v>196.09119999999999</v>
      </c>
      <c r="BS18" s="39">
        <v>-2.7286999999999999</v>
      </c>
      <c r="BT18" s="39">
        <v>0.39539999999999997</v>
      </c>
      <c r="BU18" s="39">
        <v>196.13910000000001</v>
      </c>
      <c r="BV18" s="39">
        <v>-2.1764999999999999</v>
      </c>
      <c r="BW18" s="39">
        <v>1.7677</v>
      </c>
      <c r="BX18" s="39">
        <v>196.08580000000001</v>
      </c>
      <c r="BY18" s="39">
        <v>-0.19670000000000001</v>
      </c>
      <c r="BZ18" s="39">
        <v>2.7079</v>
      </c>
      <c r="CA18" s="39">
        <v>196.07220000000001</v>
      </c>
      <c r="CB18" s="39">
        <v>1.4242999999999999</v>
      </c>
      <c r="CC18" s="39">
        <v>2.3163999999999998</v>
      </c>
      <c r="CD18" s="39">
        <v>196.1439</v>
      </c>
      <c r="CE18" s="39">
        <v>2.6461999999999999</v>
      </c>
      <c r="CF18" s="39">
        <v>0.13919999999999999</v>
      </c>
      <c r="CG18" s="39">
        <v>196.0984</v>
      </c>
      <c r="CH18" s="39">
        <v>2.5449000000000002</v>
      </c>
      <c r="CI18" s="39">
        <v>-0.98850000000000005</v>
      </c>
      <c r="CJ18" s="40"/>
      <c r="CK18" s="43">
        <f t="shared" ref="CK18" si="198">IF(BO18="","",(BO18-BO$10)*1000)</f>
        <v>0.73081613462022688</v>
      </c>
      <c r="CL18" s="43">
        <f t="shared" ref="CL18" si="199">IF(BP18="","",(BP18-BP$10)*1000)</f>
        <v>6.3010247454253765</v>
      </c>
      <c r="CM18" s="43">
        <f t="shared" ref="CM18" si="200">IF(BQ18="","",(BQ18-BQ$10)*1000)</f>
        <v>2.7676918386657645</v>
      </c>
      <c r="CN18" s="43">
        <f t="shared" ref="CN18" si="201">IF(BR18="","",(BR18-BR$10)*1000)</f>
        <v>-8.5769517596645528</v>
      </c>
      <c r="CO18" s="43">
        <f t="shared" ref="CO18" si="202">IF(BS18="","",(BS18-BS$10)*1000)</f>
        <v>4.5856942051858418</v>
      </c>
      <c r="CP18" s="43">
        <f t="shared" ref="CP18" si="203">IF(BT18="","",(BT18-BT$10)*1000)</f>
        <v>-4.2822304824121638</v>
      </c>
      <c r="CQ18" s="43">
        <f t="shared" ref="CQ18" si="204">IF(BU18="","",(BU18-BU$10)*1000)</f>
        <v>0.45175721075452202</v>
      </c>
      <c r="CR18" s="43">
        <f t="shared" ref="CR18" si="205">IF(BV18="","",(BV18-BV$10)*1000)</f>
        <v>9.3583723222780968</v>
      </c>
      <c r="CS18" s="43">
        <f t="shared" ref="CS18" si="206">IF(BW18="","",(BW18-BW$10)*1000)</f>
        <v>-3.3935175720976041</v>
      </c>
      <c r="CT18" s="43">
        <f t="shared" ref="CT18" si="207">IF(BX18="","",(BX18-BX$10)*1000)</f>
        <v>-4.2331155719352864</v>
      </c>
      <c r="CU18" s="43">
        <f t="shared" ref="CU18" si="208">IF(BY18="","",(BY18-BY$10)*1000)</f>
        <v>1.3303643126487963</v>
      </c>
      <c r="CV18" s="43">
        <f t="shared" ref="CV18" si="209">IF(BZ18="","",(BZ18-BZ$10)*1000)</f>
        <v>-18.679668844280517</v>
      </c>
      <c r="CW18" s="43">
        <f t="shared" ref="CW18" si="210">IF(CA18="","",(CA18-CA$10)*1000)</f>
        <v>0.99032050619030088</v>
      </c>
      <c r="CX18" s="43">
        <f t="shared" ref="CX18" si="211">IF(CB18="","",(CB18-CB$10)*1000)</f>
        <v>0.2878467918714378</v>
      </c>
      <c r="CY18" s="43">
        <f t="shared" ref="CY18" si="212">IF(CC18="","",(CC18-CC$10)*1000)</f>
        <v>-12.167903205055453</v>
      </c>
      <c r="CZ18" s="43">
        <f t="shared" ref="CZ18" si="213">IF(CD18="","",(CD18-CD$10)*1000)</f>
        <v>-0.22289216104809384</v>
      </c>
      <c r="DA18" s="43">
        <f t="shared" ref="DA18" si="214">IF(CE18="","",(CE18-CE$10)*1000)</f>
        <v>-3.9256524826285499</v>
      </c>
      <c r="DB18" s="43">
        <f t="shared" ref="DB18" si="215">IF(CF18="","",(CF18-CF$10)*1000)</f>
        <v>0.86122892161921705</v>
      </c>
      <c r="DC18" s="43">
        <f t="shared" ref="DC18" si="216">IF(CG18="","",(CG18-CG$10)*1000)</f>
        <v>-0.51504351151265837</v>
      </c>
      <c r="DD18" s="43">
        <f t="shared" ref="DD18" si="217">IF(CH18="","",(CH18-CH$10)*1000)</f>
        <v>-6.0223238672914015</v>
      </c>
      <c r="DE18" s="43">
        <f t="shared" ref="DE18" si="218">IF(CI18="","",(CI18-CI$10)*1000)</f>
        <v>1.4091504351104733</v>
      </c>
    </row>
    <row r="19" spans="1:109" ht="29.25" customHeight="1" x14ac:dyDescent="0.2">
      <c r="A19" s="37">
        <v>43724</v>
      </c>
      <c r="B19" s="29">
        <f t="shared" si="10"/>
        <v>19</v>
      </c>
      <c r="C19" s="38">
        <v>203.6</v>
      </c>
      <c r="D19" s="38">
        <f t="shared" si="18"/>
        <v>7.5</v>
      </c>
      <c r="E19" s="39">
        <v>823244.33270000003</v>
      </c>
      <c r="F19" s="39">
        <v>1091518.7782999999</v>
      </c>
      <c r="G19" s="39">
        <v>-124.5483</v>
      </c>
      <c r="H19" s="39">
        <v>823244.2365</v>
      </c>
      <c r="I19" s="39">
        <v>1091518.9517999999</v>
      </c>
      <c r="J19" s="39">
        <v>-123.1866</v>
      </c>
      <c r="K19" s="39">
        <v>823244.51329999999</v>
      </c>
      <c r="L19" s="39">
        <v>1091518.4706999999</v>
      </c>
      <c r="M19" s="39">
        <v>-121.81440000000001</v>
      </c>
      <c r="N19" s="39">
        <v>823245.30090000003</v>
      </c>
      <c r="O19" s="39">
        <v>1091516.6554</v>
      </c>
      <c r="P19" s="39">
        <v>-120.8781</v>
      </c>
      <c r="Q19" s="39">
        <v>823245.97450000001</v>
      </c>
      <c r="R19" s="39">
        <v>1091515.1806000001</v>
      </c>
      <c r="S19" s="39">
        <v>-121.26819999999999</v>
      </c>
      <c r="T19" s="39">
        <v>823246.5551</v>
      </c>
      <c r="U19" s="39">
        <v>1091514.1044999999</v>
      </c>
      <c r="V19" s="39">
        <v>-123.4423</v>
      </c>
      <c r="W19" s="39">
        <v>823246.47100000002</v>
      </c>
      <c r="X19" s="39">
        <v>1091514.1773999999</v>
      </c>
      <c r="Y19" s="39">
        <v>-124.5702</v>
      </c>
      <c r="Z19" s="39">
        <f t="shared" si="1"/>
        <v>4.3490784873735144</v>
      </c>
      <c r="AA19" s="39">
        <f t="shared" si="2"/>
        <v>3.4257221967778881</v>
      </c>
      <c r="AB19" s="39">
        <f t="shared" si="3"/>
        <v>2.1891289454255611</v>
      </c>
      <c r="AC19" s="39">
        <f t="shared" si="4"/>
        <v>1.6676180647487742</v>
      </c>
      <c r="AD19" s="39">
        <f t="shared" si="5"/>
        <v>3.8282150005804261</v>
      </c>
      <c r="AE19" s="39">
        <f t="shared" si="6"/>
        <v>4.5979582882583596</v>
      </c>
      <c r="AF19" s="39">
        <f t="shared" si="7"/>
        <v>3.6411808371989771</v>
      </c>
      <c r="AG19" s="39">
        <f t="shared" si="8"/>
        <v>5.3793685261578679</v>
      </c>
      <c r="AH19" s="39">
        <f t="shared" si="9"/>
        <v>5.0735675130628595</v>
      </c>
      <c r="AI19" s="43">
        <f t="shared" ref="AI19" si="219">IF(Z19="","",(Z19-Z$10)*1000)</f>
        <v>-25.060483937102696</v>
      </c>
      <c r="AJ19" s="43">
        <f t="shared" ref="AJ19" si="220">IF(AA19="","",(AA19-AA$10)*1000)</f>
        <v>-15.442252953071556</v>
      </c>
      <c r="AK19" s="43">
        <f t="shared" ref="AK19" si="221">IF(AB19="","",(AB19-AB$10)*1000)</f>
        <v>-16.737918195617763</v>
      </c>
      <c r="AL19" s="43">
        <f t="shared" ref="AL19" si="222">IF(AC19="","",(AC19-AC$10)*1000)</f>
        <v>-2.6931309243509727</v>
      </c>
      <c r="AM19" s="43">
        <f t="shared" ref="AM19" si="223">IF(AD19="","",(AD19-AD$10)*1000)</f>
        <v>-20.305454079857288</v>
      </c>
      <c r="AN19" s="43">
        <f t="shared" ref="AN19" si="224">IF(AE19="","",(AE19-AE$10)*1000)</f>
        <v>-24.643655506169537</v>
      </c>
      <c r="AO19" s="43">
        <f t="shared" ref="AO19" si="225">IF(AF19="","",(AF19-AF$10)*1000)</f>
        <v>-12.001256662858228</v>
      </c>
      <c r="AP19" s="43">
        <f t="shared" ref="AP19" si="226">IF(AG19="","",(AG19-AG$10)*1000)</f>
        <v>-10.543634543576097</v>
      </c>
      <c r="AQ19" s="43">
        <f t="shared" ref="AQ19" si="227">IF(AH19="","",(AH19-AH$10)*1000)</f>
        <v>-14.59969838541042</v>
      </c>
      <c r="AR19" s="40"/>
      <c r="AS19" s="43">
        <f t="shared" ref="AS19" si="228">IF(E19="","",(E19-E$10)*1000)</f>
        <v>2.3000000510364771</v>
      </c>
      <c r="AT19" s="43">
        <f t="shared" ref="AT19" si="229">IF(F19="","",(F19-F$10)*1000)</f>
        <v>-6.2000001780688763</v>
      </c>
      <c r="AU19" s="43">
        <f t="shared" ref="AU19" si="230">IF(G19="","",(G19-G$10)*1000)</f>
        <v>3.200000000006753</v>
      </c>
      <c r="AV19" s="43">
        <f t="shared" ref="AV19" si="231">IF(H19="","",(H19-H$10)*1000)</f>
        <v>-6.5000000176951289</v>
      </c>
      <c r="AW19" s="43">
        <f t="shared" ref="AW19" si="232">IF(I19="","",(I19-I$10)*1000)</f>
        <v>-8.3000001031905413</v>
      </c>
      <c r="AX19" s="43">
        <f t="shared" ref="AX19" si="233">IF(J19="","",(J19-J$10)*1000)</f>
        <v>-4.4000000000039563</v>
      </c>
      <c r="AY19" s="43">
        <f t="shared" ref="AY19" si="234">IF(K19="","",(K19-K$10)*1000)</f>
        <v>3.7000000011175871</v>
      </c>
      <c r="AZ19" s="43">
        <f t="shared" ref="AZ19" si="235">IF(L19="","",(L19-L$10)*1000)</f>
        <v>-9.7000000532716513</v>
      </c>
      <c r="BA19" s="43">
        <f t="shared" ref="BA19" si="236">IF(M19="","",(M19-M$10)*1000)</f>
        <v>-4.0000000000048885</v>
      </c>
      <c r="BB19" s="43">
        <f t="shared" ref="BB19" si="237">IF(N19="","",(N19-N$10)*1000)</f>
        <v>-4.7999999951571226</v>
      </c>
      <c r="BC19" s="43">
        <f t="shared" ref="BC19" si="238">IF(O19="","",(O19-O$10)*1000)</f>
        <v>-2.899999963119626</v>
      </c>
      <c r="BD19" s="43">
        <f t="shared" ref="BD19" si="239">IF(P19="","",(P19-P$10)*1000)</f>
        <v>-22.700000000000387</v>
      </c>
      <c r="BE19" s="43">
        <f t="shared" ref="BE19" si="240">IF(Q19="","",(Q19-Q$10)*1000)</f>
        <v>0.29999995604157448</v>
      </c>
      <c r="BF19" s="43">
        <f t="shared" ref="BF19" si="241">IF(R19="","",(R19-R$10)*1000)</f>
        <v>0.30000018887221813</v>
      </c>
      <c r="BG19" s="43">
        <f t="shared" ref="BG19" si="242">IF(S19="","",(S19-S$10)*1000)</f>
        <v>-14.59999999998729</v>
      </c>
      <c r="BH19" s="43">
        <f t="shared" ref="BH19" si="243">IF(T19="","",(T19-T$10)*1000)</f>
        <v>-3.4000000450760126</v>
      </c>
      <c r="BI19" s="43">
        <f t="shared" ref="BI19" si="244">IF(U19="","",(U19-U$10)*1000)</f>
        <v>4.5999998692423105</v>
      </c>
      <c r="BJ19" s="43">
        <f t="shared" ref="BJ19" si="245">IF(V19="","",(V19-V$10)*1000)</f>
        <v>0.79999999999813554</v>
      </c>
      <c r="BK19" s="43">
        <f t="shared" ref="BK19" si="246">IF(W19="","",(W19-W$10)*1000)</f>
        <v>-4.5999999856576324</v>
      </c>
      <c r="BL19" s="43">
        <f t="shared" ref="BL19" si="247">IF(X19="","",(X19-X$10)*1000)</f>
        <v>6.7000000271946192</v>
      </c>
      <c r="BM19" s="43">
        <f t="shared" ref="BM19" si="248">IF(Y19="","",(Y19-Y$10)*1000)</f>
        <v>1.5999999999962711</v>
      </c>
      <c r="BN19" s="40"/>
      <c r="BO19" s="39">
        <v>196.10419999999999</v>
      </c>
      <c r="BP19" s="39">
        <v>-2.5306000000000002</v>
      </c>
      <c r="BQ19" s="39">
        <v>-0.96650000000000003</v>
      </c>
      <c r="BR19" s="39">
        <v>196.09039999999999</v>
      </c>
      <c r="BS19" s="39">
        <v>-2.7284999999999999</v>
      </c>
      <c r="BT19" s="39">
        <v>0.39539999999999997</v>
      </c>
      <c r="BU19" s="39">
        <v>196.1379</v>
      </c>
      <c r="BV19" s="39">
        <v>-2.1755</v>
      </c>
      <c r="BW19" s="39">
        <v>1.7670999999999999</v>
      </c>
      <c r="BX19" s="39">
        <v>196.08449999999999</v>
      </c>
      <c r="BY19" s="39">
        <v>-0.19739999999999999</v>
      </c>
      <c r="BZ19" s="39">
        <v>2.7039</v>
      </c>
      <c r="CA19" s="39">
        <v>196.07159999999999</v>
      </c>
      <c r="CB19" s="39">
        <v>1.4238999999999999</v>
      </c>
      <c r="CC19" s="39">
        <v>2.3140000000000001</v>
      </c>
      <c r="CD19" s="39">
        <v>196.143</v>
      </c>
      <c r="CE19" s="39">
        <v>2.6444999999999999</v>
      </c>
      <c r="CF19" s="39">
        <v>0.13919999999999999</v>
      </c>
      <c r="CG19" s="39">
        <v>196.0976</v>
      </c>
      <c r="CH19" s="39">
        <v>2.5428999999999999</v>
      </c>
      <c r="CI19" s="39">
        <v>-0.98829999999999996</v>
      </c>
      <c r="CJ19" s="40"/>
      <c r="CK19" s="43">
        <f t="shared" ref="CK19" si="249">IF(BO19="","",(BO19-BO$10)*1000)</f>
        <v>-0.56918386539450694</v>
      </c>
      <c r="CL19" s="43">
        <f t="shared" ref="CL19" si="250">IF(BP19="","",(BP19-BP$10)*1000)</f>
        <v>6.6010247454251214</v>
      </c>
      <c r="CM19" s="43">
        <f t="shared" ref="CM19" si="251">IF(BQ19="","",(BQ19-BQ$10)*1000)</f>
        <v>3.1676918386657205</v>
      </c>
      <c r="CN19" s="43">
        <f t="shared" ref="CN19" si="252">IF(BR19="","",(BR19-BR$10)*1000)</f>
        <v>-9.3769517596626883</v>
      </c>
      <c r="CO19" s="43">
        <f t="shared" ref="CO19" si="253">IF(BS19="","",(BS19-BS$10)*1000)</f>
        <v>4.7856942051858198</v>
      </c>
      <c r="CP19" s="43">
        <f t="shared" ref="CP19" si="254">IF(BT19="","",(BT19-BT$10)*1000)</f>
        <v>-4.2822304824121638</v>
      </c>
      <c r="CQ19" s="43">
        <f t="shared" ref="CQ19" si="255">IF(BU19="","",(BU19-BU$10)*1000)</f>
        <v>-0.74824278925689214</v>
      </c>
      <c r="CR19" s="43">
        <f t="shared" ref="CR19" si="256">IF(BV19="","",(BV19-BV$10)*1000)</f>
        <v>10.358372322277987</v>
      </c>
      <c r="CS19" s="43">
        <f t="shared" ref="CS19" si="257">IF(BW19="","",(BW19-BW$10)*1000)</f>
        <v>-3.99351757209776</v>
      </c>
      <c r="CT19" s="43">
        <f t="shared" ref="CT19" si="258">IF(BX19="","",(BX19-BX$10)*1000)</f>
        <v>-5.5331155719500202</v>
      </c>
      <c r="CU19" s="43">
        <f t="shared" ref="CU19" si="259">IF(BY19="","",(BY19-BY$10)*1000)</f>
        <v>0.63036431264881787</v>
      </c>
      <c r="CV19" s="43">
        <f t="shared" ref="CV19" si="260">IF(BZ19="","",(BZ19-BZ$10)*1000)</f>
        <v>-22.679668844280521</v>
      </c>
      <c r="CW19" s="43">
        <f t="shared" ref="CW19" si="261">IF(CA19="","",(CA19-CA$10)*1000)</f>
        <v>0.39032050617038294</v>
      </c>
      <c r="CX19" s="43">
        <f t="shared" ref="CX19" si="262">IF(CB19="","",(CB19-CB$10)*1000)</f>
        <v>-0.11215320812851814</v>
      </c>
      <c r="CY19" s="43">
        <f t="shared" ref="CY19" si="263">IF(CC19="","",(CC19-CC$10)*1000)</f>
        <v>-14.567903205055188</v>
      </c>
      <c r="CZ19" s="43">
        <f t="shared" ref="CZ19" si="264">IF(CD19="","",(CD19-CD$10)*1000)</f>
        <v>-1.122892161049549</v>
      </c>
      <c r="DA19" s="43">
        <f t="shared" ref="DA19" si="265">IF(CE19="","",(CE19-CE$10)*1000)</f>
        <v>-5.6256524826285847</v>
      </c>
      <c r="DB19" s="43">
        <f t="shared" ref="DB19" si="266">IF(CF19="","",(CF19-CF$10)*1000)</f>
        <v>0.86122892161921705</v>
      </c>
      <c r="DC19" s="43">
        <f t="shared" ref="DC19" si="267">IF(CG19="","",(CG19-CG$10)*1000)</f>
        <v>-1.3150435115107939</v>
      </c>
      <c r="DD19" s="43">
        <f t="shared" ref="DD19" si="268">IF(CH19="","",(CH19-CH$10)*1000)</f>
        <v>-8.0223238672916253</v>
      </c>
      <c r="DE19" s="43">
        <f t="shared" ref="DE19" si="269">IF(CI19="","",(CI19-CI$10)*1000)</f>
        <v>1.6091504351105623</v>
      </c>
    </row>
    <row r="20" spans="1:109" ht="29.25" customHeight="1" x14ac:dyDescent="0.2">
      <c r="A20" s="37">
        <v>43727</v>
      </c>
      <c r="B20" s="29">
        <f t="shared" si="10"/>
        <v>22</v>
      </c>
      <c r="C20" s="38">
        <v>206.32</v>
      </c>
      <c r="D20" s="38">
        <f t="shared" si="18"/>
        <v>10.219999999999999</v>
      </c>
      <c r="E20" s="39">
        <v>823244.33279999997</v>
      </c>
      <c r="F20" s="39">
        <v>1091518.7782999999</v>
      </c>
      <c r="G20" s="39">
        <v>-124.548</v>
      </c>
      <c r="H20" s="39">
        <v>823244.2365</v>
      </c>
      <c r="I20" s="39">
        <v>1091518.9516</v>
      </c>
      <c r="J20" s="39">
        <v>-123.1865</v>
      </c>
      <c r="K20" s="39">
        <v>823244.51359999995</v>
      </c>
      <c r="L20" s="39">
        <v>1091518.4705000001</v>
      </c>
      <c r="M20" s="39">
        <v>-121.815</v>
      </c>
      <c r="N20" s="39">
        <v>823245.3003</v>
      </c>
      <c r="O20" s="39">
        <v>1091516.6554</v>
      </c>
      <c r="P20" s="39">
        <v>-120.881</v>
      </c>
      <c r="Q20" s="39">
        <v>823245.97470000002</v>
      </c>
      <c r="R20" s="39">
        <v>1091515.1813999999</v>
      </c>
      <c r="S20" s="39">
        <v>-121.27030000000001</v>
      </c>
      <c r="T20" s="39">
        <v>823246.55469999998</v>
      </c>
      <c r="U20" s="39">
        <v>1091514.1058</v>
      </c>
      <c r="V20" s="39">
        <v>-123.4422</v>
      </c>
      <c r="W20" s="39">
        <v>823246.47069999995</v>
      </c>
      <c r="X20" s="39">
        <v>1091514.1787</v>
      </c>
      <c r="Y20" s="39">
        <v>-124.5697</v>
      </c>
      <c r="Z20" s="39">
        <f t="shared" si="1"/>
        <v>4.3462224585705966</v>
      </c>
      <c r="AA20" s="39">
        <f t="shared" si="2"/>
        <v>3.4233806580523729</v>
      </c>
      <c r="AB20" s="39">
        <f t="shared" si="3"/>
        <v>2.1876564858570546</v>
      </c>
      <c r="AC20" s="39">
        <f t="shared" si="4"/>
        <v>1.667047045077642</v>
      </c>
      <c r="AD20" s="39">
        <f t="shared" si="5"/>
        <v>3.8254052020773899</v>
      </c>
      <c r="AE20" s="39">
        <f t="shared" si="6"/>
        <v>4.5946040895670608</v>
      </c>
      <c r="AF20" s="39">
        <f t="shared" si="7"/>
        <v>3.640012377908413</v>
      </c>
      <c r="AG20" s="39">
        <f t="shared" si="8"/>
        <v>5.3778444910580436</v>
      </c>
      <c r="AH20" s="39">
        <f t="shared" si="9"/>
        <v>5.0722191847772349</v>
      </c>
      <c r="AI20" s="43">
        <f t="shared" ref="AI20:AI22" si="270">IF(Z20="","",(Z20-Z$10)*1000)</f>
        <v>-27.916512740020494</v>
      </c>
      <c r="AJ20" s="43">
        <f t="shared" ref="AJ20" si="271">IF(AA20="","",(AA20-AA$10)*1000)</f>
        <v>-17.783791678586791</v>
      </c>
      <c r="AK20" s="43">
        <f t="shared" ref="AK20" si="272">IF(AB20="","",(AB20-AB$10)*1000)</f>
        <v>-18.210377764124264</v>
      </c>
      <c r="AL20" s="43">
        <f t="shared" ref="AL20" si="273">IF(AC20="","",(AC20-AC$10)*1000)</f>
        <v>-3.2641505954831285</v>
      </c>
      <c r="AM20" s="43">
        <f t="shared" ref="AM20" si="274">IF(AD20="","",(AD20-AD$10)*1000)</f>
        <v>-23.115252582893486</v>
      </c>
      <c r="AN20" s="43">
        <f t="shared" ref="AN20" si="275">IF(AE20="","",(AE20-AE$10)*1000)</f>
        <v>-27.997854197468364</v>
      </c>
      <c r="AO20" s="43">
        <f t="shared" ref="AO20" si="276">IF(AF20="","",(AF20-AF$10)*1000)</f>
        <v>-13.169715953422312</v>
      </c>
      <c r="AP20" s="43">
        <f t="shared" ref="AP20" si="277">IF(AG20="","",(AG20-AG$10)*1000)</f>
        <v>-12.067669643400336</v>
      </c>
      <c r="AQ20" s="43">
        <f t="shared" ref="AQ20" si="278">IF(AH20="","",(AH20-AH$10)*1000)</f>
        <v>-15.948026671035009</v>
      </c>
      <c r="AR20" s="40"/>
      <c r="AS20" s="43">
        <f t="shared" ref="AS20" si="279">IF(E20="","",(E20-E$10)*1000)</f>
        <v>2.3999999975785613</v>
      </c>
      <c r="AT20" s="43">
        <f t="shared" ref="AT20" si="280">IF(F20="","",(F20-F$10)*1000)</f>
        <v>-6.2000001780688763</v>
      </c>
      <c r="AU20" s="43">
        <f t="shared" ref="AU20" si="281">IF(G20="","",(G20-G$10)*1000)</f>
        <v>3.5000000000025011</v>
      </c>
      <c r="AV20" s="43">
        <f t="shared" ref="AV20" si="282">IF(H20="","",(H20-H$10)*1000)</f>
        <v>-6.5000000176951289</v>
      </c>
      <c r="AW20" s="43">
        <f t="shared" ref="AW20" si="283">IF(I20="","",(I20-I$10)*1000)</f>
        <v>-8.4999999962747097</v>
      </c>
      <c r="AX20" s="43">
        <f t="shared" ref="AX20" si="284">IF(J20="","",(J20-J$10)*1000)</f>
        <v>-4.3000000000006366</v>
      </c>
      <c r="AY20" s="43">
        <f t="shared" ref="AY20" si="285">IF(K20="","",(K20-K$10)*1000)</f>
        <v>3.9999999571591616</v>
      </c>
      <c r="AZ20" s="43">
        <f t="shared" ref="AZ20" si="286">IF(L20="","",(L20-L$10)*1000)</f>
        <v>-9.8999999463558197</v>
      </c>
      <c r="BA20" s="43">
        <f t="shared" ref="BA20" si="287">IF(M20="","",(M20-M$10)*1000)</f>
        <v>-4.5999999999963848</v>
      </c>
      <c r="BB20" s="43">
        <f t="shared" ref="BB20" si="288">IF(N20="","",(N20-N$10)*1000)</f>
        <v>-5.4000000236555934</v>
      </c>
      <c r="BC20" s="43">
        <f t="shared" ref="BC20" si="289">IF(O20="","",(O20-O$10)*1000)</f>
        <v>-2.899999963119626</v>
      </c>
      <c r="BD20" s="43">
        <f t="shared" ref="BD20" si="290">IF(P20="","",(P20-P$10)*1000)</f>
        <v>-25.599999999997181</v>
      </c>
      <c r="BE20" s="43">
        <f t="shared" ref="BE20" si="291">IF(Q20="","",(Q20-Q$10)*1000)</f>
        <v>0.49999996554106474</v>
      </c>
      <c r="BF20" s="43">
        <f t="shared" ref="BF20" si="292">IF(R20="","",(R20-R$10)*1000)</f>
        <v>1.0999999940395355</v>
      </c>
      <c r="BG20" s="43">
        <f t="shared" ref="BG20" si="293">IF(S20="","",(S20-S$10)*1000)</f>
        <v>-16.700000000000159</v>
      </c>
      <c r="BH20" s="43">
        <f t="shared" ref="BH20" si="294">IF(T20="","",(T20-T$10)*1000)</f>
        <v>-3.8000000640749931</v>
      </c>
      <c r="BI20" s="43">
        <f t="shared" ref="BI20" si="295">IF(U20="","",(U20-U$10)*1000)</f>
        <v>5.8999999891966581</v>
      </c>
      <c r="BJ20" s="43">
        <f t="shared" ref="BJ20" si="296">IF(V20="","",(V20-V$10)*1000)</f>
        <v>0.90000000000145519</v>
      </c>
      <c r="BK20" s="43">
        <f t="shared" ref="BK20" si="297">IF(W20="","",(W20-W$10)*1000)</f>
        <v>-4.9000000581145287</v>
      </c>
      <c r="BL20" s="43">
        <f t="shared" ref="BL20" si="298">IF(X20="","",(X20-X$10)*1000)</f>
        <v>8.0000001471489668</v>
      </c>
      <c r="BM20" s="43">
        <f t="shared" ref="BM20" si="299">IF(Y20="","",(Y20-Y$10)*1000)</f>
        <v>2.0999999999986585</v>
      </c>
      <c r="BN20" s="40"/>
      <c r="BO20" s="39">
        <v>196.10429999999999</v>
      </c>
      <c r="BP20" s="39">
        <v>-2.5306000000000002</v>
      </c>
      <c r="BQ20" s="39">
        <v>-0.96619999999999995</v>
      </c>
      <c r="BR20" s="39">
        <v>196.09030000000001</v>
      </c>
      <c r="BS20" s="39">
        <v>-2.7282999999999999</v>
      </c>
      <c r="BT20" s="39">
        <v>0.39550000000000002</v>
      </c>
      <c r="BU20" s="39">
        <v>196.13810000000001</v>
      </c>
      <c r="BV20" s="39">
        <v>-2.1751999999999998</v>
      </c>
      <c r="BW20" s="39">
        <v>1.7665</v>
      </c>
      <c r="BX20" s="39">
        <v>196.0839</v>
      </c>
      <c r="BY20" s="39">
        <v>-0.19769999999999999</v>
      </c>
      <c r="BZ20" s="39">
        <v>2.7010000000000001</v>
      </c>
      <c r="CA20" s="39">
        <v>196.07210000000001</v>
      </c>
      <c r="CB20" s="39">
        <v>1.4232</v>
      </c>
      <c r="CC20" s="39">
        <v>2.3119000000000001</v>
      </c>
      <c r="CD20" s="39">
        <v>196.14320000000001</v>
      </c>
      <c r="CE20" s="39">
        <v>2.6432000000000002</v>
      </c>
      <c r="CF20" s="39">
        <v>0.13919999999999999</v>
      </c>
      <c r="CG20" s="39">
        <v>196.09790000000001</v>
      </c>
      <c r="CH20" s="39">
        <v>2.5415999999999999</v>
      </c>
      <c r="CI20" s="39">
        <v>-0.98780000000000001</v>
      </c>
      <c r="CJ20" s="40"/>
      <c r="CK20" s="43">
        <f t="shared" ref="CK20" si="300">IF(BO20="","",(BO20-BO$10)*1000)</f>
        <v>-0.46918386539118728</v>
      </c>
      <c r="CL20" s="43">
        <f t="shared" ref="CL20" si="301">IF(BP20="","",(BP20-BP$10)*1000)</f>
        <v>6.6010247454251214</v>
      </c>
      <c r="CM20" s="43">
        <f t="shared" ref="CM20" si="302">IF(BQ20="","",(BQ20-BQ$10)*1000)</f>
        <v>3.4676918386657984</v>
      </c>
      <c r="CN20" s="43">
        <f t="shared" ref="CN20" si="303">IF(BR20="","",(BR20-BR$10)*1000)</f>
        <v>-9.4769517596375863</v>
      </c>
      <c r="CO20" s="43">
        <f t="shared" ref="CO20" si="304">IF(BS20="","",(BS20-BS$10)*1000)</f>
        <v>4.9856942051857978</v>
      </c>
      <c r="CP20" s="43">
        <f t="shared" ref="CP20" si="305">IF(BT20="","",(BT20-BT$10)*1000)</f>
        <v>-4.1822304824121197</v>
      </c>
      <c r="CQ20" s="43">
        <f t="shared" ref="CQ20" si="306">IF(BU20="","",(BU20-BU$10)*1000)</f>
        <v>-0.54824278925025283</v>
      </c>
      <c r="CR20" s="43">
        <f t="shared" ref="CR20" si="307">IF(BV20="","",(BV20-BV$10)*1000)</f>
        <v>10.658372322278176</v>
      </c>
      <c r="CS20" s="43">
        <f t="shared" ref="CS20" si="308">IF(BW20="","",(BW20-BW$10)*1000)</f>
        <v>-4.593517572097694</v>
      </c>
      <c r="CT20" s="43">
        <f t="shared" ref="CT20" si="309">IF(BX20="","",(BX20-BX$10)*1000)</f>
        <v>-6.1331155719415165</v>
      </c>
      <c r="CU20" s="43">
        <f t="shared" ref="CU20" si="310">IF(BY20="","",(BY20-BY$10)*1000)</f>
        <v>0.33036431264882316</v>
      </c>
      <c r="CV20" s="43">
        <f t="shared" ref="CV20" si="311">IF(BZ20="","",(BZ20-BZ$10)*1000)</f>
        <v>-25.579668844280423</v>
      </c>
      <c r="CW20" s="43">
        <f t="shared" ref="CW20" si="312">IF(CA20="","",(CA20-CA$10)*1000)</f>
        <v>0.89032050618698122</v>
      </c>
      <c r="CX20" s="43">
        <f t="shared" ref="CX20" si="313">IF(CB20="","",(CB20-CB$10)*1000)</f>
        <v>-0.81215320812844105</v>
      </c>
      <c r="CY20" s="43">
        <f t="shared" ref="CY20" si="314">IF(CC20="","",(CC20-CC$10)*1000)</f>
        <v>-16.667903205055179</v>
      </c>
      <c r="CZ20" s="43">
        <f t="shared" ref="CZ20" si="315">IF(CD20="","",(CD20-CD$10)*1000)</f>
        <v>-0.92289216104290972</v>
      </c>
      <c r="DA20" s="43">
        <f t="shared" ref="DA20" si="316">IF(CE20="","",(CE20-CE$10)*1000)</f>
        <v>-6.9256524826282195</v>
      </c>
      <c r="DB20" s="43">
        <f t="shared" ref="DB20" si="317">IF(CF20="","",(CF20-CF$10)*1000)</f>
        <v>0.86122892161921705</v>
      </c>
      <c r="DC20" s="43">
        <f t="shared" ref="DC20" si="318">IF(CG20="","",(CG20-CG$10)*1000)</f>
        <v>-1.0150435115008349</v>
      </c>
      <c r="DD20" s="43">
        <f t="shared" ref="DD20" si="319">IF(CH20="","",(CH20-CH$10)*1000)</f>
        <v>-9.3223238672917041</v>
      </c>
      <c r="DE20" s="43">
        <f t="shared" ref="DE20" si="320">IF(CI20="","",(CI20-CI$10)*1000)</f>
        <v>2.1091504351105073</v>
      </c>
    </row>
    <row r="21" spans="1:109" ht="29.25" customHeight="1" x14ac:dyDescent="0.2">
      <c r="A21" s="37">
        <v>43731</v>
      </c>
      <c r="B21" s="29">
        <f t="shared" si="10"/>
        <v>26</v>
      </c>
      <c r="C21" s="38">
        <v>206.32</v>
      </c>
      <c r="D21" s="38">
        <f t="shared" ref="D21:D22" si="321">C21-PM</f>
        <v>10.219999999999999</v>
      </c>
      <c r="E21" s="39">
        <v>823244.33279999997</v>
      </c>
      <c r="F21" s="39">
        <v>1091518.7808999999</v>
      </c>
      <c r="G21" s="39">
        <v>-124.5478</v>
      </c>
      <c r="H21" s="39">
        <v>823244.23690000002</v>
      </c>
      <c r="I21" s="39">
        <v>1091518.9542</v>
      </c>
      <c r="J21" s="39">
        <v>-123.1865</v>
      </c>
      <c r="K21" s="39">
        <v>823244.51410000003</v>
      </c>
      <c r="L21" s="39">
        <v>1091518.4727</v>
      </c>
      <c r="M21" s="39">
        <v>-121.81529999999999</v>
      </c>
      <c r="N21" s="39">
        <v>823245.30039999995</v>
      </c>
      <c r="O21" s="39">
        <v>1091516.6579</v>
      </c>
      <c r="P21" s="39">
        <v>-120.8836</v>
      </c>
      <c r="Q21" s="39">
        <v>823245.97519999999</v>
      </c>
      <c r="R21" s="39">
        <v>1091515.1839999999</v>
      </c>
      <c r="S21" s="39">
        <v>-121.2722</v>
      </c>
      <c r="T21" s="39">
        <v>823246.55480000004</v>
      </c>
      <c r="U21" s="39">
        <v>1091514.1088</v>
      </c>
      <c r="V21" s="39">
        <v>-123.4421</v>
      </c>
      <c r="W21" s="39">
        <v>823246.47109999997</v>
      </c>
      <c r="X21" s="39">
        <v>1091514.1819</v>
      </c>
      <c r="Y21" s="39">
        <v>-124.5698</v>
      </c>
      <c r="Z21" s="39">
        <f t="shared" si="1"/>
        <v>4.343931445079126</v>
      </c>
      <c r="AA21" s="39">
        <f t="shared" si="2"/>
        <v>3.4216040609722964</v>
      </c>
      <c r="AB21" s="39">
        <f t="shared" si="3"/>
        <v>2.1862826029722187</v>
      </c>
      <c r="AC21" s="39">
        <f t="shared" si="4"/>
        <v>1.6669571711181208</v>
      </c>
      <c r="AD21" s="39">
        <f t="shared" si="5"/>
        <v>3.8232646285543637</v>
      </c>
      <c r="AE21" s="39">
        <f t="shared" si="6"/>
        <v>4.5922962589710599</v>
      </c>
      <c r="AF21" s="39">
        <f t="shared" si="7"/>
        <v>3.6394118358412224</v>
      </c>
      <c r="AG21" s="39">
        <f t="shared" si="8"/>
        <v>5.3773499914012497</v>
      </c>
      <c r="AH21" s="39">
        <f t="shared" si="9"/>
        <v>5.0718450182662638</v>
      </c>
      <c r="AI21" s="43">
        <f t="shared" ref="AI21" si="322">IF(Z21="","",(Z21-Z$10)*1000)</f>
        <v>-30.207526231491144</v>
      </c>
      <c r="AJ21" s="43">
        <f t="shared" ref="AJ21:AJ22" si="323">IF(AA21="","",(AA21-AA$10)*1000)</f>
        <v>-19.560388758663283</v>
      </c>
      <c r="AK21" s="43">
        <f t="shared" ref="AK21:AK22" si="324">IF(AB21="","",(AB21-AB$10)*1000)</f>
        <v>-19.584260648960239</v>
      </c>
      <c r="AL21" s="43">
        <f t="shared" ref="AL21:AL22" si="325">IF(AC21="","",(AC21-AC$10)*1000)</f>
        <v>-3.3540245550043313</v>
      </c>
      <c r="AM21" s="43">
        <f t="shared" ref="AM21:AM22" si="326">IF(AD21="","",(AD21-AD$10)*1000)</f>
        <v>-25.255826105919699</v>
      </c>
      <c r="AN21" s="43">
        <f t="shared" ref="AN21:AN22" si="327">IF(AE21="","",(AE21-AE$10)*1000)</f>
        <v>-30.30568479346929</v>
      </c>
      <c r="AO21" s="43">
        <f t="shared" ref="AO21:AO22" si="328">IF(AF21="","",(AF21-AF$10)*1000)</f>
        <v>-13.770258020612935</v>
      </c>
      <c r="AP21" s="43">
        <f t="shared" ref="AP21:AP22" si="329">IF(AG21="","",(AG21-AG$10)*1000)</f>
        <v>-12.56216930019427</v>
      </c>
      <c r="AQ21" s="43">
        <f t="shared" ref="AQ21:AQ22" si="330">IF(AH21="","",(AH21-AH$10)*1000)</f>
        <v>-16.322193182006117</v>
      </c>
      <c r="AR21" s="40"/>
      <c r="AS21" s="43">
        <f t="shared" ref="AS21:AS22" si="331">IF(E21="","",(E21-E$10)*1000)</f>
        <v>2.3999999975785613</v>
      </c>
      <c r="AT21" s="43">
        <f t="shared" ref="AT21:AT22" si="332">IF(F21="","",(F21-F$10)*1000)</f>
        <v>-3.6000001709908247</v>
      </c>
      <c r="AU21" s="43">
        <f t="shared" ref="AU21:AU22" si="333">IF(G21="","",(G21-G$10)*1000)</f>
        <v>3.7000000000091404</v>
      </c>
      <c r="AV21" s="43">
        <f t="shared" ref="AV21:AV22" si="334">IF(H21="","",(H21-H$10)*1000)</f>
        <v>-6.0999999986961484</v>
      </c>
      <c r="AW21" s="43">
        <f t="shared" ref="AW21:AW22" si="335">IF(I21="","",(I21-I$10)*1000)</f>
        <v>-5.8999999891966581</v>
      </c>
      <c r="AX21" s="43">
        <f t="shared" ref="AX21:AX22" si="336">IF(J21="","",(J21-J$10)*1000)</f>
        <v>-4.3000000000006366</v>
      </c>
      <c r="AY21" s="43">
        <f t="shared" ref="AY21:AY22" si="337">IF(K21="","",(K21-K$10)*1000)</f>
        <v>4.5000000391155481</v>
      </c>
      <c r="AZ21" s="43">
        <f t="shared" ref="AZ21:AZ22" si="338">IF(L21="","",(L21-L$10)*1000)</f>
        <v>-7.6999999582767487</v>
      </c>
      <c r="BA21" s="43">
        <f t="shared" ref="BA21:BA22" si="339">IF(M21="","",(M21-M$10)*1000)</f>
        <v>-4.8999999999921329</v>
      </c>
      <c r="BB21" s="43">
        <f t="shared" ref="BB21:BB22" si="340">IF(N21="","",(N21-N$10)*1000)</f>
        <v>-5.3000000771135092</v>
      </c>
      <c r="BC21" s="43">
        <f t="shared" ref="BC21:BC22" si="341">IF(O21="","",(O21-O$10)*1000)</f>
        <v>-0.40000001899898052</v>
      </c>
      <c r="BD21" s="43">
        <f t="shared" ref="BD21:BD22" si="342">IF(P21="","",(P21-P$10)*1000)</f>
        <v>-28.199999999998226</v>
      </c>
      <c r="BE21" s="43">
        <f t="shared" ref="BE21:BE22" si="343">IF(Q21="","",(Q21-Q$10)*1000)</f>
        <v>0.99999993108212948</v>
      </c>
      <c r="BF21" s="43">
        <f t="shared" ref="BF21:BF22" si="344">IF(R21="","",(R21-R$10)*1000)</f>
        <v>3.7000000011175871</v>
      </c>
      <c r="BG21" s="43">
        <f t="shared" ref="BG21:BG22" si="345">IF(S21="","",(S21-S$10)*1000)</f>
        <v>-18.599999999992178</v>
      </c>
      <c r="BH21" s="43">
        <f t="shared" ref="BH21:BH22" si="346">IF(T21="","",(T21-T$10)*1000)</f>
        <v>-3.7000000011175871</v>
      </c>
      <c r="BI21" s="43">
        <f t="shared" ref="BI21:BI22" si="347">IF(U21="","",(U21-U$10)*1000)</f>
        <v>8.9000000152736902</v>
      </c>
      <c r="BJ21" s="43">
        <f t="shared" ref="BJ21:BJ22" si="348">IF(V21="","",(V21-V$10)*1000)</f>
        <v>1.0000000000047748</v>
      </c>
      <c r="BK21" s="43">
        <f t="shared" ref="BK21:BK22" si="349">IF(W21="","",(W21-W$10)*1000)</f>
        <v>-4.5000000391155481</v>
      </c>
      <c r="BL21" s="43">
        <f t="shared" ref="BL21:BL22" si="350">IF(X21="","",(X21-X$10)*1000)</f>
        <v>11.200000066310167</v>
      </c>
      <c r="BM21" s="43">
        <f t="shared" ref="BM21:BM22" si="351">IF(Y21="","",(Y21-Y$10)*1000)</f>
        <v>1.9999999999953388</v>
      </c>
      <c r="BN21" s="40"/>
      <c r="BO21" s="39">
        <v>196.1054</v>
      </c>
      <c r="BP21" s="39">
        <v>-2.5329000000000002</v>
      </c>
      <c r="BQ21" s="39">
        <v>-0.96599999999999997</v>
      </c>
      <c r="BR21" s="39">
        <v>196.09180000000001</v>
      </c>
      <c r="BS21" s="39">
        <v>-2.7305000000000001</v>
      </c>
      <c r="BT21" s="39">
        <v>0.39550000000000002</v>
      </c>
      <c r="BU21" s="39">
        <v>196.1395</v>
      </c>
      <c r="BV21" s="39">
        <v>-2.177</v>
      </c>
      <c r="BW21" s="39">
        <v>1.7662</v>
      </c>
      <c r="BX21" s="39">
        <v>196.08510000000001</v>
      </c>
      <c r="BY21" s="39">
        <v>-0.19989999999999999</v>
      </c>
      <c r="BZ21" s="39">
        <v>2.6983999999999999</v>
      </c>
      <c r="CA21" s="39">
        <v>196.0737</v>
      </c>
      <c r="CB21" s="39">
        <v>1.4211</v>
      </c>
      <c r="CC21" s="39">
        <v>2.3098999999999998</v>
      </c>
      <c r="CD21" s="39">
        <v>196.14449999999999</v>
      </c>
      <c r="CE21" s="39">
        <v>2.6404999999999998</v>
      </c>
      <c r="CF21" s="39">
        <v>0.13930000000000001</v>
      </c>
      <c r="CG21" s="39">
        <v>196.09960000000001</v>
      </c>
      <c r="CH21" s="39">
        <v>2.5388999999999999</v>
      </c>
      <c r="CI21" s="39">
        <v>-0.9879</v>
      </c>
      <c r="CJ21" s="40"/>
      <c r="CK21" s="43">
        <f t="shared" ref="CK21" si="352">IF(BO21="","",(BO21-BO$10)*1000)</f>
        <v>0.63081613461690722</v>
      </c>
      <c r="CL21" s="43">
        <f t="shared" ref="CL21" si="353">IF(BP21="","",(BP21-BP$10)*1000)</f>
        <v>4.3010247454251527</v>
      </c>
      <c r="CM21" s="43">
        <f t="shared" ref="CM21" si="354">IF(BQ21="","",(BQ21-BQ$10)*1000)</f>
        <v>3.6676918386657764</v>
      </c>
      <c r="CN21" s="43">
        <f t="shared" ref="CN21" si="355">IF(BR21="","",(BR21-BR$10)*1000)</f>
        <v>-7.9769517596446349</v>
      </c>
      <c r="CO21" s="43">
        <f t="shared" ref="CO21" si="356">IF(BS21="","",(BS21-BS$10)*1000)</f>
        <v>2.785694205185596</v>
      </c>
      <c r="CP21" s="43">
        <f t="shared" ref="CP21" si="357">IF(BT21="","",(BT21-BT$10)*1000)</f>
        <v>-4.1822304824121197</v>
      </c>
      <c r="CQ21" s="43">
        <f t="shared" ref="CQ21" si="358">IF(BU21="","",(BU21-BU$10)*1000)</f>
        <v>0.85175721073937893</v>
      </c>
      <c r="CR21" s="43">
        <f t="shared" ref="CR21" si="359">IF(BV21="","",(BV21-BV$10)*1000)</f>
        <v>8.8583723222779298</v>
      </c>
      <c r="CS21" s="43">
        <f t="shared" ref="CS21" si="360">IF(BW21="","",(BW21-BW$10)*1000)</f>
        <v>-4.8935175720976609</v>
      </c>
      <c r="CT21" s="43">
        <f t="shared" ref="CT21" si="361">IF(BX21="","",(BX21-BX$10)*1000)</f>
        <v>-4.9331155719301023</v>
      </c>
      <c r="CU21" s="43">
        <f t="shared" ref="CU21" si="362">IF(BY21="","",(BY21-BY$10)*1000)</f>
        <v>-1.8696356873511843</v>
      </c>
      <c r="CV21" s="43">
        <f t="shared" ref="CV21" si="363">IF(BZ21="","",(BZ21-BZ$10)*1000)</f>
        <v>-28.179668844280581</v>
      </c>
      <c r="CW21" s="43">
        <f t="shared" ref="CW21" si="364">IF(CA21="","",(CA21-CA$10)*1000)</f>
        <v>2.4903205061832523</v>
      </c>
      <c r="CX21" s="43">
        <f t="shared" ref="CX21" si="365">IF(CB21="","",(CB21-CB$10)*1000)</f>
        <v>-2.9121532081284318</v>
      </c>
      <c r="CY21" s="43">
        <f t="shared" ref="CY21" si="366">IF(CC21="","",(CC21-CC$10)*1000)</f>
        <v>-18.667903205055403</v>
      </c>
      <c r="CZ21" s="43">
        <f t="shared" ref="CZ21" si="367">IF(CD21="","",(CD21-CD$10)*1000)</f>
        <v>0.37710783894340238</v>
      </c>
      <c r="DA21" s="43">
        <f t="shared" ref="DA21" si="368">IF(CE21="","",(CE21-CE$10)*1000)</f>
        <v>-9.6256524826285883</v>
      </c>
      <c r="DB21" s="43">
        <f t="shared" ref="DB21" si="369">IF(CF21="","",(CF21-CF$10)*1000)</f>
        <v>0.96122892161923379</v>
      </c>
      <c r="DC21" s="43">
        <f t="shared" ref="DC21" si="370">IF(CG21="","",(CG21-CG$10)*1000)</f>
        <v>0.68495648849875579</v>
      </c>
      <c r="DD21" s="43">
        <f t="shared" ref="DD21" si="371">IF(CH21="","",(CH21-CH$10)*1000)</f>
        <v>-12.022323867291629</v>
      </c>
      <c r="DE21" s="43">
        <f t="shared" ref="DE21" si="372">IF(CI21="","",(CI21-CI$10)*1000)</f>
        <v>2.0091504351105183</v>
      </c>
    </row>
    <row r="22" spans="1:109" ht="29.25" customHeight="1" x14ac:dyDescent="0.2">
      <c r="A22" s="37">
        <v>43734</v>
      </c>
      <c r="B22" s="29">
        <f t="shared" si="10"/>
        <v>29</v>
      </c>
      <c r="C22" s="38">
        <v>206.32</v>
      </c>
      <c r="D22" s="38">
        <f t="shared" si="321"/>
        <v>10.219999999999999</v>
      </c>
      <c r="E22" s="39">
        <v>823244.33169999998</v>
      </c>
      <c r="F22" s="39">
        <v>1091518.7801999999</v>
      </c>
      <c r="G22" s="39">
        <v>-124.5478</v>
      </c>
      <c r="H22" s="39">
        <v>823244.23569999996</v>
      </c>
      <c r="I22" s="39">
        <v>1091518.9535000001</v>
      </c>
      <c r="J22" s="39">
        <v>-123.1866</v>
      </c>
      <c r="K22" s="39">
        <v>823244.51280000003</v>
      </c>
      <c r="L22" s="39">
        <v>1091518.4720000001</v>
      </c>
      <c r="M22" s="39">
        <v>-121.8158</v>
      </c>
      <c r="N22" s="39">
        <v>823245.299</v>
      </c>
      <c r="O22" s="39">
        <v>1091516.6573000001</v>
      </c>
      <c r="P22" s="39">
        <v>-120.88500000000001</v>
      </c>
      <c r="Q22" s="39">
        <v>823245.97380000004</v>
      </c>
      <c r="R22" s="39">
        <v>1091515.1835</v>
      </c>
      <c r="S22" s="39">
        <v>-121.2734</v>
      </c>
      <c r="T22" s="39">
        <v>823246.55379999999</v>
      </c>
      <c r="U22" s="39">
        <v>1091514.1088</v>
      </c>
      <c r="V22" s="39">
        <v>-123.4421</v>
      </c>
      <c r="W22" s="39">
        <v>823246.47010000004</v>
      </c>
      <c r="X22" s="39">
        <v>1091514.182</v>
      </c>
      <c r="Y22" s="39">
        <v>-124.5697</v>
      </c>
      <c r="Z22" s="39">
        <f t="shared" si="1"/>
        <v>4.3426348613906018</v>
      </c>
      <c r="AA22" s="39">
        <f t="shared" si="2"/>
        <v>3.4205999312986561</v>
      </c>
      <c r="AB22" s="39">
        <f t="shared" si="3"/>
        <v>2.185780219947683</v>
      </c>
      <c r="AC22" s="39">
        <f t="shared" si="4"/>
        <v>1.6668221381288797</v>
      </c>
      <c r="AD22" s="39">
        <f t="shared" si="5"/>
        <v>3.8220590916623323</v>
      </c>
      <c r="AE22" s="39">
        <f t="shared" si="6"/>
        <v>4.5908168543656345</v>
      </c>
      <c r="AF22" s="39">
        <f t="shared" si="7"/>
        <v>3.6390865626128206</v>
      </c>
      <c r="AG22" s="39">
        <f t="shared" si="8"/>
        <v>5.3768007169978809</v>
      </c>
      <c r="AH22" s="39">
        <f t="shared" si="9"/>
        <v>5.0711613471898369</v>
      </c>
      <c r="AI22" s="43">
        <f t="shared" si="270"/>
        <v>-31.504109920015289</v>
      </c>
      <c r="AJ22" s="43">
        <f t="shared" si="323"/>
        <v>-20.564518432303558</v>
      </c>
      <c r="AK22" s="43">
        <f t="shared" si="324"/>
        <v>-20.086643673495885</v>
      </c>
      <c r="AL22" s="43">
        <f t="shared" si="325"/>
        <v>-3.4890575442454441</v>
      </c>
      <c r="AM22" s="43">
        <f t="shared" si="326"/>
        <v>-26.461362997951099</v>
      </c>
      <c r="AN22" s="43">
        <f t="shared" si="327"/>
        <v>-31.785089398894684</v>
      </c>
      <c r="AO22" s="43">
        <f t="shared" si="328"/>
        <v>-14.095531249014748</v>
      </c>
      <c r="AP22" s="43">
        <f t="shared" si="329"/>
        <v>-13.111443703563097</v>
      </c>
      <c r="AQ22" s="43">
        <f t="shared" si="330"/>
        <v>-17.005864258432979</v>
      </c>
      <c r="AR22" s="43"/>
      <c r="AS22" s="43">
        <f t="shared" si="331"/>
        <v>1.3000000035390258</v>
      </c>
      <c r="AT22" s="43">
        <f t="shared" si="332"/>
        <v>-4.3000001460313797</v>
      </c>
      <c r="AU22" s="43">
        <f t="shared" si="333"/>
        <v>3.7000000000091404</v>
      </c>
      <c r="AV22" s="43">
        <f t="shared" si="334"/>
        <v>-7.30000005569309</v>
      </c>
      <c r="AW22" s="43">
        <f t="shared" si="335"/>
        <v>-6.5999999642372131</v>
      </c>
      <c r="AX22" s="43">
        <f t="shared" si="336"/>
        <v>-4.4000000000039563</v>
      </c>
      <c r="AY22" s="43">
        <f t="shared" si="337"/>
        <v>3.2000000355765224</v>
      </c>
      <c r="AZ22" s="43">
        <f t="shared" si="338"/>
        <v>-8.3999999333173037</v>
      </c>
      <c r="BA22" s="43">
        <f t="shared" si="339"/>
        <v>-5.3999999999945203</v>
      </c>
      <c r="BB22" s="43">
        <f t="shared" si="340"/>
        <v>-6.7000000271946192</v>
      </c>
      <c r="BC22" s="43">
        <f t="shared" si="341"/>
        <v>-0.99999993108212948</v>
      </c>
      <c r="BD22" s="43">
        <f t="shared" si="342"/>
        <v>-29.600000000002069</v>
      </c>
      <c r="BE22" s="43">
        <f t="shared" si="343"/>
        <v>-0.40000001899898052</v>
      </c>
      <c r="BF22" s="43">
        <f t="shared" si="344"/>
        <v>3.2000001519918442</v>
      </c>
      <c r="BG22" s="43">
        <f t="shared" si="345"/>
        <v>-19.799999999989382</v>
      </c>
      <c r="BH22" s="43">
        <f t="shared" si="346"/>
        <v>-4.7000000486150384</v>
      </c>
      <c r="BI22" s="43">
        <f t="shared" si="347"/>
        <v>8.9000000152736902</v>
      </c>
      <c r="BJ22" s="43">
        <f t="shared" si="348"/>
        <v>1.0000000000047748</v>
      </c>
      <c r="BK22" s="43">
        <f t="shared" si="349"/>
        <v>-5.4999999701976776</v>
      </c>
      <c r="BL22" s="43">
        <f t="shared" si="350"/>
        <v>11.300000129267573</v>
      </c>
      <c r="BM22" s="43">
        <f t="shared" si="351"/>
        <v>2.0999999999986585</v>
      </c>
      <c r="BN22" s="40"/>
      <c r="BO22" s="39">
        <v>196.10409999999999</v>
      </c>
      <c r="BP22" s="39">
        <v>-2.5327999999999999</v>
      </c>
      <c r="BQ22" s="39">
        <v>-0.96599999999999997</v>
      </c>
      <c r="BR22" s="39">
        <v>196.09039999999999</v>
      </c>
      <c r="BS22" s="39">
        <v>-2.7303999999999999</v>
      </c>
      <c r="BT22" s="39">
        <v>0.39539999999999997</v>
      </c>
      <c r="BU22" s="39">
        <v>196.13800000000001</v>
      </c>
      <c r="BV22" s="39">
        <v>-2.1768999999999998</v>
      </c>
      <c r="BW22" s="39">
        <v>1.7657</v>
      </c>
      <c r="BX22" s="39">
        <v>196.08349999999999</v>
      </c>
      <c r="BY22" s="39">
        <v>-0.2</v>
      </c>
      <c r="BZ22" s="39">
        <v>2.6970000000000001</v>
      </c>
      <c r="CA22" s="39">
        <v>196.07220000000001</v>
      </c>
      <c r="CB22" s="39">
        <v>1.4209000000000001</v>
      </c>
      <c r="CC22" s="39">
        <v>2.3088000000000002</v>
      </c>
      <c r="CD22" s="39">
        <v>196.14359999999999</v>
      </c>
      <c r="CE22" s="39">
        <v>2.6400999999999999</v>
      </c>
      <c r="CF22" s="39">
        <v>0.13930000000000001</v>
      </c>
      <c r="CG22" s="39">
        <v>196.09870000000001</v>
      </c>
      <c r="CH22" s="39">
        <v>2.5384000000000002</v>
      </c>
      <c r="CI22" s="39">
        <v>-0.98780000000000001</v>
      </c>
      <c r="CJ22" s="40"/>
      <c r="CK22" s="43">
        <f t="shared" ref="CK22" si="373">IF(BO22="","",(BO22-BO$10)*1000)</f>
        <v>-0.66918386539782659</v>
      </c>
      <c r="CL22" s="43">
        <f t="shared" ref="CL22" si="374">IF(BP22="","",(BP22-BP$10)*1000)</f>
        <v>4.4010247454253637</v>
      </c>
      <c r="CM22" s="43">
        <f t="shared" ref="CM22" si="375">IF(BQ22="","",(BQ22-BQ$10)*1000)</f>
        <v>3.6676918386657764</v>
      </c>
      <c r="CN22" s="43">
        <f t="shared" ref="CN22" si="376">IF(BR22="","",(BR22-BR$10)*1000)</f>
        <v>-9.3769517596626883</v>
      </c>
      <c r="CO22" s="43">
        <f t="shared" ref="CO22" si="377">IF(BS22="","",(BS22-BS$10)*1000)</f>
        <v>2.885694205185807</v>
      </c>
      <c r="CP22" s="43">
        <f t="shared" ref="CP22" si="378">IF(BT22="","",(BT22-BT$10)*1000)</f>
        <v>-4.2822304824121638</v>
      </c>
      <c r="CQ22" s="43">
        <f t="shared" ref="CQ22" si="379">IF(BU22="","",(BU22-BU$10)*1000)</f>
        <v>-0.64824278925357248</v>
      </c>
      <c r="CR22" s="43">
        <f t="shared" ref="CR22" si="380">IF(BV22="","",(BV22-BV$10)*1000)</f>
        <v>8.9583723222781408</v>
      </c>
      <c r="CS22" s="43">
        <f t="shared" ref="CS22" si="381">IF(BW22="","",(BW22-BW$10)*1000)</f>
        <v>-5.3935175720976058</v>
      </c>
      <c r="CT22" s="43">
        <f t="shared" ref="CT22" si="382">IF(BX22="","",(BX22-BX$10)*1000)</f>
        <v>-6.5331155719547951</v>
      </c>
      <c r="CU22" s="43">
        <f t="shared" ref="CU22" si="383">IF(BY22="","",(BY22-BY$10)*1000)</f>
        <v>-1.9696356873512011</v>
      </c>
      <c r="CV22" s="43">
        <f t="shared" ref="CV22" si="384">IF(BZ22="","",(BZ22-BZ$10)*1000)</f>
        <v>-29.579668844280427</v>
      </c>
      <c r="CW22" s="43">
        <f t="shared" ref="CW22" si="385">IF(CA22="","",(CA22-CA$10)*1000)</f>
        <v>0.99032050619030088</v>
      </c>
      <c r="CX22" s="43">
        <f t="shared" ref="CX22" si="386">IF(CB22="","",(CB22-CB$10)*1000)</f>
        <v>-3.1121532081284098</v>
      </c>
      <c r="CY22" s="43">
        <f t="shared" ref="CY22" si="387">IF(CC22="","",(CC22-CC$10)*1000)</f>
        <v>-19.76790320505506</v>
      </c>
      <c r="CZ22" s="43">
        <f t="shared" ref="CZ22" si="388">IF(CD22="","",(CD22-CD$10)*1000)</f>
        <v>-0.52289216105805281</v>
      </c>
      <c r="DA22" s="43">
        <f t="shared" ref="DA22" si="389">IF(CE22="","",(CE22-CE$10)*1000)</f>
        <v>-10.025652482628544</v>
      </c>
      <c r="DB22" s="43">
        <f t="shared" ref="DB22" si="390">IF(CF22="","",(CF22-CF$10)*1000)</f>
        <v>0.96122892161923379</v>
      </c>
      <c r="DC22" s="43">
        <f t="shared" ref="DC22" si="391">IF(CG22="","",(CG22-CG$10)*1000)</f>
        <v>-0.2150435115026994</v>
      </c>
      <c r="DD22" s="43">
        <f t="shared" ref="DD22" si="392">IF(CH22="","",(CH22-CH$10)*1000)</f>
        <v>-12.522323867291352</v>
      </c>
      <c r="DE22" s="43">
        <f t="shared" ref="DE22" si="393">IF(CI22="","",(CI22-CI$10)*1000)</f>
        <v>2.1091504351105073</v>
      </c>
    </row>
    <row r="23" spans="1:109" ht="29.25" customHeight="1" x14ac:dyDescent="0.2">
      <c r="A23" s="37">
        <v>43738</v>
      </c>
      <c r="B23" s="29">
        <f t="shared" si="10"/>
        <v>33</v>
      </c>
      <c r="C23" s="38">
        <v>206.32</v>
      </c>
      <c r="D23" s="38">
        <f t="shared" ref="D23:D24" si="394">C23-PM</f>
        <v>10.219999999999999</v>
      </c>
      <c r="E23" s="39">
        <v>823244.33219999995</v>
      </c>
      <c r="F23" s="39">
        <v>1091518.7805000001</v>
      </c>
      <c r="G23" s="39">
        <v>-124.5479</v>
      </c>
      <c r="H23" s="39">
        <v>823244.23659999995</v>
      </c>
      <c r="I23" s="39">
        <v>1091518.9541</v>
      </c>
      <c r="J23" s="39">
        <v>-123.18680000000001</v>
      </c>
      <c r="K23" s="39">
        <v>823244.51309999998</v>
      </c>
      <c r="L23" s="39">
        <v>1091518.4720000001</v>
      </c>
      <c r="M23" s="39">
        <v>-121.81619999999999</v>
      </c>
      <c r="N23" s="39">
        <v>823245.29909999995</v>
      </c>
      <c r="O23" s="39">
        <v>1091516.6576</v>
      </c>
      <c r="P23" s="39">
        <v>-120.88630000000001</v>
      </c>
      <c r="Q23" s="39">
        <v>823245.97450000001</v>
      </c>
      <c r="R23" s="39">
        <v>1091515.1838</v>
      </c>
      <c r="S23" s="39">
        <v>-121.2743</v>
      </c>
      <c r="T23" s="39">
        <v>823246.554</v>
      </c>
      <c r="U23" s="39">
        <v>1091514.1092000001</v>
      </c>
      <c r="V23" s="39">
        <v>-123.4422</v>
      </c>
      <c r="W23" s="39">
        <v>823246.47019999998</v>
      </c>
      <c r="X23" s="39">
        <v>1091514.1824</v>
      </c>
      <c r="Y23" s="39">
        <v>-124.5698</v>
      </c>
      <c r="Z23" s="39">
        <f t="shared" si="1"/>
        <v>4.3415336668413369</v>
      </c>
      <c r="AA23" s="39">
        <f t="shared" si="2"/>
        <v>3.4198126775771915</v>
      </c>
      <c r="AB23" s="39">
        <f t="shared" si="3"/>
        <v>2.1850760558980871</v>
      </c>
      <c r="AC23" s="39">
        <f t="shared" si="4"/>
        <v>1.666971985425991</v>
      </c>
      <c r="AD23" s="39">
        <f t="shared" si="5"/>
        <v>3.8212224981013376</v>
      </c>
      <c r="AE23" s="39">
        <f t="shared" si="6"/>
        <v>4.5897998322384312</v>
      </c>
      <c r="AF23" s="39">
        <f t="shared" si="7"/>
        <v>3.6389015939612608</v>
      </c>
      <c r="AG23" s="39">
        <f t="shared" si="8"/>
        <v>5.3766744302950471</v>
      </c>
      <c r="AH23" s="39">
        <f t="shared" si="9"/>
        <v>5.0709020125331907</v>
      </c>
      <c r="AI23" s="43">
        <f t="shared" ref="AI23" si="395">IF(Z23="","",(Z23-Z$10)*1000)</f>
        <v>-32.605304469280227</v>
      </c>
      <c r="AJ23" s="43">
        <f t="shared" ref="AJ23" si="396">IF(AA23="","",(AA23-AA$10)*1000)</f>
        <v>-21.351772153768156</v>
      </c>
      <c r="AK23" s="43">
        <f t="shared" ref="AK23" si="397">IF(AB23="","",(AB23-AB$10)*1000)</f>
        <v>-20.790807723091831</v>
      </c>
      <c r="AL23" s="43">
        <f t="shared" ref="AL23" si="398">IF(AC23="","",(AC23-AC$10)*1000)</f>
        <v>-3.3392102471341278</v>
      </c>
      <c r="AM23" s="43">
        <f t="shared" ref="AM23" si="399">IF(AD23="","",(AD23-AD$10)*1000)</f>
        <v>-27.297956558945735</v>
      </c>
      <c r="AN23" s="43">
        <f t="shared" ref="AN23" si="400">IF(AE23="","",(AE23-AE$10)*1000)</f>
        <v>-32.80211152609791</v>
      </c>
      <c r="AO23" s="43">
        <f t="shared" ref="AO23" si="401">IF(AF23="","",(AF23-AF$10)*1000)</f>
        <v>-14.280499900574561</v>
      </c>
      <c r="AP23" s="43">
        <f t="shared" ref="AP23" si="402">IF(AG23="","",(AG23-AG$10)*1000)</f>
        <v>-13.237730406396864</v>
      </c>
      <c r="AQ23" s="43">
        <f t="shared" ref="AQ23" si="403">IF(AH23="","",(AH23-AH$10)*1000)</f>
        <v>-17.265198915079161</v>
      </c>
      <c r="AR23" s="40"/>
      <c r="AS23" s="43">
        <f t="shared" ref="AS23" si="404">IF(E23="","",(E23-E$10)*1000)</f>
        <v>1.7999999690800905</v>
      </c>
      <c r="AT23" s="43">
        <f t="shared" ref="AT23" si="405">IF(F23="","",(F23-F$10)*1000)</f>
        <v>-3.9999999571591616</v>
      </c>
      <c r="AU23" s="43">
        <f t="shared" ref="AU23" si="406">IF(G23="","",(G23-G$10)*1000)</f>
        <v>3.6000000000058208</v>
      </c>
      <c r="AV23" s="43">
        <f t="shared" ref="AV23" si="407">IF(H23="","",(H23-H$10)*1000)</f>
        <v>-6.4000000711530447</v>
      </c>
      <c r="AW23" s="43">
        <f t="shared" ref="AW23" si="408">IF(I23="","",(I23-I$10)*1000)</f>
        <v>-6.0000000521540642</v>
      </c>
      <c r="AX23" s="43">
        <f t="shared" ref="AX23" si="409">IF(J23="","",(J23-J$10)*1000)</f>
        <v>-4.6000000000105956</v>
      </c>
      <c r="AY23" s="43">
        <f t="shared" ref="AY23" si="410">IF(K23="","",(K23-K$10)*1000)</f>
        <v>3.4999999916180968</v>
      </c>
      <c r="AZ23" s="43">
        <f t="shared" ref="AZ23" si="411">IF(L23="","",(L23-L$10)*1000)</f>
        <v>-8.3999999333173037</v>
      </c>
      <c r="BA23" s="43">
        <f t="shared" ref="BA23" si="412">IF(M23="","",(M23-M$10)*1000)</f>
        <v>-5.7999999999935881</v>
      </c>
      <c r="BB23" s="43">
        <f t="shared" ref="BB23" si="413">IF(N23="","",(N23-N$10)*1000)</f>
        <v>-6.600000080652535</v>
      </c>
      <c r="BC23" s="43">
        <f t="shared" ref="BC23" si="414">IF(O23="","",(O23-O$10)*1000)</f>
        <v>-0.699999975040555</v>
      </c>
      <c r="BD23" s="43">
        <f t="shared" ref="BD23" si="415">IF(P23="","",(P23-P$10)*1000)</f>
        <v>-30.900000000002592</v>
      </c>
      <c r="BE23" s="43">
        <f t="shared" ref="BE23" si="416">IF(Q23="","",(Q23-Q$10)*1000)</f>
        <v>0.29999995604157448</v>
      </c>
      <c r="BF23" s="43">
        <f t="shared" ref="BF23" si="417">IF(R23="","",(R23-R$10)*1000)</f>
        <v>3.5000001080334187</v>
      </c>
      <c r="BG23" s="43">
        <f t="shared" ref="BG23" si="418">IF(S23="","",(S23-S$10)*1000)</f>
        <v>-20.699999999990837</v>
      </c>
      <c r="BH23" s="43">
        <f t="shared" ref="BH23" si="419">IF(T23="","",(T23-T$10)*1000)</f>
        <v>-4.5000000391155481</v>
      </c>
      <c r="BI23" s="43">
        <f t="shared" ref="BI23" si="420">IF(U23="","",(U23-U$10)*1000)</f>
        <v>9.3000000342726707</v>
      </c>
      <c r="BJ23" s="43">
        <f t="shared" ref="BJ23" si="421">IF(V23="","",(V23-V$10)*1000)</f>
        <v>0.90000000000145519</v>
      </c>
      <c r="BK23" s="43">
        <f t="shared" ref="BK23" si="422">IF(W23="","",(W23-W$10)*1000)</f>
        <v>-5.4000000236555934</v>
      </c>
      <c r="BL23" s="43">
        <f t="shared" ref="BL23" si="423">IF(X23="","",(X23-X$10)*1000)</f>
        <v>11.700000148266554</v>
      </c>
      <c r="BM23" s="43">
        <f t="shared" ref="BM23" si="424">IF(Y23="","",(Y23-Y$10)*1000)</f>
        <v>1.9999999999953388</v>
      </c>
      <c r="BN23" s="40"/>
      <c r="BO23" s="39">
        <v>196.10470000000001</v>
      </c>
      <c r="BP23" s="39">
        <v>-2.5327999999999999</v>
      </c>
      <c r="BQ23" s="39">
        <v>-0.96609999999999996</v>
      </c>
      <c r="BR23" s="39">
        <v>196.09139999999999</v>
      </c>
      <c r="BS23" s="39">
        <v>-2.7305999999999999</v>
      </c>
      <c r="BT23" s="39">
        <v>0.3952</v>
      </c>
      <c r="BU23" s="39">
        <v>196.13829999999999</v>
      </c>
      <c r="BV23" s="39">
        <v>-2.1768000000000001</v>
      </c>
      <c r="BW23" s="39">
        <v>1.7653000000000001</v>
      </c>
      <c r="BX23" s="39">
        <v>196.0838</v>
      </c>
      <c r="BY23" s="39">
        <v>-0.20019999999999999</v>
      </c>
      <c r="BZ23" s="39">
        <v>2.6957</v>
      </c>
      <c r="CA23" s="39">
        <v>196.07300000000001</v>
      </c>
      <c r="CB23" s="39">
        <v>1.421</v>
      </c>
      <c r="CC23" s="39">
        <v>2.3079000000000001</v>
      </c>
      <c r="CD23" s="39">
        <v>196.14400000000001</v>
      </c>
      <c r="CE23" s="39">
        <v>2.6398000000000001</v>
      </c>
      <c r="CF23" s="39">
        <v>0.13919999999999999</v>
      </c>
      <c r="CG23" s="39">
        <v>196.09899999999999</v>
      </c>
      <c r="CH23" s="39">
        <v>2.5379999999999998</v>
      </c>
      <c r="CI23" s="39">
        <v>-0.9879</v>
      </c>
      <c r="CJ23" s="40"/>
      <c r="CK23" s="43">
        <f t="shared" ref="CK23" si="425">IF(BO23="","",(BO23-BO$10)*1000)</f>
        <v>-6.918386537790866E-2</v>
      </c>
      <c r="CL23" s="43">
        <f t="shared" ref="CL23" si="426">IF(BP23="","",(BP23-BP$10)*1000)</f>
        <v>4.4010247454253637</v>
      </c>
      <c r="CM23" s="43">
        <f t="shared" ref="CM23" si="427">IF(BQ23="","",(BQ23-BQ$10)*1000)</f>
        <v>3.5676918386657874</v>
      </c>
      <c r="CN23" s="43">
        <f t="shared" ref="CN23" si="428">IF(BR23="","",(BR23-BR$10)*1000)</f>
        <v>-8.3769517596579135</v>
      </c>
      <c r="CO23" s="43">
        <f t="shared" ref="CO23" si="429">IF(BS23="","",(BS23-BS$10)*1000)</f>
        <v>2.685694205185829</v>
      </c>
      <c r="CP23" s="43">
        <f t="shared" ref="CP23" si="430">IF(BT23="","",(BT23-BT$10)*1000)</f>
        <v>-4.4822304824121417</v>
      </c>
      <c r="CQ23" s="43">
        <f t="shared" ref="CQ23" si="431">IF(BU23="","",(BU23-BU$10)*1000)</f>
        <v>-0.34824278927203522</v>
      </c>
      <c r="CR23" s="43">
        <f t="shared" ref="CR23" si="432">IF(BV23="","",(BV23-BV$10)*1000)</f>
        <v>9.0583723222779078</v>
      </c>
      <c r="CS23" s="43">
        <f t="shared" ref="CS23" si="433">IF(BW23="","",(BW23-BW$10)*1000)</f>
        <v>-5.7935175720975618</v>
      </c>
      <c r="CT23" s="43">
        <f t="shared" ref="CT23" si="434">IF(BX23="","",(BX23-BX$10)*1000)</f>
        <v>-6.2331155719448361</v>
      </c>
      <c r="CU23" s="43">
        <f t="shared" ref="CU23" si="435">IF(BY23="","",(BY23-BY$10)*1000)</f>
        <v>-2.1696356873511791</v>
      </c>
      <c r="CV23" s="43">
        <f t="shared" ref="CV23" si="436">IF(BZ23="","",(BZ23-BZ$10)*1000)</f>
        <v>-30.879668844280506</v>
      </c>
      <c r="CW23" s="43">
        <f t="shared" ref="CW23" si="437">IF(CA23="","",(CA23-CA$10)*1000)</f>
        <v>1.7903205061884364</v>
      </c>
      <c r="CX23" s="43">
        <f t="shared" ref="CX23" si="438">IF(CB23="","",(CB23-CB$10)*1000)</f>
        <v>-3.0121532081284208</v>
      </c>
      <c r="CY23" s="43">
        <f t="shared" ref="CY23" si="439">IF(CC23="","",(CC23-CC$10)*1000)</f>
        <v>-20.667903205055183</v>
      </c>
      <c r="CZ23" s="43">
        <f t="shared" ref="CZ23" si="440">IF(CD23="","",(CD23-CD$10)*1000)</f>
        <v>-0.12289216104477418</v>
      </c>
      <c r="DA23" s="43">
        <f t="shared" ref="DA23" si="441">IF(CE23="","",(CE23-CE$10)*1000)</f>
        <v>-10.325652482628289</v>
      </c>
      <c r="DB23" s="43">
        <f t="shared" ref="DB23" si="442">IF(CF23="","",(CF23-CF$10)*1000)</f>
        <v>0.86122892161921705</v>
      </c>
      <c r="DC23" s="43">
        <f t="shared" ref="DC23" si="443">IF(CG23="","",(CG23-CG$10)*1000)</f>
        <v>8.4956488478837855E-2</v>
      </c>
      <c r="DD23" s="43">
        <f t="shared" ref="DD23" si="444">IF(CH23="","",(CH23-CH$10)*1000)</f>
        <v>-12.922323867291752</v>
      </c>
      <c r="DE23" s="43">
        <f t="shared" ref="DE23" si="445">IF(CI23="","",(CI23-CI$10)*1000)</f>
        <v>2.0091504351105183</v>
      </c>
    </row>
    <row r="24" spans="1:109" ht="29.25" customHeight="1" x14ac:dyDescent="0.2">
      <c r="A24" s="37">
        <v>43741</v>
      </c>
      <c r="B24" s="29">
        <f t="shared" si="10"/>
        <v>36</v>
      </c>
      <c r="C24" s="38">
        <v>207.2</v>
      </c>
      <c r="D24" s="38">
        <f t="shared" si="394"/>
        <v>11.099999999999994</v>
      </c>
      <c r="E24" s="39">
        <v>823244.33169999998</v>
      </c>
      <c r="F24" s="39">
        <v>1091518.7807</v>
      </c>
      <c r="G24" s="39">
        <v>-124.5478</v>
      </c>
      <c r="H24" s="39">
        <v>823244.23620000004</v>
      </c>
      <c r="I24" s="39">
        <v>1091518.9543999999</v>
      </c>
      <c r="J24" s="39">
        <v>-123.18689999999999</v>
      </c>
      <c r="K24" s="39">
        <v>823244.51300000004</v>
      </c>
      <c r="L24" s="39">
        <v>1091518.4724000001</v>
      </c>
      <c r="M24" s="39">
        <v>-121.81659999999999</v>
      </c>
      <c r="N24" s="39">
        <v>823245.299</v>
      </c>
      <c r="O24" s="39">
        <v>1091516.6580000001</v>
      </c>
      <c r="P24" s="39">
        <v>-120.8871</v>
      </c>
      <c r="Q24" s="39">
        <v>823245.97439999995</v>
      </c>
      <c r="R24" s="39">
        <v>1091515.1846</v>
      </c>
      <c r="S24" s="39">
        <v>-121.2749</v>
      </c>
      <c r="T24" s="39">
        <v>823246.55390000006</v>
      </c>
      <c r="U24" s="39">
        <v>1091514.1102</v>
      </c>
      <c r="V24" s="39">
        <v>-123.4423</v>
      </c>
      <c r="W24" s="39">
        <v>823246.47019999998</v>
      </c>
      <c r="X24" s="39">
        <v>1091514.1835</v>
      </c>
      <c r="Y24" s="39">
        <v>-124.5698</v>
      </c>
      <c r="Z24" s="39">
        <f t="shared" si="1"/>
        <v>4.3407659542779937</v>
      </c>
      <c r="AA24" s="39">
        <f t="shared" si="2"/>
        <v>3.4193679005534139</v>
      </c>
      <c r="AB24" s="39">
        <f t="shared" si="3"/>
        <v>2.1849058583973688</v>
      </c>
      <c r="AC24" s="39">
        <f t="shared" si="4"/>
        <v>1.6665717986278923</v>
      </c>
      <c r="AD24" s="39">
        <f t="shared" si="5"/>
        <v>3.8203541577246316</v>
      </c>
      <c r="AE24" s="39">
        <f t="shared" si="6"/>
        <v>4.5888058337670241</v>
      </c>
      <c r="AF24" s="39">
        <f t="shared" si="7"/>
        <v>3.6385103669040921</v>
      </c>
      <c r="AG24" s="39">
        <f t="shared" si="8"/>
        <v>5.3761729966051872</v>
      </c>
      <c r="AH24" s="39">
        <f t="shared" si="9"/>
        <v>5.0702972387856606</v>
      </c>
      <c r="AI24" s="43">
        <f t="shared" ref="AI24" si="446">IF(Z24="","",(Z24-Z$10)*1000)</f>
        <v>-33.373017032623409</v>
      </c>
      <c r="AJ24" s="43">
        <f t="shared" ref="AJ24" si="447">IF(AA24="","",(AA24-AA$10)*1000)</f>
        <v>-21.79654917754581</v>
      </c>
      <c r="AK24" s="43">
        <f t="shared" ref="AK24" si="448">IF(AB24="","",(AB24-AB$10)*1000)</f>
        <v>-20.961005223810059</v>
      </c>
      <c r="AL24" s="43">
        <f t="shared" ref="AL24" si="449">IF(AC24="","",(AC24-AC$10)*1000)</f>
        <v>-3.7393970452328507</v>
      </c>
      <c r="AM24" s="43">
        <f t="shared" ref="AM24" si="450">IF(AD24="","",(AD24-AD$10)*1000)</f>
        <v>-28.166296935651758</v>
      </c>
      <c r="AN24" s="43">
        <f t="shared" ref="AN24" si="451">IF(AE24="","",(AE24-AE$10)*1000)</f>
        <v>-33.796109997505042</v>
      </c>
      <c r="AO24" s="43">
        <f t="shared" ref="AO24" si="452">IF(AF24="","",(AF24-AF$10)*1000)</f>
        <v>-14.671726957743214</v>
      </c>
      <c r="AP24" s="43">
        <f t="shared" ref="AP24" si="453">IF(AG24="","",(AG24-AG$10)*1000)</f>
        <v>-13.739164096256751</v>
      </c>
      <c r="AQ24" s="43">
        <f t="shared" ref="AQ24" si="454">IF(AH24="","",(AH24-AH$10)*1000)</f>
        <v>-17.869972662609257</v>
      </c>
      <c r="AR24" s="40"/>
      <c r="AS24" s="43">
        <f t="shared" ref="AS24" si="455">IF(E24="","",(E24-E$10)*1000)</f>
        <v>1.3000000035390258</v>
      </c>
      <c r="AT24" s="43">
        <f t="shared" ref="AT24" si="456">IF(F24="","",(F24-F$10)*1000)</f>
        <v>-3.8000000640749931</v>
      </c>
      <c r="AU24" s="43">
        <f t="shared" ref="AU24" si="457">IF(G24="","",(G24-G$10)*1000)</f>
        <v>3.7000000000091404</v>
      </c>
      <c r="AV24" s="43">
        <f t="shared" ref="AV24" si="458">IF(H24="","",(H24-H$10)*1000)</f>
        <v>-6.7999999737367034</v>
      </c>
      <c r="AW24" s="43">
        <f t="shared" ref="AW24" si="459">IF(I24="","",(I24-I$10)*1000)</f>
        <v>-5.7000000961124897</v>
      </c>
      <c r="AX24" s="43">
        <f t="shared" ref="AX24" si="460">IF(J24="","",(J24-J$10)*1000)</f>
        <v>-4.6999999999997044</v>
      </c>
      <c r="AY24" s="43">
        <f t="shared" ref="AY24" si="461">IF(K24="","",(K24-K$10)*1000)</f>
        <v>3.4000000450760126</v>
      </c>
      <c r="AZ24" s="43">
        <f t="shared" ref="AZ24" si="462">IF(L24="","",(L24-L$10)*1000)</f>
        <v>-7.9999999143183231</v>
      </c>
      <c r="BA24" s="43">
        <f t="shared" ref="BA24" si="463">IF(M24="","",(M24-M$10)*1000)</f>
        <v>-6.1999999999926558</v>
      </c>
      <c r="BB24" s="43">
        <f t="shared" ref="BB24" si="464">IF(N24="","",(N24-N$10)*1000)</f>
        <v>-6.7000000271946192</v>
      </c>
      <c r="BC24" s="43">
        <f t="shared" ref="BC24" si="465">IF(O24="","",(O24-O$10)*1000)</f>
        <v>-0.29999995604157448</v>
      </c>
      <c r="BD24" s="43">
        <f t="shared" ref="BD24" si="466">IF(P24="","",(P24-P$10)*1000)</f>
        <v>-31.700000000000728</v>
      </c>
      <c r="BE24" s="43">
        <f t="shared" ref="BE24" si="467">IF(Q24="","",(Q24-Q$10)*1000)</f>
        <v>0.19999989308416843</v>
      </c>
      <c r="BF24" s="43">
        <f t="shared" ref="BF24" si="468">IF(R24="","",(R24-R$10)*1000)</f>
        <v>4.3000001460313797</v>
      </c>
      <c r="BG24" s="43">
        <f t="shared" ref="BG24" si="469">IF(S24="","",(S24-S$10)*1000)</f>
        <v>-21.299999999996544</v>
      </c>
      <c r="BH24" s="43">
        <f t="shared" ref="BH24" si="470">IF(T24="","",(T24-T$10)*1000)</f>
        <v>-4.5999999856576324</v>
      </c>
      <c r="BI24" s="43">
        <f t="shared" ref="BI24" si="471">IF(U24="","",(U24-U$10)*1000)</f>
        <v>10.2999999653548</v>
      </c>
      <c r="BJ24" s="43">
        <f t="shared" ref="BJ24" si="472">IF(V24="","",(V24-V$10)*1000)</f>
        <v>0.79999999999813554</v>
      </c>
      <c r="BK24" s="43">
        <f t="shared" ref="BK24" si="473">IF(W24="","",(W24-W$10)*1000)</f>
        <v>-5.4000000236555934</v>
      </c>
      <c r="BL24" s="43">
        <f t="shared" ref="BL24" si="474">IF(X24="","",(X24-X$10)*1000)</f>
        <v>12.800000142306089</v>
      </c>
      <c r="BM24" s="43">
        <f t="shared" ref="BM24" si="475">IF(Y24="","",(Y24-Y$10)*1000)</f>
        <v>1.9999999999953388</v>
      </c>
      <c r="BN24" s="40"/>
      <c r="BO24" s="39">
        <v>196.10429999999999</v>
      </c>
      <c r="BP24" s="39">
        <v>-2.5331999999999999</v>
      </c>
      <c r="BQ24" s="39">
        <v>-0.96599999999999997</v>
      </c>
      <c r="BR24" s="39">
        <v>196.09119999999999</v>
      </c>
      <c r="BS24" s="39">
        <v>-2.7309999999999999</v>
      </c>
      <c r="BT24" s="39">
        <v>0.39510000000000001</v>
      </c>
      <c r="BU24" s="39">
        <v>196.13829999999999</v>
      </c>
      <c r="BV24" s="39">
        <v>-2.1772</v>
      </c>
      <c r="BW24" s="39">
        <v>1.7648999999999999</v>
      </c>
      <c r="BX24" s="39">
        <v>196.0838</v>
      </c>
      <c r="BY24" s="39">
        <v>-0.2006</v>
      </c>
      <c r="BZ24" s="39">
        <v>2.6949000000000001</v>
      </c>
      <c r="CA24" s="39">
        <v>196.07320000000001</v>
      </c>
      <c r="CB24" s="39">
        <v>1.4201999999999999</v>
      </c>
      <c r="CC24" s="39">
        <v>2.3071999999999999</v>
      </c>
      <c r="CD24" s="39">
        <v>196.14429999999999</v>
      </c>
      <c r="CE24" s="39">
        <v>2.6387999999999998</v>
      </c>
      <c r="CF24" s="39">
        <v>0.1391</v>
      </c>
      <c r="CG24" s="39">
        <v>196.0994</v>
      </c>
      <c r="CH24" s="39">
        <v>2.5369999999999999</v>
      </c>
      <c r="CI24" s="39">
        <v>-0.9879</v>
      </c>
      <c r="CJ24" s="40"/>
      <c r="CK24" s="43">
        <f t="shared" ref="CK24" si="476">IF(BO24="","",(BO24-BO$10)*1000)</f>
        <v>-0.46918386539118728</v>
      </c>
      <c r="CL24" s="43">
        <f t="shared" ref="CL24" si="477">IF(BP24="","",(BP24-BP$10)*1000)</f>
        <v>4.0010247454254078</v>
      </c>
      <c r="CM24" s="43">
        <f t="shared" ref="CM24" si="478">IF(BQ24="","",(BQ24-BQ$10)*1000)</f>
        <v>3.6676918386657764</v>
      </c>
      <c r="CN24" s="43">
        <f t="shared" ref="CN24" si="479">IF(BR24="","",(BR24-BR$10)*1000)</f>
        <v>-8.5769517596645528</v>
      </c>
      <c r="CO24" s="43">
        <f t="shared" ref="CO24" si="480">IF(BS24="","",(BS24-BS$10)*1000)</f>
        <v>2.2856942051858731</v>
      </c>
      <c r="CP24" s="43">
        <f t="shared" ref="CP24" si="481">IF(BT24="","",(BT24-BT$10)*1000)</f>
        <v>-4.5822304824121307</v>
      </c>
      <c r="CQ24" s="43">
        <f t="shared" ref="CQ24" si="482">IF(BU24="","",(BU24-BU$10)*1000)</f>
        <v>-0.34824278927203522</v>
      </c>
      <c r="CR24" s="43">
        <f t="shared" ref="CR24" si="483">IF(BV24="","",(BV24-BV$10)*1000)</f>
        <v>8.6583723222779518</v>
      </c>
      <c r="CS24" s="43">
        <f t="shared" ref="CS24" si="484">IF(BW24="","",(BW24-BW$10)*1000)</f>
        <v>-6.1935175720977398</v>
      </c>
      <c r="CT24" s="43">
        <f t="shared" ref="CT24" si="485">IF(BX24="","",(BX24-BX$10)*1000)</f>
        <v>-6.2331155719448361</v>
      </c>
      <c r="CU24" s="43">
        <f t="shared" ref="CU24" si="486">IF(BY24="","",(BY24-BY$10)*1000)</f>
        <v>-2.5696356873511905</v>
      </c>
      <c r="CV24" s="43">
        <f t="shared" ref="CV24" si="487">IF(BZ24="","",(BZ24-BZ$10)*1000)</f>
        <v>-31.679668844280418</v>
      </c>
      <c r="CW24" s="43">
        <f t="shared" ref="CW24" si="488">IF(CA24="","",(CA24-CA$10)*1000)</f>
        <v>1.9903205061950757</v>
      </c>
      <c r="CX24" s="43">
        <f t="shared" ref="CX24" si="489">IF(CB24="","",(CB24-CB$10)*1000)</f>
        <v>-3.8121532081285547</v>
      </c>
      <c r="CY24" s="43">
        <f t="shared" ref="CY24" si="490">IF(CC24="","",(CC24-CC$10)*1000)</f>
        <v>-21.367903205055327</v>
      </c>
      <c r="CZ24" s="43">
        <f t="shared" ref="CZ24" si="491">IF(CD24="","",(CD24-CD$10)*1000)</f>
        <v>0.17710783893676307</v>
      </c>
      <c r="DA24" s="43">
        <f t="shared" ref="DA24" si="492">IF(CE24="","",(CE24-CE$10)*1000)</f>
        <v>-11.325652482628623</v>
      </c>
      <c r="DB24" s="43">
        <f t="shared" ref="DB24" si="493">IF(CF24="","",(CF24-CF$10)*1000)</f>
        <v>0.76122892161922806</v>
      </c>
      <c r="DC24" s="43">
        <f t="shared" ref="DC24" si="494">IF(CG24="","",(CG24-CG$10)*1000)</f>
        <v>0.48495648849211648</v>
      </c>
      <c r="DD24" s="43">
        <f t="shared" ref="DD24" si="495">IF(CH24="","",(CH24-CH$10)*1000)</f>
        <v>-13.922323867291642</v>
      </c>
      <c r="DE24" s="43">
        <f t="shared" ref="DE24" si="496">IF(CI24="","",(CI24-CI$10)*1000)</f>
        <v>2.0091504351105183</v>
      </c>
    </row>
    <row r="25" spans="1:109" ht="29.25" customHeight="1" x14ac:dyDescent="0.2">
      <c r="A25" s="37">
        <v>43746</v>
      </c>
      <c r="B25" s="29">
        <f t="shared" ref="B25" si="497">A25-A$10</f>
        <v>41</v>
      </c>
      <c r="C25" s="38">
        <v>208.3</v>
      </c>
      <c r="D25" s="38">
        <f t="shared" ref="D25" si="498">C25-PM</f>
        <v>12.200000000000017</v>
      </c>
      <c r="E25" s="39">
        <v>823244.33255000005</v>
      </c>
      <c r="F25" s="39">
        <v>1091518.7799500001</v>
      </c>
      <c r="G25" s="39">
        <v>-124.54745000000001</v>
      </c>
      <c r="H25" s="39">
        <v>823244.23616666661</v>
      </c>
      <c r="I25" s="39">
        <v>1091518.9527999999</v>
      </c>
      <c r="J25" s="39">
        <v>-123.18631666666668</v>
      </c>
      <c r="K25" s="39">
        <v>823244.5135</v>
      </c>
      <c r="L25" s="39">
        <v>1091518.4709000001</v>
      </c>
      <c r="M25" s="39">
        <v>-121.81593333333332</v>
      </c>
      <c r="N25" s="39">
        <v>823245.29870000004</v>
      </c>
      <c r="O25" s="39">
        <v>1091516.6561</v>
      </c>
      <c r="P25" s="39">
        <v>-120.88850000000001</v>
      </c>
      <c r="Q25" s="39">
        <v>823245.9744500001</v>
      </c>
      <c r="R25" s="39">
        <v>1091515.1824166665</v>
      </c>
      <c r="S25" s="39">
        <v>-121.27625</v>
      </c>
      <c r="T25" s="39">
        <v>823246.55344999989</v>
      </c>
      <c r="U25" s="39">
        <v>1091514.1084999999</v>
      </c>
      <c r="V25" s="39">
        <v>-123.44200000000001</v>
      </c>
      <c r="W25" s="39">
        <v>823246.4696666667</v>
      </c>
      <c r="X25" s="39">
        <v>1091514.1816999998</v>
      </c>
      <c r="Y25" s="39">
        <v>-124.56935</v>
      </c>
      <c r="Z25" s="39">
        <f t="shared" si="1"/>
        <v>4.3395967264104689</v>
      </c>
      <c r="AA25" s="39">
        <f t="shared" si="2"/>
        <v>3.4181529233625101</v>
      </c>
      <c r="AB25" s="39">
        <f t="shared" si="3"/>
        <v>2.1840720381958758</v>
      </c>
      <c r="AC25" s="39">
        <f t="shared" si="4"/>
        <v>1.6669525165637054</v>
      </c>
      <c r="AD25" s="39">
        <f t="shared" si="5"/>
        <v>3.8190346388792373</v>
      </c>
      <c r="AE25" s="39">
        <f t="shared" si="6"/>
        <v>4.5872077583012132</v>
      </c>
      <c r="AF25" s="39">
        <f t="shared" si="7"/>
        <v>3.6386475012060902</v>
      </c>
      <c r="AG25" s="39">
        <f t="shared" si="8"/>
        <v>5.376096958166686</v>
      </c>
      <c r="AH25" s="39">
        <f t="shared" si="9"/>
        <v>5.0706656685168925</v>
      </c>
      <c r="AI25" s="43">
        <f t="shared" ref="AI25" si="499">IF(Z25="","",(Z25-Z$10)*1000)</f>
        <v>-34.542244900148233</v>
      </c>
      <c r="AJ25" s="43">
        <f t="shared" ref="AJ25" si="500">IF(AA25="","",(AA25-AA$10)*1000)</f>
        <v>-23.011526368449609</v>
      </c>
      <c r="AK25" s="43">
        <f t="shared" ref="AK25" si="501">IF(AB25="","",(AB25-AB$10)*1000)</f>
        <v>-21.794825425303088</v>
      </c>
      <c r="AL25" s="43">
        <f t="shared" ref="AL25" si="502">IF(AC25="","",(AC25-AC$10)*1000)</f>
        <v>-3.3586791094197821</v>
      </c>
      <c r="AM25" s="43">
        <f t="shared" ref="AM25" si="503">IF(AD25="","",(AD25-AD$10)*1000)</f>
        <v>-29.485815781046032</v>
      </c>
      <c r="AN25" s="43">
        <f t="shared" ref="AN25" si="504">IF(AE25="","",(AE25-AE$10)*1000)</f>
        <v>-35.394185463315964</v>
      </c>
      <c r="AO25" s="43">
        <f t="shared" ref="AO25" si="505">IF(AF25="","",(AF25-AF$10)*1000)</f>
        <v>-14.534592655745193</v>
      </c>
      <c r="AP25" s="43">
        <f t="shared" ref="AP25" si="506">IF(AG25="","",(AG25-AG$10)*1000)</f>
        <v>-13.815202534757987</v>
      </c>
      <c r="AQ25" s="43">
        <f t="shared" ref="AQ25" si="507">IF(AH25="","",(AH25-AH$10)*1000)</f>
        <v>-17.501542931377401</v>
      </c>
      <c r="AR25" s="40"/>
      <c r="AS25" s="43">
        <f t="shared" ref="AS25" si="508">IF(E25="","",(E25-E$10)*1000)</f>
        <v>2.1500000730156898</v>
      </c>
      <c r="AT25" s="43">
        <f t="shared" ref="AT25" si="509">IF(F25="","",(F25-F$10)*1000)</f>
        <v>-4.5499999541789293</v>
      </c>
      <c r="AU25" s="43">
        <f t="shared" ref="AU25" si="510">IF(G25="","",(G25-G$10)*1000)</f>
        <v>4.0499999999923375</v>
      </c>
      <c r="AV25" s="43">
        <f t="shared" ref="AV25" si="511">IF(H25="","",(H25-H$10)*1000)</f>
        <v>-6.8333334056660533</v>
      </c>
      <c r="AW25" s="43">
        <f t="shared" ref="AW25" si="512">IF(I25="","",(I25-I$10)*1000)</f>
        <v>-7.3000001721084118</v>
      </c>
      <c r="AX25" s="43">
        <f t="shared" ref="AX25" si="513">IF(J25="","",(J25-J$10)*1000)</f>
        <v>-4.116666666689639</v>
      </c>
      <c r="AY25" s="43">
        <f t="shared" ref="AY25" si="514">IF(K25="","",(K25-K$10)*1000)</f>
        <v>3.9000000106170774</v>
      </c>
      <c r="AZ25" s="43">
        <f t="shared" ref="AZ25" si="515">IF(L25="","",(L25-L$10)*1000)</f>
        <v>-9.4999999273568392</v>
      </c>
      <c r="BA25" s="43">
        <f t="shared" ref="BA25" si="516">IF(M25="","",(M25-M$10)*1000)</f>
        <v>-5.533333333318069</v>
      </c>
      <c r="BB25" s="43">
        <f t="shared" ref="BB25" si="517">IF(N25="","",(N25-N$10)*1000)</f>
        <v>-6.9999999832361937</v>
      </c>
      <c r="BC25" s="43">
        <f t="shared" ref="BC25" si="518">IF(O25="","",(O25-O$10)*1000)</f>
        <v>-2.199999988079071</v>
      </c>
      <c r="BD25" s="43">
        <f t="shared" ref="BD25" si="519">IF(P25="","",(P25-P$10)*1000)</f>
        <v>-33.10000000000457</v>
      </c>
      <c r="BE25" s="43">
        <f t="shared" ref="BE25" si="520">IF(Q25="","",(Q25-Q$10)*1000)</f>
        <v>0.25000004097819328</v>
      </c>
      <c r="BF25" s="43">
        <f t="shared" ref="BF25" si="521">IF(R25="","",(R25-R$10)*1000)</f>
        <v>2.11666664108634</v>
      </c>
      <c r="BG25" s="43">
        <f t="shared" ref="BG25" si="522">IF(S25="","",(S25-S$10)*1000)</f>
        <v>-22.649999999998727</v>
      </c>
      <c r="BH25" s="43">
        <f t="shared" ref="BH25" si="523">IF(T25="","",(T25-T$10)*1000)</f>
        <v>-5.0500001525506377</v>
      </c>
      <c r="BI25" s="43">
        <f t="shared" ref="BI25" si="524">IF(U25="","",(U25-U$10)*1000)</f>
        <v>8.5999998264014721</v>
      </c>
      <c r="BJ25" s="43">
        <f t="shared" ref="BJ25" si="525">IF(V25="","",(V25-V$10)*1000)</f>
        <v>1.0999999999938836</v>
      </c>
      <c r="BK25" s="43">
        <f t="shared" ref="BK25" si="526">IF(W25="","",(W25-W$10)*1000)</f>
        <v>-5.9333333047106862</v>
      </c>
      <c r="BL25" s="43">
        <f t="shared" ref="BL25" si="527">IF(X25="","",(X25-X$10)*1000)</f>
        <v>10.999999940395355</v>
      </c>
      <c r="BM25" s="43">
        <f t="shared" ref="BM25" si="528">IF(Y25="","",(Y25-Y$10)*1000)</f>
        <v>2.4499999999960664</v>
      </c>
      <c r="BN25" s="40"/>
      <c r="BO25" s="39">
        <v>196.10479464521072</v>
      </c>
      <c r="BP25" s="39">
        <v>-2.5321686941107608</v>
      </c>
      <c r="BQ25" s="39">
        <v>-0.96561794645212728</v>
      </c>
      <c r="BR25" s="39">
        <v>196.09049859627842</v>
      </c>
      <c r="BS25" s="39">
        <v>-2.7295578841898993</v>
      </c>
      <c r="BT25" s="39">
        <v>0.39565834737052796</v>
      </c>
      <c r="BU25" s="39">
        <v>196.13816758772546</v>
      </c>
      <c r="BV25" s="39">
        <v>-2.1756002550772831</v>
      </c>
      <c r="BW25" s="39">
        <v>1.7655649907894286</v>
      </c>
      <c r="BX25" s="39">
        <v>196.08275923682586</v>
      </c>
      <c r="BY25" s="39">
        <v>-0.19899508587887013</v>
      </c>
      <c r="BZ25" s="39">
        <v>2.6935524076317279</v>
      </c>
      <c r="CA25" s="39">
        <v>196.07233086595377</v>
      </c>
      <c r="CB25" s="39">
        <v>1.4221994980804669</v>
      </c>
      <c r="CC25" s="39">
        <v>2.3059066913404536</v>
      </c>
      <c r="CD25" s="39">
        <v>196.14318092438796</v>
      </c>
      <c r="CE25" s="39">
        <v>2.6401971483017816</v>
      </c>
      <c r="CF25" s="39">
        <v>0.13944819075611292</v>
      </c>
      <c r="CG25" s="39">
        <v>196.0981868827983</v>
      </c>
      <c r="CH25" s="39">
        <v>2.5384453761328132</v>
      </c>
      <c r="CI25" s="39">
        <v>-0.98745186882798919</v>
      </c>
      <c r="CJ25" s="40"/>
      <c r="CK25" s="43">
        <f t="shared" ref="CK25" si="529">IF(BO25="","",(BO25-BO$10)*1000)</f>
        <v>2.5461345330768381E-2</v>
      </c>
      <c r="CL25" s="43">
        <f t="shared" ref="CL25" si="530">IF(BP25="","",(BP25-BP$10)*1000)</f>
        <v>5.0323306346644614</v>
      </c>
      <c r="CM25" s="43">
        <f t="shared" ref="CM25" si="531">IF(BQ25="","",(BQ25-BQ$10)*1000)</f>
        <v>4.0497453865384614</v>
      </c>
      <c r="CN25" s="43">
        <f t="shared" ref="CN25" si="532">IF(BR25="","",(BR25-BR$10)*1000)</f>
        <v>-9.2783554812285729</v>
      </c>
      <c r="CO25" s="43">
        <f t="shared" ref="CO25" si="533">IF(BS25="","",(BS25-BS$10)*1000)</f>
        <v>3.7278100152864369</v>
      </c>
      <c r="CP25" s="43">
        <f t="shared" ref="CP25" si="534">IF(BT25="","",(BT25-BT$10)*1000)</f>
        <v>-4.0238831118841745</v>
      </c>
      <c r="CQ25" s="43">
        <f t="shared" ref="CQ25" si="535">IF(BU25="","",(BU25-BU$10)*1000)</f>
        <v>-0.48065506379657563</v>
      </c>
      <c r="CR25" s="43">
        <f t="shared" ref="CR25" si="536">IF(BV25="","",(BV25-BV$10)*1000)</f>
        <v>10.258117244994924</v>
      </c>
      <c r="CS25" s="43">
        <f t="shared" ref="CS25" si="537">IF(BW25="","",(BW25-BW$10)*1000)</f>
        <v>-5.5285267826690188</v>
      </c>
      <c r="CT25" s="43">
        <f t="shared" ref="CT25" si="538">IF(BX25="","",(BX25-BX$10)*1000)</f>
        <v>-7.2738787460764343</v>
      </c>
      <c r="CU25" s="43">
        <f t="shared" ref="CU25" si="539">IF(BY25="","",(BY25-BY$10)*1000)</f>
        <v>-0.96472156622132155</v>
      </c>
      <c r="CV25" s="43">
        <f t="shared" ref="CV25" si="540">IF(BZ25="","",(BZ25-BZ$10)*1000)</f>
        <v>-33.027261212552617</v>
      </c>
      <c r="CW25" s="43">
        <f t="shared" ref="CW25" si="541">IF(CA25="","",(CA25-CA$10)*1000)</f>
        <v>1.1211864599545152</v>
      </c>
      <c r="CX25" s="43">
        <f t="shared" ref="CX25" si="542">IF(CB25="","",(CB25-CB$10)*1000)</f>
        <v>-1.8126551276615999</v>
      </c>
      <c r="CY25" s="43">
        <f t="shared" ref="CY25" si="543">IF(CC25="","",(CC25-CC$10)*1000)</f>
        <v>-22.661211864601682</v>
      </c>
      <c r="CZ25" s="43">
        <f t="shared" ref="CZ25" si="544">IF(CD25="","",(CD25-CD$10)*1000)</f>
        <v>-0.94196777308752644</v>
      </c>
      <c r="DA25" s="43">
        <f t="shared" ref="DA25" si="545">IF(CE25="","",(CE25-CE$10)*1000)</f>
        <v>-9.9285041808467867</v>
      </c>
      <c r="DB25" s="43">
        <f t="shared" ref="DB25" si="546">IF(CF25="","",(CF25-CF$10)*1000)</f>
        <v>1.1094196777321486</v>
      </c>
      <c r="DC25" s="43">
        <f t="shared" ref="DC25" si="547">IF(CG25="","",(CG25-CG$10)*1000)</f>
        <v>-0.728160713208581</v>
      </c>
      <c r="DD25" s="43">
        <f t="shared" ref="DD25" si="548">IF(CH25="","",(CH25-CH$10)*1000)</f>
        <v>-12.476947734478383</v>
      </c>
      <c r="DE25" s="43">
        <f t="shared" ref="DE25" si="549">IF(CI25="","",(CI25-CI$10)*1000)</f>
        <v>2.457281607121331</v>
      </c>
    </row>
    <row r="26" spans="1:109" ht="29.25" customHeight="1" x14ac:dyDescent="0.2">
      <c r="A26" s="37">
        <v>43748</v>
      </c>
      <c r="B26" s="29">
        <f t="shared" ref="B26:B34" si="550">A26-A$10</f>
        <v>43</v>
      </c>
      <c r="C26" s="38">
        <v>210.3</v>
      </c>
      <c r="D26" s="38">
        <f t="shared" ref="D26:D34" si="551">C26-PM</f>
        <v>14.200000000000017</v>
      </c>
      <c r="E26" s="39">
        <v>823244.33270000003</v>
      </c>
      <c r="F26" s="39">
        <v>1091518.7783500003</v>
      </c>
      <c r="G26" s="39">
        <v>-124.54604999999999</v>
      </c>
      <c r="H26" s="39">
        <v>823244.2365166666</v>
      </c>
      <c r="I26" s="39">
        <v>1091518.9513833334</v>
      </c>
      <c r="J26" s="39">
        <v>-123.18496666666665</v>
      </c>
      <c r="K26" s="39">
        <v>823244.51343333337</v>
      </c>
      <c r="L26" s="39">
        <v>1091518.4690999999</v>
      </c>
      <c r="M26" s="39">
        <v>-121.8147</v>
      </c>
      <c r="N26" s="39">
        <v>823245.29849999992</v>
      </c>
      <c r="O26" s="39">
        <v>1091516.65485</v>
      </c>
      <c r="P26" s="39">
        <v>-120.88809999999999</v>
      </c>
      <c r="Q26" s="39">
        <v>823245.97424999997</v>
      </c>
      <c r="R26" s="39">
        <v>1091515.18105</v>
      </c>
      <c r="S26" s="39">
        <v>-121.27565</v>
      </c>
      <c r="T26" s="39">
        <v>823246.55365000002</v>
      </c>
      <c r="U26" s="39">
        <v>1091514.1071500001</v>
      </c>
      <c r="V26" s="39">
        <v>-123.44049999999999</v>
      </c>
      <c r="W26" s="39">
        <v>823246.47015000007</v>
      </c>
      <c r="X26" s="39">
        <v>1091514.1802999999</v>
      </c>
      <c r="Y26" s="39">
        <v>-124.56819999999999</v>
      </c>
      <c r="Z26" s="39">
        <f t="shared" si="1"/>
        <v>4.3385043613230376</v>
      </c>
      <c r="AA26" s="39">
        <f t="shared" si="2"/>
        <v>3.4172313992430063</v>
      </c>
      <c r="AB26" s="39">
        <f t="shared" si="3"/>
        <v>2.1832132953000114</v>
      </c>
      <c r="AC26" s="39">
        <f t="shared" si="4"/>
        <v>1.6670091496984234</v>
      </c>
      <c r="AD26" s="39">
        <f t="shared" si="5"/>
        <v>3.8184974234279552</v>
      </c>
      <c r="AE26" s="39">
        <f t="shared" si="6"/>
        <v>4.5868613927322111</v>
      </c>
      <c r="AF26" s="39">
        <f t="shared" si="7"/>
        <v>3.6381084422373848</v>
      </c>
      <c r="AG26" s="39">
        <f t="shared" si="8"/>
        <v>5.3759651000888695</v>
      </c>
      <c r="AH26" s="39">
        <f t="shared" si="9"/>
        <v>5.0706258914603506</v>
      </c>
      <c r="AI26" s="43">
        <f t="shared" ref="AI26" si="552">IF(Z26="","",(Z26-Z$10)*1000)</f>
        <v>-35.634609987579502</v>
      </c>
      <c r="AJ26" s="43">
        <f t="shared" ref="AJ26" si="553">IF(AA26="","",(AA26-AA$10)*1000)</f>
        <v>-23.933050487953356</v>
      </c>
      <c r="AK26" s="43">
        <f t="shared" ref="AK26" si="554">IF(AB26="","",(AB26-AB$10)*1000)</f>
        <v>-22.653568321167494</v>
      </c>
      <c r="AL26" s="43">
        <f t="shared" ref="AL26" si="555">IF(AC26="","",(AC26-AC$10)*1000)</f>
        <v>-3.3020459747017394</v>
      </c>
      <c r="AM26" s="43">
        <f t="shared" ref="AM26" si="556">IF(AD26="","",(AD26-AD$10)*1000)</f>
        <v>-30.02303123232819</v>
      </c>
      <c r="AN26" s="43">
        <f t="shared" ref="AN26" si="557">IF(AE26="","",(AE26-AE$10)*1000)</f>
        <v>-35.740551032318102</v>
      </c>
      <c r="AO26" s="43">
        <f t="shared" ref="AO26" si="558">IF(AF26="","",(AF26-AF$10)*1000)</f>
        <v>-15.073651624450513</v>
      </c>
      <c r="AP26" s="43">
        <f t="shared" ref="AP26" si="559">IF(AG26="","",(AG26-AG$10)*1000)</f>
        <v>-13.947060612574447</v>
      </c>
      <c r="AQ26" s="43">
        <f t="shared" ref="AQ26" si="560">IF(AH26="","",(AH26-AH$10)*1000)</f>
        <v>-17.541319987919302</v>
      </c>
      <c r="AR26" s="40"/>
      <c r="AS26" s="43">
        <f t="shared" ref="AS26" si="561">IF(E26="","",(E26-E$10)*1000)</f>
        <v>2.3000000510364771</v>
      </c>
      <c r="AT26" s="43">
        <f t="shared" ref="AT26" si="562">IF(F26="","",(F26-F$10)*1000)</f>
        <v>-6.1499997973442078</v>
      </c>
      <c r="AU26" s="43">
        <f t="shared" ref="AU26" si="563">IF(G26="","",(G26-G$10)*1000)</f>
        <v>5.450000000010391</v>
      </c>
      <c r="AV26" s="43">
        <f t="shared" ref="AV26" si="564">IF(H26="","",(H26-H$10)*1000)</f>
        <v>-6.4833334181457758</v>
      </c>
      <c r="AW26" s="43">
        <f t="shared" ref="AW26" si="565">IF(I26="","",(I26-I$10)*1000)</f>
        <v>-8.7166666053235531</v>
      </c>
      <c r="AX26" s="43">
        <f t="shared" ref="AX26" si="566">IF(J26="","",(J26-J$10)*1000)</f>
        <v>-2.7666666666590345</v>
      </c>
      <c r="AY26" s="43">
        <f t="shared" ref="AY26" si="567">IF(K26="","",(K26-K$10)*1000)</f>
        <v>3.8333333795890212</v>
      </c>
      <c r="AZ26" s="43">
        <f t="shared" ref="AZ26" si="568">IF(L26="","",(L26-L$10)*1000)</f>
        <v>-11.300000129267573</v>
      </c>
      <c r="BA26" s="43">
        <f t="shared" ref="BA26" si="569">IF(M26="","",(M26-M$10)*1000)</f>
        <v>-4.3000000000006366</v>
      </c>
      <c r="BB26" s="43">
        <f t="shared" ref="BB26" si="570">IF(N26="","",(N26-N$10)*1000)</f>
        <v>-7.2000001091510057</v>
      </c>
      <c r="BC26" s="43">
        <f t="shared" ref="BC26" si="571">IF(O26="","",(O26-O$10)*1000)</f>
        <v>-3.4499999601393938</v>
      </c>
      <c r="BD26" s="43">
        <f t="shared" ref="BD26" si="572">IF(P26="","",(P26-P$10)*1000)</f>
        <v>-32.699999999991292</v>
      </c>
      <c r="BE26" s="43">
        <f t="shared" ref="BE26" si="573">IF(Q26="","",(Q26-Q$10)*1000)</f>
        <v>4.9999915063381195E-2</v>
      </c>
      <c r="BF26" s="43">
        <f t="shared" ref="BF26" si="574">IF(R26="","",(R26-R$10)*1000)</f>
        <v>0.75000012293457985</v>
      </c>
      <c r="BG26" s="43">
        <f t="shared" ref="BG26" si="575">IF(S26="","",(S26-S$10)*1000)</f>
        <v>-22.04999999999302</v>
      </c>
      <c r="BH26" s="43">
        <f t="shared" ref="BH26" si="576">IF(T26="","",(T26-T$10)*1000)</f>
        <v>-4.8500000266358256</v>
      </c>
      <c r="BI26" s="43">
        <f t="shared" ref="BI26" si="577">IF(U26="","",(U26-U$10)*1000)</f>
        <v>7.2500000242143869</v>
      </c>
      <c r="BJ26" s="43">
        <f t="shared" ref="BJ26" si="578">IF(V26="","",(V26-V$10)*1000)</f>
        <v>2.6000000000152568</v>
      </c>
      <c r="BK26" s="43">
        <f t="shared" ref="BK26" si="579">IF(W26="","",(W26-W$10)*1000)</f>
        <v>-5.4499999387189746</v>
      </c>
      <c r="BL26" s="43">
        <f t="shared" ref="BL26" si="580">IF(X26="","",(X26-X$10)*1000)</f>
        <v>9.5999999903142452</v>
      </c>
      <c r="BM26" s="43">
        <f t="shared" ref="BM26" si="581">IF(Y26="","",(Y26-Y$10)*1000)</f>
        <v>3.6000000000058208</v>
      </c>
      <c r="BN26" s="40"/>
      <c r="BO26" s="39">
        <v>196.10425434584829</v>
      </c>
      <c r="BP26" s="39">
        <v>-2.5306552291819986</v>
      </c>
      <c r="BQ26" s="39">
        <v>-0.96421254345848695</v>
      </c>
      <c r="BR26" s="39">
        <v>196.09021704156871</v>
      </c>
      <c r="BS26" s="39">
        <v>-2.728126042466922</v>
      </c>
      <c r="BT26" s="39">
        <v>0.39701116291765004</v>
      </c>
      <c r="BU26" s="39">
        <v>196.13734639458431</v>
      </c>
      <c r="BV26" s="39">
        <v>-2.1739971059914347</v>
      </c>
      <c r="BW26" s="39">
        <v>1.7668065360541476</v>
      </c>
      <c r="BX26" s="39">
        <v>196.08204966330112</v>
      </c>
      <c r="BY26" s="39">
        <v>-0.19794675129796788</v>
      </c>
      <c r="BZ26" s="39">
        <v>2.6939595033669974</v>
      </c>
      <c r="CA26" s="39">
        <v>196.07157198307883</v>
      </c>
      <c r="CB26" s="39">
        <v>1.4233535666244901</v>
      </c>
      <c r="CC26" s="39">
        <v>2.3065142801692105</v>
      </c>
      <c r="CD26" s="39">
        <v>196.1427916027819</v>
      </c>
      <c r="CE26" s="39">
        <v>2.641505172844079</v>
      </c>
      <c r="CF26" s="39">
        <v>0.14095208397219494</v>
      </c>
      <c r="CG26" s="39">
        <v>196.09803321119193</v>
      </c>
      <c r="CH26" s="39">
        <v>2.539918466775076</v>
      </c>
      <c r="CI26" s="39">
        <v>-0.98630033211190948</v>
      </c>
      <c r="CJ26" s="40"/>
      <c r="CK26" s="43">
        <f t="shared" ref="CK26" si="582">IF(BO26="","",(BO26-BO$10)*1000)</f>
        <v>-0.51483801709650834</v>
      </c>
      <c r="CL26" s="43">
        <f t="shared" ref="CL26" si="583">IF(BP26="","",(BP26-BP$10)*1000)</f>
        <v>6.5457955634267151</v>
      </c>
      <c r="CM26" s="43">
        <f t="shared" ref="CM26" si="584">IF(BQ26="","",(BQ26-BQ$10)*1000)</f>
        <v>5.4551483801787981</v>
      </c>
      <c r="CN26" s="43">
        <f t="shared" ref="CN26" si="585">IF(BR26="","",(BR26-BR$10)*1000)</f>
        <v>-9.5599101909442652</v>
      </c>
      <c r="CO26" s="43">
        <f t="shared" ref="CO26" si="586">IF(BS26="","",(BS26-BS$10)*1000)</f>
        <v>5.1596517382637153</v>
      </c>
      <c r="CP26" s="43">
        <f t="shared" ref="CP26" si="587">IF(BT26="","",(BT26-BT$10)*1000)</f>
        <v>-2.6710675647620974</v>
      </c>
      <c r="CQ26" s="43">
        <f t="shared" ref="CQ26" si="588">IF(BU26="","",(BU26-BU$10)*1000)</f>
        <v>-1.3018482049460545</v>
      </c>
      <c r="CR26" s="43">
        <f t="shared" ref="CR26" si="589">IF(BV26="","",(BV26-BV$10)*1000)</f>
        <v>11.861266330843279</v>
      </c>
      <c r="CS26" s="43">
        <f t="shared" ref="CS26" si="590">IF(BW26="","",(BW26-BW$10)*1000)</f>
        <v>-4.2869815179500392</v>
      </c>
      <c r="CT26" s="43">
        <f t="shared" ref="CT26" si="591">IF(BX26="","",(BX26-BX$10)*1000)</f>
        <v>-7.9834522708210898</v>
      </c>
      <c r="CU26" s="43">
        <f t="shared" ref="CU26" si="592">IF(BY26="","",(BY26-BY$10)*1000)</f>
        <v>8.3613014680933295E-2</v>
      </c>
      <c r="CV26" s="43">
        <f t="shared" ref="CV26" si="593">IF(BZ26="","",(BZ26-BZ$10)*1000)</f>
        <v>-32.620165477283081</v>
      </c>
      <c r="CW26" s="43">
        <f t="shared" ref="CW26" si="594">IF(CA26="","",(CA26-CA$10)*1000)</f>
        <v>0.36230358500688453</v>
      </c>
      <c r="CX26" s="43">
        <f t="shared" ref="CX26" si="595">IF(CB26="","",(CB26-CB$10)*1000)</f>
        <v>-0.65858658363837641</v>
      </c>
      <c r="CY26" s="43">
        <f t="shared" ref="CY26" si="596">IF(CC26="","",(CC26-CC$10)*1000)</f>
        <v>-22.053623035844794</v>
      </c>
      <c r="CZ26" s="43">
        <f t="shared" ref="CZ26" si="597">IF(CD26="","",(CD26-CD$10)*1000)</f>
        <v>-1.3312893791521674</v>
      </c>
      <c r="DA26" s="43">
        <f t="shared" ref="DA26" si="598">IF(CE26="","",(CE26-CE$10)*1000)</f>
        <v>-8.6204796385493943</v>
      </c>
      <c r="DB26" s="43">
        <f t="shared" ref="DB26" si="599">IF(CF26="","",(CF26-CF$10)*1000)</f>
        <v>2.6133128938141681</v>
      </c>
      <c r="DC26" s="43">
        <f t="shared" ref="DC26" si="600">IF(CG26="","",(CG26-CG$10)*1000)</f>
        <v>-0.88183231957827957</v>
      </c>
      <c r="DD26" s="43">
        <f t="shared" ref="DD26" si="601">IF(CH26="","",(CH26-CH$10)*1000)</f>
        <v>-11.003857092215519</v>
      </c>
      <c r="DE26" s="43">
        <f t="shared" ref="DE26" si="602">IF(CI26="","",(CI26-CI$10)*1000)</f>
        <v>3.6088183232010351</v>
      </c>
    </row>
    <row r="27" spans="1:109" ht="29.25" customHeight="1" x14ac:dyDescent="0.2">
      <c r="A27" s="37">
        <v>43756</v>
      </c>
      <c r="B27" s="29">
        <f t="shared" si="550"/>
        <v>51</v>
      </c>
      <c r="C27" s="38">
        <v>213.5</v>
      </c>
      <c r="D27" s="38">
        <f t="shared" si="551"/>
        <v>17.400000000000006</v>
      </c>
      <c r="E27" s="39">
        <v>823244.33219999995</v>
      </c>
      <c r="F27" s="39">
        <v>1091518.7759</v>
      </c>
      <c r="G27" s="39">
        <v>-124.5471</v>
      </c>
      <c r="H27" s="39">
        <v>823244.23629999999</v>
      </c>
      <c r="I27" s="39">
        <v>1091518.949</v>
      </c>
      <c r="J27" s="39">
        <v>-123.1866</v>
      </c>
      <c r="K27" s="39">
        <v>823244.51300000004</v>
      </c>
      <c r="L27" s="39">
        <v>1091518.4668000001</v>
      </c>
      <c r="M27" s="39">
        <v>-121.81740000000001</v>
      </c>
      <c r="N27" s="39">
        <v>823245.29700000002</v>
      </c>
      <c r="O27" s="39">
        <v>1091516.6532000001</v>
      </c>
      <c r="P27" s="39">
        <v>-120.89409999999999</v>
      </c>
      <c r="Q27" s="39">
        <v>823245.97320000001</v>
      </c>
      <c r="R27" s="39">
        <v>1091515.1802999999</v>
      </c>
      <c r="S27" s="39">
        <v>-121.2805</v>
      </c>
      <c r="T27" s="39">
        <v>823246.55169999995</v>
      </c>
      <c r="U27" s="39">
        <v>1091514.1073</v>
      </c>
      <c r="V27" s="39">
        <v>-123.44199999999999</v>
      </c>
      <c r="W27" s="39">
        <v>823246.46799999999</v>
      </c>
      <c r="X27" s="39">
        <v>1091514.1806999999</v>
      </c>
      <c r="Y27" s="39">
        <v>-124.569</v>
      </c>
      <c r="Z27" s="39">
        <f t="shared" si="1"/>
        <v>4.3337170339013573</v>
      </c>
      <c r="AA27" s="39">
        <f t="shared" si="2"/>
        <v>3.4134056863926947</v>
      </c>
      <c r="AB27" s="39">
        <f t="shared" si="3"/>
        <v>2.1808906093509224</v>
      </c>
      <c r="AC27" s="39">
        <f t="shared" si="4"/>
        <v>1.6661289897476579</v>
      </c>
      <c r="AD27" s="39">
        <f t="shared" si="5"/>
        <v>3.8141412283716671</v>
      </c>
      <c r="AE27" s="39">
        <f t="shared" si="6"/>
        <v>4.5814176038289354</v>
      </c>
      <c r="AF27" s="39">
        <f t="shared" si="7"/>
        <v>3.6361418978065347</v>
      </c>
      <c r="AG27" s="39">
        <f t="shared" si="8"/>
        <v>5.3729289228252233</v>
      </c>
      <c r="AH27" s="39">
        <f t="shared" si="9"/>
        <v>5.0673448956137301</v>
      </c>
      <c r="AI27" s="43">
        <f t="shared" ref="AI27" si="603">IF(Z27="","",(Z27-Z$10)*1000)</f>
        <v>-40.421937409259812</v>
      </c>
      <c r="AJ27" s="43">
        <f t="shared" ref="AJ27" si="604">IF(AA27="","",(AA27-AA$10)*1000)</f>
        <v>-27.758763338264991</v>
      </c>
      <c r="AK27" s="43">
        <f t="shared" ref="AK27" si="605">IF(AB27="","",(AB27-AB$10)*1000)</f>
        <v>-24.976254270256515</v>
      </c>
      <c r="AL27" s="43">
        <f t="shared" ref="AL27" si="606">IF(AC27="","",(AC27-AC$10)*1000)</f>
        <v>-4.1822059254672528</v>
      </c>
      <c r="AM27" s="43">
        <f t="shared" ref="AM27" si="607">IF(AD27="","",(AD27-AD$10)*1000)</f>
        <v>-34.379226288616223</v>
      </c>
      <c r="AN27" s="43">
        <f t="shared" ref="AN27" si="608">IF(AE27="","",(AE27-AE$10)*1000)</f>
        <v>-41.184339935593783</v>
      </c>
      <c r="AO27" s="43">
        <f t="shared" ref="AO27" si="609">IF(AF27="","",(AF27-AF$10)*1000)</f>
        <v>-17.040196055300605</v>
      </c>
      <c r="AP27" s="43">
        <f t="shared" ref="AP27" si="610">IF(AG27="","",(AG27-AG$10)*1000)</f>
        <v>-16.983237876220691</v>
      </c>
      <c r="AQ27" s="43">
        <f t="shared" ref="AQ27" si="611">IF(AH27="","",(AH27-AH$10)*1000)</f>
        <v>-20.822315834539751</v>
      </c>
      <c r="AR27" s="40"/>
      <c r="AS27" s="43">
        <f t="shared" ref="AS27" si="612">IF(E27="","",(E27-E$10)*1000)</f>
        <v>1.7999999690800905</v>
      </c>
      <c r="AT27" s="43">
        <f t="shared" ref="AT27" si="613">IF(F27="","",(F27-F$10)*1000)</f>
        <v>-8.6000000592321157</v>
      </c>
      <c r="AU27" s="43">
        <f t="shared" ref="AU27" si="614">IF(G27="","",(G27-G$10)*1000)</f>
        <v>4.4000000000039563</v>
      </c>
      <c r="AV27" s="43">
        <f t="shared" ref="AV27" si="615">IF(H27="","",(H27-H$10)*1000)</f>
        <v>-6.7000000271946192</v>
      </c>
      <c r="AW27" s="43">
        <f t="shared" ref="AW27" si="616">IF(I27="","",(I27-I$10)*1000)</f>
        <v>-11.100000003352761</v>
      </c>
      <c r="AX27" s="43">
        <f t="shared" ref="AX27" si="617">IF(J27="","",(J27-J$10)*1000)</f>
        <v>-4.4000000000039563</v>
      </c>
      <c r="AY27" s="43">
        <f t="shared" ref="AY27" si="618">IF(K27="","",(K27-K$10)*1000)</f>
        <v>3.4000000450760126</v>
      </c>
      <c r="AZ27" s="43">
        <f t="shared" ref="AZ27" si="619">IF(L27="","",(L27-L$10)*1000)</f>
        <v>-13.599999947473407</v>
      </c>
      <c r="BA27" s="43">
        <f t="shared" ref="BA27" si="620">IF(M27="","",(M27-M$10)*1000)</f>
        <v>-7.0000000000050022</v>
      </c>
      <c r="BB27" s="43">
        <f t="shared" ref="BB27" si="621">IF(N27="","",(N27-N$10)*1000)</f>
        <v>-8.7000000057742</v>
      </c>
      <c r="BC27" s="43">
        <f t="shared" ref="BC27" si="622">IF(O27="","",(O27-O$10)*1000)</f>
        <v>-5.0999999511986971</v>
      </c>
      <c r="BD27" s="43">
        <f t="shared" ref="BD27" si="623">IF(P27="","",(P27-P$10)*1000)</f>
        <v>-38.699999999991519</v>
      </c>
      <c r="BE27" s="43">
        <f t="shared" ref="BE27" si="624">IF(Q27="","",(Q27-Q$10)*1000)</f>
        <v>-1.0000000474974513</v>
      </c>
      <c r="BF27" s="43">
        <f t="shared" ref="BF27" si="625">IF(R27="","",(R27-R$10)*1000)</f>
        <v>0</v>
      </c>
      <c r="BG27" s="43">
        <f t="shared" ref="BG27" si="626">IF(S27="","",(S27-S$10)*1000)</f>
        <v>-26.899999999997704</v>
      </c>
      <c r="BH27" s="43">
        <f t="shared" ref="BH27" si="627">IF(T27="","",(T27-T$10)*1000)</f>
        <v>-6.8000000901520252</v>
      </c>
      <c r="BI27" s="43">
        <f t="shared" ref="BI27" si="628">IF(U27="","",(U27-U$10)*1000)</f>
        <v>7.4000000022351742</v>
      </c>
      <c r="BJ27" s="43">
        <f t="shared" ref="BJ27" si="629">IF(V27="","",(V27-V$10)*1000)</f>
        <v>1.1000000000080945</v>
      </c>
      <c r="BK27" s="43">
        <f t="shared" ref="BK27" si="630">IF(W27="","",(W27-W$10)*1000)</f>
        <v>-7.6000000117346644</v>
      </c>
      <c r="BL27" s="43">
        <f t="shared" ref="BL27" si="631">IF(X27="","",(X27-X$10)*1000)</f>
        <v>10.000000009313226</v>
      </c>
      <c r="BM27" s="43">
        <f t="shared" ref="BM27" si="632">IF(Y27="","",(Y27-Y$10)*1000)</f>
        <v>2.7999999999934744</v>
      </c>
      <c r="BN27" s="40"/>
      <c r="BO27" s="39">
        <v>196.10276570221404</v>
      </c>
      <c r="BP27" s="39">
        <v>-2.5286461394639046</v>
      </c>
      <c r="BQ27" s="39">
        <v>-0.96524765702214665</v>
      </c>
      <c r="BR27" s="39">
        <v>196.08901335769221</v>
      </c>
      <c r="BS27" s="39">
        <v>-2.72605762093561</v>
      </c>
      <c r="BT27" s="39">
        <v>0.3953898664230735</v>
      </c>
      <c r="BU27" s="39">
        <v>196.13598156848221</v>
      </c>
      <c r="BV27" s="39">
        <v>-2.1720957836480057</v>
      </c>
      <c r="BW27" s="39">
        <v>1.7641201843151748</v>
      </c>
      <c r="BX27" s="39">
        <v>196.07999284950822</v>
      </c>
      <c r="BY27" s="39">
        <v>-0.19708534739641517</v>
      </c>
      <c r="BZ27" s="39">
        <v>2.6879800715049242</v>
      </c>
      <c r="CA27" s="39">
        <v>196.07030338740162</v>
      </c>
      <c r="CB27" s="39">
        <v>1.4235895011779887</v>
      </c>
      <c r="CC27" s="39">
        <v>2.3016769661259815</v>
      </c>
      <c r="CD27" s="39">
        <v>196.14108773102072</v>
      </c>
      <c r="CE27" s="39">
        <v>2.6405450576101281</v>
      </c>
      <c r="CF27" s="39">
        <v>0.13946912268980327</v>
      </c>
      <c r="CG27" s="39">
        <v>196.09625374403217</v>
      </c>
      <c r="CH27" s="39">
        <v>2.5386472480856157</v>
      </c>
      <c r="CI27" s="39">
        <v>-0.98708253744032959</v>
      </c>
      <c r="CJ27" s="40"/>
      <c r="CK27" s="43">
        <f t="shared" ref="CK27" si="633">IF(BO27="","",(BO27-BO$10)*1000)</f>
        <v>-2.0034816513430087</v>
      </c>
      <c r="CL27" s="43">
        <f t="shared" ref="CL27" si="634">IF(BP27="","",(BP27-BP$10)*1000)</f>
        <v>8.5548852815207077</v>
      </c>
      <c r="CM27" s="43">
        <f t="shared" ref="CM27" si="635">IF(BQ27="","",(BQ27-BQ$10)*1000)</f>
        <v>4.4200348165190917</v>
      </c>
      <c r="CN27" s="43">
        <f t="shared" ref="CN27" si="636">IF(BR27="","",(BR27-BR$10)*1000)</f>
        <v>-10.763594067441318</v>
      </c>
      <c r="CO27" s="43">
        <f t="shared" ref="CO27" si="637">IF(BS27="","",(BS27-BS$10)*1000)</f>
        <v>7.2280732695757521</v>
      </c>
      <c r="CP27" s="43">
        <f t="shared" ref="CP27" si="638">IF(BT27="","",(BT27-BT$10)*1000)</f>
        <v>-4.2923640593386381</v>
      </c>
      <c r="CQ27" s="43">
        <f t="shared" ref="CQ27" si="639">IF(BU27="","",(BU27-BU$10)*1000)</f>
        <v>-2.6666743070506982</v>
      </c>
      <c r="CR27" s="43">
        <f t="shared" ref="CR27" si="640">IF(BV27="","",(BV27-BV$10)*1000)</f>
        <v>13.762588674272269</v>
      </c>
      <c r="CS27" s="43">
        <f t="shared" ref="CS27" si="641">IF(BW27="","",(BW27-BW$10)*1000)</f>
        <v>-6.9733332569228423</v>
      </c>
      <c r="CT27" s="43">
        <f t="shared" ref="CT27" si="642">IF(BX27="","",(BX27-BX$10)*1000)</f>
        <v>-10.040266063725767</v>
      </c>
      <c r="CU27" s="43">
        <f t="shared" ref="CU27" si="643">IF(BY27="","",(BY27-BY$10)*1000)</f>
        <v>0.94501691623363748</v>
      </c>
      <c r="CV27" s="43">
        <f t="shared" ref="CV27" si="644">IF(BZ27="","",(BZ27-BZ$10)*1000)</f>
        <v>-38.599597339356251</v>
      </c>
      <c r="CW27" s="43">
        <f t="shared" ref="CW27" si="645">IF(CA27="","",(CA27-CA$10)*1000)</f>
        <v>-0.90629209219628137</v>
      </c>
      <c r="CX27" s="43">
        <f t="shared" ref="CX27" si="646">IF(CB27="","",(CB27-CB$10)*1000)</f>
        <v>-0.4226520301398029</v>
      </c>
      <c r="CY27" s="43">
        <f t="shared" ref="CY27" si="647">IF(CC27="","",(CC27-CC$10)*1000)</f>
        <v>-26.890937079073751</v>
      </c>
      <c r="CZ27" s="43">
        <f t="shared" ref="CZ27" si="648">IF(CD27="","",(CD27-CD$10)*1000)</f>
        <v>-3.0351611403318657</v>
      </c>
      <c r="DA27" s="43">
        <f t="shared" ref="DA27" si="649">IF(CE27="","",(CE27-CE$10)*1000)</f>
        <v>-9.5805948725002921</v>
      </c>
      <c r="DB27" s="43">
        <f t="shared" ref="DB27" si="650">IF(CF27="","",(CF27-CF$10)*1000)</f>
        <v>1.1303516114224976</v>
      </c>
      <c r="DC27" s="43">
        <f t="shared" ref="DC27" si="651">IF(CG27="","",(CG27-CG$10)*1000)</f>
        <v>-2.6612994793424605</v>
      </c>
      <c r="DD27" s="43">
        <f t="shared" ref="DD27" si="652">IF(CH27="","",(CH27-CH$10)*1000)</f>
        <v>-12.275075781675859</v>
      </c>
      <c r="DE27" s="43">
        <f t="shared" ref="DE27" si="653">IF(CI27="","",(CI27-CI$10)*1000)</f>
        <v>2.8266129947809304</v>
      </c>
    </row>
    <row r="28" spans="1:109" ht="29.25" customHeight="1" x14ac:dyDescent="0.2">
      <c r="A28" s="37">
        <v>43760</v>
      </c>
      <c r="B28" s="29">
        <f t="shared" si="550"/>
        <v>55</v>
      </c>
      <c r="C28" s="38">
        <v>213.98</v>
      </c>
      <c r="D28" s="38">
        <f t="shared" si="551"/>
        <v>17.879999999999995</v>
      </c>
      <c r="E28" s="39">
        <v>823244.33290000004</v>
      </c>
      <c r="F28" s="39">
        <v>1091518.7768000001</v>
      </c>
      <c r="G28" s="39">
        <v>-124.54689999999999</v>
      </c>
      <c r="H28" s="39">
        <v>823244.23690000002</v>
      </c>
      <c r="I28" s="39">
        <v>1091518.9498999999</v>
      </c>
      <c r="J28" s="39">
        <v>-123.1862</v>
      </c>
      <c r="K28" s="39">
        <v>823244.51379999996</v>
      </c>
      <c r="L28" s="39">
        <v>1091518.4675</v>
      </c>
      <c r="M28" s="39">
        <v>-121.8172</v>
      </c>
      <c r="N28" s="39">
        <v>823245.29720000003</v>
      </c>
      <c r="O28" s="39">
        <v>1091516.6536000001</v>
      </c>
      <c r="P28" s="39">
        <v>-120.89579999999999</v>
      </c>
      <c r="Q28" s="39">
        <v>823245.97369999997</v>
      </c>
      <c r="R28" s="39">
        <v>1091515.1806000001</v>
      </c>
      <c r="S28" s="39">
        <v>-121.2818</v>
      </c>
      <c r="T28" s="39">
        <v>823246.55290000001</v>
      </c>
      <c r="U28" s="39">
        <v>1091514.1081999999</v>
      </c>
      <c r="V28" s="39">
        <v>-123.44159999999999</v>
      </c>
      <c r="W28" s="39">
        <v>823246.46909999999</v>
      </c>
      <c r="X28" s="39">
        <v>1091514.1814999999</v>
      </c>
      <c r="Y28" s="39">
        <v>-124.5689</v>
      </c>
      <c r="Z28" s="39">
        <f t="shared" si="1"/>
        <v>4.3322492933944332</v>
      </c>
      <c r="AA28" s="39">
        <f t="shared" si="2"/>
        <v>3.4122077807725502</v>
      </c>
      <c r="AB28" s="39">
        <f t="shared" si="3"/>
        <v>2.1801208062704496</v>
      </c>
      <c r="AC28" s="39">
        <f t="shared" si="4"/>
        <v>1.6662464553353611</v>
      </c>
      <c r="AD28" s="39">
        <f t="shared" si="5"/>
        <v>3.8127340965312189</v>
      </c>
      <c r="AE28" s="39">
        <f t="shared" si="6"/>
        <v>4.5799881692580069</v>
      </c>
      <c r="AF28" s="39">
        <f t="shared" si="7"/>
        <v>3.6361618197911527</v>
      </c>
      <c r="AG28" s="39">
        <f t="shared" si="8"/>
        <v>5.3731875130004321</v>
      </c>
      <c r="AH28" s="39">
        <f t="shared" si="9"/>
        <v>5.0676046147331775</v>
      </c>
      <c r="AI28" s="43">
        <f t="shared" ref="AI28:AI29" si="654">IF(Z28="","",(Z28-Z$10)*1000)</f>
        <v>-41.889677916183921</v>
      </c>
      <c r="AJ28" s="43">
        <f t="shared" ref="AJ28:AJ29" si="655">IF(AA28="","",(AA28-AA$10)*1000)</f>
        <v>-28.956668958409537</v>
      </c>
      <c r="AK28" s="43">
        <f t="shared" ref="AK28:AK29" si="656">IF(AB28="","",(AB28-AB$10)*1000)</f>
        <v>-25.746057350729323</v>
      </c>
      <c r="AL28" s="43">
        <f t="shared" ref="AL28:AL29" si="657">IF(AC28="","",(AC28-AC$10)*1000)</f>
        <v>-4.0647403377640501</v>
      </c>
      <c r="AM28" s="43">
        <f t="shared" ref="AM28:AM29" si="658">IF(AD28="","",(AD28-AD$10)*1000)</f>
        <v>-35.786358129064496</v>
      </c>
      <c r="AN28" s="43">
        <f t="shared" ref="AN28:AN29" si="659">IF(AE28="","",(AE28-AE$10)*1000)</f>
        <v>-42.613774506522262</v>
      </c>
      <c r="AO28" s="43">
        <f t="shared" ref="AO28:AO29" si="660">IF(AF28="","",(AF28-AF$10)*1000)</f>
        <v>-17.020274070682628</v>
      </c>
      <c r="AP28" s="43">
        <f t="shared" ref="AP28:AP29" si="661">IF(AG28="","",(AG28-AG$10)*1000)</f>
        <v>-16.724647701011897</v>
      </c>
      <c r="AQ28" s="43">
        <f t="shared" ref="AQ28:AQ29" si="662">IF(AH28="","",(AH28-AH$10)*1000)</f>
        <v>-20.562596715092418</v>
      </c>
      <c r="AR28" s="40"/>
      <c r="AS28" s="43">
        <f t="shared" ref="AS28" si="663">IF(E28="","",(E28-E$10)*1000)</f>
        <v>2.5000000605359674</v>
      </c>
      <c r="AT28" s="43">
        <f t="shared" ref="AT28" si="664">IF(F28="","",(F28-F$10)*1000)</f>
        <v>-7.6999999582767487</v>
      </c>
      <c r="AU28" s="43">
        <f t="shared" ref="AU28" si="665">IF(G28="","",(G28-G$10)*1000)</f>
        <v>4.6000000000105956</v>
      </c>
      <c r="AV28" s="43">
        <f t="shared" ref="AV28" si="666">IF(H28="","",(H28-H$10)*1000)</f>
        <v>-6.0999999986961484</v>
      </c>
      <c r="AW28" s="43">
        <f t="shared" ref="AW28" si="667">IF(I28="","",(I28-I$10)*1000)</f>
        <v>-10.200000135228038</v>
      </c>
      <c r="AX28" s="43">
        <f t="shared" ref="AX28" si="668">IF(J28="","",(J28-J$10)*1000)</f>
        <v>-4.0000000000048885</v>
      </c>
      <c r="AY28" s="43">
        <f t="shared" ref="AY28" si="669">IF(K28="","",(K28-K$10)*1000)</f>
        <v>4.1999999666586518</v>
      </c>
      <c r="AZ28" s="43">
        <f t="shared" ref="AZ28" si="670">IF(L28="","",(L28-L$10)*1000)</f>
        <v>-12.899999972432852</v>
      </c>
      <c r="BA28" s="43">
        <f t="shared" ref="BA28" si="671">IF(M28="","",(M28-M$10)*1000)</f>
        <v>-6.7999999999983629</v>
      </c>
      <c r="BB28" s="43">
        <f t="shared" ref="BB28" si="672">IF(N28="","",(N28-N$10)*1000)</f>
        <v>-8.4999999962747097</v>
      </c>
      <c r="BC28" s="43">
        <f t="shared" ref="BC28" si="673">IF(O28="","",(O28-O$10)*1000)</f>
        <v>-4.6999999321997166</v>
      </c>
      <c r="BD28" s="43">
        <f t="shared" ref="BD28" si="674">IF(P28="","",(P28-P$10)*1000)</f>
        <v>-40.39999999999111</v>
      </c>
      <c r="BE28" s="43">
        <f t="shared" ref="BE28" si="675">IF(Q28="","",(Q28-Q$10)*1000)</f>
        <v>-0.50000008195638657</v>
      </c>
      <c r="BF28" s="43">
        <f t="shared" ref="BF28" si="676">IF(R28="","",(R28-R$10)*1000)</f>
        <v>0.30000018887221813</v>
      </c>
      <c r="BG28" s="43">
        <f t="shared" ref="BG28" si="677">IF(S28="","",(S28-S$10)*1000)</f>
        <v>-28.199999999998226</v>
      </c>
      <c r="BH28" s="43">
        <f t="shared" ref="BH28" si="678">IF(T28="","",(T28-T$10)*1000)</f>
        <v>-5.6000000331550837</v>
      </c>
      <c r="BI28" s="43">
        <f t="shared" ref="BI28" si="679">IF(U28="","",(U28-U$10)*1000)</f>
        <v>8.2999998703598976</v>
      </c>
      <c r="BJ28" s="43">
        <f t="shared" ref="BJ28" si="680">IF(V28="","",(V28-V$10)*1000)</f>
        <v>1.5000000000071623</v>
      </c>
      <c r="BK28" s="43">
        <f t="shared" ref="BK28" si="681">IF(W28="","",(W28-W$10)*1000)</f>
        <v>-6.5000000176951289</v>
      </c>
      <c r="BL28" s="43">
        <f t="shared" ref="BL28" si="682">IF(X28="","",(X28-X$10)*1000)</f>
        <v>10.800000047311187</v>
      </c>
      <c r="BM28" s="43">
        <f t="shared" ref="BM28" si="683">IF(Y28="","",(Y28-Y$10)*1000)</f>
        <v>2.899999999996794</v>
      </c>
      <c r="BN28" s="40"/>
      <c r="BO28" s="39">
        <v>196.10378049358309</v>
      </c>
      <c r="BP28" s="39">
        <v>-2.5291659459539209</v>
      </c>
      <c r="BQ28" s="39">
        <v>-0.96505780493582449</v>
      </c>
      <c r="BR28" s="39">
        <v>196.08993751970087</v>
      </c>
      <c r="BS28" s="39">
        <v>-2.7266196924422306</v>
      </c>
      <c r="BT28" s="39">
        <v>0.39578062480299536</v>
      </c>
      <c r="BU28" s="39">
        <v>196.137002458447</v>
      </c>
      <c r="BV28" s="39">
        <v>-2.1723920664848717</v>
      </c>
      <c r="BW28" s="39">
        <v>1.7643099754155287</v>
      </c>
      <c r="BX28" s="39">
        <v>196.08034316873872</v>
      </c>
      <c r="BY28" s="39">
        <v>-0.19736333382726054</v>
      </c>
      <c r="BZ28" s="39">
        <v>2.6862765683126213</v>
      </c>
      <c r="CA28" s="39">
        <v>196.07088332907784</v>
      </c>
      <c r="CB28" s="39">
        <v>1.4235289393825563</v>
      </c>
      <c r="CC28" s="39">
        <v>2.3003711667092119</v>
      </c>
      <c r="CD28" s="39">
        <v>196.14255566828467</v>
      </c>
      <c r="CE28" s="39">
        <v>2.640236577321573</v>
      </c>
      <c r="CF28" s="39">
        <v>0.13985444331716224</v>
      </c>
      <c r="CG28" s="39">
        <v>196.09758878690496</v>
      </c>
      <c r="CH28" s="39">
        <v>2.5383871316204414</v>
      </c>
      <c r="CI28" s="39">
        <v>-0.98699588786905679</v>
      </c>
      <c r="CJ28" s="40"/>
      <c r="CK28" s="43">
        <f t="shared" ref="CK28" si="684">IF(BO28="","",(BO28-BO$10)*1000)</f>
        <v>-0.98869028229842115</v>
      </c>
      <c r="CL28" s="43">
        <f t="shared" ref="CL28" si="685">IF(BP28="","",(BP28-BP$10)*1000)</f>
        <v>8.0350787915044464</v>
      </c>
      <c r="CM28" s="43">
        <f t="shared" ref="CM28" si="686">IF(BQ28="","",(BQ28-BQ$10)*1000)</f>
        <v>4.6098869028412537</v>
      </c>
      <c r="CN28" s="43">
        <f t="shared" ref="CN28" si="687">IF(BR28="","",(BR28-BR$10)*1000)</f>
        <v>-9.8394320587829043</v>
      </c>
      <c r="CO28" s="43">
        <f t="shared" ref="CO28" si="688">IF(BS28="","",(BS28-BS$10)*1000)</f>
        <v>6.666001762955176</v>
      </c>
      <c r="CP28" s="43">
        <f t="shared" ref="CP28" si="689">IF(BT28="","",(BT28-BT$10)*1000)</f>
        <v>-3.9016056794167753</v>
      </c>
      <c r="CQ28" s="43">
        <f t="shared" ref="CQ28" si="690">IF(BU28="","",(BU28-BU$10)*1000)</f>
        <v>-1.6457843422585938</v>
      </c>
      <c r="CR28" s="43">
        <f t="shared" ref="CR28" si="691">IF(BV28="","",(BV28-BV$10)*1000)</f>
        <v>13.466305837406267</v>
      </c>
      <c r="CS28" s="43">
        <f t="shared" ref="CS28" si="692">IF(BW28="","",(BW28-BW$10)*1000)</f>
        <v>-6.7835421565689558</v>
      </c>
      <c r="CT28" s="43">
        <f t="shared" ref="CT28" si="693">IF(BX28="","",(BX28-BX$10)*1000)</f>
        <v>-9.6899468332196648</v>
      </c>
      <c r="CU28" s="43">
        <f t="shared" ref="CU28" si="694">IF(BY28="","",(BY28-BY$10)*1000)</f>
        <v>0.66703048538827026</v>
      </c>
      <c r="CV28" s="43">
        <f t="shared" ref="CV28" si="695">IF(BZ28="","",(BZ28-BZ$10)*1000)</f>
        <v>-40.303100531659197</v>
      </c>
      <c r="CW28" s="43">
        <f t="shared" ref="CW28" si="696">IF(CA28="","",(CA28-CA$10)*1000)</f>
        <v>-0.32635041597472991</v>
      </c>
      <c r="CX28" s="43">
        <f t="shared" ref="CX28" si="697">IF(CB28="","",(CB28-CB$10)*1000)</f>
        <v>-0.48321382557214854</v>
      </c>
      <c r="CY28" s="43">
        <f t="shared" ref="CY28" si="698">IF(CC28="","",(CC28-CC$10)*1000)</f>
        <v>-28.196736495843311</v>
      </c>
      <c r="CZ28" s="43">
        <f t="shared" ref="CZ28" si="699">IF(CD28="","",(CD28-CD$10)*1000)</f>
        <v>-1.5672238763784208</v>
      </c>
      <c r="DA28" s="43">
        <f t="shared" ref="DA28" si="700">IF(CE28="","",(CE28-CE$10)*1000)</f>
        <v>-9.8890751610554162</v>
      </c>
      <c r="DB28" s="43">
        <f t="shared" ref="DB28" si="701">IF(CF28="","",(CF28-CF$10)*1000)</f>
        <v>1.5156722387814625</v>
      </c>
      <c r="DC28" s="43">
        <f t="shared" ref="DC28" si="702">IF(CG28="","",(CG28-CG$10)*1000)</f>
        <v>-1.3262566065463943</v>
      </c>
      <c r="DD28" s="43">
        <f t="shared" ref="DD28" si="703">IF(CH28="","",(CH28-CH$10)*1000)</f>
        <v>-12.53519224685018</v>
      </c>
      <c r="DE28" s="43">
        <f t="shared" ref="DE28" si="704">IF(CI28="","",(CI28-CI$10)*1000)</f>
        <v>2.9132625660537315</v>
      </c>
    </row>
    <row r="29" spans="1:109" ht="29.25" customHeight="1" x14ac:dyDescent="0.2">
      <c r="A29" s="37">
        <v>43762</v>
      </c>
      <c r="B29" s="29">
        <f t="shared" si="550"/>
        <v>57</v>
      </c>
      <c r="C29" s="38">
        <v>215</v>
      </c>
      <c r="D29" s="38">
        <f t="shared" si="551"/>
        <v>18.900000000000006</v>
      </c>
      <c r="E29" s="39">
        <v>823244.33279999997</v>
      </c>
      <c r="F29" s="39">
        <v>1091518.7805999999</v>
      </c>
      <c r="G29" s="39">
        <v>-124.5472</v>
      </c>
      <c r="H29" s="39">
        <v>823244.23659999995</v>
      </c>
      <c r="I29" s="39">
        <v>1091518.9534</v>
      </c>
      <c r="J29" s="39">
        <v>-123.1866</v>
      </c>
      <c r="K29" s="39">
        <v>823244.51379999996</v>
      </c>
      <c r="L29" s="39">
        <v>1091518.4706999999</v>
      </c>
      <c r="M29" s="39">
        <v>-121.81699999999999</v>
      </c>
      <c r="N29" s="39">
        <v>823245.29729999998</v>
      </c>
      <c r="O29" s="39">
        <v>1091516.6562999999</v>
      </c>
      <c r="P29" s="39">
        <v>-120.8956</v>
      </c>
      <c r="Q29" s="39">
        <v>823245.97420000006</v>
      </c>
      <c r="R29" s="39">
        <v>1091515.1836999999</v>
      </c>
      <c r="S29" s="39">
        <v>-121.2821</v>
      </c>
      <c r="T29" s="39">
        <v>823246.55290000001</v>
      </c>
      <c r="U29" s="39">
        <v>1091514.1107999999</v>
      </c>
      <c r="V29" s="39">
        <v>-123.4419</v>
      </c>
      <c r="W29" s="39">
        <v>823246.46959999995</v>
      </c>
      <c r="X29" s="39">
        <v>1091514.1843000001</v>
      </c>
      <c r="Y29" s="39">
        <v>-124.5693</v>
      </c>
      <c r="Z29" s="39">
        <f t="shared" si="1"/>
        <v>4.3332543544211255</v>
      </c>
      <c r="AA29" s="39">
        <f t="shared" si="2"/>
        <v>3.4132731945229566</v>
      </c>
      <c r="AB29" s="39">
        <f t="shared" si="3"/>
        <v>2.1805727619473947</v>
      </c>
      <c r="AC29" s="39">
        <f t="shared" si="4"/>
        <v>1.6661712457142486</v>
      </c>
      <c r="AD29" s="39">
        <f t="shared" si="5"/>
        <v>3.8131017951427943</v>
      </c>
      <c r="AE29" s="39">
        <f t="shared" si="6"/>
        <v>4.5805177632146954</v>
      </c>
      <c r="AF29" s="39">
        <f t="shared" si="7"/>
        <v>3.6363794040721564</v>
      </c>
      <c r="AG29" s="39">
        <f t="shared" si="8"/>
        <v>5.3741230485705476</v>
      </c>
      <c r="AH29" s="39">
        <f t="shared" si="9"/>
        <v>5.068764774440929</v>
      </c>
      <c r="AI29" s="43">
        <f t="shared" si="654"/>
        <v>-40.884616889491632</v>
      </c>
      <c r="AJ29" s="43">
        <f t="shared" si="655"/>
        <v>-27.891255208003063</v>
      </c>
      <c r="AK29" s="43">
        <f t="shared" si="656"/>
        <v>-25.294101673784208</v>
      </c>
      <c r="AL29" s="43">
        <f t="shared" si="657"/>
        <v>-4.1399499588765654</v>
      </c>
      <c r="AM29" s="43">
        <f t="shared" si="658"/>
        <v>-35.418659517489019</v>
      </c>
      <c r="AN29" s="43">
        <f t="shared" si="659"/>
        <v>-42.084180549833761</v>
      </c>
      <c r="AO29" s="43">
        <f t="shared" si="660"/>
        <v>-16.802689789678915</v>
      </c>
      <c r="AP29" s="43">
        <f t="shared" si="661"/>
        <v>-15.789112130896399</v>
      </c>
      <c r="AQ29" s="43">
        <f t="shared" si="662"/>
        <v>-19.4024370073409</v>
      </c>
      <c r="AR29" s="40"/>
      <c r="AS29" s="43">
        <f t="shared" ref="AS29" si="705">IF(E29="","",(E29-E$10)*1000)</f>
        <v>2.3999999975785613</v>
      </c>
      <c r="AT29" s="43">
        <f t="shared" ref="AT29" si="706">IF(F29="","",(F29-F$10)*1000)</f>
        <v>-3.9000001270323992</v>
      </c>
      <c r="AU29" s="43">
        <f t="shared" ref="AU29" si="707">IF(G29="","",(G29-G$10)*1000)</f>
        <v>4.3000000000006366</v>
      </c>
      <c r="AV29" s="43">
        <f t="shared" ref="AV29" si="708">IF(H29="","",(H29-H$10)*1000)</f>
        <v>-6.4000000711530447</v>
      </c>
      <c r="AW29" s="43">
        <f t="shared" ref="AW29" si="709">IF(I29="","",(I29-I$10)*1000)</f>
        <v>-6.7000000271946192</v>
      </c>
      <c r="AX29" s="43">
        <f t="shared" ref="AX29" si="710">IF(J29="","",(J29-J$10)*1000)</f>
        <v>-4.4000000000039563</v>
      </c>
      <c r="AY29" s="43">
        <f t="shared" ref="AY29" si="711">IF(K29="","",(K29-K$10)*1000)</f>
        <v>4.1999999666586518</v>
      </c>
      <c r="AZ29" s="43">
        <f t="shared" ref="AZ29" si="712">IF(L29="","",(L29-L$10)*1000)</f>
        <v>-9.7000000532716513</v>
      </c>
      <c r="BA29" s="43">
        <f t="shared" ref="BA29" si="713">IF(M29="","",(M29-M$10)*1000)</f>
        <v>-6.5999999999917236</v>
      </c>
      <c r="BB29" s="43">
        <f t="shared" ref="BB29" si="714">IF(N29="","",(N29-N$10)*1000)</f>
        <v>-8.4000000497326255</v>
      </c>
      <c r="BC29" s="43">
        <f t="shared" ref="BC29" si="715">IF(O29="","",(O29-O$10)*1000)</f>
        <v>-2.0000000949949026</v>
      </c>
      <c r="BD29" s="43">
        <f t="shared" ref="BD29" si="716">IF(P29="","",(P29-P$10)*1000)</f>
        <v>-40.199999999998681</v>
      </c>
      <c r="BE29" s="43">
        <f t="shared" ref="BE29" si="717">IF(Q29="","",(Q29-Q$10)*1000)</f>
        <v>0</v>
      </c>
      <c r="BF29" s="43">
        <f t="shared" ref="BF29" si="718">IF(R29="","",(R29-R$10)*1000)</f>
        <v>3.4000000450760126</v>
      </c>
      <c r="BG29" s="43">
        <f t="shared" ref="BG29" si="719">IF(S29="","",(S29-S$10)*1000)</f>
        <v>-28.499999999993975</v>
      </c>
      <c r="BH29" s="43">
        <f t="shared" ref="BH29" si="720">IF(T29="","",(T29-T$10)*1000)</f>
        <v>-5.6000000331550837</v>
      </c>
      <c r="BI29" s="43">
        <f t="shared" ref="BI29" si="721">IF(U29="","",(U29-U$10)*1000)</f>
        <v>10.899999877437949</v>
      </c>
      <c r="BJ29" s="43">
        <f t="shared" ref="BJ29" si="722">IF(V29="","",(V29-V$10)*1000)</f>
        <v>1.1999999999972033</v>
      </c>
      <c r="BK29" s="43">
        <f t="shared" ref="BK29" si="723">IF(W29="","",(W29-W$10)*1000)</f>
        <v>-6.0000000521540642</v>
      </c>
      <c r="BL29" s="43">
        <f t="shared" ref="BL29" si="724">IF(X29="","",(X29-X$10)*1000)</f>
        <v>13.60000018030405</v>
      </c>
      <c r="BM29" s="43">
        <f t="shared" ref="BM29" si="725">IF(Y29="","",(Y29-Y$10)*1000)</f>
        <v>2.4999999999977263</v>
      </c>
      <c r="BN29" s="40"/>
      <c r="BO29" s="39">
        <v>196.10529594188813</v>
      </c>
      <c r="BP29" s="39">
        <v>-2.5326521208153854</v>
      </c>
      <c r="BQ29" s="39">
        <v>-0.96537295941888601</v>
      </c>
      <c r="BR29" s="39">
        <v>196.09114491410145</v>
      </c>
      <c r="BS29" s="39">
        <v>-2.7299185103458576</v>
      </c>
      <c r="BT29" s="39">
        <v>0.39536855085898992</v>
      </c>
      <c r="BU29" s="39">
        <v>196.1383549448451</v>
      </c>
      <c r="BV29" s="39">
        <v>-2.1752922009688938</v>
      </c>
      <c r="BW29" s="39">
        <v>1.7644964505515475</v>
      </c>
      <c r="BX29" s="39">
        <v>196.08157495825364</v>
      </c>
      <c r="BY29" s="39">
        <v>-0.19976805703404268</v>
      </c>
      <c r="BZ29" s="39">
        <v>2.6864642504174583</v>
      </c>
      <c r="CA29" s="39">
        <v>196.07264669634716</v>
      </c>
      <c r="CB29" s="39">
        <v>1.4209307602001573</v>
      </c>
      <c r="CC29" s="39">
        <v>2.3000535330365182</v>
      </c>
      <c r="CD29" s="39">
        <v>196.14365456351393</v>
      </c>
      <c r="CE29" s="39">
        <v>2.637880217987377</v>
      </c>
      <c r="CF29" s="39">
        <v>0.13954345436485482</v>
      </c>
      <c r="CG29" s="39">
        <v>196.0992253585828</v>
      </c>
      <c r="CH29" s="39">
        <v>2.5360608397527638</v>
      </c>
      <c r="CI29" s="39">
        <v>-0.98741225358583051</v>
      </c>
      <c r="CJ29" s="40"/>
      <c r="CK29" s="43">
        <f t="shared" ref="CK29" si="726">IF(BO29="","",(BO29-BO$10)*1000)</f>
        <v>0.52675802274393391</v>
      </c>
      <c r="CL29" s="43">
        <f t="shared" ref="CL29" si="727">IF(BP29="","",(BP29-BP$10)*1000)</f>
        <v>4.548903930039927</v>
      </c>
      <c r="CM29" s="43">
        <f t="shared" ref="CM29" si="728">IF(BQ29="","",(BQ29-BQ$10)*1000)</f>
        <v>4.2947324197797343</v>
      </c>
      <c r="CN29" s="43">
        <f t="shared" ref="CN29" si="729">IF(BR29="","",(BR29-BR$10)*1000)</f>
        <v>-8.6320376582023073</v>
      </c>
      <c r="CO29" s="43">
        <f t="shared" ref="CO29" si="730">IF(BS29="","",(BS29-BS$10)*1000)</f>
        <v>3.3671838593281045</v>
      </c>
      <c r="CP29" s="43">
        <f t="shared" ref="CP29" si="731">IF(BT29="","",(BT29-BT$10)*1000)</f>
        <v>-4.3136796234222174</v>
      </c>
      <c r="CQ29" s="43">
        <f t="shared" ref="CQ29" si="732">IF(BU29="","",(BU29-BU$10)*1000)</f>
        <v>-0.29329794415389188</v>
      </c>
      <c r="CR29" s="43">
        <f t="shared" ref="CR29" si="733">IF(BV29="","",(BV29-BV$10)*1000)</f>
        <v>10.566171353384224</v>
      </c>
      <c r="CS29" s="43">
        <f t="shared" ref="CS29" si="734">IF(BW29="","",(BW29-BW$10)*1000)</f>
        <v>-6.5970670205501847</v>
      </c>
      <c r="CT29" s="43">
        <f t="shared" ref="CT29" si="735">IF(BX29="","",(BX29-BX$10)*1000)</f>
        <v>-8.4581573183015735</v>
      </c>
      <c r="CU29" s="43">
        <f t="shared" ref="CU29" si="736">IF(BY29="","",(BY29-BY$10)*1000)</f>
        <v>-1.7376927213938742</v>
      </c>
      <c r="CV29" s="43">
        <f t="shared" ref="CV29" si="737">IF(BZ29="","",(BZ29-BZ$10)*1000)</f>
        <v>-40.115418426822202</v>
      </c>
      <c r="CW29" s="43">
        <f t="shared" ref="CW29" si="738">IF(CA29="","",(CA29-CA$10)*1000)</f>
        <v>1.4370168533446304</v>
      </c>
      <c r="CX29" s="43">
        <f t="shared" ref="CX29" si="739">IF(CB29="","",(CB29-CB$10)*1000)</f>
        <v>-3.0813930079711671</v>
      </c>
      <c r="CY29" s="43">
        <f t="shared" ref="CY29" si="740">IF(CC29="","",(CC29-CC$10)*1000)</f>
        <v>-28.514370168537084</v>
      </c>
      <c r="CZ29" s="43">
        <f t="shared" ref="CZ29" si="741">IF(CD29="","",(CD29-CD$10)*1000)</f>
        <v>-0.46832864711632283</v>
      </c>
      <c r="DA29" s="43">
        <f t="shared" ref="DA29" si="742">IF(CE29="","",(CE29-CE$10)*1000)</f>
        <v>-12.245434495251395</v>
      </c>
      <c r="DB29" s="43">
        <f t="shared" ref="DB29" si="743">IF(CF29="","",(CF29-CF$10)*1000)</f>
        <v>1.2046832864740509</v>
      </c>
      <c r="DC29" s="43">
        <f t="shared" ref="DC29" si="744">IF(CG29="","",(CG29-CG$10)*1000)</f>
        <v>0.31031507128886915</v>
      </c>
      <c r="DD29" s="43">
        <f t="shared" ref="DD29" si="745">IF(CH29="","",(CH29-CH$10)*1000)</f>
        <v>-14.861484114527812</v>
      </c>
      <c r="DE29" s="43">
        <f t="shared" ref="DE29" si="746">IF(CI29="","",(CI29-CI$10)*1000)</f>
        <v>2.4968968492800059</v>
      </c>
    </row>
    <row r="30" spans="1:109" ht="29.25" customHeight="1" x14ac:dyDescent="0.2">
      <c r="A30" s="37">
        <v>43766</v>
      </c>
      <c r="B30" s="29">
        <f t="shared" si="550"/>
        <v>61</v>
      </c>
      <c r="C30" s="38">
        <v>215.55</v>
      </c>
      <c r="D30" s="38">
        <f t="shared" si="551"/>
        <v>19.450000000000017</v>
      </c>
      <c r="E30" s="39">
        <v>823244.33239999996</v>
      </c>
      <c r="F30" s="39">
        <v>1091518.7812999999</v>
      </c>
      <c r="G30" s="39">
        <v>-124.5467</v>
      </c>
      <c r="H30" s="39">
        <v>823244.23609999998</v>
      </c>
      <c r="I30" s="39">
        <v>1091518.9543999999</v>
      </c>
      <c r="J30" s="39">
        <v>-123.1859</v>
      </c>
      <c r="K30" s="39">
        <v>823244.51329999999</v>
      </c>
      <c r="L30" s="39">
        <v>1091518.4716</v>
      </c>
      <c r="M30" s="39">
        <v>-121.8169</v>
      </c>
      <c r="N30" s="39">
        <v>823245.29729999998</v>
      </c>
      <c r="O30" s="39">
        <v>1091516.6576</v>
      </c>
      <c r="P30" s="39">
        <v>-120.8967</v>
      </c>
      <c r="Q30" s="39">
        <v>823245.97389999998</v>
      </c>
      <c r="R30" s="39">
        <v>1091515.1847000001</v>
      </c>
      <c r="S30" s="39">
        <v>-121.28279999999999</v>
      </c>
      <c r="T30" s="39">
        <v>823246.55200000003</v>
      </c>
      <c r="U30" s="39">
        <v>1091514.1128</v>
      </c>
      <c r="V30" s="39">
        <v>-123.4414</v>
      </c>
      <c r="W30" s="39">
        <v>823246.46920000005</v>
      </c>
      <c r="X30" s="39">
        <v>1091514.1854999999</v>
      </c>
      <c r="Y30" s="39">
        <v>-124.5688</v>
      </c>
      <c r="Z30" s="39">
        <f t="shared" si="1"/>
        <v>4.331701016867485</v>
      </c>
      <c r="AA30" s="39">
        <f t="shared" si="2"/>
        <v>3.4120188040965194</v>
      </c>
      <c r="AB30" s="39">
        <f t="shared" si="3"/>
        <v>2.1799128514745618</v>
      </c>
      <c r="AC30" s="39">
        <f t="shared" si="4"/>
        <v>1.6662218279140897</v>
      </c>
      <c r="AD30" s="39">
        <f t="shared" si="5"/>
        <v>3.811269764827331</v>
      </c>
      <c r="AE30" s="39">
        <f t="shared" si="6"/>
        <v>4.5791862192769717</v>
      </c>
      <c r="AF30" s="39">
        <f t="shared" si="7"/>
        <v>3.6362517486601549</v>
      </c>
      <c r="AG30" s="39">
        <f t="shared" si="8"/>
        <v>5.3730590560221607</v>
      </c>
      <c r="AH30" s="39">
        <f t="shared" si="9"/>
        <v>5.0683113845242014</v>
      </c>
      <c r="AI30" s="43">
        <f t="shared" ref="AI30" si="747">IF(Z30="","",(Z30-Z$10)*1000)</f>
        <v>-42.437954443132142</v>
      </c>
      <c r="AJ30" s="43">
        <f t="shared" ref="AJ30" si="748">IF(AA30="","",(AA30-AA$10)*1000)</f>
        <v>-29.145645634440331</v>
      </c>
      <c r="AK30" s="43">
        <f t="shared" ref="AK30" si="749">IF(AB30="","",(AB30-AB$10)*1000)</f>
        <v>-25.954012146617078</v>
      </c>
      <c r="AL30" s="43">
        <f t="shared" ref="AL30" si="750">IF(AC30="","",(AC30-AC$10)*1000)</f>
        <v>-4.089367759035456</v>
      </c>
      <c r="AM30" s="43">
        <f t="shared" ref="AM30" si="751">IF(AD30="","",(AD30-AD$10)*1000)</f>
        <v>-37.250689832952318</v>
      </c>
      <c r="AN30" s="43">
        <f t="shared" ref="AN30" si="752">IF(AE30="","",(AE30-AE$10)*1000)</f>
        <v>-43.415724487557483</v>
      </c>
      <c r="AO30" s="43">
        <f t="shared" ref="AO30" si="753">IF(AF30="","",(AF30-AF$10)*1000)</f>
        <v>-16.930345201680463</v>
      </c>
      <c r="AP30" s="43">
        <f t="shared" ref="AP30" si="754">IF(AG30="","",(AG30-AG$10)*1000)</f>
        <v>-16.853104679283248</v>
      </c>
      <c r="AQ30" s="43">
        <f t="shared" ref="AQ30" si="755">IF(AH30="","",(AH30-AH$10)*1000)</f>
        <v>-19.855826924068509</v>
      </c>
      <c r="AR30" s="40"/>
      <c r="AS30" s="43">
        <f t="shared" ref="AS30" si="756">IF(E30="","",(E30-E$10)*1000)</f>
        <v>1.9999999785795808</v>
      </c>
      <c r="AT30" s="43">
        <f t="shared" ref="AT30" si="757">IF(F30="","",(F30-F$10)*1000)</f>
        <v>-3.2000001519918442</v>
      </c>
      <c r="AU30" s="43">
        <f t="shared" ref="AU30" si="758">IF(G30="","",(G30-G$10)*1000)</f>
        <v>4.8000000000030241</v>
      </c>
      <c r="AV30" s="43">
        <f t="shared" ref="AV30" si="759">IF(H30="","",(H30-H$10)*1000)</f>
        <v>-6.9000000366941094</v>
      </c>
      <c r="AW30" s="43">
        <f t="shared" ref="AW30" si="760">IF(I30="","",(I30-I$10)*1000)</f>
        <v>-5.7000000961124897</v>
      </c>
      <c r="AX30" s="43">
        <f t="shared" ref="AX30" si="761">IF(J30="","",(J30-J$10)*1000)</f>
        <v>-3.7000000000091404</v>
      </c>
      <c r="AY30" s="43">
        <f t="shared" ref="AY30" si="762">IF(K30="","",(K30-K$10)*1000)</f>
        <v>3.7000000011175871</v>
      </c>
      <c r="AZ30" s="43">
        <f t="shared" ref="AZ30" si="763">IF(L30="","",(L30-L$10)*1000)</f>
        <v>-8.7999999523162842</v>
      </c>
      <c r="BA30" s="43">
        <f t="shared" ref="BA30" si="764">IF(M30="","",(M30-M$10)*1000)</f>
        <v>-6.5000000000026148</v>
      </c>
      <c r="BB30" s="43">
        <f t="shared" ref="BB30" si="765">IF(N30="","",(N30-N$10)*1000)</f>
        <v>-8.4000000497326255</v>
      </c>
      <c r="BC30" s="43">
        <f t="shared" ref="BC30" si="766">IF(O30="","",(O30-O$10)*1000)</f>
        <v>-0.699999975040555</v>
      </c>
      <c r="BD30" s="43">
        <f t="shared" ref="BD30" si="767">IF(P30="","",(P30-P$10)*1000)</f>
        <v>-41.299999999992565</v>
      </c>
      <c r="BE30" s="43">
        <f t="shared" ref="BE30" si="768">IF(Q30="","",(Q30-Q$10)*1000)</f>
        <v>-0.30000007245689631</v>
      </c>
      <c r="BF30" s="43">
        <f t="shared" ref="BF30" si="769">IF(R30="","",(R30-R$10)*1000)</f>
        <v>4.4000002089887857</v>
      </c>
      <c r="BG30" s="43">
        <f t="shared" ref="BG30" si="770">IF(S30="","",(S30-S$10)*1000)</f>
        <v>-29.19999999998879</v>
      </c>
      <c r="BH30" s="43">
        <f t="shared" ref="BH30" si="771">IF(T30="","",(T30-T$10)*1000)</f>
        <v>-6.5000000176951289</v>
      </c>
      <c r="BI30" s="43">
        <f t="shared" ref="BI30" si="772">IF(U30="","",(U30-U$10)*1000)</f>
        <v>12.899999972432852</v>
      </c>
      <c r="BJ30" s="43">
        <f t="shared" ref="BJ30" si="773">IF(V30="","",(V30-V$10)*1000)</f>
        <v>1.6999999999995907</v>
      </c>
      <c r="BK30" s="43">
        <f t="shared" ref="BK30" si="774">IF(W30="","",(W30-W$10)*1000)</f>
        <v>-6.3999999547377229</v>
      </c>
      <c r="BL30" s="43">
        <f t="shared" ref="BL30" si="775">IF(X30="","",(X30-X$10)*1000)</f>
        <v>14.800000004470348</v>
      </c>
      <c r="BM30" s="43">
        <f t="shared" ref="BM30" si="776">IF(Y30="","",(Y30-Y$10)*1000)</f>
        <v>3.0000000000001137</v>
      </c>
      <c r="BN30" s="40"/>
      <c r="BO30" s="39">
        <v>196.10522928144778</v>
      </c>
      <c r="BP30" s="39">
        <v>-2.5334555860392505</v>
      </c>
      <c r="BQ30" s="39">
        <v>-0.9648722928144764</v>
      </c>
      <c r="BR30" s="39">
        <v>196.09111442008904</v>
      </c>
      <c r="BS30" s="39">
        <v>-2.7310361283230216</v>
      </c>
      <c r="BT30" s="39">
        <v>0.39606885579910056</v>
      </c>
      <c r="BU30" s="39">
        <v>196.13828218570353</v>
      </c>
      <c r="BV30" s="39">
        <v>-2.176319189895108</v>
      </c>
      <c r="BW30" s="39">
        <v>1.7645971781429637</v>
      </c>
      <c r="BX30" s="39">
        <v>196.08212440591743</v>
      </c>
      <c r="BY30" s="39">
        <v>-0.20094623680663329</v>
      </c>
      <c r="BZ30" s="39">
        <v>2.6853587559408254</v>
      </c>
      <c r="CA30" s="39">
        <v>196.07279746074613</v>
      </c>
      <c r="CB30" s="39">
        <v>1.4198976723688013</v>
      </c>
      <c r="CC30" s="39">
        <v>2.2993520253925368</v>
      </c>
      <c r="CD30" s="39">
        <v>196.14368420474403</v>
      </c>
      <c r="CE30" s="39">
        <v>2.6356872470004014</v>
      </c>
      <c r="CF30" s="39">
        <v>0.14004315795256161</v>
      </c>
      <c r="CG30" s="39">
        <v>196.0993700241892</v>
      </c>
      <c r="CH30" s="39">
        <v>2.5348042286902581</v>
      </c>
      <c r="CI30" s="39">
        <v>-0.98691370024188529</v>
      </c>
      <c r="CJ30" s="40"/>
      <c r="CK30" s="43">
        <f t="shared" ref="CK30" si="777">IF(BO30="","",(BO30-BO$10)*1000)</f>
        <v>0.46009758239051735</v>
      </c>
      <c r="CL30" s="43">
        <f t="shared" ref="CL30" si="778">IF(BP30="","",(BP30-BP$10)*1000)</f>
        <v>3.7454387061748307</v>
      </c>
      <c r="CM30" s="43">
        <f t="shared" ref="CM30" si="779">IF(BQ30="","",(BQ30-BQ$10)*1000)</f>
        <v>4.7953990241893507</v>
      </c>
      <c r="CN30" s="43">
        <f t="shared" ref="CN30" si="780">IF(BR30="","",(BR30-BR$10)*1000)</f>
        <v>-8.6625316706090416</v>
      </c>
      <c r="CO30" s="43">
        <f t="shared" ref="CO30" si="781">IF(BS30="","",(BS30-BS$10)*1000)</f>
        <v>2.249565882164184</v>
      </c>
      <c r="CP30" s="43">
        <f t="shared" ref="CP30" si="782">IF(BT30="","",(BT30-BT$10)*1000)</f>
        <v>-3.6133746833115765</v>
      </c>
      <c r="CQ30" s="43">
        <f t="shared" ref="CQ30" si="783">IF(BU30="","",(BU30-BU$10)*1000)</f>
        <v>-0.36605708572778894</v>
      </c>
      <c r="CR30" s="43">
        <f t="shared" ref="CR30" si="784">IF(BV30="","",(BV30-BV$10)*1000)</f>
        <v>9.539182427170001</v>
      </c>
      <c r="CS30" s="43">
        <f t="shared" ref="CS30" si="785">IF(BW30="","",(BW30-BW$10)*1000)</f>
        <v>-6.4963394291339682</v>
      </c>
      <c r="CT30" s="43">
        <f t="shared" ref="CT30" si="786">IF(BX30="","",(BX30-BX$10)*1000)</f>
        <v>-7.908709654515178</v>
      </c>
      <c r="CU30" s="43">
        <f t="shared" ref="CU30" si="787">IF(BY30="","",(BY30-BY$10)*1000)</f>
        <v>-2.9158724939844785</v>
      </c>
      <c r="CV30" s="43">
        <f t="shared" ref="CV30" si="788">IF(BZ30="","",(BZ30-BZ$10)*1000)</f>
        <v>-41.220912903455087</v>
      </c>
      <c r="CW30" s="43">
        <f t="shared" ref="CW30" si="789">IF(CA30="","",(CA30-CA$10)*1000)</f>
        <v>1.5877812523115153</v>
      </c>
      <c r="CX30" s="43">
        <f t="shared" ref="CX30" si="790">IF(CB30="","",(CB30-CB$10)*1000)</f>
        <v>-4.1144808393271948</v>
      </c>
      <c r="CY30" s="43">
        <f t="shared" ref="CY30" si="791">IF(CC30="","",(CC30-CC$10)*1000)</f>
        <v>-29.215877812518443</v>
      </c>
      <c r="CZ30" s="43">
        <f t="shared" ref="CZ30" si="792">IF(CD30="","",(CD30-CD$10)*1000)</f>
        <v>-0.43868741701658109</v>
      </c>
      <c r="DA30" s="43">
        <f t="shared" ref="DA30" si="793">IF(CE30="","",(CE30-CE$10)*1000)</f>
        <v>-14.438405482227079</v>
      </c>
      <c r="DB30" s="43">
        <f t="shared" ref="DB30" si="794">IF(CF30="","",(CF30-CF$10)*1000)</f>
        <v>1.704386874180841</v>
      </c>
      <c r="DC30" s="43">
        <f t="shared" ref="DC30" si="795">IF(CG30="","",(CG30-CG$10)*1000)</f>
        <v>0.45498067768789952</v>
      </c>
      <c r="DD30" s="43">
        <f t="shared" ref="DD30" si="796">IF(CH30="","",(CH30-CH$10)*1000)</f>
        <v>-16.118095177033442</v>
      </c>
      <c r="DE30" s="43">
        <f t="shared" ref="DE30" si="797">IF(CI30="","",(CI30-CI$10)*1000)</f>
        <v>2.9954501932252242</v>
      </c>
    </row>
    <row r="31" spans="1:109" ht="29.25" customHeight="1" x14ac:dyDescent="0.2">
      <c r="A31" s="37">
        <v>43769</v>
      </c>
      <c r="B31" s="29">
        <f t="shared" si="550"/>
        <v>64</v>
      </c>
      <c r="C31" s="38">
        <v>216.87</v>
      </c>
      <c r="D31" s="38">
        <f t="shared" si="551"/>
        <v>20.77000000000001</v>
      </c>
      <c r="E31" s="39">
        <v>823244.33259999997</v>
      </c>
      <c r="F31" s="39">
        <v>1091518.7815</v>
      </c>
      <c r="G31" s="39">
        <v>-124.547</v>
      </c>
      <c r="H31" s="39">
        <v>823244.23659999995</v>
      </c>
      <c r="I31" s="39">
        <v>1091518.9543000001</v>
      </c>
      <c r="J31" s="39">
        <v>-123.1862</v>
      </c>
      <c r="K31" s="39">
        <v>823244.51359999995</v>
      </c>
      <c r="L31" s="39">
        <v>1091518.4715</v>
      </c>
      <c r="M31" s="39">
        <v>-121.8175</v>
      </c>
      <c r="N31" s="39">
        <v>823245.29709999997</v>
      </c>
      <c r="O31" s="39">
        <v>1091516.6577999999</v>
      </c>
      <c r="P31" s="39">
        <v>-120.898</v>
      </c>
      <c r="Q31" s="39">
        <v>823245.97389999998</v>
      </c>
      <c r="R31" s="39">
        <v>1091515.1850000001</v>
      </c>
      <c r="S31" s="39">
        <v>-121.2839</v>
      </c>
      <c r="T31" s="39">
        <v>823246.5527</v>
      </c>
      <c r="U31" s="39">
        <v>1091514.1131</v>
      </c>
      <c r="V31" s="39">
        <v>-123.44159999999999</v>
      </c>
      <c r="W31" s="39">
        <v>823246.4693</v>
      </c>
      <c r="X31" s="39">
        <v>1091514.1864</v>
      </c>
      <c r="Y31" s="39">
        <v>-124.5688</v>
      </c>
      <c r="Z31" s="39">
        <f t="shared" si="1"/>
        <v>4.3307693243213761</v>
      </c>
      <c r="AA31" s="39">
        <f t="shared" si="2"/>
        <v>3.4109282813967989</v>
      </c>
      <c r="AB31" s="39">
        <f t="shared" si="3"/>
        <v>2.1791879657884943</v>
      </c>
      <c r="AC31" s="39">
        <f t="shared" si="4"/>
        <v>1.6661683257236655</v>
      </c>
      <c r="AD31" s="39">
        <f t="shared" si="5"/>
        <v>3.8107650688448089</v>
      </c>
      <c r="AE31" s="39">
        <f t="shared" si="6"/>
        <v>4.5778426621811139</v>
      </c>
      <c r="AF31" s="39">
        <f t="shared" si="7"/>
        <v>3.6356962606408101</v>
      </c>
      <c r="AG31" s="39">
        <f t="shared" si="8"/>
        <v>5.3727800821935974</v>
      </c>
      <c r="AH31" s="39">
        <f t="shared" si="9"/>
        <v>5.067633189217422</v>
      </c>
      <c r="AI31" s="43">
        <f t="shared" ref="AI31" si="798">IF(Z31="","",(Z31-Z$10)*1000)</f>
        <v>-43.369646989241062</v>
      </c>
      <c r="AJ31" s="43">
        <f t="shared" ref="AJ31" si="799">IF(AA31="","",(AA31-AA$10)*1000)</f>
        <v>-30.236168334160762</v>
      </c>
      <c r="AK31" s="43">
        <f t="shared" ref="AK31" si="800">IF(AB31="","",(AB31-AB$10)*1000)</f>
        <v>-26.678897832684623</v>
      </c>
      <c r="AL31" s="43">
        <f t="shared" ref="AL31" si="801">IF(AC31="","",(AC31-AC$10)*1000)</f>
        <v>-4.142869949459671</v>
      </c>
      <c r="AM31" s="43">
        <f t="shared" ref="AM31" si="802">IF(AD31="","",(AD31-AD$10)*1000)</f>
        <v>-37.75538581547444</v>
      </c>
      <c r="AN31" s="43">
        <f t="shared" ref="AN31" si="803">IF(AE31="","",(AE31-AE$10)*1000)</f>
        <v>-44.759281583415245</v>
      </c>
      <c r="AO31" s="43">
        <f t="shared" ref="AO31" si="804">IF(AF31="","",(AF31-AF$10)*1000)</f>
        <v>-17.48583322102526</v>
      </c>
      <c r="AP31" s="43">
        <f t="shared" ref="AP31" si="805">IF(AG31="","",(AG31-AG$10)*1000)</f>
        <v>-17.132078507846593</v>
      </c>
      <c r="AQ31" s="43">
        <f t="shared" ref="AQ31" si="806">IF(AH31="","",(AH31-AH$10)*1000)</f>
        <v>-20.534022230847881</v>
      </c>
      <c r="AR31" s="40"/>
      <c r="AS31" s="43">
        <f t="shared" ref="AS31" si="807">IF(E31="","",(E31-E$10)*1000)</f>
        <v>2.199999988079071</v>
      </c>
      <c r="AT31" s="43">
        <f t="shared" ref="AT31" si="808">IF(F31="","",(F31-F$10)*1000)</f>
        <v>-3.0000000260770321</v>
      </c>
      <c r="AU31" s="43">
        <f t="shared" ref="AU31" si="809">IF(G31="","",(G31-G$10)*1000)</f>
        <v>4.500000000007276</v>
      </c>
      <c r="AV31" s="43">
        <f t="shared" ref="AV31" si="810">IF(H31="","",(H31-H$10)*1000)</f>
        <v>-6.4000000711530447</v>
      </c>
      <c r="AW31" s="43">
        <f t="shared" ref="AW31" si="811">IF(I31="","",(I31-I$10)*1000)</f>
        <v>-5.7999999262392521</v>
      </c>
      <c r="AX31" s="43">
        <f t="shared" ref="AX31" si="812">IF(J31="","",(J31-J$10)*1000)</f>
        <v>-4.0000000000048885</v>
      </c>
      <c r="AY31" s="43">
        <f t="shared" ref="AY31" si="813">IF(K31="","",(K31-K$10)*1000)</f>
        <v>3.9999999571591616</v>
      </c>
      <c r="AZ31" s="43">
        <f t="shared" ref="AZ31" si="814">IF(L31="","",(L31-L$10)*1000)</f>
        <v>-8.9000000152736902</v>
      </c>
      <c r="BA31" s="43">
        <f t="shared" ref="BA31" si="815">IF(M31="","",(M31-M$10)*1000)</f>
        <v>-7.099999999994111</v>
      </c>
      <c r="BB31" s="43">
        <f t="shared" ref="BB31" si="816">IF(N31="","",(N31-N$10)*1000)</f>
        <v>-8.6000000592321157</v>
      </c>
      <c r="BC31" s="43">
        <f t="shared" ref="BC31" si="817">IF(O31="","",(O31-O$10)*1000)</f>
        <v>-0.50000008195638657</v>
      </c>
      <c r="BD31" s="43">
        <f t="shared" ref="BD31" si="818">IF(P31="","",(P31-P$10)*1000)</f>
        <v>-42.599999999993088</v>
      </c>
      <c r="BE31" s="43">
        <f t="shared" ref="BE31" si="819">IF(Q31="","",(Q31-Q$10)*1000)</f>
        <v>-0.30000007245689631</v>
      </c>
      <c r="BF31" s="43">
        <f t="shared" ref="BF31" si="820">IF(R31="","",(R31-R$10)*1000)</f>
        <v>4.7000001650303602</v>
      </c>
      <c r="BG31" s="43">
        <f t="shared" ref="BG31" si="821">IF(S31="","",(S31-S$10)*1000)</f>
        <v>-30.299999999996885</v>
      </c>
      <c r="BH31" s="43">
        <f t="shared" ref="BH31" si="822">IF(T31="","",(T31-T$10)*1000)</f>
        <v>-5.8000000426545739</v>
      </c>
      <c r="BI31" s="43">
        <f t="shared" ref="BI31" si="823">IF(U31="","",(U31-U$10)*1000)</f>
        <v>13.199999928474426</v>
      </c>
      <c r="BJ31" s="43">
        <f t="shared" ref="BJ31" si="824">IF(V31="","",(V31-V$10)*1000)</f>
        <v>1.5000000000071623</v>
      </c>
      <c r="BK31" s="43">
        <f t="shared" ref="BK31" si="825">IF(W31="","",(W31-W$10)*1000)</f>
        <v>-6.3000000081956387</v>
      </c>
      <c r="BL31" s="43">
        <f t="shared" ref="BL31" si="826">IF(X31="","",(X31-X$10)*1000)</f>
        <v>15.700000105425715</v>
      </c>
      <c r="BM31" s="43">
        <f t="shared" ref="BM31" si="827">IF(Y31="","",(Y31-Y$10)*1000)</f>
        <v>3.0000000000001137</v>
      </c>
      <c r="BN31" s="40"/>
      <c r="BO31" s="39">
        <v>196.10549507032144</v>
      </c>
      <c r="BP31" s="39">
        <v>-2.5335523141571406</v>
      </c>
      <c r="BQ31" s="39">
        <v>-0.96517495070321502</v>
      </c>
      <c r="BR31" s="39">
        <v>196.09152530095318</v>
      </c>
      <c r="BS31" s="39">
        <v>-2.7307341732816148</v>
      </c>
      <c r="BT31" s="39">
        <v>0.39576474699046571</v>
      </c>
      <c r="BU31" s="39">
        <v>196.13851180805082</v>
      </c>
      <c r="BV31" s="39">
        <v>-2.1761017650486831</v>
      </c>
      <c r="BW31" s="39">
        <v>1.7639948819194871</v>
      </c>
      <c r="BX31" s="39">
        <v>196.08202767785582</v>
      </c>
      <c r="BY31" s="39">
        <v>-0.20121202552562575</v>
      </c>
      <c r="BZ31" s="39">
        <v>2.6840597232214378</v>
      </c>
      <c r="CA31" s="39">
        <v>196.07292425633057</v>
      </c>
      <c r="CB31" s="39">
        <v>1.4196257847938925</v>
      </c>
      <c r="CC31" s="39">
        <v>2.2982507574366906</v>
      </c>
      <c r="CD31" s="39">
        <v>196.14444540474028</v>
      </c>
      <c r="CE31" s="39">
        <v>2.6357112158220266</v>
      </c>
      <c r="CF31" s="39">
        <v>0.13983554595259307</v>
      </c>
      <c r="CG31" s="39">
        <v>196.09984104019739</v>
      </c>
      <c r="CH31" s="39">
        <v>2.5340308309329544</v>
      </c>
      <c r="CI31" s="39">
        <v>-0.98691841040196948</v>
      </c>
      <c r="CJ31" s="40"/>
      <c r="CK31" s="43">
        <f t="shared" ref="CK31" si="828">IF(BO31="","",(BO31-BO$10)*1000)</f>
        <v>0.72588645605264901</v>
      </c>
      <c r="CL31" s="43">
        <f t="shared" ref="CL31" si="829">IF(BP31="","",(BP31-BP$10)*1000)</f>
        <v>3.6487105882847537</v>
      </c>
      <c r="CM31" s="43">
        <f t="shared" ref="CM31" si="830">IF(BQ31="","",(BQ31-BQ$10)*1000)</f>
        <v>4.4927411354507285</v>
      </c>
      <c r="CN31" s="43">
        <f t="shared" ref="CN31" si="831">IF(BR31="","",(BR31-BR$10)*1000)</f>
        <v>-8.2516508064713889</v>
      </c>
      <c r="CO31" s="43">
        <f t="shared" ref="CO31" si="832">IF(BS31="","",(BS31-BS$10)*1000)</f>
        <v>2.5515209235709158</v>
      </c>
      <c r="CP31" s="43">
        <f t="shared" ref="CP31" si="833">IF(BT31="","",(BT31-BT$10)*1000)</f>
        <v>-3.9174834919464274</v>
      </c>
      <c r="CQ31" s="43">
        <f t="shared" ref="CQ31" si="834">IF(BU31="","",(BU31-BU$10)*1000)</f>
        <v>-0.13643473843671927</v>
      </c>
      <c r="CR31" s="43">
        <f t="shared" ref="CR31" si="835">IF(BV31="","",(BV31-BV$10)*1000)</f>
        <v>9.7566072735948417</v>
      </c>
      <c r="CS31" s="43">
        <f t="shared" ref="CS31" si="836">IF(BW31="","",(BW31-BW$10)*1000)</f>
        <v>-7.0986356526105965</v>
      </c>
      <c r="CT31" s="43">
        <f t="shared" ref="CT31" si="837">IF(BX31="","",(BX31-BX$10)*1000)</f>
        <v>-8.0054377161218326</v>
      </c>
      <c r="CU31" s="43">
        <f t="shared" ref="CU31" si="838">IF(BY31="","",(BY31-BY$10)*1000)</f>
        <v>-3.1816612129769437</v>
      </c>
      <c r="CV31" s="43">
        <f t="shared" ref="CV31" si="839">IF(BZ31="","",(BZ31-BZ$10)*1000)</f>
        <v>-42.51994562284267</v>
      </c>
      <c r="CW31" s="43">
        <f t="shared" ref="CW31" si="840">IF(CA31="","",(CA31-CA$10)*1000)</f>
        <v>1.7145768367470282</v>
      </c>
      <c r="CX31" s="43">
        <f t="shared" ref="CX31" si="841">IF(CB31="","",(CB31-CB$10)*1000)</f>
        <v>-4.3863684142360082</v>
      </c>
      <c r="CY31" s="43">
        <f t="shared" ref="CY31" si="842">IF(CC31="","",(CC31-CC$10)*1000)</f>
        <v>-30.317145768364639</v>
      </c>
      <c r="CZ31" s="43">
        <f t="shared" ref="CZ31" si="843">IF(CD31="","",(CD31-CD$10)*1000)</f>
        <v>0.32251257923121557</v>
      </c>
      <c r="DA31" s="43">
        <f t="shared" ref="DA31" si="844">IF(CE31="","",(CE31-CE$10)*1000)</f>
        <v>-14.414436660601826</v>
      </c>
      <c r="DB31" s="43">
        <f t="shared" ref="DB31" si="845">IF(CF31="","",(CF31-CF$10)*1000)</f>
        <v>1.4967748742122922</v>
      </c>
      <c r="DC31" s="43">
        <f t="shared" ref="DC31" si="846">IF(CG31="","",(CG31-CG$10)*1000)</f>
        <v>0.92599668587922679</v>
      </c>
      <c r="DD31" s="43">
        <f t="shared" ref="DD31" si="847">IF(CH31="","",(CH31-CH$10)*1000)</f>
        <v>-16.891492934337116</v>
      </c>
      <c r="DE31" s="43">
        <f t="shared" ref="DE31" si="848">IF(CI31="","",(CI31-CI$10)*1000)</f>
        <v>2.9907400331410372</v>
      </c>
    </row>
    <row r="32" spans="1:109" ht="29.25" customHeight="1" x14ac:dyDescent="0.2">
      <c r="A32" s="37">
        <v>43774</v>
      </c>
      <c r="B32" s="29">
        <f t="shared" si="550"/>
        <v>69</v>
      </c>
      <c r="C32" s="38">
        <v>217.72</v>
      </c>
      <c r="D32" s="38">
        <f t="shared" si="551"/>
        <v>21.620000000000005</v>
      </c>
      <c r="E32" s="39">
        <v>823244.33180000004</v>
      </c>
      <c r="F32" s="39">
        <v>1091518.7767</v>
      </c>
      <c r="G32" s="39">
        <v>-124.54640000000001</v>
      </c>
      <c r="H32" s="39">
        <v>823244.23569999996</v>
      </c>
      <c r="I32" s="39">
        <v>1091518.9497</v>
      </c>
      <c r="J32" s="39">
        <v>-123.1865</v>
      </c>
      <c r="K32" s="39">
        <v>823244.51289999997</v>
      </c>
      <c r="L32" s="39">
        <v>1091518.4671</v>
      </c>
      <c r="M32" s="39">
        <v>-121.818</v>
      </c>
      <c r="N32" s="39">
        <v>823245.29550000001</v>
      </c>
      <c r="O32" s="39">
        <v>1091516.6538</v>
      </c>
      <c r="P32" s="39">
        <v>-120.9015</v>
      </c>
      <c r="Q32" s="39">
        <v>823245.97279999999</v>
      </c>
      <c r="R32" s="39">
        <v>1091515.1813999999</v>
      </c>
      <c r="S32" s="39">
        <v>-121.28619999999999</v>
      </c>
      <c r="T32" s="39">
        <v>823246.55090000003</v>
      </c>
      <c r="U32" s="39">
        <v>1091514.1102</v>
      </c>
      <c r="V32" s="39">
        <v>-123.4415</v>
      </c>
      <c r="W32" s="39">
        <v>823246.46730000002</v>
      </c>
      <c r="X32" s="39">
        <v>1091514.1836000001</v>
      </c>
      <c r="Y32" s="39">
        <v>-124.5685</v>
      </c>
      <c r="Z32" s="39">
        <f t="shared" si="1"/>
        <v>4.326744516405876</v>
      </c>
      <c r="AA32" s="39">
        <f t="shared" si="2"/>
        <v>3.4081604789416451</v>
      </c>
      <c r="AB32" s="39">
        <f t="shared" si="3"/>
        <v>2.1772670713976758</v>
      </c>
      <c r="AC32" s="39">
        <f t="shared" si="4"/>
        <v>1.6657404180207445</v>
      </c>
      <c r="AD32" s="39">
        <f t="shared" si="5"/>
        <v>3.8075622279792554</v>
      </c>
      <c r="AE32" s="39">
        <f t="shared" si="6"/>
        <v>4.5740455047320552</v>
      </c>
      <c r="AF32" s="39">
        <f t="shared" si="7"/>
        <v>3.6345486295910963</v>
      </c>
      <c r="AG32" s="39">
        <f t="shared" si="8"/>
        <v>5.3708413019137256</v>
      </c>
      <c r="AH32" s="39">
        <f t="shared" si="9"/>
        <v>5.0653150217278338</v>
      </c>
      <c r="AI32" s="43">
        <f t="shared" ref="AI32" si="849">IF(Z32="","",(Z32-Z$10)*1000)</f>
        <v>-47.394454904741146</v>
      </c>
      <c r="AJ32" s="43">
        <f t="shared" ref="AJ32" si="850">IF(AA32="","",(AA32-AA$10)*1000)</f>
        <v>-33.003970789314607</v>
      </c>
      <c r="AK32" s="43">
        <f t="shared" ref="AK32" si="851">IF(AB32="","",(AB32-AB$10)*1000)</f>
        <v>-28.599792223503062</v>
      </c>
      <c r="AL32" s="43">
        <f t="shared" ref="AL32" si="852">IF(AC32="","",(AC32-AC$10)*1000)</f>
        <v>-4.5707776523806753</v>
      </c>
      <c r="AM32" s="43">
        <f t="shared" ref="AM32" si="853">IF(AD32="","",(AD32-AD$10)*1000)</f>
        <v>-40.958226681027995</v>
      </c>
      <c r="AN32" s="43">
        <f t="shared" ref="AN32" si="854">IF(AE32="","",(AE32-AE$10)*1000)</f>
        <v>-48.556439032473975</v>
      </c>
      <c r="AO32" s="43">
        <f t="shared" ref="AO32" si="855">IF(AF32="","",(AF32-AF$10)*1000)</f>
        <v>-18.633464270739086</v>
      </c>
      <c r="AP32" s="43">
        <f t="shared" ref="AP32" si="856">IF(AG32="","",(AG32-AG$10)*1000)</f>
        <v>-19.070858787718414</v>
      </c>
      <c r="AQ32" s="43">
        <f t="shared" ref="AQ32" si="857">IF(AH32="","",(AH32-AH$10)*1000)</f>
        <v>-22.852189720436122</v>
      </c>
      <c r="AR32" s="40"/>
      <c r="AS32" s="43">
        <f t="shared" ref="AS32" si="858">IF(E32="","",(E32-E$10)*1000)</f>
        <v>1.4000000664964318</v>
      </c>
      <c r="AT32" s="43">
        <f t="shared" ref="AT32" si="859">IF(F32="","",(F32-F$10)*1000)</f>
        <v>-7.8000000212341547</v>
      </c>
      <c r="AU32" s="43">
        <f t="shared" ref="AU32" si="860">IF(G32="","",(G32-G$10)*1000)</f>
        <v>5.0999999999987722</v>
      </c>
      <c r="AV32" s="43">
        <f t="shared" ref="AV32" si="861">IF(H32="","",(H32-H$10)*1000)</f>
        <v>-7.30000005569309</v>
      </c>
      <c r="AW32" s="43">
        <f t="shared" ref="AW32" si="862">IF(I32="","",(I32-I$10)*1000)</f>
        <v>-10.400000028312206</v>
      </c>
      <c r="AX32" s="43">
        <f t="shared" ref="AX32" si="863">IF(J32="","",(J32-J$10)*1000)</f>
        <v>-4.3000000000006366</v>
      </c>
      <c r="AY32" s="43">
        <f t="shared" ref="AY32" si="864">IF(K32="","",(K32-K$10)*1000)</f>
        <v>3.2999999821186066</v>
      </c>
      <c r="AZ32" s="43">
        <f t="shared" ref="AZ32" si="865">IF(L32="","",(L32-L$10)*1000)</f>
        <v>-13.299999991431832</v>
      </c>
      <c r="BA32" s="43">
        <f t="shared" ref="BA32" si="866">IF(M32="","",(M32-M$10)*1000)</f>
        <v>-7.5999999999964984</v>
      </c>
      <c r="BB32" s="43">
        <f t="shared" ref="BB32" si="867">IF(N32="","",(N32-N$10)*1000)</f>
        <v>-10.200000018812716</v>
      </c>
      <c r="BC32" s="43">
        <f t="shared" ref="BC32" si="868">IF(O32="","",(O32-O$10)*1000)</f>
        <v>-4.5000000391155481</v>
      </c>
      <c r="BD32" s="43">
        <f t="shared" ref="BD32" si="869">IF(P32="","",(P32-P$10)*1000)</f>
        <v>-46.099999999995589</v>
      </c>
      <c r="BE32" s="43">
        <f t="shared" ref="BE32" si="870">IF(Q32="","",(Q32-Q$10)*1000)</f>
        <v>-1.4000000664964318</v>
      </c>
      <c r="BF32" s="43">
        <f t="shared" ref="BF32" si="871">IF(R32="","",(R32-R$10)*1000)</f>
        <v>1.0999999940395355</v>
      </c>
      <c r="BG32" s="43">
        <f t="shared" ref="BG32" si="872">IF(S32="","",(S32-S$10)*1000)</f>
        <v>-32.599999999987972</v>
      </c>
      <c r="BH32" s="43">
        <f t="shared" ref="BH32" si="873">IF(T32="","",(T32-T$10)*1000)</f>
        <v>-7.6000000117346644</v>
      </c>
      <c r="BI32" s="43">
        <f t="shared" ref="BI32" si="874">IF(U32="","",(U32-U$10)*1000)</f>
        <v>10.2999999653548</v>
      </c>
      <c r="BJ32" s="43">
        <f t="shared" ref="BJ32" si="875">IF(V32="","",(V32-V$10)*1000)</f>
        <v>1.5999999999962711</v>
      </c>
      <c r="BK32" s="43">
        <f t="shared" ref="BK32" si="876">IF(W32="","",(W32-W$10)*1000)</f>
        <v>-8.2999999867752194</v>
      </c>
      <c r="BL32" s="43">
        <f t="shared" ref="BL32" si="877">IF(X32="","",(X32-X$10)*1000)</f>
        <v>12.900000205263495</v>
      </c>
      <c r="BM32" s="43">
        <f t="shared" ref="BM32" si="878">IF(Y32="","",(Y32-Y$10)*1000)</f>
        <v>3.2999999999958618</v>
      </c>
      <c r="BN32" s="40"/>
      <c r="BO32" s="39">
        <v>196.10274130710678</v>
      </c>
      <c r="BP32" s="39">
        <v>-2.5295402339005122</v>
      </c>
      <c r="BQ32" s="39">
        <v>-0.96454741307107383</v>
      </c>
      <c r="BR32" s="39">
        <v>196.08876543883341</v>
      </c>
      <c r="BS32" s="39">
        <v>-2.7269456165655228</v>
      </c>
      <c r="BT32" s="39">
        <v>0.39549234561167168</v>
      </c>
      <c r="BU32" s="39">
        <v>196.13601773480471</v>
      </c>
      <c r="BV32" s="39">
        <v>-2.1724099364505269</v>
      </c>
      <c r="BW32" s="39">
        <v>1.7635198226519577</v>
      </c>
      <c r="BX32" s="39">
        <v>196.07888700259156</v>
      </c>
      <c r="BY32" s="39">
        <v>-0.19826310056687027</v>
      </c>
      <c r="BZ32" s="39">
        <v>2.6805911299740757</v>
      </c>
      <c r="CA32" s="39">
        <v>196.07040578777332</v>
      </c>
      <c r="CB32" s="39">
        <v>1.4224235191172547</v>
      </c>
      <c r="CC32" s="39">
        <v>2.2959759421222685</v>
      </c>
      <c r="CD32" s="39">
        <v>196.14158838826614</v>
      </c>
      <c r="CE32" s="39">
        <v>2.6375786891260247</v>
      </c>
      <c r="CF32" s="39">
        <v>0.1399641161173264</v>
      </c>
      <c r="CG32" s="39">
        <v>196.09684503053242</v>
      </c>
      <c r="CH32" s="39">
        <v>2.5357231445689519</v>
      </c>
      <c r="CI32" s="39">
        <v>-0.98658845030533371</v>
      </c>
      <c r="CJ32" s="40"/>
      <c r="CK32" s="43">
        <f t="shared" ref="CK32" si="879">IF(BO32="","",(BO32-BO$10)*1000)</f>
        <v>-2.0278767586034974</v>
      </c>
      <c r="CL32" s="43">
        <f t="shared" ref="CL32" si="880">IF(BP32="","",(BP32-BP$10)*1000)</f>
        <v>7.6607908449131124</v>
      </c>
      <c r="CM32" s="43">
        <f t="shared" ref="CM32" si="881">IF(BQ32="","",(BQ32-BQ$10)*1000)</f>
        <v>5.1202787675919126</v>
      </c>
      <c r="CN32" s="43">
        <f t="shared" ref="CN32" si="882">IF(BR32="","",(BR32-BR$10)*1000)</f>
        <v>-11.011512926245359</v>
      </c>
      <c r="CO32" s="43">
        <f t="shared" ref="CO32" si="883">IF(BS32="","",(BS32-BS$10)*1000)</f>
        <v>6.3400776396629333</v>
      </c>
      <c r="CP32" s="43">
        <f t="shared" ref="CP32" si="884">IF(BT32="","",(BT32-BT$10)*1000)</f>
        <v>-4.1898848707404568</v>
      </c>
      <c r="CQ32" s="43">
        <f t="shared" ref="CQ32" si="885">IF(BU32="","",(BU32-BU$10)*1000)</f>
        <v>-2.6305079845485579</v>
      </c>
      <c r="CR32" s="43">
        <f t="shared" ref="CR32" si="886">IF(BV32="","",(BV32-BV$10)*1000)</f>
        <v>13.448435871751041</v>
      </c>
      <c r="CS32" s="43">
        <f t="shared" ref="CS32" si="887">IF(BW32="","",(BW32-BW$10)*1000)</f>
        <v>-7.5736949201399284</v>
      </c>
      <c r="CT32" s="43">
        <f t="shared" ref="CT32" si="888">IF(BX32="","",(BX32-BX$10)*1000)</f>
        <v>-11.14611298038426</v>
      </c>
      <c r="CU32" s="43">
        <f t="shared" ref="CU32" si="889">IF(BY32="","",(BY32-BY$10)*1000)</f>
        <v>-0.2327362542214606</v>
      </c>
      <c r="CV32" s="43">
        <f t="shared" ref="CV32" si="890">IF(BZ32="","",(BZ32-BZ$10)*1000)</f>
        <v>-45.98853887020482</v>
      </c>
      <c r="CW32" s="43">
        <f t="shared" ref="CW32" si="891">IF(CA32="","",(CA32-CA$10)*1000)</f>
        <v>-0.80389172049422086</v>
      </c>
      <c r="CX32" s="43">
        <f t="shared" ref="CX32" si="892">IF(CB32="","",(CB32-CB$10)*1000)</f>
        <v>-1.5886340908737306</v>
      </c>
      <c r="CY32" s="43">
        <f t="shared" ref="CY32" si="893">IF(CC32="","",(CC32-CC$10)*1000)</f>
        <v>-32.591961082786725</v>
      </c>
      <c r="CZ32" s="43">
        <f t="shared" ref="CZ32" si="894">IF(CD32="","",(CD32-CD$10)*1000)</f>
        <v>-2.5345038949069476</v>
      </c>
      <c r="DA32" s="43">
        <f t="shared" ref="DA32" si="895">IF(CE32="","",(CE32-CE$10)*1000)</f>
        <v>-12.546963356603769</v>
      </c>
      <c r="DB32" s="43">
        <f t="shared" ref="DB32" si="896">IF(CF32="","",(CF32-CF$10)*1000)</f>
        <v>1.6253450389456248</v>
      </c>
      <c r="DC32" s="43">
        <f t="shared" ref="DC32" si="897">IF(CG32="","",(CG32-CG$10)*1000)</f>
        <v>-2.0700129790895971</v>
      </c>
      <c r="DD32" s="43">
        <f t="shared" ref="DD32" si="898">IF(CH32="","",(CH32-CH$10)*1000)</f>
        <v>-15.199179298339693</v>
      </c>
      <c r="DE32" s="43">
        <f t="shared" ref="DE32" si="899">IF(CI32="","",(CI32-CI$10)*1000)</f>
        <v>3.3207001297768102</v>
      </c>
    </row>
    <row r="33" spans="1:109" ht="29.25" customHeight="1" x14ac:dyDescent="0.2">
      <c r="A33" s="37">
        <v>43776</v>
      </c>
      <c r="B33" s="29">
        <f t="shared" si="550"/>
        <v>71</v>
      </c>
      <c r="C33" s="38">
        <v>218.8</v>
      </c>
      <c r="D33" s="38">
        <f t="shared" si="551"/>
        <v>22.700000000000017</v>
      </c>
      <c r="E33" s="39">
        <v>823244.33239999996</v>
      </c>
      <c r="F33" s="39">
        <v>1091518.7788</v>
      </c>
      <c r="G33" s="39">
        <v>-124.5453</v>
      </c>
      <c r="H33" s="39">
        <v>823244.23670000001</v>
      </c>
      <c r="I33" s="39">
        <v>1091518.9521000001</v>
      </c>
      <c r="J33" s="39">
        <v>-123.18519999999999</v>
      </c>
      <c r="K33" s="39">
        <v>823244.51370000001</v>
      </c>
      <c r="L33" s="39">
        <v>1091518.4691000001</v>
      </c>
      <c r="M33" s="39">
        <v>-121.8168</v>
      </c>
      <c r="N33" s="39">
        <v>823245.29599999997</v>
      </c>
      <c r="O33" s="39">
        <v>1091516.6558999999</v>
      </c>
      <c r="P33" s="39">
        <v>-120.90089999999999</v>
      </c>
      <c r="Q33" s="39">
        <v>823245.97340000002</v>
      </c>
      <c r="R33" s="39">
        <v>1091515.1836000001</v>
      </c>
      <c r="S33" s="39">
        <v>-121.2855</v>
      </c>
      <c r="T33" s="39">
        <v>823246.55160000001</v>
      </c>
      <c r="U33" s="39">
        <v>1091514.1124</v>
      </c>
      <c r="V33" s="39">
        <v>-123.44029999999999</v>
      </c>
      <c r="W33" s="39">
        <v>823246.4682</v>
      </c>
      <c r="X33" s="39">
        <v>1091514.1858000001</v>
      </c>
      <c r="Y33" s="39">
        <v>-124.5672</v>
      </c>
      <c r="Z33" s="39">
        <f t="shared" si="1"/>
        <v>4.3263010448131478</v>
      </c>
      <c r="AA33" s="39">
        <f t="shared" si="2"/>
        <v>3.4077378744430269</v>
      </c>
      <c r="AB33" s="39">
        <f t="shared" si="3"/>
        <v>2.176823451889303</v>
      </c>
      <c r="AC33" s="39">
        <f t="shared" si="4"/>
        <v>1.6656695979221778</v>
      </c>
      <c r="AD33" s="39">
        <f t="shared" si="5"/>
        <v>3.8071611431141084</v>
      </c>
      <c r="AE33" s="39">
        <f t="shared" si="6"/>
        <v>4.5735328291259831</v>
      </c>
      <c r="AF33" s="39">
        <f t="shared" si="7"/>
        <v>3.6342143621431218</v>
      </c>
      <c r="AG33" s="39">
        <f t="shared" si="8"/>
        <v>5.3708969559306938</v>
      </c>
      <c r="AH33" s="39">
        <f t="shared" si="9"/>
        <v>5.0653499631390542</v>
      </c>
      <c r="AI33" s="43">
        <f t="shared" ref="AI33" si="900">IF(Z33="","",(Z33-Z$10)*1000)</f>
        <v>-47.837926497469319</v>
      </c>
      <c r="AJ33" s="43">
        <f t="shared" ref="AJ33" si="901">IF(AA33="","",(AA33-AA$10)*1000)</f>
        <v>-33.426575287932806</v>
      </c>
      <c r="AK33" s="43">
        <f t="shared" ref="AK33" si="902">IF(AB33="","",(AB33-AB$10)*1000)</f>
        <v>-29.043411731875857</v>
      </c>
      <c r="AL33" s="43">
        <f t="shared" ref="AL33" si="903">IF(AC33="","",(AC33-AC$10)*1000)</f>
        <v>-4.6415977509473016</v>
      </c>
      <c r="AM33" s="43">
        <f t="shared" ref="AM33" si="904">IF(AD33="","",(AD33-AD$10)*1000)</f>
        <v>-41.359311546175007</v>
      </c>
      <c r="AN33" s="43">
        <f t="shared" ref="AN33" si="905">IF(AE33="","",(AE33-AE$10)*1000)</f>
        <v>-49.069114638546019</v>
      </c>
      <c r="AO33" s="43">
        <f t="shared" ref="AO33" si="906">IF(AF33="","",(AF33-AF$10)*1000)</f>
        <v>-18.967731718713576</v>
      </c>
      <c r="AP33" s="43">
        <f t="shared" ref="AP33" si="907">IF(AG33="","",(AG33-AG$10)*1000)</f>
        <v>-19.015204770750138</v>
      </c>
      <c r="AQ33" s="43">
        <f t="shared" ref="AQ33" si="908">IF(AH33="","",(AH33-AH$10)*1000)</f>
        <v>-22.817248309215721</v>
      </c>
      <c r="AR33" s="40"/>
      <c r="AS33" s="43">
        <f t="shared" ref="AS33" si="909">IF(E33="","",(E33-E$10)*1000)</f>
        <v>1.9999999785795808</v>
      </c>
      <c r="AT33" s="43">
        <f t="shared" ref="AT33" si="910">IF(F33="","",(F33-F$10)*1000)</f>
        <v>-5.7000000961124897</v>
      </c>
      <c r="AU33" s="43">
        <f t="shared" ref="AU33" si="911">IF(G33="","",(G33-G$10)*1000)</f>
        <v>6.2000000000068667</v>
      </c>
      <c r="AV33" s="43">
        <f t="shared" ref="AV33" si="912">IF(H33="","",(H33-H$10)*1000)</f>
        <v>-6.3000000081956387</v>
      </c>
      <c r="AW33" s="43">
        <f t="shared" ref="AW33" si="913">IF(I33="","",(I33-I$10)*1000)</f>
        <v>-7.9999999143183231</v>
      </c>
      <c r="AX33" s="43">
        <f t="shared" ref="AX33" si="914">IF(J33="","",(J33-J$10)*1000)</f>
        <v>-3.0000000000001137</v>
      </c>
      <c r="AY33" s="43">
        <f t="shared" ref="AY33" si="915">IF(K33="","",(K33-K$10)*1000)</f>
        <v>4.1000000201165676</v>
      </c>
      <c r="AZ33" s="43">
        <f t="shared" ref="AZ33" si="916">IF(L33="","",(L33-L$10)*1000)</f>
        <v>-11.29999989643693</v>
      </c>
      <c r="BA33" s="43">
        <f t="shared" ref="BA33" si="917">IF(M33="","",(M33-M$10)*1000)</f>
        <v>-6.3999999999992951</v>
      </c>
      <c r="BB33" s="43">
        <f t="shared" ref="BB33" si="918">IF(N33="","",(N33-N$10)*1000)</f>
        <v>-9.7000000532716513</v>
      </c>
      <c r="BC33" s="43">
        <f t="shared" ref="BC33" si="919">IF(O33="","",(O33-O$10)*1000)</f>
        <v>-2.4000001139938831</v>
      </c>
      <c r="BD33" s="43">
        <f t="shared" ref="BD33" si="920">IF(P33="","",(P33-P$10)*1000)</f>
        <v>-45.499999999989882</v>
      </c>
      <c r="BE33" s="43">
        <f t="shared" ref="BE33" si="921">IF(Q33="","",(Q33-Q$10)*1000)</f>
        <v>-0.80000003799796104</v>
      </c>
      <c r="BF33" s="43">
        <f t="shared" ref="BF33" si="922">IF(R33="","",(R33-R$10)*1000)</f>
        <v>3.3000002149492502</v>
      </c>
      <c r="BG33" s="43">
        <f t="shared" ref="BG33" si="923">IF(S33="","",(S33-S$10)*1000)</f>
        <v>-31.899999999993156</v>
      </c>
      <c r="BH33" s="43">
        <f t="shared" ref="BH33" si="924">IF(T33="","",(T33-T$10)*1000)</f>
        <v>-6.9000000366941094</v>
      </c>
      <c r="BI33" s="43">
        <f t="shared" ref="BI33" si="925">IF(U33="","",(U33-U$10)*1000)</f>
        <v>12.499999953433871</v>
      </c>
      <c r="BJ33" s="43">
        <f t="shared" ref="BJ33" si="926">IF(V33="","",(V33-V$10)*1000)</f>
        <v>2.8000000000076852</v>
      </c>
      <c r="BK33" s="43">
        <f t="shared" ref="BK33" si="927">IF(W33="","",(W33-W$10)*1000)</f>
        <v>-7.4000000022351742</v>
      </c>
      <c r="BL33" s="43">
        <f t="shared" ref="BL33" si="928">IF(X33="","",(X33-X$10)*1000)</f>
        <v>15.100000193342566</v>
      </c>
      <c r="BM33" s="43">
        <f t="shared" ref="BM33" si="929">IF(Y33="","",(Y33-Y$10)*1000)</f>
        <v>4.5999999999963848</v>
      </c>
      <c r="BN33" s="40"/>
      <c r="BO33" s="39">
        <v>196.10419999999999</v>
      </c>
      <c r="BP33" s="39">
        <v>-2.5312000000000001</v>
      </c>
      <c r="BQ33" s="39">
        <v>-0.96350000000000002</v>
      </c>
      <c r="BR33" s="39">
        <v>196.0907</v>
      </c>
      <c r="BS33" s="39">
        <v>-2.7286999999999999</v>
      </c>
      <c r="BT33" s="39">
        <v>0.39679999999999999</v>
      </c>
      <c r="BU33" s="39">
        <v>196.13759999999999</v>
      </c>
      <c r="BV33" s="39">
        <v>-2.1739000000000002</v>
      </c>
      <c r="BW33" s="39">
        <v>1.7646999999999999</v>
      </c>
      <c r="BX33" s="39">
        <v>196.08019999999999</v>
      </c>
      <c r="BY33" s="39">
        <v>-0.2</v>
      </c>
      <c r="BZ33" s="39">
        <v>2.6812</v>
      </c>
      <c r="CA33" s="39">
        <v>196.0719</v>
      </c>
      <c r="CB33" s="39">
        <v>1.4207000000000001</v>
      </c>
      <c r="CC33" s="39">
        <v>2.2967</v>
      </c>
      <c r="CD33" s="39">
        <v>196.14320000000001</v>
      </c>
      <c r="CE33" s="39">
        <v>2.6358999999999999</v>
      </c>
      <c r="CF33" s="39">
        <v>0.1411</v>
      </c>
      <c r="CG33" s="39">
        <v>196.0986</v>
      </c>
      <c r="CH33" s="39">
        <v>2.5341</v>
      </c>
      <c r="CI33" s="39">
        <v>-0.98529999999999995</v>
      </c>
      <c r="CJ33" s="40"/>
      <c r="CK33" s="43">
        <f t="shared" ref="CK33" si="930">IF(BO33="","",(BO33-BO$10)*1000)</f>
        <v>-0.56918386539450694</v>
      </c>
      <c r="CL33" s="43">
        <f t="shared" ref="CL33" si="931">IF(BP33="","",(BP33-BP$10)*1000)</f>
        <v>6.0010247454251875</v>
      </c>
      <c r="CM33" s="43">
        <f t="shared" ref="CM33" si="932">IF(BQ33="","",(BQ33-BQ$10)*1000)</f>
        <v>6.1676918386657231</v>
      </c>
      <c r="CN33" s="43">
        <f t="shared" ref="CN33" si="933">IF(BR33="","",(BR33-BR$10)*1000)</f>
        <v>-9.0769517596527294</v>
      </c>
      <c r="CO33" s="43">
        <f t="shared" ref="CO33" si="934">IF(BS33="","",(BS33-BS$10)*1000)</f>
        <v>4.5856942051858418</v>
      </c>
      <c r="CP33" s="43">
        <f t="shared" ref="CP33" si="935">IF(BT33="","",(BT33-BT$10)*1000)</f>
        <v>-2.8822304824121514</v>
      </c>
      <c r="CQ33" s="43">
        <f t="shared" ref="CQ33" si="936">IF(BU33="","",(BU33-BU$10)*1000)</f>
        <v>-1.0482427892668511</v>
      </c>
      <c r="CR33" s="43">
        <f t="shared" ref="CR33" si="937">IF(BV33="","",(BV33-BV$10)*1000)</f>
        <v>11.95837232227781</v>
      </c>
      <c r="CS33" s="43">
        <f t="shared" ref="CS33" si="938">IF(BW33="","",(BW33-BW$10)*1000)</f>
        <v>-6.3935175720977178</v>
      </c>
      <c r="CT33" s="43">
        <f t="shared" ref="CT33" si="939">IF(BX33="","",(BX33-BX$10)*1000)</f>
        <v>-9.8331155719506569</v>
      </c>
      <c r="CU33" s="43">
        <f t="shared" ref="CU33" si="940">IF(BY33="","",(BY33-BY$10)*1000)</f>
        <v>-1.9696356873512011</v>
      </c>
      <c r="CV33" s="43">
        <f t="shared" ref="CV33" si="941">IF(BZ33="","",(BZ33-BZ$10)*1000)</f>
        <v>-45.379668844280459</v>
      </c>
      <c r="CW33" s="43">
        <f t="shared" ref="CW33" si="942">IF(CA33="","",(CA33-CA$10)*1000)</f>
        <v>0.69032050618034191</v>
      </c>
      <c r="CX33" s="43">
        <f t="shared" ref="CX33" si="943">IF(CB33="","",(CB33-CB$10)*1000)</f>
        <v>-3.3121532081283878</v>
      </c>
      <c r="CY33" s="43">
        <f t="shared" ref="CY33" si="944">IF(CC33="","",(CC33-CC$10)*1000)</f>
        <v>-31.867903205055281</v>
      </c>
      <c r="CZ33" s="43">
        <f t="shared" ref="CZ33" si="945">IF(CD33="","",(CD33-CD$10)*1000)</f>
        <v>-0.92289216104290972</v>
      </c>
      <c r="DA33" s="43">
        <f t="shared" ref="DA33" si="946">IF(CE33="","",(CE33-CE$10)*1000)</f>
        <v>-14.225652482628526</v>
      </c>
      <c r="DB33" s="43">
        <f t="shared" ref="DB33" si="947">IF(CF33="","",(CF33-CF$10)*1000)</f>
        <v>2.7612289216192298</v>
      </c>
      <c r="DC33" s="43">
        <f t="shared" ref="DC33" si="948">IF(CG33="","",(CG33-CG$10)*1000)</f>
        <v>-0.31504351150601906</v>
      </c>
      <c r="DD33" s="43">
        <f t="shared" ref="DD33" si="949">IF(CH33="","",(CH33-CH$10)*1000)</f>
        <v>-16.822323867291544</v>
      </c>
      <c r="DE33" s="43">
        <f t="shared" ref="DE33" si="950">IF(CI33="","",(CI33-CI$10)*1000)</f>
        <v>4.609150435110565</v>
      </c>
    </row>
    <row r="34" spans="1:109" ht="29.25" customHeight="1" x14ac:dyDescent="0.2">
      <c r="A34" s="37">
        <v>43782</v>
      </c>
      <c r="B34" s="29">
        <f t="shared" si="550"/>
        <v>77</v>
      </c>
      <c r="C34" s="38">
        <v>219.45</v>
      </c>
      <c r="D34" s="38">
        <f t="shared" si="551"/>
        <v>23.349999999999994</v>
      </c>
      <c r="E34" s="39">
        <v>823244.33219999995</v>
      </c>
      <c r="F34" s="39">
        <v>1091518.7786999999</v>
      </c>
      <c r="G34" s="39">
        <v>-124.5461</v>
      </c>
      <c r="H34" s="39">
        <v>823244.23620000004</v>
      </c>
      <c r="I34" s="39">
        <v>1091518.9517000001</v>
      </c>
      <c r="J34" s="39">
        <v>-123.1861</v>
      </c>
      <c r="K34" s="39">
        <v>823244.51329999999</v>
      </c>
      <c r="L34" s="39">
        <v>1091518.4687999999</v>
      </c>
      <c r="M34" s="39">
        <v>-121.8181</v>
      </c>
      <c r="N34" s="39">
        <v>823245.29610000004</v>
      </c>
      <c r="O34" s="39">
        <v>1091516.6555999999</v>
      </c>
      <c r="P34" s="39">
        <v>-120.9029</v>
      </c>
      <c r="Q34" s="39">
        <v>823245.97340000002</v>
      </c>
      <c r="R34" s="39">
        <v>1091515.1832000001</v>
      </c>
      <c r="S34" s="39">
        <v>-121.2872</v>
      </c>
      <c r="T34" s="39">
        <v>823246.55169999995</v>
      </c>
      <c r="U34" s="39">
        <v>1091514.1124</v>
      </c>
      <c r="V34" s="39">
        <v>-123.4413</v>
      </c>
      <c r="W34" s="39">
        <v>823246.4682</v>
      </c>
      <c r="X34" s="39">
        <v>1091514.1857</v>
      </c>
      <c r="Y34" s="39">
        <v>-124.5682</v>
      </c>
      <c r="Z34" s="39">
        <f t="shared" si="1"/>
        <v>4.325455243097192</v>
      </c>
      <c r="AA34" s="39">
        <f t="shared" si="2"/>
        <v>3.4071198189504073</v>
      </c>
      <c r="AB34" s="39">
        <f t="shared" si="3"/>
        <v>2.1767087816194386</v>
      </c>
      <c r="AC34" s="39">
        <f t="shared" si="4"/>
        <v>1.6656480839427894</v>
      </c>
      <c r="AD34" s="39">
        <f t="shared" si="5"/>
        <v>3.8062937563421455</v>
      </c>
      <c r="AE34" s="39">
        <f t="shared" si="6"/>
        <v>4.5725975669715035</v>
      </c>
      <c r="AF34" s="39">
        <f t="shared" si="7"/>
        <v>3.6344069913737722</v>
      </c>
      <c r="AG34" s="39">
        <f t="shared" si="8"/>
        <v>5.3707999199965055</v>
      </c>
      <c r="AH34" s="39">
        <f t="shared" si="9"/>
        <v>5.0654351648316869</v>
      </c>
      <c r="AI34" s="43">
        <f t="shared" ref="AI34" si="951">IF(Z34="","",(Z34-Z$10)*1000)</f>
        <v>-48.683728213425148</v>
      </c>
      <c r="AJ34" s="43">
        <f t="shared" ref="AJ34" si="952">IF(AA34="","",(AA34-AA$10)*1000)</f>
        <v>-34.044630780552424</v>
      </c>
      <c r="AK34" s="43">
        <f t="shared" ref="AK34" si="953">IF(AB34="","",(AB34-AB$10)*1000)</f>
        <v>-29.158082001740304</v>
      </c>
      <c r="AL34" s="43">
        <f t="shared" ref="AL34" si="954">IF(AC34="","",(AC34-AC$10)*1000)</f>
        <v>-4.6631117303357339</v>
      </c>
      <c r="AM34" s="43">
        <f t="shared" ref="AM34" si="955">IF(AD34="","",(AD34-AD$10)*1000)</f>
        <v>-42.226698318137856</v>
      </c>
      <c r="AN34" s="43">
        <f t="shared" ref="AN34" si="956">IF(AE34="","",(AE34-AE$10)*1000)</f>
        <v>-50.004376793025607</v>
      </c>
      <c r="AO34" s="43">
        <f t="shared" ref="AO34" si="957">IF(AF34="","",(AF34-AF$10)*1000)</f>
        <v>-18.775102488063133</v>
      </c>
      <c r="AP34" s="43">
        <f t="shared" ref="AP34" si="958">IF(AG34="","",(AG34-AG$10)*1000)</f>
        <v>-19.112240704938444</v>
      </c>
      <c r="AQ34" s="43">
        <f t="shared" ref="AQ34" si="959">IF(AH34="","",(AH34-AH$10)*1000)</f>
        <v>-22.732046616583013</v>
      </c>
      <c r="AR34" s="40"/>
      <c r="AS34" s="43">
        <f t="shared" ref="AS34" si="960">IF(E34="","",(E34-E$10)*1000)</f>
        <v>1.7999999690800905</v>
      </c>
      <c r="AT34" s="43">
        <f t="shared" ref="AT34" si="961">IF(F34="","",(F34-F$10)*1000)</f>
        <v>-5.8000001590698957</v>
      </c>
      <c r="AU34" s="43">
        <f t="shared" ref="AU34" si="962">IF(G34="","",(G34-G$10)*1000)</f>
        <v>5.4000000000087311</v>
      </c>
      <c r="AV34" s="43">
        <f t="shared" ref="AV34" si="963">IF(H34="","",(H34-H$10)*1000)</f>
        <v>-6.7999999737367034</v>
      </c>
      <c r="AW34" s="43">
        <f t="shared" ref="AW34" si="964">IF(I34="","",(I34-I$10)*1000)</f>
        <v>-8.3999999333173037</v>
      </c>
      <c r="AX34" s="43">
        <f t="shared" ref="AX34" si="965">IF(J34="","",(J34-J$10)*1000)</f>
        <v>-3.9000000000015689</v>
      </c>
      <c r="AY34" s="43">
        <f t="shared" ref="AY34" si="966">IF(K34="","",(K34-K$10)*1000)</f>
        <v>3.7000000011175871</v>
      </c>
      <c r="AZ34" s="43">
        <f t="shared" ref="AZ34" si="967">IF(L34="","",(L34-L$10)*1000)</f>
        <v>-11.600000085309148</v>
      </c>
      <c r="BA34" s="43">
        <f t="shared" ref="BA34" si="968">IF(M34="","",(M34-M$10)*1000)</f>
        <v>-7.6999999999998181</v>
      </c>
      <c r="BB34" s="43">
        <f t="shared" ref="BB34" si="969">IF(N34="","",(N34-N$10)*1000)</f>
        <v>-9.5999999903142452</v>
      </c>
      <c r="BC34" s="43">
        <f t="shared" ref="BC34" si="970">IF(O34="","",(O34-O$10)*1000)</f>
        <v>-2.7000000700354576</v>
      </c>
      <c r="BD34" s="43">
        <f t="shared" ref="BD34" si="971">IF(P34="","",(P34-P$10)*1000)</f>
        <v>-47.499999999999432</v>
      </c>
      <c r="BE34" s="43">
        <f t="shared" ref="BE34" si="972">IF(Q34="","",(Q34-Q$10)*1000)</f>
        <v>-0.80000003799796104</v>
      </c>
      <c r="BF34" s="43">
        <f t="shared" ref="BF34" si="973">IF(R34="","",(R34-R$10)*1000)</f>
        <v>2.9000001959502697</v>
      </c>
      <c r="BG34" s="43">
        <f t="shared" ref="BG34" si="974">IF(S34="","",(S34-S$10)*1000)</f>
        <v>-33.599999999992747</v>
      </c>
      <c r="BH34" s="43">
        <f t="shared" ref="BH34" si="975">IF(T34="","",(T34-T$10)*1000)</f>
        <v>-6.8000000901520252</v>
      </c>
      <c r="BI34" s="43">
        <f t="shared" ref="BI34" si="976">IF(U34="","",(U34-U$10)*1000)</f>
        <v>12.499999953433871</v>
      </c>
      <c r="BJ34" s="43">
        <f t="shared" ref="BJ34" si="977">IF(V34="","",(V34-V$10)*1000)</f>
        <v>1.8000000000029104</v>
      </c>
      <c r="BK34" s="43">
        <f t="shared" ref="BK34" si="978">IF(W34="","",(W34-W$10)*1000)</f>
        <v>-7.4000000022351742</v>
      </c>
      <c r="BL34" s="43">
        <f t="shared" ref="BL34" si="979">IF(X34="","",(X34-X$10)*1000)</f>
        <v>15.00000013038516</v>
      </c>
      <c r="BM34" s="43">
        <f t="shared" ref="BM34" si="980">IF(Y34="","",(Y34-Y$10)*1000)</f>
        <v>3.5999999999916099</v>
      </c>
      <c r="BN34" s="40"/>
      <c r="BO34" s="39">
        <v>196.10394912780009</v>
      </c>
      <c r="BP34" s="39">
        <v>-2.5311837571110565</v>
      </c>
      <c r="BQ34" s="39">
        <v>-0.96425949127799981</v>
      </c>
      <c r="BR34" s="39">
        <v>196.0900638889926</v>
      </c>
      <c r="BS34" s="39">
        <v>-2.7285468747102279</v>
      </c>
      <c r="BT34" s="39">
        <v>0.39587936111007593</v>
      </c>
      <c r="BU34" s="39">
        <v>196.13709876001906</v>
      </c>
      <c r="BV34" s="39">
        <v>-2.1737815720369329</v>
      </c>
      <c r="BW34" s="39">
        <v>1.763409012399805</v>
      </c>
      <c r="BX34" s="39">
        <v>196.08019155145197</v>
      </c>
      <c r="BY34" s="39">
        <v>-0.19964083500923513</v>
      </c>
      <c r="BZ34" s="39">
        <v>2.6791780844854713</v>
      </c>
      <c r="CA34" s="39">
        <v>196.07171033673217</v>
      </c>
      <c r="CB34" s="39">
        <v>1.4210457844638917</v>
      </c>
      <c r="CC34" s="39">
        <v>2.2949628966326827</v>
      </c>
      <c r="CD34" s="39">
        <v>196.14324325625154</v>
      </c>
      <c r="CE34" s="39">
        <v>2.6359229682036385</v>
      </c>
      <c r="CF34" s="39">
        <v>0.1401475674374808</v>
      </c>
      <c r="CG34" s="39">
        <v>196.09854826255221</v>
      </c>
      <c r="CH34" s="39">
        <v>2.5342003181361541</v>
      </c>
      <c r="CI34" s="39">
        <v>-0.98630548262552509</v>
      </c>
      <c r="CJ34" s="40"/>
      <c r="CK34" s="43">
        <f t="shared" ref="CK34" si="981">IF(BO34="","",(BO34-BO$10)*1000)</f>
        <v>-0.82005606529378383</v>
      </c>
      <c r="CL34" s="43">
        <f t="shared" ref="CL34" si="982">IF(BP34="","",(BP34-BP$10)*1000)</f>
        <v>6.0172676343688281</v>
      </c>
      <c r="CM34" s="43">
        <f t="shared" ref="CM34" si="983">IF(BQ34="","",(BQ34-BQ$10)*1000)</f>
        <v>5.4082005606659322</v>
      </c>
      <c r="CN34" s="43">
        <f t="shared" ref="CN34" si="984">IF(BR34="","",(BR34-BR$10)*1000)</f>
        <v>-9.7130627670480862</v>
      </c>
      <c r="CO34" s="43">
        <f t="shared" ref="CO34" si="985">IF(BS34="","",(BS34-BS$10)*1000)</f>
        <v>4.7388194949578022</v>
      </c>
      <c r="CP34" s="43">
        <f t="shared" ref="CP34" si="986">IF(BT34="","",(BT34-BT$10)*1000)</f>
        <v>-3.8028693723362039</v>
      </c>
      <c r="CQ34" s="43">
        <f t="shared" ref="CQ34" si="987">IF(BU34="","",(BU34-BU$10)*1000)</f>
        <v>-1.5494827702013936</v>
      </c>
      <c r="CR34" s="43">
        <f t="shared" ref="CR34" si="988">IF(BV34="","",(BV34-BV$10)*1000)</f>
        <v>12.07680028534508</v>
      </c>
      <c r="CS34" s="43">
        <f t="shared" ref="CS34" si="989">IF(BW34="","",(BW34-BW$10)*1000)</f>
        <v>-7.6845051722926883</v>
      </c>
      <c r="CT34" s="43">
        <f t="shared" ref="CT34" si="990">IF(BX34="","",(BX34-BX$10)*1000)</f>
        <v>-9.841564119966506</v>
      </c>
      <c r="CU34" s="43">
        <f t="shared" ref="CU34" si="991">IF(BY34="","",(BY34-BY$10)*1000)</f>
        <v>-1.6104706965863191</v>
      </c>
      <c r="CV34" s="43">
        <f t="shared" ref="CV34" si="992">IF(BZ34="","",(BZ34-BZ$10)*1000)</f>
        <v>-47.401584358809146</v>
      </c>
      <c r="CW34" s="43">
        <f t="shared" ref="CW34" si="993">IF(CA34="","",(CA34-CA$10)*1000)</f>
        <v>0.50065723834791243</v>
      </c>
      <c r="CX34" s="43">
        <f t="shared" ref="CX34" si="994">IF(CB34="","",(CB34-CB$10)*1000)</f>
        <v>-2.9663687442367248</v>
      </c>
      <c r="CY34" s="43">
        <f t="shared" ref="CY34" si="995">IF(CC34="","",(CC34-CC$10)*1000)</f>
        <v>-33.605006572372531</v>
      </c>
      <c r="CZ34" s="43">
        <f t="shared" ref="CZ34" si="996">IF(CD34="","",(CD34-CD$10)*1000)</f>
        <v>-0.87963590951289916</v>
      </c>
      <c r="DA34" s="43">
        <f t="shared" ref="DA34" si="997">IF(CE34="","",(CE34-CE$10)*1000)</f>
        <v>-14.202684278989963</v>
      </c>
      <c r="DB34" s="43">
        <f t="shared" ref="DB34" si="998">IF(CF34="","",(CF34-CF$10)*1000)</f>
        <v>1.8087963591000289</v>
      </c>
      <c r="DC34" s="43">
        <f t="shared" ref="DC34" si="999">IF(CG34="","",(CG34-CG$10)*1000)</f>
        <v>-0.36678095929687515</v>
      </c>
      <c r="DD34" s="43">
        <f t="shared" ref="DD34" si="1000">IF(CH34="","",(CH34-CH$10)*1000)</f>
        <v>-16.722005731137468</v>
      </c>
      <c r="DE34" s="43">
        <f t="shared" ref="DE34" si="1001">IF(CI34="","",(CI34-CI$10)*1000)</f>
        <v>3.6036678095854313</v>
      </c>
    </row>
    <row r="35" spans="1:109" ht="29.25" customHeight="1" x14ac:dyDescent="0.2">
      <c r="A35" s="37">
        <v>43783</v>
      </c>
      <c r="B35" s="29">
        <f t="shared" ref="B35:B50" si="1002">IF(A35="","",A35-excav)</f>
        <v>78</v>
      </c>
      <c r="C35" s="38">
        <v>220.5</v>
      </c>
      <c r="D35" s="38">
        <f t="shared" ref="D35:D59" si="1003">IF(C35="","",+C35-$W$6)</f>
        <v>24.400000000000006</v>
      </c>
      <c r="E35" s="39">
        <v>823244.33279999997</v>
      </c>
      <c r="F35" s="39">
        <v>1091518.7799</v>
      </c>
      <c r="G35" s="39">
        <v>-124.545</v>
      </c>
      <c r="H35" s="39">
        <v>823244.23679999996</v>
      </c>
      <c r="I35" s="39">
        <v>1091518.9528999999</v>
      </c>
      <c r="J35" s="39">
        <v>-123.185</v>
      </c>
      <c r="K35" s="39">
        <v>823244.51370000001</v>
      </c>
      <c r="L35" s="39">
        <v>1091518.4701</v>
      </c>
      <c r="M35" s="39">
        <v>-121.8169</v>
      </c>
      <c r="N35" s="39">
        <v>823245.29630000005</v>
      </c>
      <c r="O35" s="39">
        <v>1091516.6571</v>
      </c>
      <c r="P35" s="39">
        <v>-120.9021</v>
      </c>
      <c r="Q35" s="39">
        <v>823245.97380000004</v>
      </c>
      <c r="R35" s="39">
        <v>1091515.1846</v>
      </c>
      <c r="S35" s="39">
        <v>-121.2863</v>
      </c>
      <c r="T35" s="39">
        <v>823246.55169999995</v>
      </c>
      <c r="U35" s="39">
        <v>1091514.1137999999</v>
      </c>
      <c r="V35" s="39">
        <v>-123.4401</v>
      </c>
      <c r="W35" s="39">
        <v>823246.46840000001</v>
      </c>
      <c r="X35" s="39">
        <v>1091514.1872</v>
      </c>
      <c r="Y35" s="39">
        <v>-124.5671</v>
      </c>
      <c r="Z35" s="39">
        <f t="shared" ref="Z35:Z54" si="1004">IF(Xhaut="","",SQRT(((Xbasgauche-Xhaut)^2+(Ybasgauche-Yhaut)^2)+(Zbasgauche-Zhaut)^2))</f>
        <v>4.3249661848605232</v>
      </c>
      <c r="AA35" s="39">
        <f t="shared" si="2"/>
        <v>3.4065921828161039</v>
      </c>
      <c r="AB35" s="39">
        <f t="shared" ref="AB35:AB56" si="1005">IF(Xhaut="","",SQRT(((Xhautgauche-Xhaut)^2+(Yhautgauche-Yhaut)^2)+(Zhautgauche-Zhaut)^2))</f>
        <v>2.1763020930817447</v>
      </c>
      <c r="AC35" s="39">
        <f t="shared" ref="AC35:AC56" si="1006">IF(Xhaut="","",SQRT(((Xhautdroit-Xhaut)^2+(Yhautdroit-Yhaut)^2)+(Zhautdroit-Zhaut)^2))</f>
        <v>1.6657947471824155</v>
      </c>
      <c r="AD35" s="39">
        <f t="shared" si="5"/>
        <v>3.8060278572109292</v>
      </c>
      <c r="AE35" s="39">
        <f t="shared" ref="AE35:AE56" si="1007">IF(Xhaut="","",SQRT(((Xbasdroit-Xhaut)^2+(Ybasdroit-Yhaut)^2)+(Zbasdroit-Zhaut)^2))</f>
        <v>4.5723570966705607</v>
      </c>
      <c r="AF35" s="39">
        <f t="shared" ref="AF35:AF56" si="1008">IF(Xhautdroit="","",SQRT(((Xhautdroit-Xhautgauche)^2+(Yhautdroit-Yhautgauche)^2)+(Zhautdroit-Zhautgauche)^2))</f>
        <v>3.6342727773328778</v>
      </c>
      <c r="AG35" s="39">
        <f t="shared" si="8"/>
        <v>5.3703563038054503</v>
      </c>
      <c r="AH35" s="39">
        <f t="shared" ref="AH35:AH56" si="1009">IF(Xbasdroit="","",SQRT(((Xbasdroit-Xbasgauche)^2+(Ybasdroit-Ybasgauche)^2)+(Zbasdroit-Zbasgauche)^2))</f>
        <v>5.0649944777300675</v>
      </c>
      <c r="AI35" s="43">
        <f t="shared" ref="AI35:AI57" si="1010">IF(Z35="","",(Z35-Z$10)*1000)</f>
        <v>-49.17278645009393</v>
      </c>
      <c r="AJ35" s="43">
        <f t="shared" ref="AJ35:AJ57" si="1011">IF(AA35="","",(AA35-AA$10)*1000)</f>
        <v>-34.572266914855817</v>
      </c>
      <c r="AK35" s="43">
        <f t="shared" ref="AK35:AK57" si="1012">IF(AB35="","",(AB35-AB$10)*1000)</f>
        <v>-29.564770539434182</v>
      </c>
      <c r="AL35" s="43">
        <f t="shared" ref="AL35:AL57" si="1013">IF(AC35="","",(AC35-AC$10)*1000)</f>
        <v>-4.5164484907096458</v>
      </c>
      <c r="AM35" s="43">
        <f t="shared" ref="AM35:AM57" si="1014">IF(AD35="","",(AD35-AD$10)*1000)</f>
        <v>-42.492597449354186</v>
      </c>
      <c r="AN35" s="43">
        <f t="shared" ref="AN35:AN57" si="1015">IF(AE35="","",(AE35-AE$10)*1000)</f>
        <v>-50.244847093968481</v>
      </c>
      <c r="AO35" s="43">
        <f t="shared" ref="AO35:AO57" si="1016">IF(AF35="","",(AF35-AF$10)*1000)</f>
        <v>-18.909316528957554</v>
      </c>
      <c r="AP35" s="43">
        <f t="shared" ref="AP35:AP57" si="1017">IF(AG35="","",(AG35-AG$10)*1000)</f>
        <v>-19.555856895993706</v>
      </c>
      <c r="AQ35" s="43">
        <f t="shared" ref="AQ35:AQ57" si="1018">IF(AH35="","",(AH35-AH$10)*1000)</f>
        <v>-23.172733718202387</v>
      </c>
      <c r="AR35" s="40"/>
      <c r="AS35" s="43">
        <f t="shared" ref="AS35:AS62" si="1019">IF(E35="","",(E35-E$10)*1000)</f>
        <v>2.3999999975785613</v>
      </c>
      <c r="AT35" s="43">
        <f t="shared" ref="AT35:AT62" si="1020">IF(F35="","",(F35-F$10)*1000)</f>
        <v>-4.6000001020729542</v>
      </c>
      <c r="AU35" s="43">
        <f t="shared" ref="AU35:AU62" si="1021">IF(G35="","",(G35-G$10)*1000)</f>
        <v>6.5000000000026148</v>
      </c>
      <c r="AV35" s="43">
        <f t="shared" ref="AV35:AV58" si="1022">IF(H35="","",(H35-H$10)*1000)</f>
        <v>-6.2000000616535544</v>
      </c>
      <c r="AW35" s="43">
        <f t="shared" ref="AW35:AW58" si="1023">IF(I35="","",(I35-I$10)*1000)</f>
        <v>-7.2000001091510057</v>
      </c>
      <c r="AX35" s="43">
        <f t="shared" ref="AX35:AX58" si="1024">IF(J35="","",(J35-J$10)*1000)</f>
        <v>-2.8000000000076852</v>
      </c>
      <c r="AY35" s="43">
        <f t="shared" ref="AY35:AY60" si="1025">IF(K35="","",(K35-K$10)*1000)</f>
        <v>4.1000000201165676</v>
      </c>
      <c r="AZ35" s="43">
        <f t="shared" ref="AZ35:AZ60" si="1026">IF(L35="","",(L35-L$10)*1000)</f>
        <v>-10.2999999653548</v>
      </c>
      <c r="BA35" s="43">
        <f t="shared" ref="BA35:BA60" si="1027">IF(M35="","",(M35-M$10)*1000)</f>
        <v>-6.5000000000026148</v>
      </c>
      <c r="BB35" s="43">
        <f t="shared" ref="BB35:BB58" si="1028">IF(N35="","",(N35-N$10)*1000)</f>
        <v>-9.399999980814755</v>
      </c>
      <c r="BC35" s="43">
        <f t="shared" ref="BC35:BC58" si="1029">IF(O35="","",(O35-O$10)*1000)</f>
        <v>-1.2000000569969416</v>
      </c>
      <c r="BD35" s="43">
        <f t="shared" ref="BD35:BD58" si="1030">IF(P35="","",(P35-P$10)*1000)</f>
        <v>-46.700000000001296</v>
      </c>
      <c r="BE35" s="43">
        <f t="shared" ref="BE35:BE63" si="1031">IF(Q35="","",(Q35-Q$10)*1000)</f>
        <v>-0.40000001899898052</v>
      </c>
      <c r="BF35" s="43">
        <f t="shared" ref="BF35:BF63" si="1032">IF(R35="","",(R35-R$10)*1000)</f>
        <v>4.3000001460313797</v>
      </c>
      <c r="BG35" s="43">
        <f t="shared" ref="BG35:BG63" si="1033">IF(S35="","",(S35-S$10)*1000)</f>
        <v>-32.699999999991292</v>
      </c>
      <c r="BH35" s="43">
        <f t="shared" ref="BH35:BH58" si="1034">IF(T35="","",(T35-T$10)*1000)</f>
        <v>-6.8000000901520252</v>
      </c>
      <c r="BI35" s="43">
        <f t="shared" ref="BI35:BI58" si="1035">IF(U35="","",(U35-U$10)*1000)</f>
        <v>13.899999903514981</v>
      </c>
      <c r="BJ35" s="43">
        <f t="shared" ref="BJ35:BJ58" si="1036">IF(V35="","",(V35-V$10)*1000)</f>
        <v>3.0000000000001137</v>
      </c>
      <c r="BK35" s="43">
        <f t="shared" ref="BK35:BK62" si="1037">IF(W35="","",(W35-W$10)*1000)</f>
        <v>-7.1999999927356839</v>
      </c>
      <c r="BL35" s="43">
        <f t="shared" ref="BL35:BL62" si="1038">IF(X35="","",(X35-X$10)*1000)</f>
        <v>16.500000143423676</v>
      </c>
      <c r="BM35" s="43">
        <f t="shared" ref="BM35:BM62" si="1039">IF(Y35="","",(Y35-Y$10)*1000)</f>
        <v>4.6999999999997044</v>
      </c>
      <c r="BN35" s="40"/>
      <c r="BO35" s="39">
        <v>196.10499999999999</v>
      </c>
      <c r="BP35" s="39">
        <v>-2.532</v>
      </c>
      <c r="BQ35" s="39">
        <v>-0.96319999999999995</v>
      </c>
      <c r="BR35" s="39">
        <v>196.09110000000001</v>
      </c>
      <c r="BS35" s="39">
        <v>-2.7294</v>
      </c>
      <c r="BT35" s="39">
        <v>0.39700000000000002</v>
      </c>
      <c r="BU35" s="41">
        <v>196.13800000000001</v>
      </c>
      <c r="BV35" s="42">
        <v>-2.1747999999999998</v>
      </c>
      <c r="BW35" s="42">
        <v>1.7645999999999999</v>
      </c>
      <c r="BX35" s="41">
        <v>196.08099999999999</v>
      </c>
      <c r="BY35" s="42">
        <v>-0.2009</v>
      </c>
      <c r="BZ35" s="42">
        <v>2.68</v>
      </c>
      <c r="CA35" s="41">
        <v>196.0727</v>
      </c>
      <c r="CB35" s="42">
        <v>1.4198999999999999</v>
      </c>
      <c r="CC35" s="42">
        <v>2.2959000000000001</v>
      </c>
      <c r="CD35" s="41">
        <v>196.1438</v>
      </c>
      <c r="CE35" s="42">
        <v>2.6347</v>
      </c>
      <c r="CF35" s="42">
        <v>0.14130000000000001</v>
      </c>
      <c r="CG35" s="41">
        <v>196.0994</v>
      </c>
      <c r="CH35" s="42">
        <v>2.5329000000000002</v>
      </c>
      <c r="CI35" s="42">
        <v>-0.98519999999999996</v>
      </c>
      <c r="CJ35" s="40"/>
      <c r="CK35" s="43">
        <f t="shared" ref="CK35:CK62" si="1040">IF(BO35="","",(BO35-BO$10)*1000)</f>
        <v>0.2308161346036286</v>
      </c>
      <c r="CL35" s="43">
        <f t="shared" ref="CL35:CL62" si="1041">IF(BP35="","",(BP35-BP$10)*1000)</f>
        <v>5.2010247454252756</v>
      </c>
      <c r="CM35" s="43">
        <f t="shared" ref="CM35:CM62" si="1042">IF(BQ35="","",(BQ35-BQ$10)*1000)</f>
        <v>6.4676918386658011</v>
      </c>
      <c r="CN35" s="43">
        <f t="shared" ref="CN35:CN58" si="1043">IF(BR35="","",(BR35-BR$10)*1000)</f>
        <v>-8.6769517596394508</v>
      </c>
      <c r="CO35" s="43">
        <f t="shared" ref="CO35:CO58" si="1044">IF(BS35="","",(BS35-BS$10)*1000)</f>
        <v>3.8856942051856969</v>
      </c>
      <c r="CP35" s="43">
        <f t="shared" ref="CP35:CP58" si="1045">IF(BT35="","",(BT35-BT$10)*1000)</f>
        <v>-2.6822304824121179</v>
      </c>
      <c r="CQ35" s="43">
        <f t="shared" ref="CQ35:CQ52" si="1046">IF(BU35="","",(BU35-BU$10)*1000)</f>
        <v>-0.64824278925357248</v>
      </c>
      <c r="CR35" s="43">
        <f t="shared" ref="CR35:CR52" si="1047">IF(BV35="","",(BV35-BV$10)*1000)</f>
        <v>11.058372322278132</v>
      </c>
      <c r="CS35" s="43">
        <f t="shared" ref="CS35:CS52" si="1048">IF(BW35="","",(BW35-BW$10)*1000)</f>
        <v>-6.4935175720977067</v>
      </c>
      <c r="CT35" s="43">
        <f t="shared" ref="CT35:CT52" si="1049">IF(BX35="","",(BX35-BX$10)*1000)</f>
        <v>-9.0331155719525213</v>
      </c>
      <c r="CU35" s="43">
        <f t="shared" ref="CU35:CU52" si="1050">IF(BY35="","",(BY35-BY$10)*1000)</f>
        <v>-2.8696356873511855</v>
      </c>
      <c r="CV35" s="43">
        <f t="shared" ref="CV35:CV52" si="1051">IF(BZ35="","",(BZ35-BZ$10)*1000)</f>
        <v>-46.579668844280334</v>
      </c>
      <c r="CW35" s="43">
        <f t="shared" ref="CW35:CW52" si="1052">IF(CA35="","",(CA35-CA$10)*1000)</f>
        <v>1.4903205061784774</v>
      </c>
      <c r="CX35" s="43">
        <f t="shared" ref="CX35:CX52" si="1053">IF(CB35="","",(CB35-CB$10)*1000)</f>
        <v>-4.1121532081285217</v>
      </c>
      <c r="CY35" s="43">
        <f t="shared" ref="CY35:CY52" si="1054">IF(CC35="","",(CC35-CC$10)*1000)</f>
        <v>-32.667903205055197</v>
      </c>
      <c r="CZ35" s="43">
        <f t="shared" ref="CZ35:CZ58" si="1055">IF(CD35="","",(CD35-CD$10)*1000)</f>
        <v>-0.3228921610514135</v>
      </c>
      <c r="DA35" s="43">
        <f t="shared" ref="DA35:DA58" si="1056">IF(CE35="","",(CE35-CE$10)*1000)</f>
        <v>-15.425652482628394</v>
      </c>
      <c r="DB35" s="43">
        <f t="shared" ref="DB35:DB58" si="1057">IF(CF35="","",(CF35-CF$10)*1000)</f>
        <v>2.9612289216192353</v>
      </c>
      <c r="DC35" s="43">
        <f t="shared" ref="DC35:DC52" si="1058">IF(CG35="","",(CG35-CG$10)*1000)</f>
        <v>0.48495648849211648</v>
      </c>
      <c r="DD35" s="43">
        <f t="shared" ref="DD35:DD52" si="1059">IF(CH35="","",(CH35-CH$10)*1000)</f>
        <v>-18.022323867291412</v>
      </c>
      <c r="DE35" s="43">
        <f t="shared" ref="DE35:DE52" si="1060">IF(CI35="","",(CI35-CI$10)*1000)</f>
        <v>4.709150435110554</v>
      </c>
    </row>
    <row r="36" spans="1:109" ht="29.25" customHeight="1" x14ac:dyDescent="0.2">
      <c r="A36" s="37">
        <v>43787</v>
      </c>
      <c r="B36" s="29">
        <f t="shared" si="1002"/>
        <v>82</v>
      </c>
      <c r="C36" s="38">
        <v>221.7</v>
      </c>
      <c r="D36" s="38">
        <f t="shared" si="1003"/>
        <v>25.599999999999994</v>
      </c>
      <c r="E36" s="39">
        <v>823244.33330000006</v>
      </c>
      <c r="F36" s="39">
        <v>1091518.7786999999</v>
      </c>
      <c r="G36" s="39">
        <v>-124.5448</v>
      </c>
      <c r="H36" s="39">
        <v>823244.23730000004</v>
      </c>
      <c r="I36" s="39">
        <v>1091518.9517999999</v>
      </c>
      <c r="J36" s="39">
        <v>-123.1849</v>
      </c>
      <c r="K36" s="39">
        <v>823244.51439999999</v>
      </c>
      <c r="L36" s="39">
        <v>1091518.4689</v>
      </c>
      <c r="M36" s="39">
        <v>-121.8169</v>
      </c>
      <c r="N36" s="39">
        <v>823245.29630000005</v>
      </c>
      <c r="O36" s="39">
        <v>1091516.6555000001</v>
      </c>
      <c r="P36" s="39">
        <v>-120.90300000000001</v>
      </c>
      <c r="Q36" s="39">
        <v>823245.97409999999</v>
      </c>
      <c r="R36" s="39">
        <v>1091515.1831</v>
      </c>
      <c r="S36" s="39">
        <v>-121.2868</v>
      </c>
      <c r="T36" s="39">
        <v>823246.55220000003</v>
      </c>
      <c r="U36" s="39">
        <v>1091514.1122999999</v>
      </c>
      <c r="V36" s="39">
        <v>-123.4401</v>
      </c>
      <c r="W36" s="39">
        <v>823246.46849999996</v>
      </c>
      <c r="X36" s="39">
        <v>1091514.1858000001</v>
      </c>
      <c r="Y36" s="39">
        <v>-124.5668</v>
      </c>
      <c r="Z36" s="39">
        <f t="shared" si="1004"/>
        <v>4.3241247067031967</v>
      </c>
      <c r="AA36" s="39">
        <f t="shared" si="2"/>
        <v>3.4061036829722537</v>
      </c>
      <c r="AB36" s="39">
        <f t="shared" si="1005"/>
        <v>2.1760056019264988</v>
      </c>
      <c r="AC36" s="39">
        <f t="shared" si="1006"/>
        <v>1.6657361856492139</v>
      </c>
      <c r="AD36" s="39">
        <f t="shared" si="5"/>
        <v>3.8055259112158746</v>
      </c>
      <c r="AE36" s="39">
        <f t="shared" si="1007"/>
        <v>4.571312871580381</v>
      </c>
      <c r="AF36" s="39">
        <f t="shared" si="1008"/>
        <v>3.6343103526967071</v>
      </c>
      <c r="AG36" s="39">
        <f t="shared" si="8"/>
        <v>5.3707214878456337</v>
      </c>
      <c r="AH36" s="39">
        <f t="shared" si="1009"/>
        <v>5.0650067569427417</v>
      </c>
      <c r="AI36" s="43">
        <f t="shared" ref="AI36" si="1061">IF(Z36="","",(Z36-Z$10)*1000)</f>
        <v>-50.014264607420422</v>
      </c>
      <c r="AJ36" s="43">
        <f t="shared" ref="AJ36" si="1062">IF(AA36="","",(AA36-AA$10)*1000)</f>
        <v>-35.060766758705952</v>
      </c>
      <c r="AK36" s="43">
        <f t="shared" ref="AK36" si="1063">IF(AB36="","",(AB36-AB$10)*1000)</f>
        <v>-29.861261694680064</v>
      </c>
      <c r="AL36" s="43">
        <f t="shared" ref="AL36" si="1064">IF(AC36="","",(AC36-AC$10)*1000)</f>
        <v>-4.5750100239112523</v>
      </c>
      <c r="AM36" s="43">
        <f t="shared" ref="AM36" si="1065">IF(AD36="","",(AD36-AD$10)*1000)</f>
        <v>-42.994543444408784</v>
      </c>
      <c r="AN36" s="43">
        <f t="shared" ref="AN36" si="1066">IF(AE36="","",(AE36-AE$10)*1000)</f>
        <v>-51.289072184148132</v>
      </c>
      <c r="AO36" s="43">
        <f t="shared" ref="AO36" si="1067">IF(AF36="","",(AF36-AF$10)*1000)</f>
        <v>-18.871741165128242</v>
      </c>
      <c r="AP36" s="43">
        <f t="shared" ref="AP36" si="1068">IF(AG36="","",(AG36-AG$10)*1000)</f>
        <v>-19.19067285581022</v>
      </c>
      <c r="AQ36" s="43">
        <f t="shared" ref="AQ36" si="1069">IF(AH36="","",(AH36-AH$10)*1000)</f>
        <v>-23.160454505528172</v>
      </c>
      <c r="AR36" s="40"/>
      <c r="AS36" s="43">
        <f t="shared" si="1019"/>
        <v>2.9000000795349479</v>
      </c>
      <c r="AT36" s="43">
        <f t="shared" si="1020"/>
        <v>-5.8000001590698957</v>
      </c>
      <c r="AU36" s="43">
        <f t="shared" si="1021"/>
        <v>6.7000000000092541</v>
      </c>
      <c r="AV36" s="43">
        <f t="shared" si="1022"/>
        <v>-5.6999999796971679</v>
      </c>
      <c r="AW36" s="43">
        <f t="shared" si="1023"/>
        <v>-8.3000001031905413</v>
      </c>
      <c r="AX36" s="43">
        <f t="shared" si="1024"/>
        <v>-2.7000000000043656</v>
      </c>
      <c r="AY36" s="43">
        <f t="shared" si="1025"/>
        <v>4.7999999951571226</v>
      </c>
      <c r="AZ36" s="43">
        <f t="shared" si="1026"/>
        <v>-11.500000022351742</v>
      </c>
      <c r="BA36" s="43">
        <f t="shared" si="1027"/>
        <v>-6.5000000000026148</v>
      </c>
      <c r="BB36" s="43">
        <f t="shared" si="1028"/>
        <v>-9.399999980814755</v>
      </c>
      <c r="BC36" s="43">
        <f t="shared" si="1029"/>
        <v>-2.79999990016222</v>
      </c>
      <c r="BD36" s="43">
        <f t="shared" si="1030"/>
        <v>-47.600000000002751</v>
      </c>
      <c r="BE36" s="43">
        <f t="shared" si="1031"/>
        <v>-0.10000006295740604</v>
      </c>
      <c r="BF36" s="43">
        <f t="shared" si="1032"/>
        <v>2.8000001329928637</v>
      </c>
      <c r="BG36" s="43">
        <f t="shared" si="1033"/>
        <v>-33.199999999993679</v>
      </c>
      <c r="BH36" s="43">
        <f t="shared" si="1034"/>
        <v>-6.3000000081956387</v>
      </c>
      <c r="BI36" s="43">
        <f t="shared" si="1035"/>
        <v>12.399999890476465</v>
      </c>
      <c r="BJ36" s="43">
        <f t="shared" si="1036"/>
        <v>3.0000000000001137</v>
      </c>
      <c r="BK36" s="43">
        <f t="shared" si="1037"/>
        <v>-7.1000000461935997</v>
      </c>
      <c r="BL36" s="43">
        <f t="shared" si="1038"/>
        <v>15.100000193342566</v>
      </c>
      <c r="BM36" s="43">
        <f t="shared" si="1039"/>
        <v>4.9999999999954525</v>
      </c>
      <c r="BN36" s="40"/>
      <c r="BO36" s="39">
        <v>196.10489999999999</v>
      </c>
      <c r="BP36" s="39">
        <v>-2.5306999999999999</v>
      </c>
      <c r="BQ36" s="39">
        <v>-0.96299999999999997</v>
      </c>
      <c r="BR36" s="39">
        <v>196.09110000000001</v>
      </c>
      <c r="BS36" s="39">
        <v>-2.7282000000000002</v>
      </c>
      <c r="BT36" s="39">
        <v>0.39710000000000001</v>
      </c>
      <c r="BU36" s="41">
        <v>196.13810000000001</v>
      </c>
      <c r="BV36" s="42">
        <v>-2.1734</v>
      </c>
      <c r="BW36" s="42">
        <v>1.7645999999999999</v>
      </c>
      <c r="BX36" s="41">
        <v>196.08029999999999</v>
      </c>
      <c r="BY36" s="42">
        <v>-0.19950000000000001</v>
      </c>
      <c r="BZ36" s="42">
        <v>2.6791</v>
      </c>
      <c r="CA36" s="41">
        <v>196.07230000000001</v>
      </c>
      <c r="CB36" s="42">
        <v>1.4214</v>
      </c>
      <c r="CC36" s="42">
        <v>2.2953999999999999</v>
      </c>
      <c r="CD36" s="41">
        <v>196.1437</v>
      </c>
      <c r="CE36" s="42">
        <v>2.6362000000000001</v>
      </c>
      <c r="CF36" s="42">
        <v>0.14130000000000001</v>
      </c>
      <c r="CG36" s="41">
        <v>196.09889999999999</v>
      </c>
      <c r="CH36" s="42">
        <v>2.5341999999999998</v>
      </c>
      <c r="CI36" s="42">
        <v>-0.9849</v>
      </c>
      <c r="CJ36" s="40"/>
      <c r="CK36" s="43">
        <f t="shared" si="1040"/>
        <v>0.13081613460030894</v>
      </c>
      <c r="CL36" s="43">
        <f t="shared" si="1041"/>
        <v>6.5010247454253545</v>
      </c>
      <c r="CM36" s="43">
        <f t="shared" si="1042"/>
        <v>6.6676918386657791</v>
      </c>
      <c r="CN36" s="43">
        <f t="shared" si="1043"/>
        <v>-8.6769517596394508</v>
      </c>
      <c r="CO36" s="43">
        <f t="shared" si="1044"/>
        <v>5.0856942051855647</v>
      </c>
      <c r="CP36" s="43">
        <f t="shared" si="1045"/>
        <v>-2.5822304824121289</v>
      </c>
      <c r="CQ36" s="43">
        <f t="shared" si="1046"/>
        <v>-0.54824278925025283</v>
      </c>
      <c r="CR36" s="43">
        <f t="shared" si="1047"/>
        <v>12.458372322277977</v>
      </c>
      <c r="CS36" s="43">
        <f t="shared" si="1048"/>
        <v>-6.4935175720977067</v>
      </c>
      <c r="CT36" s="43">
        <f t="shared" si="1049"/>
        <v>-9.7331155719473372</v>
      </c>
      <c r="CU36" s="43">
        <f t="shared" si="1050"/>
        <v>-1.4696356873512006</v>
      </c>
      <c r="CV36" s="43">
        <f t="shared" si="1051"/>
        <v>-47.479668844280454</v>
      </c>
      <c r="CW36" s="43">
        <f t="shared" si="1052"/>
        <v>1.0903205061936205</v>
      </c>
      <c r="CX36" s="43">
        <f t="shared" si="1053"/>
        <v>-2.6121532081284649</v>
      </c>
      <c r="CY36" s="43">
        <f t="shared" si="1054"/>
        <v>-33.16790320505536</v>
      </c>
      <c r="CZ36" s="43">
        <f t="shared" si="1055"/>
        <v>-0.42289216105473315</v>
      </c>
      <c r="DA36" s="43">
        <f t="shared" si="1056"/>
        <v>-13.925652482628337</v>
      </c>
      <c r="DB36" s="43">
        <f t="shared" si="1057"/>
        <v>2.9612289216192353</v>
      </c>
      <c r="DC36" s="43">
        <f t="shared" si="1058"/>
        <v>-1.5043511524481801E-2</v>
      </c>
      <c r="DD36" s="43">
        <f t="shared" si="1059"/>
        <v>-16.722323867291777</v>
      </c>
      <c r="DE36" s="43">
        <f t="shared" si="1060"/>
        <v>5.0091504351105209</v>
      </c>
    </row>
    <row r="37" spans="1:109" ht="29.25" customHeight="1" x14ac:dyDescent="0.2">
      <c r="A37" s="37">
        <v>43790</v>
      </c>
      <c r="B37" s="29">
        <f t="shared" si="1002"/>
        <v>85</v>
      </c>
      <c r="C37" s="38">
        <v>222.9</v>
      </c>
      <c r="D37" s="38">
        <f t="shared" si="1003"/>
        <v>26.800000000000011</v>
      </c>
      <c r="E37" s="39">
        <v>823244.33219999995</v>
      </c>
      <c r="F37" s="39">
        <v>1091518.7788</v>
      </c>
      <c r="G37" s="39">
        <v>-124.5446</v>
      </c>
      <c r="H37" s="39">
        <v>823244.23670000001</v>
      </c>
      <c r="I37" s="39">
        <v>1091518.9521000001</v>
      </c>
      <c r="J37" s="39">
        <v>-123.1848</v>
      </c>
      <c r="K37" s="39">
        <v>823244.5135</v>
      </c>
      <c r="L37" s="39">
        <v>1091518.4691000001</v>
      </c>
      <c r="M37" s="39">
        <v>-121.81699999999999</v>
      </c>
      <c r="N37" s="39">
        <v>823245.29559999995</v>
      </c>
      <c r="O37" s="39">
        <v>1091516.656</v>
      </c>
      <c r="P37" s="39">
        <v>-120.90349999999999</v>
      </c>
      <c r="Q37" s="39">
        <v>823245.97329999995</v>
      </c>
      <c r="R37" s="39">
        <v>1091515.1836000001</v>
      </c>
      <c r="S37" s="39">
        <v>-121.2872</v>
      </c>
      <c r="T37" s="39">
        <v>823246.5514</v>
      </c>
      <c r="U37" s="39">
        <v>1091514.1132</v>
      </c>
      <c r="V37" s="39">
        <v>-123.43989999999999</v>
      </c>
      <c r="W37" s="39">
        <v>823246.46770000004</v>
      </c>
      <c r="X37" s="39">
        <v>1091514.1867</v>
      </c>
      <c r="Y37" s="39">
        <v>-124.5667</v>
      </c>
      <c r="Z37" s="39">
        <f t="shared" si="1004"/>
        <v>4.3234278772827643</v>
      </c>
      <c r="AA37" s="39">
        <f t="shared" si="2"/>
        <v>3.4055358037442676</v>
      </c>
      <c r="AB37" s="39">
        <f t="shared" si="1005"/>
        <v>2.1756595024157765</v>
      </c>
      <c r="AC37" s="39">
        <f t="shared" si="1006"/>
        <v>1.6656724586688791</v>
      </c>
      <c r="AD37" s="39">
        <f t="shared" si="5"/>
        <v>3.8047589200616709</v>
      </c>
      <c r="AE37" s="39">
        <f t="shared" si="1007"/>
        <v>4.5705902398028329</v>
      </c>
      <c r="AF37" s="39">
        <f t="shared" si="1008"/>
        <v>3.634035543283975</v>
      </c>
      <c r="AG37" s="39">
        <f t="shared" si="8"/>
        <v>5.3700898792118634</v>
      </c>
      <c r="AH37" s="39">
        <f t="shared" si="1009"/>
        <v>5.0644082645924122</v>
      </c>
      <c r="AI37" s="43">
        <f t="shared" ref="AI37" si="1070">IF(Z37="","",(Z37-Z$10)*1000)</f>
        <v>-50.711094027852788</v>
      </c>
      <c r="AJ37" s="43">
        <f t="shared" ref="AJ37" si="1071">IF(AA37="","",(AA37-AA$10)*1000)</f>
        <v>-35.628645986692135</v>
      </c>
      <c r="AK37" s="43">
        <f t="shared" ref="AK37" si="1072">IF(AB37="","",(AB37-AB$10)*1000)</f>
        <v>-30.20736120540235</v>
      </c>
      <c r="AL37" s="43">
        <f t="shared" ref="AL37" si="1073">IF(AC37="","",(AC37-AC$10)*1000)</f>
        <v>-4.6387370042459963</v>
      </c>
      <c r="AM37" s="43">
        <f t="shared" ref="AM37" si="1074">IF(AD37="","",(AD37-AD$10)*1000)</f>
        <v>-43.761534598612428</v>
      </c>
      <c r="AN37" s="43">
        <f t="shared" ref="AN37" si="1075">IF(AE37="","",(AE37-AE$10)*1000)</f>
        <v>-52.011703961696298</v>
      </c>
      <c r="AO37" s="43">
        <f t="shared" ref="AO37" si="1076">IF(AF37="","",(AF37-AF$10)*1000)</f>
        <v>-19.1465505778603</v>
      </c>
      <c r="AP37" s="43">
        <f t="shared" ref="AP37" si="1077">IF(AG37="","",(AG37-AG$10)*1000)</f>
        <v>-19.82228148958054</v>
      </c>
      <c r="AQ37" s="43">
        <f t="shared" ref="AQ37" si="1078">IF(AH37="","",(AH37-AH$10)*1000)</f>
        <v>-23.758946855857666</v>
      </c>
      <c r="AR37" s="40"/>
      <c r="AS37" s="43">
        <f t="shared" si="1019"/>
        <v>1.7999999690800905</v>
      </c>
      <c r="AT37" s="43">
        <f t="shared" si="1020"/>
        <v>-5.7000000961124897</v>
      </c>
      <c r="AU37" s="43">
        <f t="shared" si="1021"/>
        <v>6.9000000000016826</v>
      </c>
      <c r="AV37" s="43">
        <f t="shared" si="1022"/>
        <v>-6.3000000081956387</v>
      </c>
      <c r="AW37" s="43">
        <f t="shared" si="1023"/>
        <v>-7.9999999143183231</v>
      </c>
      <c r="AX37" s="43">
        <f t="shared" si="1024"/>
        <v>-2.6000000000010459</v>
      </c>
      <c r="AY37" s="43">
        <f t="shared" si="1025"/>
        <v>3.9000000106170774</v>
      </c>
      <c r="AZ37" s="43">
        <f t="shared" si="1026"/>
        <v>-11.29999989643693</v>
      </c>
      <c r="BA37" s="43">
        <f t="shared" si="1027"/>
        <v>-6.5999999999917236</v>
      </c>
      <c r="BB37" s="43">
        <f t="shared" si="1028"/>
        <v>-10.100000072270632</v>
      </c>
      <c r="BC37" s="43">
        <f t="shared" si="1029"/>
        <v>-2.3000000510364771</v>
      </c>
      <c r="BD37" s="43">
        <f t="shared" si="1030"/>
        <v>-48.099999999990928</v>
      </c>
      <c r="BE37" s="43">
        <f t="shared" si="1031"/>
        <v>-0.90000010095536709</v>
      </c>
      <c r="BF37" s="43">
        <f t="shared" si="1032"/>
        <v>3.3000002149492502</v>
      </c>
      <c r="BG37" s="43">
        <f t="shared" si="1033"/>
        <v>-33.599999999992747</v>
      </c>
      <c r="BH37" s="43">
        <f t="shared" si="1034"/>
        <v>-7.1000000461935997</v>
      </c>
      <c r="BI37" s="43">
        <f t="shared" si="1035"/>
        <v>13.299999991431832</v>
      </c>
      <c r="BJ37" s="43">
        <f t="shared" si="1036"/>
        <v>3.200000000006753</v>
      </c>
      <c r="BK37" s="43">
        <f t="shared" si="1037"/>
        <v>-7.8999999677762389</v>
      </c>
      <c r="BL37" s="43">
        <f t="shared" si="1038"/>
        <v>16.00000006146729</v>
      </c>
      <c r="BM37" s="43">
        <f t="shared" si="1039"/>
        <v>5.0999999999987722</v>
      </c>
      <c r="BN37" s="40"/>
      <c r="BO37" s="39">
        <v>196.10400000000001</v>
      </c>
      <c r="BP37" s="39">
        <v>-2.5312999999999999</v>
      </c>
      <c r="BQ37" s="39">
        <v>-0.96279999999999999</v>
      </c>
      <c r="BR37" s="39">
        <v>196.0907</v>
      </c>
      <c r="BS37" s="39">
        <v>-2.7286999999999999</v>
      </c>
      <c r="BT37" s="39">
        <v>0.3972</v>
      </c>
      <c r="BU37" s="41">
        <v>196.13740000000001</v>
      </c>
      <c r="BV37" s="42">
        <v>-2.1739999999999999</v>
      </c>
      <c r="BW37" s="42">
        <v>1.7645</v>
      </c>
      <c r="BX37" s="41">
        <v>196.07990000000001</v>
      </c>
      <c r="BY37" s="42">
        <v>-0.20019999999999999</v>
      </c>
      <c r="BZ37" s="42">
        <v>2.6785999999999999</v>
      </c>
      <c r="CA37" s="41">
        <v>196.0718</v>
      </c>
      <c r="CB37" s="42">
        <v>1.4206000000000001</v>
      </c>
      <c r="CC37" s="42">
        <v>2.2949999999999999</v>
      </c>
      <c r="CD37" s="41">
        <v>196.14330000000001</v>
      </c>
      <c r="CE37" s="42">
        <v>2.6351</v>
      </c>
      <c r="CF37" s="42">
        <v>0.14149999999999999</v>
      </c>
      <c r="CG37" s="41">
        <v>196.0985</v>
      </c>
      <c r="CH37" s="42">
        <v>2.5331000000000001</v>
      </c>
      <c r="CI37" s="42">
        <v>-0.98480000000000001</v>
      </c>
      <c r="CJ37" s="40"/>
      <c r="CK37" s="43">
        <f t="shared" si="1040"/>
        <v>-0.76918386537272454</v>
      </c>
      <c r="CL37" s="43">
        <f t="shared" si="1041"/>
        <v>5.9010247454254205</v>
      </c>
      <c r="CM37" s="43">
        <f t="shared" si="1042"/>
        <v>6.8676918386657571</v>
      </c>
      <c r="CN37" s="43">
        <f t="shared" si="1043"/>
        <v>-9.0769517596527294</v>
      </c>
      <c r="CO37" s="43">
        <f t="shared" si="1044"/>
        <v>4.5856942051858418</v>
      </c>
      <c r="CP37" s="43">
        <f t="shared" si="1045"/>
        <v>-2.4822304824121399</v>
      </c>
      <c r="CQ37" s="43">
        <f t="shared" si="1046"/>
        <v>-1.2482427892450687</v>
      </c>
      <c r="CR37" s="43">
        <f t="shared" si="1047"/>
        <v>11.858372322278043</v>
      </c>
      <c r="CS37" s="43">
        <f t="shared" si="1048"/>
        <v>-6.5935175720976957</v>
      </c>
      <c r="CT37" s="43">
        <f t="shared" si="1049"/>
        <v>-10.133115571932194</v>
      </c>
      <c r="CU37" s="43">
        <f t="shared" si="1050"/>
        <v>-2.1696356873511791</v>
      </c>
      <c r="CV37" s="43">
        <f t="shared" si="1051"/>
        <v>-47.979668844280624</v>
      </c>
      <c r="CW37" s="43">
        <f t="shared" si="1052"/>
        <v>0.59032050617702225</v>
      </c>
      <c r="CX37" s="43">
        <f t="shared" si="1053"/>
        <v>-3.4121532081283767</v>
      </c>
      <c r="CY37" s="43">
        <f t="shared" si="1054"/>
        <v>-33.567903205055316</v>
      </c>
      <c r="CZ37" s="43">
        <f t="shared" si="1055"/>
        <v>-0.82289216103959006</v>
      </c>
      <c r="DA37" s="43">
        <f t="shared" si="1056"/>
        <v>-15.025652482628438</v>
      </c>
      <c r="DB37" s="43">
        <f t="shared" si="1057"/>
        <v>3.1612289216192133</v>
      </c>
      <c r="DC37" s="43">
        <f t="shared" si="1058"/>
        <v>-0.41504351150933871</v>
      </c>
      <c r="DD37" s="43">
        <f t="shared" si="1059"/>
        <v>-17.822323867291434</v>
      </c>
      <c r="DE37" s="43">
        <f t="shared" si="1060"/>
        <v>5.1091504351105099</v>
      </c>
    </row>
    <row r="38" spans="1:109" ht="29.25" customHeight="1" x14ac:dyDescent="0.2">
      <c r="A38" s="37">
        <v>43795</v>
      </c>
      <c r="B38" s="29">
        <f t="shared" si="1002"/>
        <v>90</v>
      </c>
      <c r="C38" s="38">
        <v>222.9</v>
      </c>
      <c r="D38" s="38">
        <f t="shared" si="1003"/>
        <v>26.800000000000011</v>
      </c>
      <c r="E38" s="39">
        <v>823244.33349999995</v>
      </c>
      <c r="F38" s="39">
        <v>1091518.7781</v>
      </c>
      <c r="G38" s="39">
        <v>-124.54510000000001</v>
      </c>
      <c r="H38" s="39">
        <v>823244.23759999999</v>
      </c>
      <c r="I38" s="39">
        <v>1091518.9510999999</v>
      </c>
      <c r="J38" s="39">
        <v>-123.1854</v>
      </c>
      <c r="K38" s="39">
        <v>823244.51450000005</v>
      </c>
      <c r="L38" s="39">
        <v>1091518.4680999999</v>
      </c>
      <c r="M38" s="39">
        <v>-121.81789999999999</v>
      </c>
      <c r="N38" s="39">
        <v>823245.29630000005</v>
      </c>
      <c r="O38" s="39">
        <v>1091516.6549</v>
      </c>
      <c r="P38" s="39">
        <v>-120.9061</v>
      </c>
      <c r="Q38" s="39">
        <v>823245.97389999998</v>
      </c>
      <c r="R38" s="39">
        <v>1091515.1828000001</v>
      </c>
      <c r="S38" s="39">
        <v>-121.2894</v>
      </c>
      <c r="T38" s="39">
        <v>823246.55200000003</v>
      </c>
      <c r="U38" s="39">
        <v>1091514.112</v>
      </c>
      <c r="V38" s="39">
        <v>-123.4406</v>
      </c>
      <c r="W38" s="39">
        <v>823246.46840000001</v>
      </c>
      <c r="X38" s="39">
        <v>1091514.1862000001</v>
      </c>
      <c r="Y38" s="39">
        <v>-124.5672</v>
      </c>
      <c r="Z38" s="39">
        <f t="shared" si="1004"/>
        <v>4.3217222354422233</v>
      </c>
      <c r="AA38" s="39">
        <f t="shared" si="2"/>
        <v>3.4042016127177965</v>
      </c>
      <c r="AB38" s="39">
        <f t="shared" si="1005"/>
        <v>2.1749217732840016</v>
      </c>
      <c r="AC38" s="39">
        <f t="shared" si="1006"/>
        <v>1.6652744697533257</v>
      </c>
      <c r="AD38" s="39">
        <f t="shared" si="5"/>
        <v>3.8035264097874943</v>
      </c>
      <c r="AE38" s="39">
        <f t="shared" si="1007"/>
        <v>4.5685830745639873</v>
      </c>
      <c r="AF38" s="39">
        <f t="shared" si="1008"/>
        <v>3.6335047404631942</v>
      </c>
      <c r="AG38" s="39">
        <f t="shared" si="8"/>
        <v>5.3701455483052269</v>
      </c>
      <c r="AH38" s="39">
        <f t="shared" si="1009"/>
        <v>5.0639739364646967</v>
      </c>
      <c r="AI38" s="43">
        <f t="shared" si="1010"/>
        <v>-52.416735868393793</v>
      </c>
      <c r="AJ38" s="43">
        <f t="shared" si="1011"/>
        <v>-36.962837013163167</v>
      </c>
      <c r="AK38" s="43">
        <f t="shared" si="1012"/>
        <v>-30.945090337177295</v>
      </c>
      <c r="AL38" s="43">
        <f t="shared" si="1013"/>
        <v>-5.036725919799423</v>
      </c>
      <c r="AM38" s="43">
        <f t="shared" si="1014"/>
        <v>-44.994044872789019</v>
      </c>
      <c r="AN38" s="43">
        <f t="shared" si="1015"/>
        <v>-54.018869200541886</v>
      </c>
      <c r="AO38" s="43">
        <f t="shared" si="1016"/>
        <v>-19.677353398641184</v>
      </c>
      <c r="AP38" s="43">
        <f t="shared" si="1017"/>
        <v>-19.76661239621702</v>
      </c>
      <c r="AQ38" s="43">
        <f t="shared" si="1018"/>
        <v>-24.193274983573154</v>
      </c>
      <c r="AR38" s="40"/>
      <c r="AS38" s="43">
        <f t="shared" si="1019"/>
        <v>3.0999999726191163</v>
      </c>
      <c r="AT38" s="43">
        <f t="shared" si="1020"/>
        <v>-6.4000000711530447</v>
      </c>
      <c r="AU38" s="43">
        <f t="shared" si="1021"/>
        <v>6.3999999999992951</v>
      </c>
      <c r="AV38" s="43">
        <f t="shared" si="1022"/>
        <v>-5.4000000236555934</v>
      </c>
      <c r="AW38" s="43">
        <f t="shared" si="1023"/>
        <v>-9.0000000782310963</v>
      </c>
      <c r="AX38" s="43">
        <f t="shared" si="1024"/>
        <v>-3.200000000006753</v>
      </c>
      <c r="AY38" s="43">
        <f t="shared" si="1025"/>
        <v>4.9000000581145287</v>
      </c>
      <c r="AZ38" s="43">
        <f t="shared" si="1026"/>
        <v>-12.300000060349703</v>
      </c>
      <c r="BA38" s="43">
        <f t="shared" si="1027"/>
        <v>-7.4999999999931788</v>
      </c>
      <c r="BB38" s="43">
        <f t="shared" si="1028"/>
        <v>-9.399999980814755</v>
      </c>
      <c r="BC38" s="43">
        <f t="shared" si="1029"/>
        <v>-3.4000000450760126</v>
      </c>
      <c r="BD38" s="43">
        <f t="shared" si="1030"/>
        <v>-50.699999999991974</v>
      </c>
      <c r="BE38" s="43">
        <f t="shared" si="1031"/>
        <v>-0.30000007245689631</v>
      </c>
      <c r="BF38" s="43">
        <f t="shared" si="1032"/>
        <v>2.5000001769512892</v>
      </c>
      <c r="BG38" s="43">
        <f t="shared" si="1033"/>
        <v>-35.799999999994725</v>
      </c>
      <c r="BH38" s="43">
        <f t="shared" si="1034"/>
        <v>-6.5000000176951289</v>
      </c>
      <c r="BI38" s="43">
        <f t="shared" si="1035"/>
        <v>12.099999934434891</v>
      </c>
      <c r="BJ38" s="43">
        <f t="shared" si="1036"/>
        <v>2.4999999999977263</v>
      </c>
      <c r="BK38" s="43">
        <f t="shared" si="1037"/>
        <v>-7.1999999927356839</v>
      </c>
      <c r="BL38" s="43">
        <f t="shared" si="1038"/>
        <v>15.500000212341547</v>
      </c>
      <c r="BM38" s="43">
        <f t="shared" si="1039"/>
        <v>4.5999999999963848</v>
      </c>
      <c r="BN38" s="40"/>
      <c r="BO38" s="39">
        <v>196.10489999999999</v>
      </c>
      <c r="BP38" s="39">
        <v>-2.5301</v>
      </c>
      <c r="BQ38" s="39">
        <v>-0.96330000000000005</v>
      </c>
      <c r="BR38" s="39">
        <v>196.09110000000001</v>
      </c>
      <c r="BS38" s="39">
        <v>-2.7273999999999998</v>
      </c>
      <c r="BT38" s="39">
        <v>0.39660000000000001</v>
      </c>
      <c r="BU38" s="41">
        <v>196.1379</v>
      </c>
      <c r="BV38" s="42">
        <v>-2.1726000000000001</v>
      </c>
      <c r="BW38" s="42">
        <v>1.7636000000000001</v>
      </c>
      <c r="BX38" s="41">
        <v>196.08009999999999</v>
      </c>
      <c r="BY38" s="42">
        <v>-0.19889999999999999</v>
      </c>
      <c r="BZ38" s="42">
        <v>2.6760000000000002</v>
      </c>
      <c r="CA38" s="41">
        <v>196.072</v>
      </c>
      <c r="CB38" s="42">
        <v>1.4216</v>
      </c>
      <c r="CC38" s="42">
        <v>2.2928000000000002</v>
      </c>
      <c r="CD38" s="41">
        <v>196.14330000000001</v>
      </c>
      <c r="CE38" s="42">
        <v>2.6364000000000001</v>
      </c>
      <c r="CF38" s="42">
        <v>0.14080000000000001</v>
      </c>
      <c r="CG38" s="41">
        <v>196.09889999999999</v>
      </c>
      <c r="CH38" s="42">
        <v>2.5337999999999998</v>
      </c>
      <c r="CI38" s="42">
        <v>-0.98529999999999995</v>
      </c>
      <c r="CJ38" s="40"/>
      <c r="CK38" s="43">
        <f t="shared" ref="CK38:DE38" si="1079">IF(BO38="","",(BO38-BO$10)*1000)</f>
        <v>0.13081613460030894</v>
      </c>
      <c r="CL38" s="43">
        <f t="shared" si="1079"/>
        <v>7.1010247454252884</v>
      </c>
      <c r="CM38" s="43">
        <f t="shared" si="1079"/>
        <v>6.3676918386657011</v>
      </c>
      <c r="CN38" s="43">
        <f t="shared" si="1079"/>
        <v>-8.6769517596394508</v>
      </c>
      <c r="CO38" s="43">
        <f t="shared" si="1079"/>
        <v>5.8856942051859207</v>
      </c>
      <c r="CP38" s="43">
        <f t="shared" si="1079"/>
        <v>-3.0822304824121294</v>
      </c>
      <c r="CQ38" s="43">
        <f t="shared" si="1079"/>
        <v>-0.74824278925689214</v>
      </c>
      <c r="CR38" s="43">
        <f t="shared" si="1079"/>
        <v>13.258372322277889</v>
      </c>
      <c r="CS38" s="43">
        <f t="shared" si="1079"/>
        <v>-7.4935175720975966</v>
      </c>
      <c r="CT38" s="43">
        <f t="shared" si="1079"/>
        <v>-9.9331155719539765</v>
      </c>
      <c r="CU38" s="43">
        <f t="shared" si="1079"/>
        <v>-0.86963568735118346</v>
      </c>
      <c r="CV38" s="43">
        <f t="shared" si="1079"/>
        <v>-50.579668844280334</v>
      </c>
      <c r="CW38" s="43">
        <f t="shared" si="1079"/>
        <v>0.79032050618366156</v>
      </c>
      <c r="CX38" s="43">
        <f t="shared" si="1079"/>
        <v>-2.4121532081284869</v>
      </c>
      <c r="CY38" s="43">
        <f t="shared" si="1079"/>
        <v>-35.767903205055077</v>
      </c>
      <c r="CZ38" s="43">
        <f t="shared" si="1079"/>
        <v>-0.82289216103959006</v>
      </c>
      <c r="DA38" s="43">
        <f t="shared" si="1079"/>
        <v>-13.725652482628359</v>
      </c>
      <c r="DB38" s="43">
        <f t="shared" si="1079"/>
        <v>2.4612289216192353</v>
      </c>
      <c r="DC38" s="43">
        <f t="shared" si="1079"/>
        <v>-1.5043511524481801E-2</v>
      </c>
      <c r="DD38" s="43">
        <f t="shared" si="1079"/>
        <v>-17.122323867291733</v>
      </c>
      <c r="DE38" s="43">
        <f t="shared" si="1079"/>
        <v>4.609150435110565</v>
      </c>
    </row>
    <row r="39" spans="1:109" ht="29.25" customHeight="1" x14ac:dyDescent="0.2">
      <c r="A39" s="37">
        <v>43797</v>
      </c>
      <c r="B39" s="29">
        <f t="shared" si="1002"/>
        <v>92</v>
      </c>
      <c r="C39" s="38">
        <v>222.9</v>
      </c>
      <c r="D39" s="38">
        <f t="shared" ref="D39" si="1080">IF(C39="","",+C39-$W$6)</f>
        <v>26.800000000000011</v>
      </c>
      <c r="E39" s="39">
        <v>823244.33400000003</v>
      </c>
      <c r="F39" s="39">
        <v>1091518.7766</v>
      </c>
      <c r="G39" s="39">
        <v>-124.54470000000001</v>
      </c>
      <c r="H39" s="39"/>
      <c r="I39" s="39"/>
      <c r="J39" s="39"/>
      <c r="K39" s="39">
        <v>823244.51569999999</v>
      </c>
      <c r="L39" s="39">
        <v>1091518.4667</v>
      </c>
      <c r="M39" s="39">
        <v>-121.8181</v>
      </c>
      <c r="N39" s="39">
        <v>823245.29729999998</v>
      </c>
      <c r="O39" s="39">
        <v>1091516.6547999999</v>
      </c>
      <c r="P39" s="39">
        <v>-120.9114</v>
      </c>
      <c r="Q39" s="39">
        <v>823245.97519999999</v>
      </c>
      <c r="R39" s="39">
        <v>1091515.1817999999</v>
      </c>
      <c r="S39" s="39">
        <v>-121.29300000000001</v>
      </c>
      <c r="T39" s="39">
        <v>823246.55169999995</v>
      </c>
      <c r="U39" s="39">
        <v>1091514.1126000001</v>
      </c>
      <c r="V39" s="39">
        <v>-123.4401</v>
      </c>
      <c r="W39" s="39">
        <v>823246.46799999999</v>
      </c>
      <c r="X39" s="39">
        <v>1091514.1858000001</v>
      </c>
      <c r="Y39" s="39">
        <v>-124.56659999999999</v>
      </c>
      <c r="Z39" s="39">
        <f t="shared" si="1004"/>
        <v>4.3163469531812275</v>
      </c>
      <c r="AA39" s="39"/>
      <c r="AB39" s="39">
        <f t="shared" si="1005"/>
        <v>2.1716318887645496</v>
      </c>
      <c r="AC39" s="39">
        <f t="shared" si="1006"/>
        <v>1.6658018999892061</v>
      </c>
      <c r="AD39" s="39">
        <f t="shared" si="5"/>
        <v>3.7987661008392162</v>
      </c>
      <c r="AE39" s="39">
        <f t="shared" si="1007"/>
        <v>4.5636593353461734</v>
      </c>
      <c r="AF39" s="39">
        <f t="shared" si="1008"/>
        <v>3.6326902249651289</v>
      </c>
      <c r="AG39" s="39"/>
      <c r="AH39" s="39">
        <f t="shared" si="1009"/>
        <v>5.062596196500146</v>
      </c>
      <c r="AI39" s="43">
        <f t="shared" ref="AI39" si="1081">IF(Z39="","",(Z39-Z$10)*1000)</f>
        <v>-57.792018129389611</v>
      </c>
      <c r="AJ39" s="43" t="str">
        <f t="shared" ref="AJ39" si="1082">IF(AA39="","",(AA39-AA$10)*1000)</f>
        <v/>
      </c>
      <c r="AK39" s="43">
        <f t="shared" ref="AK39" si="1083">IF(AB39="","",(AB39-AB$10)*1000)</f>
        <v>-34.234974856629293</v>
      </c>
      <c r="AL39" s="43">
        <f t="shared" ref="AL39" si="1084">IF(AC39="","",(AC39-AC$10)*1000)</f>
        <v>-4.5092956839190013</v>
      </c>
      <c r="AM39" s="43">
        <f t="shared" ref="AM39" si="1085">IF(AD39="","",(AD39-AD$10)*1000)</f>
        <v>-49.754353821067184</v>
      </c>
      <c r="AN39" s="43">
        <f t="shared" ref="AN39" si="1086">IF(AE39="","",(AE39-AE$10)*1000)</f>
        <v>-58.942608418355746</v>
      </c>
      <c r="AO39" s="43">
        <f t="shared" ref="AO39" si="1087">IF(AF39="","",(AF39-AF$10)*1000)</f>
        <v>-20.4918688967064</v>
      </c>
      <c r="AP39" s="43" t="str">
        <f t="shared" ref="AP39" si="1088">IF(AG39="","",(AG39-AG$10)*1000)</f>
        <v/>
      </c>
      <c r="AQ39" s="43">
        <f t="shared" ref="AQ39" si="1089">IF(AH39="","",(AH39-AH$10)*1000)</f>
        <v>-25.57101494812386</v>
      </c>
      <c r="AR39" s="40"/>
      <c r="AS39" s="43">
        <f t="shared" si="1019"/>
        <v>3.6000000545755029</v>
      </c>
      <c r="AT39" s="43">
        <f t="shared" si="1020"/>
        <v>-7.9000000841915607</v>
      </c>
      <c r="AU39" s="43">
        <f t="shared" si="1021"/>
        <v>6.7999999999983629</v>
      </c>
      <c r="AV39" s="43" t="str">
        <f t="shared" si="1022"/>
        <v/>
      </c>
      <c r="AW39" s="43" t="str">
        <f t="shared" si="1023"/>
        <v/>
      </c>
      <c r="AX39" s="43" t="str">
        <f t="shared" si="1024"/>
        <v/>
      </c>
      <c r="AY39" s="43">
        <f t="shared" si="1025"/>
        <v>6.0999999986961484</v>
      </c>
      <c r="AZ39" s="43">
        <f t="shared" si="1026"/>
        <v>-13.700000010430813</v>
      </c>
      <c r="BA39" s="43">
        <f t="shared" si="1027"/>
        <v>-7.6999999999998181</v>
      </c>
      <c r="BB39" s="43">
        <f t="shared" si="1028"/>
        <v>-8.4000000497326255</v>
      </c>
      <c r="BC39" s="43">
        <f t="shared" si="1029"/>
        <v>-3.5000001080334187</v>
      </c>
      <c r="BD39" s="43">
        <f t="shared" si="1030"/>
        <v>-55.999999999997385</v>
      </c>
      <c r="BE39" s="43">
        <f t="shared" si="1031"/>
        <v>0.99999993108212948</v>
      </c>
      <c r="BF39" s="43">
        <f t="shared" si="1032"/>
        <v>1.500000013038516</v>
      </c>
      <c r="BG39" s="43">
        <f t="shared" si="1033"/>
        <v>-39.400000000000546</v>
      </c>
      <c r="BH39" s="43">
        <f t="shared" si="1034"/>
        <v>-6.8000000901520252</v>
      </c>
      <c r="BI39" s="43">
        <f t="shared" si="1035"/>
        <v>12.700000079348683</v>
      </c>
      <c r="BJ39" s="43">
        <f t="shared" si="1036"/>
        <v>3.0000000000001137</v>
      </c>
      <c r="BK39" s="43">
        <f t="shared" si="1037"/>
        <v>-7.6000000117346644</v>
      </c>
      <c r="BL39" s="43">
        <f t="shared" si="1038"/>
        <v>15.100000193342566</v>
      </c>
      <c r="BM39" s="43">
        <f t="shared" si="1039"/>
        <v>5.2000000000020918</v>
      </c>
      <c r="BN39" s="40"/>
      <c r="BO39" s="39">
        <v>196.10470000000001</v>
      </c>
      <c r="BP39" s="39">
        <v>-2.5285000000000002</v>
      </c>
      <c r="BQ39" s="39">
        <v>-0.96289999999999998</v>
      </c>
      <c r="BR39" s="39" t="s">
        <v>77</v>
      </c>
      <c r="BS39" s="39" t="s">
        <v>77</v>
      </c>
      <c r="BT39" s="39" t="s">
        <v>77</v>
      </c>
      <c r="BU39" s="39">
        <v>196.13839999999999</v>
      </c>
      <c r="BV39" s="39">
        <v>-2.1709000000000001</v>
      </c>
      <c r="BW39" s="39">
        <v>1.7634000000000001</v>
      </c>
      <c r="BX39" s="41">
        <v>196.08090000000001</v>
      </c>
      <c r="BY39" s="42">
        <v>-0.19839999999999999</v>
      </c>
      <c r="BZ39" s="42">
        <v>2.6707000000000001</v>
      </c>
      <c r="CA39" s="41">
        <v>196.0727</v>
      </c>
      <c r="CB39" s="42">
        <v>1.4231</v>
      </c>
      <c r="CC39" s="42">
        <v>2.2892000000000001</v>
      </c>
      <c r="CD39" s="41">
        <v>196.14330000000001</v>
      </c>
      <c r="CE39" s="42">
        <v>2.6356999999999999</v>
      </c>
      <c r="CF39" s="42">
        <v>0.14130000000000001</v>
      </c>
      <c r="CG39" s="41">
        <v>196.0984</v>
      </c>
      <c r="CH39" s="42">
        <v>2.5339999999999998</v>
      </c>
      <c r="CI39" s="42">
        <v>-0.98470000000000002</v>
      </c>
      <c r="CJ39" s="40"/>
      <c r="CK39" s="43">
        <f t="shared" ref="CK39:CM40" si="1090">IF(BO39="","",(BO39-BO$10)*1000)</f>
        <v>-6.918386537790866E-2</v>
      </c>
      <c r="CL39" s="43">
        <f t="shared" si="1090"/>
        <v>8.7010247454251122</v>
      </c>
      <c r="CM39" s="43">
        <f t="shared" si="1090"/>
        <v>6.7676918386657681</v>
      </c>
      <c r="CN39" s="43"/>
      <c r="CO39" s="43"/>
      <c r="CP39" s="43"/>
      <c r="CQ39" s="43">
        <f t="shared" ref="CQ39:DE39" si="1091">IF(BU39="","",(BU39-BU$10)*1000)</f>
        <v>-0.24824278926871557</v>
      </c>
      <c r="CR39" s="43">
        <f t="shared" si="1091"/>
        <v>14.958372322277924</v>
      </c>
      <c r="CS39" s="43">
        <f t="shared" si="1091"/>
        <v>-7.6935175720975746</v>
      </c>
      <c r="CT39" s="43">
        <f t="shared" si="1091"/>
        <v>-9.1331155719274193</v>
      </c>
      <c r="CU39" s="43">
        <f t="shared" si="1091"/>
        <v>-0.36963568735118302</v>
      </c>
      <c r="CV39" s="43">
        <f t="shared" si="1091"/>
        <v>-55.879668844280417</v>
      </c>
      <c r="CW39" s="43">
        <f t="shared" si="1091"/>
        <v>1.4903205061784774</v>
      </c>
      <c r="CX39" s="43">
        <f t="shared" si="1091"/>
        <v>-0.91215320812843004</v>
      </c>
      <c r="CY39" s="43">
        <f t="shared" si="1091"/>
        <v>-39.367903205055121</v>
      </c>
      <c r="CZ39" s="43">
        <f t="shared" si="1091"/>
        <v>-0.82289216103959006</v>
      </c>
      <c r="DA39" s="43">
        <f t="shared" si="1091"/>
        <v>-14.425652482628504</v>
      </c>
      <c r="DB39" s="43">
        <f t="shared" si="1091"/>
        <v>2.9612289216192353</v>
      </c>
      <c r="DC39" s="43">
        <f t="shared" si="1091"/>
        <v>-0.51504351151265837</v>
      </c>
      <c r="DD39" s="43">
        <f t="shared" si="1091"/>
        <v>-16.922323867291755</v>
      </c>
      <c r="DE39" s="43">
        <f t="shared" si="1091"/>
        <v>5.2091504351104989</v>
      </c>
    </row>
    <row r="40" spans="1:109" ht="29.25" customHeight="1" x14ac:dyDescent="0.2">
      <c r="A40" s="37">
        <v>43798</v>
      </c>
      <c r="B40" s="29">
        <f t="shared" si="1002"/>
        <v>93</v>
      </c>
      <c r="C40" s="38">
        <v>222.9</v>
      </c>
      <c r="D40" s="38">
        <f t="shared" ref="D40" si="1092">IF(C40="","",+C40-$W$6)</f>
        <v>26.800000000000011</v>
      </c>
      <c r="E40" s="39">
        <v>823244.33290000004</v>
      </c>
      <c r="F40" s="39">
        <v>1091518.7785</v>
      </c>
      <c r="G40" s="39">
        <v>-124.54470000000001</v>
      </c>
      <c r="H40" s="39">
        <v>823244.23710000003</v>
      </c>
      <c r="I40" s="39">
        <v>1091518.9506000001</v>
      </c>
      <c r="J40" s="39">
        <v>-123.18510000000001</v>
      </c>
      <c r="K40" s="39">
        <v>823244.51419999998</v>
      </c>
      <c r="L40" s="39">
        <v>1091518.4679</v>
      </c>
      <c r="M40" s="39">
        <v>-121.818</v>
      </c>
      <c r="N40" s="39">
        <v>823245.29630000005</v>
      </c>
      <c r="O40" s="39">
        <v>1091516.6558000001</v>
      </c>
      <c r="P40" s="39">
        <v>-120.9123</v>
      </c>
      <c r="Q40" s="39">
        <v>823245.97510000004</v>
      </c>
      <c r="R40" s="39">
        <v>1091515.183</v>
      </c>
      <c r="S40" s="39">
        <v>-121.29340000000001</v>
      </c>
      <c r="T40" s="39">
        <v>823246.55099999998</v>
      </c>
      <c r="U40" s="39">
        <v>1091514.1137999999</v>
      </c>
      <c r="V40" s="39">
        <v>-123.4401</v>
      </c>
      <c r="W40" s="39">
        <v>823246.46719999996</v>
      </c>
      <c r="X40" s="39">
        <v>1091514.1872</v>
      </c>
      <c r="Y40" s="39">
        <v>-124.5669</v>
      </c>
      <c r="Z40" s="39">
        <f t="shared" si="1004"/>
        <v>4.3160542871699876</v>
      </c>
      <c r="AA40" s="39">
        <f t="shared" si="2"/>
        <v>3.39906332982877</v>
      </c>
      <c r="AB40" s="39">
        <f t="shared" si="1005"/>
        <v>2.1715614911947143</v>
      </c>
      <c r="AC40" s="39">
        <f t="shared" si="1006"/>
        <v>1.665877093396031</v>
      </c>
      <c r="AD40" s="39">
        <f t="shared" si="5"/>
        <v>3.7981322950237271</v>
      </c>
      <c r="AE40" s="39">
        <f t="shared" si="1007"/>
        <v>4.5630136894269615</v>
      </c>
      <c r="AF40" s="39">
        <f t="shared" si="1008"/>
        <v>3.63318069750893</v>
      </c>
      <c r="AG40" s="39">
        <f t="shared" si="8"/>
        <v>5.367848027968174</v>
      </c>
      <c r="AH40" s="39">
        <f t="shared" si="1009"/>
        <v>5.0631773640059805</v>
      </c>
      <c r="AI40" s="43">
        <f t="shared" si="1010"/>
        <v>-58.084684140629506</v>
      </c>
      <c r="AJ40" s="43">
        <f t="shared" si="1011"/>
        <v>-42.10111990218968</v>
      </c>
      <c r="AK40" s="43">
        <f t="shared" si="1012"/>
        <v>-34.305372426464587</v>
      </c>
      <c r="AL40" s="43">
        <f t="shared" si="1013"/>
        <v>-4.4341022770941763</v>
      </c>
      <c r="AM40" s="43">
        <f t="shared" si="1014"/>
        <v>-50.388159636556296</v>
      </c>
      <c r="AN40" s="43">
        <f t="shared" si="1015"/>
        <v>-59.588254337567648</v>
      </c>
      <c r="AO40" s="43">
        <f t="shared" si="1016"/>
        <v>-20.001396352905321</v>
      </c>
      <c r="AP40" s="43">
        <f t="shared" si="1017"/>
        <v>-22.064132733270014</v>
      </c>
      <c r="AQ40" s="43">
        <f t="shared" si="1018"/>
        <v>-24.989847442289381</v>
      </c>
      <c r="AR40" s="40"/>
      <c r="AS40" s="43">
        <f t="shared" si="1019"/>
        <v>2.5000000605359674</v>
      </c>
      <c r="AT40" s="43">
        <f t="shared" si="1020"/>
        <v>-6.0000000521540642</v>
      </c>
      <c r="AU40" s="43">
        <f t="shared" si="1021"/>
        <v>6.7999999999983629</v>
      </c>
      <c r="AV40" s="43">
        <f t="shared" si="1022"/>
        <v>-5.8999999891966581</v>
      </c>
      <c r="AW40" s="43">
        <f t="shared" si="1023"/>
        <v>-9.4999999273568392</v>
      </c>
      <c r="AX40" s="43">
        <f t="shared" si="1024"/>
        <v>-2.9000000000110049</v>
      </c>
      <c r="AY40" s="43">
        <f t="shared" si="1025"/>
        <v>4.5999999856576324</v>
      </c>
      <c r="AZ40" s="43">
        <f t="shared" si="1026"/>
        <v>-12.499999953433871</v>
      </c>
      <c r="BA40" s="43">
        <f t="shared" si="1027"/>
        <v>-7.5999999999964984</v>
      </c>
      <c r="BB40" s="43">
        <f t="shared" si="1028"/>
        <v>-9.399999980814755</v>
      </c>
      <c r="BC40" s="43">
        <f t="shared" si="1029"/>
        <v>-2.4999999441206455</v>
      </c>
      <c r="BD40" s="43">
        <f t="shared" si="1030"/>
        <v>-56.89999999999884</v>
      </c>
      <c r="BE40" s="43">
        <f t="shared" si="1031"/>
        <v>0.89999998454004526</v>
      </c>
      <c r="BF40" s="43">
        <f t="shared" si="1032"/>
        <v>2.7000000700354576</v>
      </c>
      <c r="BG40" s="43">
        <f t="shared" si="1033"/>
        <v>-39.799999999999613</v>
      </c>
      <c r="BH40" s="43">
        <f t="shared" si="1034"/>
        <v>-7.5000000651925802</v>
      </c>
      <c r="BI40" s="43">
        <f t="shared" si="1035"/>
        <v>13.899999903514981</v>
      </c>
      <c r="BJ40" s="43">
        <f t="shared" si="1036"/>
        <v>3.0000000000001137</v>
      </c>
      <c r="BK40" s="43">
        <f t="shared" si="1037"/>
        <v>-8.4000000497326255</v>
      </c>
      <c r="BL40" s="43">
        <f t="shared" si="1038"/>
        <v>16.500000143423676</v>
      </c>
      <c r="BM40" s="43">
        <f t="shared" si="1039"/>
        <v>4.8999999999921329</v>
      </c>
      <c r="BN40" s="40"/>
      <c r="BO40" s="39">
        <v>196.10449900196056</v>
      </c>
      <c r="BP40" s="39">
        <v>-2.5307066423524152</v>
      </c>
      <c r="BQ40" s="39">
        <v>-0.9628649900196109</v>
      </c>
      <c r="BR40" s="39">
        <v>196.09041463461423</v>
      </c>
      <c r="BS40" s="39">
        <v>-2.7271695666590259</v>
      </c>
      <c r="BT40" s="39">
        <v>0.39687585365385303</v>
      </c>
      <c r="BU40" s="41">
        <v>196.13753403609596</v>
      </c>
      <c r="BV40" s="42">
        <v>-2.1725855225096726</v>
      </c>
      <c r="BW40" s="42">
        <v>1.7635046596390396</v>
      </c>
      <c r="BX40" s="41">
        <v>196.08045734032561</v>
      </c>
      <c r="BY40" s="42">
        <v>-0.19973756312713983</v>
      </c>
      <c r="BZ40" s="42">
        <v>2.6697754265967433</v>
      </c>
      <c r="CA40" s="41">
        <v>196.07316650278091</v>
      </c>
      <c r="CB40" s="42">
        <v>1.4219455514144956</v>
      </c>
      <c r="CC40" s="42">
        <v>2.2887483349721833</v>
      </c>
      <c r="CD40" s="41">
        <v>196.14320056463282</v>
      </c>
      <c r="CE40" s="42">
        <v>2.6343583029835451</v>
      </c>
      <c r="CF40" s="42">
        <v>0.14134799435366574</v>
      </c>
      <c r="CG40" s="41">
        <v>196.09827594848068</v>
      </c>
      <c r="CH40" s="42">
        <v>2.5324182280204366</v>
      </c>
      <c r="CI40" s="42">
        <v>-0.98500275948481431</v>
      </c>
      <c r="CJ40" s="40"/>
      <c r="CK40" s="43">
        <f t="shared" si="1090"/>
        <v>-0.270181904824085</v>
      </c>
      <c r="CL40" s="43">
        <f t="shared" si="1090"/>
        <v>6.4943823930101452</v>
      </c>
      <c r="CM40" s="43">
        <f t="shared" si="1090"/>
        <v>6.8027018190548461</v>
      </c>
      <c r="CN40" s="43">
        <f t="shared" ref="CN40" si="1093">IF(BR40="","",(BR40-BR$10)*1000)</f>
        <v>-9.3623171454169096</v>
      </c>
      <c r="CO40" s="43">
        <f t="shared" ref="CO40" si="1094">IF(BS40="","",(BS40-BS$10)*1000)</f>
        <v>6.1161275461598663</v>
      </c>
      <c r="CP40" s="43">
        <f t="shared" ref="CP40" si="1095">IF(BT40="","",(BT40-BT$10)*1000)</f>
        <v>-2.8063768285591095</v>
      </c>
      <c r="CQ40" s="43">
        <f t="shared" ref="CQ40" si="1096">IF(BU40="","",(BU40-BU$10)*1000)</f>
        <v>-1.1142066933018668</v>
      </c>
      <c r="CR40" s="43">
        <f t="shared" ref="CR40" si="1097">IF(BV40="","",(BV40-BV$10)*1000)</f>
        <v>13.272849812605347</v>
      </c>
      <c r="CS40" s="43">
        <f t="shared" ref="CS40" si="1098">IF(BW40="","",(BW40-BW$10)*1000)</f>
        <v>-7.5888579330580797</v>
      </c>
      <c r="CT40" s="43">
        <f t="shared" ref="CT40" si="1099">IF(BX40="","",(BX40-BX$10)*1000)</f>
        <v>-9.5757752463327961</v>
      </c>
      <c r="CU40" s="43">
        <f t="shared" ref="CU40" si="1100">IF(BY40="","",(BY40-BY$10)*1000)</f>
        <v>-1.7071988144910233</v>
      </c>
      <c r="CV40" s="43">
        <f t="shared" ref="CV40" si="1101">IF(BZ40="","",(BZ40-BZ$10)*1000)</f>
        <v>-56.804242247537218</v>
      </c>
      <c r="CW40" s="43">
        <f t="shared" ref="CW40" si="1102">IF(CA40="","",(CA40-CA$10)*1000)</f>
        <v>1.9568232870881275</v>
      </c>
      <c r="CX40" s="43">
        <f t="shared" ref="CX40" si="1103">IF(CB40="","",(CB40-CB$10)*1000)</f>
        <v>-2.0666017936328274</v>
      </c>
      <c r="CY40" s="43">
        <f t="shared" ref="CY40" si="1104">IF(CC40="","",(CC40-CC$10)*1000)</f>
        <v>-39.819568232871916</v>
      </c>
      <c r="CZ40" s="43">
        <f t="shared" ref="CZ40" si="1105">IF(CD40="","",(CD40-CD$10)*1000)</f>
        <v>-0.92232752822951625</v>
      </c>
      <c r="DA40" s="43">
        <f t="shared" ref="DA40" si="1106">IF(CE40="","",(CE40-CE$10)*1000)</f>
        <v>-15.767349499083316</v>
      </c>
      <c r="DB40" s="43">
        <f t="shared" ref="DB40" si="1107">IF(CF40="","",(CF40-CF$10)*1000)</f>
        <v>3.0092232752849668</v>
      </c>
      <c r="DC40" s="43">
        <f t="shared" ref="DC40" si="1108">IF(CG40="","",(CG40-CG$10)*1000)</f>
        <v>-0.63909503083436903</v>
      </c>
      <c r="DD40" s="43">
        <f t="shared" ref="DD40" si="1109">IF(CH40="","",(CH40-CH$10)*1000)</f>
        <v>-18.504095846854973</v>
      </c>
      <c r="DE40" s="43">
        <f t="shared" ref="DE40" si="1110">IF(CI40="","",(CI40-CI$10)*1000)</f>
        <v>4.9063909502962133</v>
      </c>
    </row>
    <row r="41" spans="1:109" ht="29.25" customHeight="1" x14ac:dyDescent="0.2">
      <c r="A41" s="37">
        <v>43801</v>
      </c>
      <c r="B41" s="29">
        <f t="shared" si="1002"/>
        <v>96</v>
      </c>
      <c r="C41" s="38">
        <v>222.9</v>
      </c>
      <c r="D41" s="38">
        <f t="shared" ref="D41" si="1111">IF(C41="","",+C41-$W$6)</f>
        <v>26.800000000000011</v>
      </c>
      <c r="E41" s="39">
        <v>823244.33330000006</v>
      </c>
      <c r="F41" s="39">
        <v>1091518.7788</v>
      </c>
      <c r="G41" s="39">
        <v>-124.5448</v>
      </c>
      <c r="H41" s="39">
        <v>823244.23719999997</v>
      </c>
      <c r="I41" s="39">
        <v>1091518.9513999999</v>
      </c>
      <c r="J41" s="39">
        <v>-123.185</v>
      </c>
      <c r="K41" s="39">
        <v>823244.51470000006</v>
      </c>
      <c r="L41" s="39">
        <v>1091518.4683999999</v>
      </c>
      <c r="M41" s="39">
        <v>-121.81789999999999</v>
      </c>
      <c r="N41" s="39">
        <v>823245.29650000005</v>
      </c>
      <c r="O41" s="39">
        <v>1091516.6558999999</v>
      </c>
      <c r="P41" s="39">
        <v>-120.9135</v>
      </c>
      <c r="Q41" s="39">
        <v>823245.97530000005</v>
      </c>
      <c r="R41" s="39">
        <v>1091515.1828999999</v>
      </c>
      <c r="S41" s="39">
        <v>-121.29430000000001</v>
      </c>
      <c r="T41" s="39">
        <v>823246.55149999994</v>
      </c>
      <c r="U41" s="39">
        <v>1091514.1137000001</v>
      </c>
      <c r="V41" s="39">
        <v>-123.4401</v>
      </c>
      <c r="W41" s="39">
        <v>823246.46779999998</v>
      </c>
      <c r="X41" s="39">
        <v>1091514.1871</v>
      </c>
      <c r="Y41" s="39">
        <v>-124.5669</v>
      </c>
      <c r="Z41" s="39">
        <f t="shared" si="1004"/>
        <v>4.315182306729886</v>
      </c>
      <c r="AA41" s="39">
        <f t="shared" si="2"/>
        <v>3.3986981316682843</v>
      </c>
      <c r="AB41" s="39">
        <f t="shared" si="1005"/>
        <v>2.1712454605583709</v>
      </c>
      <c r="AC41" s="39">
        <f t="shared" si="1006"/>
        <v>1.6659853180585595</v>
      </c>
      <c r="AD41" s="39">
        <f t="shared" si="5"/>
        <v>3.7975667734306513</v>
      </c>
      <c r="AE41" s="39">
        <f t="shared" si="1007"/>
        <v>4.56226354887729</v>
      </c>
      <c r="AF41" s="39">
        <f t="shared" si="1008"/>
        <v>3.6334583484556657</v>
      </c>
      <c r="AG41" s="39">
        <f t="shared" si="8"/>
        <v>5.3688361669845479</v>
      </c>
      <c r="AH41" s="39">
        <f t="shared" si="1009"/>
        <v>5.0636239542048855</v>
      </c>
      <c r="AI41" s="43">
        <f t="shared" si="1010"/>
        <v>-58.956664580731122</v>
      </c>
      <c r="AJ41" s="43">
        <f t="shared" si="1011"/>
        <v>-42.466318062675427</v>
      </c>
      <c r="AK41" s="43">
        <f t="shared" si="1012"/>
        <v>-34.621403062808028</v>
      </c>
      <c r="AL41" s="43">
        <f t="shared" si="1013"/>
        <v>-4.3258776145655986</v>
      </c>
      <c r="AM41" s="43">
        <f t="shared" si="1014"/>
        <v>-50.953681229632068</v>
      </c>
      <c r="AN41" s="43">
        <f t="shared" si="1015"/>
        <v>-60.338394887239133</v>
      </c>
      <c r="AO41" s="43">
        <f t="shared" si="1016"/>
        <v>-19.723745406169613</v>
      </c>
      <c r="AP41" s="43">
        <f t="shared" si="1017"/>
        <v>-21.075993716896058</v>
      </c>
      <c r="AQ41" s="43">
        <f t="shared" si="1018"/>
        <v>-24.543257243384353</v>
      </c>
      <c r="AR41" s="40"/>
      <c r="AS41" s="43">
        <f t="shared" si="1019"/>
        <v>2.9000000795349479</v>
      </c>
      <c r="AT41" s="43">
        <f t="shared" si="1020"/>
        <v>-5.7000000961124897</v>
      </c>
      <c r="AU41" s="43">
        <f t="shared" si="1021"/>
        <v>6.7000000000092541</v>
      </c>
      <c r="AV41" s="43">
        <f t="shared" si="1022"/>
        <v>-5.8000000426545739</v>
      </c>
      <c r="AW41" s="43">
        <f t="shared" si="1023"/>
        <v>-8.7000001221895218</v>
      </c>
      <c r="AX41" s="43">
        <f t="shared" si="1024"/>
        <v>-2.8000000000076852</v>
      </c>
      <c r="AY41" s="43">
        <f t="shared" si="1025"/>
        <v>5.1000000676140189</v>
      </c>
      <c r="AZ41" s="43">
        <f t="shared" si="1026"/>
        <v>-12.000000104308128</v>
      </c>
      <c r="BA41" s="43">
        <f t="shared" si="1027"/>
        <v>-7.4999999999931788</v>
      </c>
      <c r="BB41" s="43">
        <f t="shared" si="1028"/>
        <v>-9.1999999713152647</v>
      </c>
      <c r="BC41" s="43">
        <f t="shared" si="1029"/>
        <v>-2.4000001139938831</v>
      </c>
      <c r="BD41" s="43">
        <f t="shared" si="1030"/>
        <v>-58.099999999996044</v>
      </c>
      <c r="BE41" s="43">
        <f t="shared" si="1031"/>
        <v>1.0999999940395355</v>
      </c>
      <c r="BF41" s="43">
        <f t="shared" si="1032"/>
        <v>2.6000000070780516</v>
      </c>
      <c r="BG41" s="43">
        <f t="shared" si="1033"/>
        <v>-40.700000000001069</v>
      </c>
      <c r="BH41" s="43">
        <f t="shared" si="1034"/>
        <v>-7.0000000996515155</v>
      </c>
      <c r="BI41" s="43">
        <f t="shared" si="1035"/>
        <v>13.800000073388219</v>
      </c>
      <c r="BJ41" s="43">
        <f t="shared" si="1036"/>
        <v>3.0000000000001137</v>
      </c>
      <c r="BK41" s="43">
        <f t="shared" si="1037"/>
        <v>-7.8000000212341547</v>
      </c>
      <c r="BL41" s="43">
        <f t="shared" si="1038"/>
        <v>16.40000008046627</v>
      </c>
      <c r="BM41" s="43">
        <f t="shared" si="1039"/>
        <v>4.8999999999921329</v>
      </c>
      <c r="BN41" s="40"/>
      <c r="BO41" s="39">
        <v>196.10499999999999</v>
      </c>
      <c r="BP41" s="39">
        <v>-2.5308000000000002</v>
      </c>
      <c r="BQ41" s="39">
        <v>-0.96299999999999997</v>
      </c>
      <c r="BR41" s="39">
        <v>196.0908</v>
      </c>
      <c r="BS41" s="39">
        <v>-2.7279</v>
      </c>
      <c r="BT41" s="39">
        <v>0.39700000000000002</v>
      </c>
      <c r="BU41" s="41">
        <v>196.13820000000001</v>
      </c>
      <c r="BV41" s="42">
        <v>-2.1728000000000001</v>
      </c>
      <c r="BW41" s="42">
        <v>1.7636000000000001</v>
      </c>
      <c r="BX41" s="41">
        <v>196.08070000000001</v>
      </c>
      <c r="BY41" s="42">
        <v>-0.19969999999999999</v>
      </c>
      <c r="BZ41" s="42">
        <v>2.6686000000000001</v>
      </c>
      <c r="CA41" s="41">
        <v>196.07329999999999</v>
      </c>
      <c r="CB41" s="42">
        <v>1.4220999999999999</v>
      </c>
      <c r="CC41" s="42">
        <v>2.2877999999999998</v>
      </c>
      <c r="CD41" s="41">
        <v>196.14359999999999</v>
      </c>
      <c r="CE41" s="42">
        <v>2.6347</v>
      </c>
      <c r="CF41" s="42">
        <v>0.14130000000000001</v>
      </c>
      <c r="CG41" s="41">
        <v>196.09880000000001</v>
      </c>
      <c r="CH41" s="42">
        <v>2.5327999999999999</v>
      </c>
      <c r="CI41" s="42">
        <v>-0.98499999999999999</v>
      </c>
      <c r="CJ41" s="40"/>
      <c r="CK41" s="43">
        <f t="shared" si="1040"/>
        <v>0.2308161346036286</v>
      </c>
      <c r="CL41" s="43">
        <f t="shared" si="1041"/>
        <v>6.4010247454251434</v>
      </c>
      <c r="CM41" s="43">
        <f t="shared" si="1042"/>
        <v>6.6676918386657791</v>
      </c>
      <c r="CN41" s="43">
        <f t="shared" si="1043"/>
        <v>-8.9769517596494097</v>
      </c>
      <c r="CO41" s="43">
        <f t="shared" si="1044"/>
        <v>5.3856942051857537</v>
      </c>
      <c r="CP41" s="43">
        <f t="shared" si="1045"/>
        <v>-2.6822304824121179</v>
      </c>
      <c r="CQ41" s="43">
        <f t="shared" si="1046"/>
        <v>-0.44824278924693317</v>
      </c>
      <c r="CR41" s="43">
        <f t="shared" si="1047"/>
        <v>13.058372322277911</v>
      </c>
      <c r="CS41" s="43">
        <f t="shared" si="1048"/>
        <v>-7.4935175720975966</v>
      </c>
      <c r="CT41" s="43">
        <f t="shared" si="1049"/>
        <v>-9.3331155719340586</v>
      </c>
      <c r="CU41" s="43">
        <f t="shared" si="1050"/>
        <v>-1.6696356873511786</v>
      </c>
      <c r="CV41" s="43">
        <f t="shared" si="1051"/>
        <v>-57.979668844280411</v>
      </c>
      <c r="CW41" s="43">
        <f t="shared" si="1052"/>
        <v>2.0903205061699737</v>
      </c>
      <c r="CX41" s="43">
        <f t="shared" si="1053"/>
        <v>-1.9121532081285419</v>
      </c>
      <c r="CY41" s="43">
        <f t="shared" si="1054"/>
        <v>-40.767903205055411</v>
      </c>
      <c r="CZ41" s="43">
        <f t="shared" si="1055"/>
        <v>-0.52289216105805281</v>
      </c>
      <c r="DA41" s="43">
        <f t="shared" si="1056"/>
        <v>-15.425652482628394</v>
      </c>
      <c r="DB41" s="43">
        <f t="shared" si="1057"/>
        <v>2.9612289216192353</v>
      </c>
      <c r="DC41" s="43">
        <f t="shared" si="1058"/>
        <v>-0.11504351149937975</v>
      </c>
      <c r="DD41" s="43">
        <f t="shared" si="1059"/>
        <v>-18.122323867291623</v>
      </c>
      <c r="DE41" s="43">
        <f t="shared" si="1060"/>
        <v>4.909150435110532</v>
      </c>
    </row>
    <row r="42" spans="1:109" ht="29.25" customHeight="1" x14ac:dyDescent="0.2">
      <c r="A42" s="37">
        <v>43803</v>
      </c>
      <c r="B42" s="29">
        <f t="shared" si="1002"/>
        <v>98</v>
      </c>
      <c r="C42" s="38">
        <v>222.9</v>
      </c>
      <c r="D42" s="38">
        <f t="shared" ref="D42" si="1112">IF(C42="","",+C42-$W$6)</f>
        <v>26.800000000000011</v>
      </c>
      <c r="E42" s="39">
        <v>823244.33189999999</v>
      </c>
      <c r="F42" s="39">
        <v>1091518.7785</v>
      </c>
      <c r="G42" s="39">
        <v>-124.54559999999999</v>
      </c>
      <c r="H42" s="39">
        <v>823244.23640000005</v>
      </c>
      <c r="I42" s="39">
        <v>1091518.9516</v>
      </c>
      <c r="J42" s="39">
        <v>-123.1855</v>
      </c>
      <c r="K42" s="39">
        <v>823244.51390000002</v>
      </c>
      <c r="L42" s="39">
        <v>1091518.4686</v>
      </c>
      <c r="M42" s="39">
        <v>-121.81870000000001</v>
      </c>
      <c r="N42" s="39">
        <v>823245.2953</v>
      </c>
      <c r="O42" s="39">
        <v>1091516.656</v>
      </c>
      <c r="P42" s="39">
        <v>-120.9156</v>
      </c>
      <c r="Q42" s="39">
        <v>823245.9743</v>
      </c>
      <c r="R42" s="39">
        <v>1091515.1835</v>
      </c>
      <c r="S42" s="39">
        <v>-121.2958</v>
      </c>
      <c r="T42" s="39">
        <v>823246.55050000001</v>
      </c>
      <c r="U42" s="39">
        <v>1091514.1147</v>
      </c>
      <c r="V42" s="39">
        <v>-123.4405</v>
      </c>
      <c r="W42" s="39">
        <v>823246.46669999999</v>
      </c>
      <c r="X42" s="39">
        <v>1091514.1880999999</v>
      </c>
      <c r="Y42" s="39">
        <v>-124.5671</v>
      </c>
      <c r="Z42" s="39">
        <f t="shared" si="1004"/>
        <v>4.313936231593166</v>
      </c>
      <c r="AA42" s="39">
        <f t="shared" si="2"/>
        <v>3.3975718653485032</v>
      </c>
      <c r="AB42" s="39">
        <f t="shared" si="1005"/>
        <v>2.1706437593934891</v>
      </c>
      <c r="AC42" s="39">
        <f t="shared" si="1006"/>
        <v>1.6654877032743931</v>
      </c>
      <c r="AD42" s="39">
        <f t="shared" si="5"/>
        <v>3.7958994638492713</v>
      </c>
      <c r="AE42" s="39">
        <f t="shared" si="1007"/>
        <v>4.5602807611168972</v>
      </c>
      <c r="AF42" s="39">
        <f t="shared" si="1008"/>
        <v>3.6329154380207678</v>
      </c>
      <c r="AG42" s="39">
        <f t="shared" si="8"/>
        <v>5.3680243497736182</v>
      </c>
      <c r="AH42" s="39">
        <f t="shared" si="1009"/>
        <v>5.0625690564122836</v>
      </c>
      <c r="AI42" s="43">
        <f t="shared" ref="AI42" si="1113">IF(Z42="","",(Z42-Z$10)*1000)</f>
        <v>-60.202739717451159</v>
      </c>
      <c r="AJ42" s="43">
        <f t="shared" ref="AJ42" si="1114">IF(AA42="","",(AA42-AA$10)*1000)</f>
        <v>-43.592584382456501</v>
      </c>
      <c r="AK42" s="43">
        <f t="shared" ref="AK42" si="1115">IF(AB42="","",(AB42-AB$10)*1000)</f>
        <v>-35.223104227689817</v>
      </c>
      <c r="AL42" s="43">
        <f t="shared" ref="AL42" si="1116">IF(AC42="","",(AC42-AC$10)*1000)</f>
        <v>-4.8234923987320322</v>
      </c>
      <c r="AM42" s="43">
        <f t="shared" ref="AM42" si="1117">IF(AD42="","",(AD42-AD$10)*1000)</f>
        <v>-52.620990811012014</v>
      </c>
      <c r="AN42" s="43">
        <f t="shared" ref="AN42" si="1118">IF(AE42="","",(AE42-AE$10)*1000)</f>
        <v>-62.321182647631979</v>
      </c>
      <c r="AO42" s="43">
        <f t="shared" ref="AO42" si="1119">IF(AF42="","",(AF42-AF$10)*1000)</f>
        <v>-20.266655841067571</v>
      </c>
      <c r="AP42" s="43">
        <f t="shared" ref="AP42" si="1120">IF(AG42="","",(AG42-AG$10)*1000)</f>
        <v>-21.887810927825768</v>
      </c>
      <c r="AQ42" s="43">
        <f t="shared" ref="AQ42" si="1121">IF(AH42="","",(AH42-AH$10)*1000)</f>
        <v>-25.598155035986281</v>
      </c>
      <c r="AR42" s="40"/>
      <c r="AS42" s="43">
        <f t="shared" si="1019"/>
        <v>1.500000013038516</v>
      </c>
      <c r="AT42" s="43">
        <f t="shared" si="1020"/>
        <v>-6.0000000521540642</v>
      </c>
      <c r="AU42" s="43">
        <f t="shared" si="1021"/>
        <v>5.9000000000111186</v>
      </c>
      <c r="AV42" s="43">
        <f t="shared" si="1022"/>
        <v>-6.5999999642372131</v>
      </c>
      <c r="AW42" s="43">
        <f t="shared" si="1023"/>
        <v>-8.4999999962747097</v>
      </c>
      <c r="AX42" s="43">
        <f t="shared" si="1024"/>
        <v>-3.3000000000100727</v>
      </c>
      <c r="AY42" s="43">
        <f t="shared" si="1025"/>
        <v>4.3000000296160579</v>
      </c>
      <c r="AZ42" s="43">
        <f t="shared" si="1026"/>
        <v>-11.799999978393316</v>
      </c>
      <c r="BA42" s="43">
        <f t="shared" si="1027"/>
        <v>-8.3000000000055252</v>
      </c>
      <c r="BB42" s="43">
        <f t="shared" si="1028"/>
        <v>-10.400000028312206</v>
      </c>
      <c r="BC42" s="43">
        <f t="shared" si="1029"/>
        <v>-2.3000000510364771</v>
      </c>
      <c r="BD42" s="43">
        <f t="shared" si="1030"/>
        <v>-60.199999999994702</v>
      </c>
      <c r="BE42" s="43">
        <f t="shared" si="1031"/>
        <v>9.9999946542084217E-2</v>
      </c>
      <c r="BF42" s="43">
        <f t="shared" si="1032"/>
        <v>3.2000001519918442</v>
      </c>
      <c r="BG42" s="43">
        <f t="shared" si="1033"/>
        <v>-42.19999999999402</v>
      </c>
      <c r="BH42" s="43">
        <f t="shared" si="1034"/>
        <v>-8.000000030733645</v>
      </c>
      <c r="BI42" s="43">
        <f t="shared" si="1035"/>
        <v>14.800000004470348</v>
      </c>
      <c r="BJ42" s="43">
        <f t="shared" si="1036"/>
        <v>2.6000000000010459</v>
      </c>
      <c r="BK42" s="43">
        <f t="shared" si="1037"/>
        <v>-8.9000000152736902</v>
      </c>
      <c r="BL42" s="43">
        <f t="shared" si="1038"/>
        <v>17.4000000115484</v>
      </c>
      <c r="BM42" s="43">
        <f t="shared" si="1039"/>
        <v>4.6999999999997044</v>
      </c>
      <c r="BN42" s="40"/>
      <c r="BO42" s="39">
        <v>196.1036</v>
      </c>
      <c r="BP42" s="39">
        <v>-2.5310999999999999</v>
      </c>
      <c r="BQ42" s="39">
        <v>-0.96379999999999999</v>
      </c>
      <c r="BR42" s="39">
        <v>196.09020000000001</v>
      </c>
      <c r="BS42" s="39">
        <v>-2.7284000000000002</v>
      </c>
      <c r="BT42" s="39">
        <v>0.39650000000000002</v>
      </c>
      <c r="BU42" s="41">
        <v>196.13759999999999</v>
      </c>
      <c r="BV42" s="42">
        <v>-2.1732999999999998</v>
      </c>
      <c r="BW42" s="42">
        <v>1.7627999999999999</v>
      </c>
      <c r="BX42" s="41">
        <v>196.0796</v>
      </c>
      <c r="BY42" s="42">
        <v>-0.20030000000000001</v>
      </c>
      <c r="BZ42" s="42">
        <v>2.6665000000000001</v>
      </c>
      <c r="CA42" s="41">
        <v>196.0727</v>
      </c>
      <c r="CB42" s="42">
        <v>1.4212</v>
      </c>
      <c r="CC42" s="42">
        <v>2.2864</v>
      </c>
      <c r="CD42" s="41">
        <v>196.1431</v>
      </c>
      <c r="CE42" s="42">
        <v>2.6333000000000002</v>
      </c>
      <c r="CF42" s="42">
        <v>0.1409</v>
      </c>
      <c r="CG42" s="41">
        <v>196.09819999999999</v>
      </c>
      <c r="CH42" s="42">
        <v>2.5314000000000001</v>
      </c>
      <c r="CI42" s="42">
        <v>-0.98519999999999996</v>
      </c>
      <c r="CJ42" s="40"/>
      <c r="CK42" s="43">
        <f t="shared" si="1040"/>
        <v>-1.1691838653860032</v>
      </c>
      <c r="CL42" s="43">
        <f t="shared" si="1041"/>
        <v>6.1010247454253985</v>
      </c>
      <c r="CM42" s="43">
        <f t="shared" si="1042"/>
        <v>5.8676918386657562</v>
      </c>
      <c r="CN42" s="43">
        <f t="shared" si="1043"/>
        <v>-9.5769517596409059</v>
      </c>
      <c r="CO42" s="43">
        <f t="shared" si="1044"/>
        <v>4.8856942051855867</v>
      </c>
      <c r="CP42" s="43">
        <f t="shared" si="1045"/>
        <v>-3.1822304824121184</v>
      </c>
      <c r="CQ42" s="43">
        <f t="shared" si="1046"/>
        <v>-1.0482427892668511</v>
      </c>
      <c r="CR42" s="43">
        <f t="shared" si="1047"/>
        <v>12.558372322278188</v>
      </c>
      <c r="CS42" s="43">
        <f t="shared" si="1048"/>
        <v>-8.2935175720977306</v>
      </c>
      <c r="CT42" s="43">
        <f t="shared" si="1049"/>
        <v>-10.433115571942153</v>
      </c>
      <c r="CU42" s="43">
        <f t="shared" si="1050"/>
        <v>-2.2696356873511956</v>
      </c>
      <c r="CV42" s="43">
        <f t="shared" si="1051"/>
        <v>-60.079668844280398</v>
      </c>
      <c r="CW42" s="43">
        <f t="shared" si="1052"/>
        <v>1.4903205061784774</v>
      </c>
      <c r="CX42" s="43">
        <f t="shared" si="1053"/>
        <v>-2.8121532081284428</v>
      </c>
      <c r="CY42" s="43">
        <f t="shared" si="1054"/>
        <v>-42.167903205055254</v>
      </c>
      <c r="CZ42" s="43">
        <f t="shared" si="1055"/>
        <v>-1.0228921610462294</v>
      </c>
      <c r="DA42" s="43">
        <f t="shared" si="1056"/>
        <v>-16.825652482628239</v>
      </c>
      <c r="DB42" s="43">
        <f t="shared" si="1057"/>
        <v>2.5612289216192243</v>
      </c>
      <c r="DC42" s="43">
        <f t="shared" si="1058"/>
        <v>-0.71504351151929768</v>
      </c>
      <c r="DD42" s="43">
        <f t="shared" si="1059"/>
        <v>-19.522323867291469</v>
      </c>
      <c r="DE42" s="43">
        <f t="shared" si="1060"/>
        <v>4.709150435110554</v>
      </c>
    </row>
    <row r="43" spans="1:109" ht="29.25" customHeight="1" x14ac:dyDescent="0.2">
      <c r="A43" s="37">
        <v>43808</v>
      </c>
      <c r="B43" s="29">
        <f t="shared" si="1002"/>
        <v>103</v>
      </c>
      <c r="C43" s="38">
        <v>222.9</v>
      </c>
      <c r="D43" s="38">
        <f t="shared" ref="D43" si="1122">IF(C43="","",+C43-$W$6)</f>
        <v>26.800000000000011</v>
      </c>
      <c r="E43" s="39">
        <v>823244.33250000002</v>
      </c>
      <c r="F43" s="39">
        <v>1091518.7786999999</v>
      </c>
      <c r="G43" s="39">
        <v>-124.5436</v>
      </c>
      <c r="H43" s="39">
        <v>823244.2365</v>
      </c>
      <c r="I43" s="39">
        <v>1091518.9512</v>
      </c>
      <c r="J43" s="39">
        <v>-123.1849</v>
      </c>
      <c r="K43" s="39">
        <v>823244.51410000003</v>
      </c>
      <c r="L43" s="39">
        <v>1091518.4680999999</v>
      </c>
      <c r="M43" s="39">
        <v>-121.81829999999999</v>
      </c>
      <c r="N43" s="39">
        <v>823245.29550000001</v>
      </c>
      <c r="O43" s="39">
        <v>1091516.6558999999</v>
      </c>
      <c r="P43" s="39">
        <v>-120.916</v>
      </c>
      <c r="Q43" s="39">
        <v>823245.97470000002</v>
      </c>
      <c r="R43" s="39">
        <v>1091515.1831</v>
      </c>
      <c r="S43" s="39">
        <v>-121.2958</v>
      </c>
      <c r="T43" s="39">
        <v>823246.55050000001</v>
      </c>
      <c r="U43" s="39">
        <v>1091514.1144999999</v>
      </c>
      <c r="V43" s="39">
        <v>-123.4397</v>
      </c>
      <c r="W43" s="39">
        <v>823246.46680000005</v>
      </c>
      <c r="X43" s="39">
        <v>1091514.1880999999</v>
      </c>
      <c r="Y43" s="39">
        <v>-124.5664</v>
      </c>
      <c r="Z43" s="39">
        <f t="shared" si="1004"/>
        <v>4.3119752550344135</v>
      </c>
      <c r="AA43" s="39">
        <f t="shared" si="2"/>
        <v>3.3967322974504151</v>
      </c>
      <c r="AB43" s="39">
        <f t="shared" si="1005"/>
        <v>2.1699769791693568</v>
      </c>
      <c r="AC43" s="39">
        <f t="shared" si="1006"/>
        <v>1.6657432334071134</v>
      </c>
      <c r="AD43" s="39">
        <f t="shared" si="5"/>
        <v>3.7951021922930264</v>
      </c>
      <c r="AE43" s="39">
        <f t="shared" si="1007"/>
        <v>4.5593202004276296</v>
      </c>
      <c r="AF43" s="39">
        <f t="shared" si="1008"/>
        <v>3.6328478648883342</v>
      </c>
      <c r="AG43" s="39">
        <f t="shared" si="8"/>
        <v>5.3677915320030944</v>
      </c>
      <c r="AH43" s="39">
        <f t="shared" si="1009"/>
        <v>5.0625452778329469</v>
      </c>
      <c r="AI43" s="43">
        <f t="shared" ref="AI43" si="1123">IF(Z43="","",(Z43-Z$10)*1000)</f>
        <v>-62.163716276203651</v>
      </c>
      <c r="AJ43" s="43">
        <f t="shared" ref="AJ43" si="1124">IF(AA43="","",(AA43-AA$10)*1000)</f>
        <v>-44.432152280544642</v>
      </c>
      <c r="AK43" s="43">
        <f t="shared" ref="AK43" si="1125">IF(AB43="","",(AB43-AB$10)*1000)</f>
        <v>-35.889884451822063</v>
      </c>
      <c r="AL43" s="43">
        <f t="shared" ref="AL43" si="1126">IF(AC43="","",(AC43-AC$10)*1000)</f>
        <v>-4.5679622660117492</v>
      </c>
      <c r="AM43" s="43">
        <f t="shared" ref="AM43" si="1127">IF(AD43="","",(AD43-AD$10)*1000)</f>
        <v>-53.418262367257</v>
      </c>
      <c r="AN43" s="43">
        <f t="shared" ref="AN43" si="1128">IF(AE43="","",(AE43-AE$10)*1000)</f>
        <v>-63.28174333689951</v>
      </c>
      <c r="AO43" s="43">
        <f t="shared" ref="AO43" si="1129">IF(AF43="","",(AF43-AF$10)*1000)</f>
        <v>-20.334228973501123</v>
      </c>
      <c r="AP43" s="43">
        <f t="shared" ref="AP43" si="1130">IF(AG43="","",(AG43-AG$10)*1000)</f>
        <v>-22.12062869834952</v>
      </c>
      <c r="AQ43" s="43">
        <f t="shared" ref="AQ43" si="1131">IF(AH43="","",(AH43-AH$10)*1000)</f>
        <v>-25.621933615322945</v>
      </c>
      <c r="AR43" s="40"/>
      <c r="AS43" s="43">
        <f t="shared" si="1019"/>
        <v>2.1000000415369868</v>
      </c>
      <c r="AT43" s="43">
        <f t="shared" si="1020"/>
        <v>-5.8000001590698957</v>
      </c>
      <c r="AU43" s="43">
        <f t="shared" si="1021"/>
        <v>7.9000000000064574</v>
      </c>
      <c r="AV43" s="43">
        <f t="shared" si="1022"/>
        <v>-6.5000000176951289</v>
      </c>
      <c r="AW43" s="43">
        <f t="shared" si="1023"/>
        <v>-8.9000000152736902</v>
      </c>
      <c r="AX43" s="43">
        <f t="shared" si="1024"/>
        <v>-2.7000000000043656</v>
      </c>
      <c r="AY43" s="43">
        <f t="shared" si="1025"/>
        <v>4.5000000391155481</v>
      </c>
      <c r="AZ43" s="43">
        <f t="shared" si="1026"/>
        <v>-12.300000060349703</v>
      </c>
      <c r="BA43" s="43">
        <f t="shared" si="1027"/>
        <v>-7.8999999999922466</v>
      </c>
      <c r="BB43" s="43">
        <f t="shared" si="1028"/>
        <v>-10.200000018812716</v>
      </c>
      <c r="BC43" s="43">
        <f t="shared" si="1029"/>
        <v>-2.4000001139938831</v>
      </c>
      <c r="BD43" s="43">
        <f t="shared" si="1030"/>
        <v>-60.59999999999377</v>
      </c>
      <c r="BE43" s="43">
        <f t="shared" si="1031"/>
        <v>0.49999996554106474</v>
      </c>
      <c r="BF43" s="43">
        <f t="shared" si="1032"/>
        <v>2.8000001329928637</v>
      </c>
      <c r="BG43" s="43">
        <f t="shared" si="1033"/>
        <v>-42.19999999999402</v>
      </c>
      <c r="BH43" s="43">
        <f t="shared" si="1034"/>
        <v>-8.000000030733645</v>
      </c>
      <c r="BI43" s="43">
        <f t="shared" si="1035"/>
        <v>14.599999878555536</v>
      </c>
      <c r="BJ43" s="43">
        <f t="shared" si="1036"/>
        <v>3.3999999999991815</v>
      </c>
      <c r="BK43" s="43">
        <f t="shared" si="1037"/>
        <v>-8.7999999523162842</v>
      </c>
      <c r="BL43" s="43">
        <f t="shared" si="1038"/>
        <v>17.4000000115484</v>
      </c>
      <c r="BM43" s="43">
        <f t="shared" si="1039"/>
        <v>5.3999999999945203</v>
      </c>
      <c r="BN43" s="40"/>
      <c r="BO43" s="39">
        <v>196.10419999999999</v>
      </c>
      <c r="BP43" s="39">
        <v>-2.5310999999999999</v>
      </c>
      <c r="BQ43" s="39">
        <v>-0.96179999999999999</v>
      </c>
      <c r="BR43" s="39">
        <v>196.09010000000001</v>
      </c>
      <c r="BS43" s="39">
        <v>-2.7280000000000002</v>
      </c>
      <c r="BT43" s="39">
        <v>0.39710000000000001</v>
      </c>
      <c r="BU43" s="41">
        <v>196.13749999999999</v>
      </c>
      <c r="BV43" s="42">
        <v>-2.1728000000000001</v>
      </c>
      <c r="BW43" s="42">
        <v>1.7632000000000001</v>
      </c>
      <c r="BX43" s="41">
        <v>196.07980000000001</v>
      </c>
      <c r="BY43" s="42">
        <v>-0.20019999999999999</v>
      </c>
      <c r="BZ43" s="42">
        <v>2.6661000000000001</v>
      </c>
      <c r="CA43" s="41">
        <v>196.0728</v>
      </c>
      <c r="CB43" s="42">
        <v>1.4217</v>
      </c>
      <c r="CC43" s="42">
        <v>2.2864</v>
      </c>
      <c r="CD43" s="41">
        <v>196.143</v>
      </c>
      <c r="CE43" s="42">
        <v>2.6335000000000002</v>
      </c>
      <c r="CF43" s="42">
        <v>0.14169999999999999</v>
      </c>
      <c r="CG43" s="41">
        <v>196.09829999999999</v>
      </c>
      <c r="CH43" s="42">
        <v>2.5314000000000001</v>
      </c>
      <c r="CI43" s="42">
        <v>-0.98450000000000004</v>
      </c>
      <c r="CJ43" s="40"/>
      <c r="CK43" s="43">
        <f t="shared" si="1040"/>
        <v>-0.56918386539450694</v>
      </c>
      <c r="CL43" s="43">
        <f t="shared" si="1041"/>
        <v>6.1010247454253985</v>
      </c>
      <c r="CM43" s="43">
        <f t="shared" si="1042"/>
        <v>7.8676918386657579</v>
      </c>
      <c r="CN43" s="43">
        <f t="shared" si="1043"/>
        <v>-9.6769517596442256</v>
      </c>
      <c r="CO43" s="43">
        <f t="shared" si="1044"/>
        <v>5.2856942051855427</v>
      </c>
      <c r="CP43" s="43">
        <f t="shared" si="1045"/>
        <v>-2.5822304824121289</v>
      </c>
      <c r="CQ43" s="43">
        <f t="shared" si="1046"/>
        <v>-1.1482427892701708</v>
      </c>
      <c r="CR43" s="43">
        <f t="shared" si="1047"/>
        <v>13.058372322277911</v>
      </c>
      <c r="CS43" s="43">
        <f t="shared" si="1048"/>
        <v>-7.8935175720975526</v>
      </c>
      <c r="CT43" s="43">
        <f t="shared" si="1049"/>
        <v>-10.233115571935514</v>
      </c>
      <c r="CU43" s="43">
        <f t="shared" si="1050"/>
        <v>-2.1696356873511791</v>
      </c>
      <c r="CV43" s="43">
        <f t="shared" si="1051"/>
        <v>-60.479668844280354</v>
      </c>
      <c r="CW43" s="43">
        <f t="shared" si="1052"/>
        <v>1.5903205061817971</v>
      </c>
      <c r="CX43" s="43">
        <f t="shared" si="1053"/>
        <v>-2.3121532081284979</v>
      </c>
      <c r="CY43" s="43">
        <f t="shared" si="1054"/>
        <v>-42.167903205055254</v>
      </c>
      <c r="CZ43" s="43">
        <f t="shared" si="1055"/>
        <v>-1.122892161049549</v>
      </c>
      <c r="DA43" s="43">
        <f t="shared" si="1056"/>
        <v>-16.625652482628261</v>
      </c>
      <c r="DB43" s="43">
        <f t="shared" si="1057"/>
        <v>3.3612289216192193</v>
      </c>
      <c r="DC43" s="43">
        <f t="shared" si="1058"/>
        <v>-0.61504351151597803</v>
      </c>
      <c r="DD43" s="43">
        <f t="shared" si="1059"/>
        <v>-19.522323867291469</v>
      </c>
      <c r="DE43" s="43">
        <f t="shared" si="1060"/>
        <v>5.4091504351104769</v>
      </c>
    </row>
    <row r="44" spans="1:109" ht="29.25" customHeight="1" x14ac:dyDescent="0.2">
      <c r="A44" s="37">
        <v>43811</v>
      </c>
      <c r="B44" s="29">
        <f t="shared" si="1002"/>
        <v>106</v>
      </c>
      <c r="C44" s="38">
        <v>222.9</v>
      </c>
      <c r="D44" s="38">
        <f t="shared" ref="D44" si="1132">IF(C44="","",+C44-$W$6)</f>
        <v>26.800000000000011</v>
      </c>
      <c r="E44" s="39">
        <v>823244.33230000001</v>
      </c>
      <c r="F44" s="39">
        <v>1091518.7785</v>
      </c>
      <c r="G44" s="39">
        <v>-124.5433</v>
      </c>
      <c r="H44" s="39">
        <v>823244.23659999995</v>
      </c>
      <c r="I44" s="39">
        <v>1091518.9510999999</v>
      </c>
      <c r="J44" s="39">
        <v>-123.18470000000001</v>
      </c>
      <c r="K44" s="39">
        <v>823244.51399999997</v>
      </c>
      <c r="L44" s="39">
        <v>1091518.4680000001</v>
      </c>
      <c r="M44" s="39">
        <v>-121.81829999999999</v>
      </c>
      <c r="N44" s="39">
        <v>823245.29520000005</v>
      </c>
      <c r="O44" s="39">
        <v>1091516.6558999999</v>
      </c>
      <c r="P44" s="39">
        <v>-120.9166</v>
      </c>
      <c r="Q44" s="39">
        <v>823245.97450000001</v>
      </c>
      <c r="R44" s="39">
        <v>1091515.1827</v>
      </c>
      <c r="S44" s="39">
        <v>-121.2963</v>
      </c>
      <c r="T44" s="39">
        <v>823246.55079999997</v>
      </c>
      <c r="U44" s="39">
        <v>1091514.1146</v>
      </c>
      <c r="V44" s="39">
        <v>-123.4396</v>
      </c>
      <c r="W44" s="39">
        <v>823246.46739999996</v>
      </c>
      <c r="X44" s="39">
        <v>1091514.1882</v>
      </c>
      <c r="Y44" s="39">
        <v>-124.566</v>
      </c>
      <c r="Z44" s="39">
        <f t="shared" si="1004"/>
        <v>4.3110973151375171</v>
      </c>
      <c r="AA44" s="39">
        <f t="shared" si="2"/>
        <v>3.3960056846919446</v>
      </c>
      <c r="AB44" s="39">
        <f t="shared" si="1005"/>
        <v>2.16957201791221</v>
      </c>
      <c r="AC44" s="39">
        <f t="shared" si="1006"/>
        <v>1.6661148878828356</v>
      </c>
      <c r="AD44" s="39">
        <f t="shared" si="5"/>
        <v>3.7947682471274229</v>
      </c>
      <c r="AE44" s="39">
        <f t="shared" si="1007"/>
        <v>4.5586967972664736</v>
      </c>
      <c r="AF44" s="39">
        <f t="shared" si="1008"/>
        <v>3.6330070658919498</v>
      </c>
      <c r="AG44" s="39">
        <f t="shared" si="8"/>
        <v>5.3677022924031546</v>
      </c>
      <c r="AH44" s="39">
        <f t="shared" si="1009"/>
        <v>5.0626101361034541</v>
      </c>
      <c r="AI44" s="43">
        <f t="shared" si="1010"/>
        <v>-63.04165617309998</v>
      </c>
      <c r="AJ44" s="43">
        <f t="shared" si="1011"/>
        <v>-45.158765039015059</v>
      </c>
      <c r="AK44" s="43">
        <f t="shared" si="1012"/>
        <v>-36.294845708968907</v>
      </c>
      <c r="AL44" s="43">
        <f t="shared" si="1013"/>
        <v>-4.1963077902895662</v>
      </c>
      <c r="AM44" s="43">
        <f t="shared" si="1014"/>
        <v>-53.752207532860474</v>
      </c>
      <c r="AN44" s="43">
        <f t="shared" si="1015"/>
        <v>-63.905146498055565</v>
      </c>
      <c r="AO44" s="43">
        <f t="shared" si="1016"/>
        <v>-20.175027969885573</v>
      </c>
      <c r="AP44" s="43">
        <f t="shared" si="1017"/>
        <v>-22.209868298289415</v>
      </c>
      <c r="AQ44" s="43">
        <f t="shared" si="1018"/>
        <v>-25.557075344815772</v>
      </c>
      <c r="AR44" s="40"/>
      <c r="AS44" s="43">
        <f t="shared" si="1019"/>
        <v>1.9000000320374966</v>
      </c>
      <c r="AT44" s="43">
        <f t="shared" si="1020"/>
        <v>-6.0000000521540642</v>
      </c>
      <c r="AU44" s="43">
        <f t="shared" si="1021"/>
        <v>8.2000000000022055</v>
      </c>
      <c r="AV44" s="43">
        <f t="shared" si="1022"/>
        <v>-6.4000000711530447</v>
      </c>
      <c r="AW44" s="43">
        <f t="shared" si="1023"/>
        <v>-9.0000000782310963</v>
      </c>
      <c r="AX44" s="43">
        <f t="shared" si="1024"/>
        <v>-2.5000000000119371</v>
      </c>
      <c r="AY44" s="43">
        <f t="shared" si="1025"/>
        <v>4.3999999761581421</v>
      </c>
      <c r="AZ44" s="43">
        <f t="shared" si="1026"/>
        <v>-12.399999890476465</v>
      </c>
      <c r="BA44" s="43">
        <f t="shared" si="1027"/>
        <v>-7.8999999999922466</v>
      </c>
      <c r="BB44" s="43">
        <f t="shared" si="1028"/>
        <v>-10.49999997485429</v>
      </c>
      <c r="BC44" s="43">
        <f t="shared" si="1029"/>
        <v>-2.4000001139938831</v>
      </c>
      <c r="BD44" s="43">
        <f t="shared" si="1030"/>
        <v>-61.199999999999477</v>
      </c>
      <c r="BE44" s="43">
        <f t="shared" si="1031"/>
        <v>0.29999995604157448</v>
      </c>
      <c r="BF44" s="43">
        <f t="shared" si="1032"/>
        <v>2.4000001139938831</v>
      </c>
      <c r="BG44" s="43">
        <f t="shared" si="1033"/>
        <v>-42.699999999996407</v>
      </c>
      <c r="BH44" s="43">
        <f t="shared" si="1034"/>
        <v>-7.7000000746920705</v>
      </c>
      <c r="BI44" s="43">
        <f t="shared" si="1035"/>
        <v>14.699999941512942</v>
      </c>
      <c r="BJ44" s="43">
        <f t="shared" si="1036"/>
        <v>3.5000000000025011</v>
      </c>
      <c r="BK44" s="43">
        <f t="shared" si="1037"/>
        <v>-8.2000000402331352</v>
      </c>
      <c r="BL44" s="43">
        <f t="shared" si="1038"/>
        <v>17.500000074505806</v>
      </c>
      <c r="BM44" s="43">
        <f t="shared" si="1039"/>
        <v>5.7999999999935881</v>
      </c>
      <c r="BN44" s="40"/>
      <c r="BO44" s="39">
        <v>196.10400000000001</v>
      </c>
      <c r="BP44" s="39">
        <v>-2.5310000000000001</v>
      </c>
      <c r="BQ44" s="39">
        <v>-0.96150000000000002</v>
      </c>
      <c r="BR44" s="39">
        <v>196.09020000000001</v>
      </c>
      <c r="BS44" s="39">
        <v>-2.7277999999999998</v>
      </c>
      <c r="BT44" s="39">
        <v>0.39729999999999999</v>
      </c>
      <c r="BU44" s="41">
        <v>196.13740000000001</v>
      </c>
      <c r="BV44" s="42">
        <v>-2.1728000000000001</v>
      </c>
      <c r="BW44" s="42">
        <v>1.7632000000000001</v>
      </c>
      <c r="BX44" s="41">
        <v>196.0795</v>
      </c>
      <c r="BY44" s="42">
        <v>-0.20030000000000001</v>
      </c>
      <c r="BZ44" s="42">
        <v>2.6655000000000002</v>
      </c>
      <c r="CA44" s="41">
        <v>196.07249999999999</v>
      </c>
      <c r="CB44" s="42">
        <v>1.4219999999999999</v>
      </c>
      <c r="CC44" s="42">
        <v>2.2858999999999998</v>
      </c>
      <c r="CD44" s="41">
        <v>196.14340000000001</v>
      </c>
      <c r="CE44" s="42">
        <v>2.6335000000000002</v>
      </c>
      <c r="CF44" s="42">
        <v>0.14180000000000001</v>
      </c>
      <c r="CG44" s="41">
        <v>196.09889999999999</v>
      </c>
      <c r="CH44" s="42">
        <v>2.5316000000000001</v>
      </c>
      <c r="CI44" s="42">
        <v>-0.98409999999999997</v>
      </c>
      <c r="CJ44" s="40"/>
      <c r="CK44" s="43">
        <f t="shared" si="1040"/>
        <v>-0.76918386537272454</v>
      </c>
      <c r="CL44" s="43">
        <f t="shared" si="1041"/>
        <v>6.2010247454251655</v>
      </c>
      <c r="CM44" s="43">
        <f t="shared" si="1042"/>
        <v>8.1676918386657249</v>
      </c>
      <c r="CN44" s="43">
        <f t="shared" si="1043"/>
        <v>-9.5769517596409059</v>
      </c>
      <c r="CO44" s="43">
        <f t="shared" si="1044"/>
        <v>5.4856942051859647</v>
      </c>
      <c r="CP44" s="43">
        <f t="shared" si="1045"/>
        <v>-2.382230482412151</v>
      </c>
      <c r="CQ44" s="43">
        <f t="shared" si="1046"/>
        <v>-1.2482427892450687</v>
      </c>
      <c r="CR44" s="43">
        <f t="shared" si="1047"/>
        <v>13.058372322277911</v>
      </c>
      <c r="CS44" s="43">
        <f t="shared" si="1048"/>
        <v>-7.8935175720975526</v>
      </c>
      <c r="CT44" s="43">
        <f t="shared" si="1049"/>
        <v>-10.533115571945473</v>
      </c>
      <c r="CU44" s="43">
        <f t="shared" si="1050"/>
        <v>-2.2696356873511956</v>
      </c>
      <c r="CV44" s="43">
        <f t="shared" si="1051"/>
        <v>-61.079668844280292</v>
      </c>
      <c r="CW44" s="43">
        <f t="shared" si="1052"/>
        <v>1.2903205061718381</v>
      </c>
      <c r="CX44" s="43">
        <f t="shared" si="1053"/>
        <v>-2.0121532081285309</v>
      </c>
      <c r="CY44" s="43">
        <f t="shared" si="1054"/>
        <v>-42.667903205055424</v>
      </c>
      <c r="CZ44" s="43">
        <f t="shared" si="1055"/>
        <v>-0.72289216103627041</v>
      </c>
      <c r="DA44" s="43">
        <f t="shared" si="1056"/>
        <v>-16.625652482628261</v>
      </c>
      <c r="DB44" s="43">
        <f t="shared" si="1057"/>
        <v>3.4612289216192362</v>
      </c>
      <c r="DC44" s="43">
        <f t="shared" si="1058"/>
        <v>-1.5043511524481801E-2</v>
      </c>
      <c r="DD44" s="43">
        <f t="shared" si="1059"/>
        <v>-19.322323867291491</v>
      </c>
      <c r="DE44" s="43">
        <f t="shared" si="1060"/>
        <v>5.8091504351105439</v>
      </c>
    </row>
    <row r="45" spans="1:109" ht="29.25" customHeight="1" x14ac:dyDescent="0.2">
      <c r="A45" s="37">
        <v>43815</v>
      </c>
      <c r="B45" s="29">
        <f t="shared" si="1002"/>
        <v>110</v>
      </c>
      <c r="C45" s="38">
        <v>222.9</v>
      </c>
      <c r="D45" s="38">
        <f t="shared" ref="D45" si="1133">IF(C45="","",+C45-$W$6)</f>
        <v>26.800000000000011</v>
      </c>
      <c r="E45" s="39">
        <v>823244.33299999998</v>
      </c>
      <c r="F45" s="39">
        <v>1091518.7782000001</v>
      </c>
      <c r="G45" s="39">
        <v>-124.54389999999999</v>
      </c>
      <c r="H45" s="39">
        <v>823244.23719999997</v>
      </c>
      <c r="I45" s="39">
        <v>1091518.9506999999</v>
      </c>
      <c r="J45" s="39">
        <v>-123.1854</v>
      </c>
      <c r="K45" s="39">
        <v>823244.51489999995</v>
      </c>
      <c r="L45" s="39">
        <v>1091518.4676999999</v>
      </c>
      <c r="M45" s="39">
        <v>-121.8189</v>
      </c>
      <c r="N45" s="39">
        <v>823245.29480000003</v>
      </c>
      <c r="O45" s="39">
        <v>1091516.6547000001</v>
      </c>
      <c r="P45" s="39">
        <v>-120.91849999999999</v>
      </c>
      <c r="Q45" s="39">
        <v>823245.9754</v>
      </c>
      <c r="R45" s="39">
        <v>1091515.1821999999</v>
      </c>
      <c r="S45" s="39">
        <v>-121.2972</v>
      </c>
      <c r="T45" s="39">
        <v>823246.55169999995</v>
      </c>
      <c r="U45" s="39">
        <v>1091514.1143</v>
      </c>
      <c r="V45" s="39">
        <v>-123.4402</v>
      </c>
      <c r="W45" s="39">
        <v>823246.46799999999</v>
      </c>
      <c r="X45" s="39">
        <v>1091514.1878</v>
      </c>
      <c r="Y45" s="39">
        <v>-124.5667</v>
      </c>
      <c r="Z45" s="39">
        <f t="shared" si="1004"/>
        <v>4.310201462813243</v>
      </c>
      <c r="AA45" s="39">
        <f t="shared" si="2"/>
        <v>3.3954336055156116</v>
      </c>
      <c r="AB45" s="39">
        <f t="shared" si="1005"/>
        <v>2.1693162908114396</v>
      </c>
      <c r="AC45" s="39">
        <f t="shared" si="1006"/>
        <v>1.6657989975951175</v>
      </c>
      <c r="AD45" s="39">
        <f t="shared" si="5"/>
        <v>3.7937317591107376</v>
      </c>
      <c r="AE45" s="39">
        <f t="shared" si="1007"/>
        <v>4.5575604319065581</v>
      </c>
      <c r="AF45" s="39">
        <f t="shared" si="1008"/>
        <v>3.6331448347290443</v>
      </c>
      <c r="AG45" s="39">
        <f t="shared" si="8"/>
        <v>5.3677367902177959</v>
      </c>
      <c r="AH45" s="39">
        <f t="shared" si="1009"/>
        <v>5.0626590840173824</v>
      </c>
      <c r="AI45" s="43">
        <f t="shared" ref="AI45" si="1134">IF(Z45="","",(Z45-Z$10)*1000)</f>
        <v>-63.937508497374118</v>
      </c>
      <c r="AJ45" s="43">
        <f t="shared" ref="AJ45" si="1135">IF(AA45="","",(AA45-AA$10)*1000)</f>
        <v>-45.730844215348121</v>
      </c>
      <c r="AK45" s="43">
        <f t="shared" ref="AK45" si="1136">IF(AB45="","",(AB45-AB$10)*1000)</f>
        <v>-36.550572809739279</v>
      </c>
      <c r="AL45" s="43">
        <f t="shared" ref="AL45" si="1137">IF(AC45="","",(AC45-AC$10)*1000)</f>
        <v>-4.5121980780076232</v>
      </c>
      <c r="AM45" s="43">
        <f t="shared" ref="AM45" si="1138">IF(AD45="","",(AD45-AD$10)*1000)</f>
        <v>-54.788695549545793</v>
      </c>
      <c r="AN45" s="43">
        <f t="shared" ref="AN45" si="1139">IF(AE45="","",(AE45-AE$10)*1000)</f>
        <v>-65.041511857971017</v>
      </c>
      <c r="AO45" s="43">
        <f t="shared" ref="AO45" si="1140">IF(AF45="","",(AF45-AF$10)*1000)</f>
        <v>-20.037259132791085</v>
      </c>
      <c r="AP45" s="43">
        <f t="shared" ref="AP45" si="1141">IF(AG45="","",(AG45-AG$10)*1000)</f>
        <v>-22.175370483648038</v>
      </c>
      <c r="AQ45" s="43">
        <f t="shared" ref="AQ45" si="1142">IF(AH45="","",(AH45-AH$10)*1000)</f>
        <v>-25.508127430887484</v>
      </c>
      <c r="AR45" s="40"/>
      <c r="AS45" s="43">
        <f t="shared" si="1019"/>
        <v>2.6000000070780516</v>
      </c>
      <c r="AT45" s="43">
        <f t="shared" si="1020"/>
        <v>-6.3000000081956387</v>
      </c>
      <c r="AU45" s="43">
        <f t="shared" si="1021"/>
        <v>7.6000000000107093</v>
      </c>
      <c r="AV45" s="43">
        <f t="shared" si="1022"/>
        <v>-5.8000000426545739</v>
      </c>
      <c r="AW45" s="43">
        <f t="shared" si="1023"/>
        <v>-9.4000000972300768</v>
      </c>
      <c r="AX45" s="43">
        <f t="shared" si="1024"/>
        <v>-3.200000000006753</v>
      </c>
      <c r="AY45" s="43">
        <f t="shared" si="1025"/>
        <v>5.2999999606981874</v>
      </c>
      <c r="AZ45" s="43">
        <f t="shared" si="1026"/>
        <v>-12.700000079348683</v>
      </c>
      <c r="BA45" s="43">
        <f t="shared" si="1027"/>
        <v>-8.4999999999979536</v>
      </c>
      <c r="BB45" s="43">
        <f t="shared" si="1028"/>
        <v>-10.899999993853271</v>
      </c>
      <c r="BC45" s="43">
        <f t="shared" si="1029"/>
        <v>-3.599999938160181</v>
      </c>
      <c r="BD45" s="43">
        <f t="shared" si="1030"/>
        <v>-63.099999999991496</v>
      </c>
      <c r="BE45" s="43">
        <f t="shared" si="1031"/>
        <v>1.1999999405816197</v>
      </c>
      <c r="BF45" s="43">
        <f t="shared" si="1032"/>
        <v>1.9000000320374966</v>
      </c>
      <c r="BG45" s="43">
        <f t="shared" si="1033"/>
        <v>-43.599999999997863</v>
      </c>
      <c r="BH45" s="43">
        <f t="shared" si="1034"/>
        <v>-6.8000000901520252</v>
      </c>
      <c r="BI45" s="43">
        <f t="shared" si="1035"/>
        <v>14.399999985471368</v>
      </c>
      <c r="BJ45" s="43">
        <f t="shared" si="1036"/>
        <v>2.899999999996794</v>
      </c>
      <c r="BK45" s="43">
        <f t="shared" si="1037"/>
        <v>-7.6000000117346644</v>
      </c>
      <c r="BL45" s="43">
        <f t="shared" si="1038"/>
        <v>17.100000055506825</v>
      </c>
      <c r="BM45" s="43">
        <f t="shared" si="1039"/>
        <v>5.0999999999987722</v>
      </c>
      <c r="BN45" s="40"/>
      <c r="BO45" s="39">
        <v>196.1045</v>
      </c>
      <c r="BP45" s="39">
        <v>-2.5304000000000002</v>
      </c>
      <c r="BQ45" s="39">
        <v>-0.96209999999999996</v>
      </c>
      <c r="BR45" s="39">
        <v>196.09049999999999</v>
      </c>
      <c r="BS45" s="39">
        <v>-2.7271999999999998</v>
      </c>
      <c r="BT45" s="39">
        <v>0.39660000000000001</v>
      </c>
      <c r="BU45" s="41">
        <v>196.13810000000001</v>
      </c>
      <c r="BV45" s="42">
        <v>-2.1720999999999999</v>
      </c>
      <c r="BW45" s="42">
        <v>1.7625999999999999</v>
      </c>
      <c r="BX45" s="41">
        <v>196.07859999999999</v>
      </c>
      <c r="BY45" s="42">
        <v>-0.19939999999999999</v>
      </c>
      <c r="BZ45" s="42">
        <v>2.6636000000000002</v>
      </c>
      <c r="CA45" s="41">
        <v>196.07310000000001</v>
      </c>
      <c r="CB45" s="42">
        <v>1.4228000000000001</v>
      </c>
      <c r="CC45" s="42">
        <v>2.2848999999999999</v>
      </c>
      <c r="CD45" s="41">
        <v>196.14400000000001</v>
      </c>
      <c r="CE45" s="42">
        <v>2.6341999999999999</v>
      </c>
      <c r="CF45" s="42">
        <v>0.14119999999999999</v>
      </c>
      <c r="CG45" s="41">
        <v>196.0993</v>
      </c>
      <c r="CH45" s="42">
        <v>2.5322</v>
      </c>
      <c r="CI45" s="42">
        <v>-0.98480000000000001</v>
      </c>
      <c r="CJ45" s="40"/>
      <c r="CK45" s="43">
        <f t="shared" si="1040"/>
        <v>-0.26918386538454797</v>
      </c>
      <c r="CL45" s="43">
        <f t="shared" si="1041"/>
        <v>6.8010247454250994</v>
      </c>
      <c r="CM45" s="43">
        <f t="shared" si="1042"/>
        <v>7.567691838665791</v>
      </c>
      <c r="CN45" s="43">
        <f t="shared" si="1043"/>
        <v>-9.2769517596593687</v>
      </c>
      <c r="CO45" s="43">
        <f t="shared" si="1044"/>
        <v>6.0856942051858987</v>
      </c>
      <c r="CP45" s="43">
        <f t="shared" si="1045"/>
        <v>-3.0822304824121294</v>
      </c>
      <c r="CQ45" s="43">
        <f t="shared" si="1046"/>
        <v>-0.54824278925025283</v>
      </c>
      <c r="CR45" s="43">
        <f t="shared" si="1047"/>
        <v>13.758372322278056</v>
      </c>
      <c r="CS45" s="43">
        <f t="shared" si="1048"/>
        <v>-8.4935175720977085</v>
      </c>
      <c r="CT45" s="43">
        <f t="shared" si="1049"/>
        <v>-11.433115571946928</v>
      </c>
      <c r="CU45" s="43">
        <f t="shared" si="1050"/>
        <v>-1.3696356873511839</v>
      </c>
      <c r="CV45" s="43">
        <f t="shared" si="1051"/>
        <v>-62.979668844280297</v>
      </c>
      <c r="CW45" s="43">
        <f t="shared" si="1052"/>
        <v>1.8903205061917561</v>
      </c>
      <c r="CX45" s="43">
        <f t="shared" si="1053"/>
        <v>-1.212153208128397</v>
      </c>
      <c r="CY45" s="43">
        <f t="shared" si="1054"/>
        <v>-43.66790320505531</v>
      </c>
      <c r="CZ45" s="43">
        <f t="shared" si="1055"/>
        <v>-0.12289216104477418</v>
      </c>
      <c r="DA45" s="43">
        <f t="shared" si="1056"/>
        <v>-15.925652482628561</v>
      </c>
      <c r="DB45" s="43">
        <f t="shared" si="1057"/>
        <v>2.8612289216192188</v>
      </c>
      <c r="DC45" s="43">
        <f t="shared" si="1058"/>
        <v>0.38495648848879682</v>
      </c>
      <c r="DD45" s="43">
        <f t="shared" si="1059"/>
        <v>-18.722323867291557</v>
      </c>
      <c r="DE45" s="43">
        <f t="shared" si="1060"/>
        <v>5.1091504351105099</v>
      </c>
    </row>
    <row r="46" spans="1:109" ht="29.25" customHeight="1" x14ac:dyDescent="0.2">
      <c r="A46" s="37">
        <v>43818</v>
      </c>
      <c r="B46" s="29">
        <f t="shared" si="1002"/>
        <v>113</v>
      </c>
      <c r="C46" s="38">
        <v>222.9</v>
      </c>
      <c r="D46" s="38">
        <f t="shared" ref="D46" si="1143">IF(C46="","",+C46-$W$6)</f>
        <v>26.800000000000011</v>
      </c>
      <c r="E46" s="39">
        <v>823244.33349999995</v>
      </c>
      <c r="F46" s="39">
        <v>1091518.7779999999</v>
      </c>
      <c r="G46" s="39">
        <v>-124.5433</v>
      </c>
      <c r="H46" s="39">
        <v>823244.2378</v>
      </c>
      <c r="I46" s="39">
        <v>1091518.95</v>
      </c>
      <c r="J46" s="39">
        <v>-123.1849</v>
      </c>
      <c r="K46" s="39">
        <v>823244.51509999996</v>
      </c>
      <c r="L46" s="39">
        <v>1091518.4669999999</v>
      </c>
      <c r="M46" s="39">
        <v>-121.8186</v>
      </c>
      <c r="N46" s="39">
        <v>823245.29460000002</v>
      </c>
      <c r="O46" s="39">
        <v>1091516.6540000001</v>
      </c>
      <c r="P46" s="39">
        <v>-120.9187</v>
      </c>
      <c r="Q46" s="39">
        <v>823245.97530000005</v>
      </c>
      <c r="R46" s="39">
        <v>1091515.182</v>
      </c>
      <c r="S46" s="39">
        <v>-121.2972</v>
      </c>
      <c r="T46" s="39">
        <v>823246.55149999994</v>
      </c>
      <c r="U46" s="39">
        <v>1091514.1140000001</v>
      </c>
      <c r="V46" s="39">
        <v>-123.43980000000001</v>
      </c>
      <c r="W46" s="39">
        <v>823246.46810000006</v>
      </c>
      <c r="X46" s="39">
        <v>1091514.1880000001</v>
      </c>
      <c r="Y46" s="39">
        <v>-124.5663</v>
      </c>
      <c r="Z46" s="39">
        <f t="shared" si="1004"/>
        <v>4.3096188195064791</v>
      </c>
      <c r="AA46" s="39">
        <f t="shared" si="2"/>
        <v>3.3947171722227907</v>
      </c>
      <c r="AB46" s="39">
        <f t="shared" si="1005"/>
        <v>2.168965020361143</v>
      </c>
      <c r="AC46" s="39">
        <f t="shared" si="1006"/>
        <v>1.6653524372435906</v>
      </c>
      <c r="AD46" s="39">
        <f t="shared" si="5"/>
        <v>3.7930650956698413</v>
      </c>
      <c r="AE46" s="39">
        <f t="shared" si="1007"/>
        <v>4.5566702766551108</v>
      </c>
      <c r="AF46" s="39">
        <f t="shared" si="1008"/>
        <v>3.6325290087910154</v>
      </c>
      <c r="AG46" s="39">
        <f t="shared" si="8"/>
        <v>5.3670362117930752</v>
      </c>
      <c r="AH46" s="39">
        <f t="shared" si="1009"/>
        <v>5.0621286193742376</v>
      </c>
      <c r="AI46" s="43">
        <f t="shared" si="1010"/>
        <v>-64.520151804138067</v>
      </c>
      <c r="AJ46" s="43">
        <f t="shared" si="1011"/>
        <v>-46.447277508169016</v>
      </c>
      <c r="AK46" s="43">
        <f t="shared" si="1012"/>
        <v>-36.901843260035875</v>
      </c>
      <c r="AL46" s="43">
        <f t="shared" si="1013"/>
        <v>-4.9587584295345266</v>
      </c>
      <c r="AM46" s="43">
        <f t="shared" si="1014"/>
        <v>-55.455358990442072</v>
      </c>
      <c r="AN46" s="43">
        <f t="shared" si="1015"/>
        <v>-65.931667109418328</v>
      </c>
      <c r="AO46" s="43">
        <f t="shared" si="1016"/>
        <v>-20.653085070819976</v>
      </c>
      <c r="AP46" s="43">
        <f t="shared" si="1017"/>
        <v>-22.875948908368748</v>
      </c>
      <c r="AQ46" s="43">
        <f t="shared" si="1018"/>
        <v>-26.038592074032252</v>
      </c>
      <c r="AR46" s="40"/>
      <c r="AS46" s="43">
        <f t="shared" si="1019"/>
        <v>3.0999999726191163</v>
      </c>
      <c r="AT46" s="43">
        <f t="shared" si="1020"/>
        <v>-6.5000001341104507</v>
      </c>
      <c r="AU46" s="43">
        <f t="shared" si="1021"/>
        <v>8.2000000000022055</v>
      </c>
      <c r="AV46" s="43">
        <f t="shared" si="1022"/>
        <v>-5.2000000141561031</v>
      </c>
      <c r="AW46" s="43">
        <f t="shared" si="1023"/>
        <v>-10.100000072270632</v>
      </c>
      <c r="AX46" s="43">
        <f t="shared" si="1024"/>
        <v>-2.7000000000043656</v>
      </c>
      <c r="AY46" s="43">
        <f t="shared" si="1025"/>
        <v>5.4999999701976776</v>
      </c>
      <c r="AZ46" s="43">
        <f t="shared" si="1026"/>
        <v>-13.400000054389238</v>
      </c>
      <c r="BA46" s="43">
        <f t="shared" si="1027"/>
        <v>-8.2000000000022055</v>
      </c>
      <c r="BB46" s="43">
        <f t="shared" si="1028"/>
        <v>-11.100000003352761</v>
      </c>
      <c r="BC46" s="43">
        <f t="shared" si="1029"/>
        <v>-4.299999913200736</v>
      </c>
      <c r="BD46" s="43">
        <f t="shared" si="1030"/>
        <v>-63.299999999998136</v>
      </c>
      <c r="BE46" s="43">
        <f t="shared" si="1031"/>
        <v>1.0999999940395355</v>
      </c>
      <c r="BF46" s="43">
        <f t="shared" si="1032"/>
        <v>1.7000001389533281</v>
      </c>
      <c r="BG46" s="43">
        <f t="shared" si="1033"/>
        <v>-43.599999999997863</v>
      </c>
      <c r="BH46" s="43">
        <f t="shared" si="1034"/>
        <v>-7.0000000996515155</v>
      </c>
      <c r="BI46" s="43">
        <f t="shared" si="1035"/>
        <v>14.100000029429793</v>
      </c>
      <c r="BJ46" s="43">
        <f t="shared" si="1036"/>
        <v>3.2999999999958618</v>
      </c>
      <c r="BK46" s="43">
        <f t="shared" si="1037"/>
        <v>-7.4999999487772584</v>
      </c>
      <c r="BL46" s="43">
        <f t="shared" si="1038"/>
        <v>17.300000181421638</v>
      </c>
      <c r="BM46" s="43">
        <f t="shared" si="1039"/>
        <v>5.49999999999784</v>
      </c>
      <c r="BN46" s="40"/>
      <c r="BO46" s="39">
        <v>196.10480000000001</v>
      </c>
      <c r="BP46" s="39">
        <v>-2.5299</v>
      </c>
      <c r="BQ46" s="39">
        <v>-0.96150000000000002</v>
      </c>
      <c r="BR46" s="39">
        <v>196.09100000000001</v>
      </c>
      <c r="BS46" s="39">
        <v>-2.7267000000000001</v>
      </c>
      <c r="BT46" s="39">
        <v>0.39710000000000001</v>
      </c>
      <c r="BU46" s="41">
        <v>196.13810000000001</v>
      </c>
      <c r="BV46" s="42">
        <v>-2.1716000000000002</v>
      </c>
      <c r="BW46" s="42">
        <v>1.7628999999999999</v>
      </c>
      <c r="BX46" s="41">
        <v>196.07820000000001</v>
      </c>
      <c r="BY46" s="42">
        <v>-0.19900000000000001</v>
      </c>
      <c r="BZ46" s="42">
        <v>2.6634000000000002</v>
      </c>
      <c r="CA46" s="41">
        <v>196.0728</v>
      </c>
      <c r="CB46" s="42">
        <v>1.4231</v>
      </c>
      <c r="CC46" s="42">
        <v>2.2850000000000001</v>
      </c>
      <c r="CD46" s="41">
        <v>196.1437</v>
      </c>
      <c r="CE46" s="42">
        <v>2.6343999999999999</v>
      </c>
      <c r="CF46" s="42">
        <v>0.1416</v>
      </c>
      <c r="CG46" s="41">
        <v>196.0993</v>
      </c>
      <c r="CH46" s="42">
        <v>2.5324</v>
      </c>
      <c r="CI46" s="42">
        <v>-0.98440000000000005</v>
      </c>
      <c r="CJ46" s="40"/>
      <c r="CK46" s="43">
        <f t="shared" si="1040"/>
        <v>3.0816134625410996E-2</v>
      </c>
      <c r="CL46" s="43">
        <f t="shared" si="1041"/>
        <v>7.3010247454252664</v>
      </c>
      <c r="CM46" s="43">
        <f t="shared" si="1042"/>
        <v>8.1676918386657249</v>
      </c>
      <c r="CN46" s="43">
        <f t="shared" si="1043"/>
        <v>-8.7769517596427704</v>
      </c>
      <c r="CO46" s="43">
        <f t="shared" si="1044"/>
        <v>6.5856942051856215</v>
      </c>
      <c r="CP46" s="43">
        <f t="shared" si="1045"/>
        <v>-2.5822304824121289</v>
      </c>
      <c r="CQ46" s="43">
        <f t="shared" si="1046"/>
        <v>-0.54824278925025283</v>
      </c>
      <c r="CR46" s="43">
        <f t="shared" si="1047"/>
        <v>14.258372322277779</v>
      </c>
      <c r="CS46" s="43">
        <f t="shared" si="1048"/>
        <v>-8.1935175720977416</v>
      </c>
      <c r="CT46" s="43">
        <f t="shared" si="1049"/>
        <v>-11.833115571931785</v>
      </c>
      <c r="CU46" s="43">
        <f t="shared" si="1050"/>
        <v>-0.9696356873512002</v>
      </c>
      <c r="CV46" s="43">
        <f t="shared" si="1051"/>
        <v>-63.179668844280279</v>
      </c>
      <c r="CW46" s="43">
        <f t="shared" si="1052"/>
        <v>1.5903205061817971</v>
      </c>
      <c r="CX46" s="43">
        <f t="shared" si="1053"/>
        <v>-0.91215320812843004</v>
      </c>
      <c r="CY46" s="43">
        <f t="shared" si="1054"/>
        <v>-43.567903205055103</v>
      </c>
      <c r="CZ46" s="43">
        <f t="shared" si="1055"/>
        <v>-0.42289216105473315</v>
      </c>
      <c r="DA46" s="43">
        <f t="shared" si="1056"/>
        <v>-15.725652482628583</v>
      </c>
      <c r="DB46" s="43">
        <f t="shared" si="1057"/>
        <v>3.2612289216192303</v>
      </c>
      <c r="DC46" s="43">
        <f t="shared" si="1058"/>
        <v>0.38495648848879682</v>
      </c>
      <c r="DD46" s="43">
        <f t="shared" si="1059"/>
        <v>-18.522323867291579</v>
      </c>
      <c r="DE46" s="43">
        <f t="shared" si="1060"/>
        <v>5.5091504351104659</v>
      </c>
    </row>
    <row r="47" spans="1:109" ht="29.25" customHeight="1" x14ac:dyDescent="0.2">
      <c r="A47" s="37">
        <v>43837</v>
      </c>
      <c r="B47" s="29">
        <f t="shared" si="1002"/>
        <v>132</v>
      </c>
      <c r="C47" s="38">
        <v>222.9</v>
      </c>
      <c r="D47" s="38">
        <f t="shared" ref="D47" si="1144">IF(C47="","",+C47-$W$6)</f>
        <v>26.800000000000011</v>
      </c>
      <c r="E47" s="39">
        <v>823244.3334</v>
      </c>
      <c r="F47" s="39">
        <v>1091518.7782000001</v>
      </c>
      <c r="G47" s="39">
        <v>-124.5431</v>
      </c>
      <c r="H47" s="39">
        <v>823244.23759999999</v>
      </c>
      <c r="I47" s="39">
        <v>1091518.9506999999</v>
      </c>
      <c r="J47" s="39">
        <v>-123.1848</v>
      </c>
      <c r="K47" s="39">
        <v>823244.5148</v>
      </c>
      <c r="L47" s="39">
        <v>1091518.4671</v>
      </c>
      <c r="M47" s="39">
        <v>-121.8189</v>
      </c>
      <c r="N47" s="39">
        <v>823245.29429999995</v>
      </c>
      <c r="O47" s="39">
        <v>1091516.6546</v>
      </c>
      <c r="P47" s="39">
        <v>-120.92059999999999</v>
      </c>
      <c r="Q47" s="39">
        <v>823245.97470000002</v>
      </c>
      <c r="R47" s="39">
        <v>1091515.182</v>
      </c>
      <c r="S47" s="39">
        <v>-121.2989</v>
      </c>
      <c r="T47" s="39">
        <v>823246.55130000005</v>
      </c>
      <c r="U47" s="39">
        <v>1091514.1146</v>
      </c>
      <c r="V47" s="39">
        <v>-123.43940000000001</v>
      </c>
      <c r="W47" s="39">
        <v>823246.46779999998</v>
      </c>
      <c r="X47" s="39">
        <v>1091514.1880000001</v>
      </c>
      <c r="Y47" s="39">
        <v>-124.56570000000001</v>
      </c>
      <c r="Z47" s="39">
        <f t="shared" si="1004"/>
        <v>4.307610941126268</v>
      </c>
      <c r="AA47" s="39">
        <f t="shared" si="2"/>
        <v>3.3934188865420589</v>
      </c>
      <c r="AB47" s="39">
        <f t="shared" si="1005"/>
        <v>2.1678836200118767</v>
      </c>
      <c r="AC47" s="39">
        <f t="shared" si="1006"/>
        <v>1.665714804531113</v>
      </c>
      <c r="AD47" s="39">
        <f t="shared" si="5"/>
        <v>3.7915699176515041</v>
      </c>
      <c r="AE47" s="39">
        <f t="shared" si="1007"/>
        <v>4.5549941624242054</v>
      </c>
      <c r="AF47" s="39">
        <f t="shared" si="1008"/>
        <v>3.6322981733208861</v>
      </c>
      <c r="AG47" s="39">
        <f t="shared" si="8"/>
        <v>5.3671120781893293</v>
      </c>
      <c r="AH47" s="39">
        <f t="shared" si="1009"/>
        <v>5.0622238354014009</v>
      </c>
      <c r="AI47" s="43">
        <f t="shared" ref="AI47" si="1145">IF(Z47="","",(Z47-Z$10)*1000)</f>
        <v>-66.528030184349163</v>
      </c>
      <c r="AJ47" s="43">
        <f t="shared" ref="AJ47:AJ50" si="1146">IF(AA47="","",(AA47-AA$10)*1000)</f>
        <v>-47.745563188900775</v>
      </c>
      <c r="AK47" s="43">
        <f t="shared" ref="AK47" si="1147">IF(AB47="","",(AB47-AB$10)*1000)</f>
        <v>-37.983243609302164</v>
      </c>
      <c r="AL47" s="43">
        <f t="shared" ref="AL47" si="1148">IF(AC47="","",(AC47-AC$10)*1000)</f>
        <v>-4.5963911420121573</v>
      </c>
      <c r="AM47" s="43">
        <f t="shared" ref="AM47" si="1149">IF(AD47="","",(AD47-AD$10)*1000)</f>
        <v>-56.950537008779278</v>
      </c>
      <c r="AN47" s="43">
        <f t="shared" ref="AN47" si="1150">IF(AE47="","",(AE47-AE$10)*1000)</f>
        <v>-67.607781340323754</v>
      </c>
      <c r="AO47" s="43">
        <f t="shared" ref="AO47" si="1151">IF(AF47="","",(AF47-AF$10)*1000)</f>
        <v>-20.88392054094923</v>
      </c>
      <c r="AP47" s="43">
        <f t="shared" ref="AP47" si="1152">IF(AG47="","",(AG47-AG$10)*1000)</f>
        <v>-22.800082512114628</v>
      </c>
      <c r="AQ47" s="43">
        <f t="shared" ref="AQ47" si="1153">IF(AH47="","",(AH47-AH$10)*1000)</f>
        <v>-25.943376046869027</v>
      </c>
      <c r="AR47" s="40"/>
      <c r="AS47" s="43">
        <f t="shared" si="1019"/>
        <v>3.0000000260770321</v>
      </c>
      <c r="AT47" s="43">
        <f t="shared" si="1020"/>
        <v>-6.3000000081956387</v>
      </c>
      <c r="AU47" s="43">
        <f t="shared" si="1021"/>
        <v>8.4000000000088448</v>
      </c>
      <c r="AV47" s="43">
        <f t="shared" si="1022"/>
        <v>-5.4000000236555934</v>
      </c>
      <c r="AW47" s="43">
        <f t="shared" si="1023"/>
        <v>-9.4000000972300768</v>
      </c>
      <c r="AX47" s="43">
        <f t="shared" si="1024"/>
        <v>-2.6000000000010459</v>
      </c>
      <c r="AY47" s="43">
        <f t="shared" si="1025"/>
        <v>5.2000000141561031</v>
      </c>
      <c r="AZ47" s="43">
        <f t="shared" si="1026"/>
        <v>-13.299999991431832</v>
      </c>
      <c r="BA47" s="43">
        <f t="shared" si="1027"/>
        <v>-8.4999999999979536</v>
      </c>
      <c r="BB47" s="43">
        <f t="shared" si="1028"/>
        <v>-11.400000075809658</v>
      </c>
      <c r="BC47" s="43">
        <f t="shared" si="1029"/>
        <v>-3.7000000011175871</v>
      </c>
      <c r="BD47" s="43">
        <f t="shared" si="1030"/>
        <v>-65.199999999990155</v>
      </c>
      <c r="BE47" s="43">
        <f t="shared" si="1031"/>
        <v>0.49999996554106474</v>
      </c>
      <c r="BF47" s="43">
        <f t="shared" si="1032"/>
        <v>1.7000001389533281</v>
      </c>
      <c r="BG47" s="43">
        <f t="shared" si="1033"/>
        <v>-45.299999999997453</v>
      </c>
      <c r="BH47" s="43">
        <f t="shared" si="1034"/>
        <v>-7.1999999927356839</v>
      </c>
      <c r="BI47" s="43">
        <f t="shared" si="1035"/>
        <v>14.699999941512942</v>
      </c>
      <c r="BJ47" s="43">
        <f t="shared" si="1036"/>
        <v>3.6999999999949296</v>
      </c>
      <c r="BK47" s="43">
        <f t="shared" si="1037"/>
        <v>-7.8000000212341547</v>
      </c>
      <c r="BL47" s="43">
        <f t="shared" si="1038"/>
        <v>17.300000181421638</v>
      </c>
      <c r="BM47" s="43">
        <f t="shared" si="1039"/>
        <v>6.0999999999893362</v>
      </c>
      <c r="BN47" s="40"/>
      <c r="BO47" s="39">
        <v>196.10480000000001</v>
      </c>
      <c r="BP47" s="39">
        <v>-2.5301999999999998</v>
      </c>
      <c r="BQ47" s="39">
        <v>-0.96130000000000004</v>
      </c>
      <c r="BR47" s="39">
        <v>196.0909</v>
      </c>
      <c r="BS47" s="39">
        <v>-2.7269999999999999</v>
      </c>
      <c r="BT47" s="39">
        <v>0.3972</v>
      </c>
      <c r="BU47" s="41">
        <v>196.1377</v>
      </c>
      <c r="BV47" s="42">
        <v>-2.1716000000000002</v>
      </c>
      <c r="BW47" s="42">
        <v>1.7625999999999999</v>
      </c>
      <c r="BX47" s="41">
        <v>196.07810000000001</v>
      </c>
      <c r="BY47" s="42">
        <v>-0.19950000000000001</v>
      </c>
      <c r="BZ47" s="42">
        <v>2.6615000000000002</v>
      </c>
      <c r="CA47" s="41">
        <v>196.07239999999999</v>
      </c>
      <c r="CB47" s="42">
        <v>1.4227000000000001</v>
      </c>
      <c r="CC47" s="42">
        <v>2.2833000000000001</v>
      </c>
      <c r="CD47" s="41">
        <v>196.1438</v>
      </c>
      <c r="CE47" s="42">
        <v>2.6337999999999999</v>
      </c>
      <c r="CF47" s="42">
        <v>0.14199999999999999</v>
      </c>
      <c r="CG47" s="41">
        <v>196.0992</v>
      </c>
      <c r="CH47" s="42">
        <v>2.5318999999999998</v>
      </c>
      <c r="CI47" s="42">
        <v>-0.98380000000000001</v>
      </c>
      <c r="CJ47" s="40"/>
      <c r="CK47" s="43">
        <f t="shared" si="1040"/>
        <v>3.0816134625410996E-2</v>
      </c>
      <c r="CL47" s="43">
        <f t="shared" si="1041"/>
        <v>7.0010247454255214</v>
      </c>
      <c r="CM47" s="43">
        <f t="shared" si="1042"/>
        <v>8.3676918386657029</v>
      </c>
      <c r="CN47" s="43">
        <f t="shared" si="1043"/>
        <v>-8.8769517596460901</v>
      </c>
      <c r="CO47" s="43">
        <f t="shared" si="1044"/>
        <v>6.2856942051858766</v>
      </c>
      <c r="CP47" s="43">
        <f t="shared" si="1045"/>
        <v>-2.4822304824121399</v>
      </c>
      <c r="CQ47" s="43">
        <f t="shared" si="1046"/>
        <v>-0.94824278926353145</v>
      </c>
      <c r="CR47" s="43">
        <f t="shared" si="1047"/>
        <v>14.258372322277779</v>
      </c>
      <c r="CS47" s="43">
        <f t="shared" si="1048"/>
        <v>-8.4935175720977085</v>
      </c>
      <c r="CT47" s="43">
        <f t="shared" si="1049"/>
        <v>-11.933115571935105</v>
      </c>
      <c r="CU47" s="43">
        <f t="shared" si="1050"/>
        <v>-1.4696356873512006</v>
      </c>
      <c r="CV47" s="43">
        <f t="shared" si="1051"/>
        <v>-65.079668844280292</v>
      </c>
      <c r="CW47" s="43">
        <f t="shared" si="1052"/>
        <v>1.1903205061685185</v>
      </c>
      <c r="CX47" s="43">
        <f t="shared" si="1053"/>
        <v>-1.312153208128386</v>
      </c>
      <c r="CY47" s="43">
        <f t="shared" si="1054"/>
        <v>-45.267903205055134</v>
      </c>
      <c r="CZ47" s="43">
        <f t="shared" si="1055"/>
        <v>-0.3228921610514135</v>
      </c>
      <c r="DA47" s="43">
        <f t="shared" si="1056"/>
        <v>-16.325652482628517</v>
      </c>
      <c r="DB47" s="43">
        <f t="shared" si="1057"/>
        <v>3.6612289216192142</v>
      </c>
      <c r="DC47" s="43">
        <f t="shared" si="1058"/>
        <v>0.28495648848547717</v>
      </c>
      <c r="DD47" s="43">
        <f t="shared" si="1059"/>
        <v>-19.022323867291746</v>
      </c>
      <c r="DE47" s="43">
        <f t="shared" si="1060"/>
        <v>6.1091504351105108</v>
      </c>
    </row>
    <row r="48" spans="1:109" ht="29.25" customHeight="1" x14ac:dyDescent="0.2">
      <c r="A48" s="37">
        <v>43843</v>
      </c>
      <c r="B48" s="29">
        <f t="shared" si="1002"/>
        <v>138</v>
      </c>
      <c r="C48" s="38">
        <v>222.9</v>
      </c>
      <c r="D48" s="38">
        <f t="shared" ref="D48" si="1154">IF(C48="","",+C48-$W$6)</f>
        <v>26.800000000000011</v>
      </c>
      <c r="E48" s="39">
        <v>823244.33369999996</v>
      </c>
      <c r="F48" s="39">
        <v>1091518.7779000001</v>
      </c>
      <c r="G48" s="39">
        <v>-124.5432</v>
      </c>
      <c r="H48" s="39"/>
      <c r="I48" s="39"/>
      <c r="J48" s="39"/>
      <c r="K48" s="39">
        <v>823244.51520000002</v>
      </c>
      <c r="L48" s="39">
        <v>1091518.4671</v>
      </c>
      <c r="M48" s="39">
        <v>-121.8193</v>
      </c>
      <c r="N48" s="39">
        <v>823245.29460000002</v>
      </c>
      <c r="O48" s="39">
        <v>1091516.6544999999</v>
      </c>
      <c r="P48" s="39">
        <v>-120.92149999999999</v>
      </c>
      <c r="Q48" s="39">
        <v>823245.97519999999</v>
      </c>
      <c r="R48" s="39">
        <v>1091515.1817000001</v>
      </c>
      <c r="S48" s="39">
        <v>-121.29949999999999</v>
      </c>
      <c r="T48" s="39">
        <v>823246.55110000004</v>
      </c>
      <c r="U48" s="39">
        <v>1091514.1146</v>
      </c>
      <c r="V48" s="39">
        <v>-123.4397</v>
      </c>
      <c r="W48" s="39">
        <v>823246.4682</v>
      </c>
      <c r="X48" s="39">
        <v>1091514.1879</v>
      </c>
      <c r="Y48" s="39">
        <v>-124.566</v>
      </c>
      <c r="Z48" s="39">
        <f t="shared" si="1004"/>
        <v>4.3068395907891084</v>
      </c>
      <c r="AA48" s="39"/>
      <c r="AB48" s="39">
        <f t="shared" si="1005"/>
        <v>2.1677241430189795</v>
      </c>
      <c r="AC48" s="39">
        <f t="shared" si="1006"/>
        <v>1.6659052192647907</v>
      </c>
      <c r="AD48" s="39">
        <f t="shared" si="5"/>
        <v>3.7909386040813073</v>
      </c>
      <c r="AE48" s="39">
        <f t="shared" si="1007"/>
        <v>4.5545397977834243</v>
      </c>
      <c r="AF48" s="39">
        <f t="shared" si="1008"/>
        <v>3.6325810657802675</v>
      </c>
      <c r="AG48" s="39"/>
      <c r="AH48" s="39">
        <f t="shared" si="1009"/>
        <v>5.0620855475738775</v>
      </c>
      <c r="AI48" s="43">
        <f t="shared" si="1010"/>
        <v>-67.299380521508738</v>
      </c>
      <c r="AJ48" s="43" t="str">
        <f t="shared" si="1146"/>
        <v/>
      </c>
      <c r="AK48" s="43">
        <f t="shared" si="1012"/>
        <v>-38.142720602199361</v>
      </c>
      <c r="AL48" s="43">
        <f t="shared" si="1013"/>
        <v>-4.4059764083344</v>
      </c>
      <c r="AM48" s="43">
        <f t="shared" si="1014"/>
        <v>-57.581850578976024</v>
      </c>
      <c r="AN48" s="43">
        <f t="shared" si="1015"/>
        <v>-68.062145981104834</v>
      </c>
      <c r="AO48" s="43">
        <f t="shared" si="1016"/>
        <v>-20.601028081567829</v>
      </c>
      <c r="AP48" s="43" t="str">
        <f t="shared" si="1017"/>
        <v/>
      </c>
      <c r="AQ48" s="43">
        <f t="shared" si="1018"/>
        <v>-26.081663874392369</v>
      </c>
      <c r="AR48" s="40"/>
      <c r="AS48" s="43">
        <f t="shared" si="1019"/>
        <v>3.2999999821186066</v>
      </c>
      <c r="AT48" s="43">
        <f t="shared" si="1020"/>
        <v>-6.5999999642372131</v>
      </c>
      <c r="AU48" s="43">
        <f t="shared" si="1021"/>
        <v>8.3000000000055252</v>
      </c>
      <c r="AV48" s="43" t="str">
        <f t="shared" si="1022"/>
        <v/>
      </c>
      <c r="AW48" s="43" t="str">
        <f t="shared" si="1023"/>
        <v/>
      </c>
      <c r="AX48" s="43" t="str">
        <f t="shared" si="1024"/>
        <v/>
      </c>
      <c r="AY48" s="43">
        <f t="shared" si="1025"/>
        <v>5.6000000331550837</v>
      </c>
      <c r="AZ48" s="43">
        <f t="shared" si="1026"/>
        <v>-13.299999991431832</v>
      </c>
      <c r="BA48" s="43">
        <f t="shared" si="1027"/>
        <v>-8.8999999999970214</v>
      </c>
      <c r="BB48" s="43">
        <f t="shared" si="1028"/>
        <v>-11.100000003352761</v>
      </c>
      <c r="BC48" s="43">
        <f t="shared" si="1029"/>
        <v>-3.8000000640749931</v>
      </c>
      <c r="BD48" s="43">
        <f t="shared" si="1030"/>
        <v>-66.09999999999161</v>
      </c>
      <c r="BE48" s="43">
        <f t="shared" si="1031"/>
        <v>0.99999993108212948</v>
      </c>
      <c r="BF48" s="43">
        <f t="shared" si="1032"/>
        <v>1.4000001829117537</v>
      </c>
      <c r="BG48" s="43">
        <f t="shared" si="1033"/>
        <v>-45.89999999998895</v>
      </c>
      <c r="BH48" s="43">
        <f t="shared" si="1034"/>
        <v>-7.4000000022351742</v>
      </c>
      <c r="BI48" s="43">
        <f t="shared" si="1035"/>
        <v>14.699999941512942</v>
      </c>
      <c r="BJ48" s="43">
        <f t="shared" si="1036"/>
        <v>3.3999999999991815</v>
      </c>
      <c r="BK48" s="43">
        <f t="shared" si="1037"/>
        <v>-7.4000000022351742</v>
      </c>
      <c r="BL48" s="43">
        <f t="shared" si="1038"/>
        <v>17.200000118464231</v>
      </c>
      <c r="BM48" s="43">
        <f t="shared" si="1039"/>
        <v>5.7999999999935881</v>
      </c>
      <c r="BN48" s="40"/>
      <c r="BO48" s="39">
        <v>196.10499999999999</v>
      </c>
      <c r="BP48" s="39">
        <v>-2.5297999999999998</v>
      </c>
      <c r="BQ48" s="39">
        <v>-0.96140000000000003</v>
      </c>
      <c r="BR48" s="39" t="s">
        <v>77</v>
      </c>
      <c r="BS48" s="39" t="s">
        <v>77</v>
      </c>
      <c r="BT48" s="39" t="s">
        <v>77</v>
      </c>
      <c r="BU48" s="41">
        <v>196.13810000000001</v>
      </c>
      <c r="BV48" s="42">
        <v>-2.1714000000000002</v>
      </c>
      <c r="BW48" s="42">
        <v>1.7622</v>
      </c>
      <c r="BX48" s="41">
        <v>196.07839999999999</v>
      </c>
      <c r="BY48" s="42">
        <v>-0.1993</v>
      </c>
      <c r="BZ48" s="42">
        <v>2.6606000000000001</v>
      </c>
      <c r="CA48" s="41">
        <v>196.0727</v>
      </c>
      <c r="CB48" s="42">
        <v>1.4232</v>
      </c>
      <c r="CC48" s="42">
        <v>2.2827000000000002</v>
      </c>
      <c r="CD48" s="41">
        <v>196.14359999999999</v>
      </c>
      <c r="CE48" s="42">
        <v>2.6337000000000002</v>
      </c>
      <c r="CF48" s="42">
        <v>0.14169999999999999</v>
      </c>
      <c r="CG48" s="41">
        <v>196.09950000000001</v>
      </c>
      <c r="CH48" s="42">
        <v>2.5322</v>
      </c>
      <c r="CI48" s="42">
        <v>-0.98409999999999997</v>
      </c>
      <c r="CJ48" s="40"/>
      <c r="CK48" s="43">
        <f t="shared" si="1040"/>
        <v>0.2308161346036286</v>
      </c>
      <c r="CL48" s="43">
        <f t="shared" si="1041"/>
        <v>7.4010247454254774</v>
      </c>
      <c r="CM48" s="43">
        <f t="shared" si="1042"/>
        <v>8.2676918386657139</v>
      </c>
      <c r="CN48" s="43"/>
      <c r="CO48" s="43"/>
      <c r="CP48" s="43"/>
      <c r="CQ48" s="43">
        <f t="shared" si="1046"/>
        <v>-0.54824278925025283</v>
      </c>
      <c r="CR48" s="43">
        <f t="shared" si="1047"/>
        <v>14.458372322277757</v>
      </c>
      <c r="CS48" s="43">
        <f t="shared" si="1048"/>
        <v>-8.8935175720976645</v>
      </c>
      <c r="CT48" s="43">
        <f t="shared" si="1049"/>
        <v>-11.633115571953567</v>
      </c>
      <c r="CU48" s="43">
        <f t="shared" si="1050"/>
        <v>-1.2696356873511949</v>
      </c>
      <c r="CV48" s="43">
        <f t="shared" si="1051"/>
        <v>-65.979668844280411</v>
      </c>
      <c r="CW48" s="43">
        <f t="shared" si="1052"/>
        <v>1.4903205061784774</v>
      </c>
      <c r="CX48" s="43">
        <f t="shared" si="1053"/>
        <v>-0.81215320812844105</v>
      </c>
      <c r="CY48" s="43">
        <f t="shared" si="1054"/>
        <v>-45.867903205055072</v>
      </c>
      <c r="CZ48" s="43">
        <f t="shared" si="1055"/>
        <v>-0.52289216105805281</v>
      </c>
      <c r="DA48" s="43">
        <f t="shared" si="1056"/>
        <v>-16.425652482628283</v>
      </c>
      <c r="DB48" s="43">
        <f t="shared" si="1057"/>
        <v>3.3612289216192193</v>
      </c>
      <c r="DC48" s="43">
        <f t="shared" si="1058"/>
        <v>0.58495648849543613</v>
      </c>
      <c r="DD48" s="43">
        <f t="shared" si="1059"/>
        <v>-18.722323867291557</v>
      </c>
      <c r="DE48" s="43">
        <f t="shared" si="1060"/>
        <v>5.8091504351105439</v>
      </c>
    </row>
    <row r="49" spans="1:109" ht="29.25" customHeight="1" x14ac:dyDescent="0.2">
      <c r="A49" s="37">
        <v>43850</v>
      </c>
      <c r="B49" s="29">
        <f t="shared" si="1002"/>
        <v>145</v>
      </c>
      <c r="C49" s="38">
        <v>222.9</v>
      </c>
      <c r="D49" s="38">
        <f t="shared" ref="D49" si="1155">IF(C49="","",+C49-$W$6)</f>
        <v>26.800000000000011</v>
      </c>
      <c r="E49" s="39">
        <v>823244.33380000002</v>
      </c>
      <c r="F49" s="39">
        <v>1091518.7777</v>
      </c>
      <c r="G49" s="39">
        <v>-124.5429</v>
      </c>
      <c r="H49" s="39"/>
      <c r="I49" s="39"/>
      <c r="J49" s="39"/>
      <c r="K49" s="39">
        <v>823244.51529999997</v>
      </c>
      <c r="L49" s="39">
        <v>1091518.4665999999</v>
      </c>
      <c r="M49" s="39">
        <v>-121.8192</v>
      </c>
      <c r="N49" s="39">
        <v>823245.29520000005</v>
      </c>
      <c r="O49" s="39">
        <v>1091516.6544000001</v>
      </c>
      <c r="P49" s="39">
        <v>-120.9216</v>
      </c>
      <c r="Q49" s="39">
        <v>823245.9754</v>
      </c>
      <c r="R49" s="39">
        <v>1091515.1810999999</v>
      </c>
      <c r="S49" s="39">
        <v>-121.2998</v>
      </c>
      <c r="T49" s="39">
        <v>823246.55119999999</v>
      </c>
      <c r="U49" s="39">
        <v>1091514.1140000001</v>
      </c>
      <c r="V49" s="39">
        <v>-123.4397</v>
      </c>
      <c r="W49" s="39">
        <v>823246.4682</v>
      </c>
      <c r="X49" s="39">
        <v>1091514.1875</v>
      </c>
      <c r="Y49" s="39">
        <v>-124.5659</v>
      </c>
      <c r="Z49" s="39">
        <f t="shared" si="1004"/>
        <v>4.3065655155200169</v>
      </c>
      <c r="AA49" s="39"/>
      <c r="AB49" s="39">
        <f t="shared" si="1005"/>
        <v>2.1674867034061385</v>
      </c>
      <c r="AC49" s="39">
        <f t="shared" si="1006"/>
        <v>1.6662293270961481</v>
      </c>
      <c r="AD49" s="39">
        <f t="shared" si="5"/>
        <v>3.7910415152203756</v>
      </c>
      <c r="AE49" s="39">
        <f t="shared" si="1007"/>
        <v>4.5543876756879191</v>
      </c>
      <c r="AF49" s="39">
        <f t="shared" si="1008"/>
        <v>3.6326544867442063</v>
      </c>
      <c r="AG49" s="39"/>
      <c r="AH49" s="39">
        <f t="shared" si="1009"/>
        <v>5.0622256369808394</v>
      </c>
      <c r="AI49" s="43">
        <f t="shared" si="1010"/>
        <v>-67.573455790600264</v>
      </c>
      <c r="AJ49" s="43" t="str">
        <f t="shared" si="1146"/>
        <v/>
      </c>
      <c r="AK49" s="43">
        <f t="shared" si="1012"/>
        <v>-38.380160215040426</v>
      </c>
      <c r="AL49" s="43">
        <f t="shared" si="1013"/>
        <v>-4.0818685769770102</v>
      </c>
      <c r="AM49" s="43">
        <f t="shared" si="1014"/>
        <v>-57.478939439907784</v>
      </c>
      <c r="AN49" s="43">
        <f t="shared" si="1015"/>
        <v>-68.214268076610011</v>
      </c>
      <c r="AO49" s="43">
        <f t="shared" si="1016"/>
        <v>-20.527607117629021</v>
      </c>
      <c r="AP49" s="43" t="str">
        <f t="shared" si="1017"/>
        <v/>
      </c>
      <c r="AQ49" s="43">
        <f t="shared" si="1018"/>
        <v>-25.941574467430506</v>
      </c>
      <c r="AR49" s="40"/>
      <c r="AS49" s="43">
        <f t="shared" si="1019"/>
        <v>3.4000000450760126</v>
      </c>
      <c r="AT49" s="43">
        <f t="shared" si="1020"/>
        <v>-6.8000000901520252</v>
      </c>
      <c r="AU49" s="43">
        <f t="shared" si="1021"/>
        <v>8.6000000000012733</v>
      </c>
      <c r="AV49" s="43" t="str">
        <f t="shared" si="1022"/>
        <v/>
      </c>
      <c r="AW49" s="43" t="str">
        <f t="shared" si="1023"/>
        <v/>
      </c>
      <c r="AX49" s="43" t="str">
        <f t="shared" si="1024"/>
        <v/>
      </c>
      <c r="AY49" s="43">
        <f t="shared" si="1025"/>
        <v>5.6999999796971679</v>
      </c>
      <c r="AZ49" s="43">
        <f t="shared" si="1026"/>
        <v>-13.800000073388219</v>
      </c>
      <c r="BA49" s="43">
        <f t="shared" si="1027"/>
        <v>-8.7999999999937017</v>
      </c>
      <c r="BB49" s="43">
        <f t="shared" si="1028"/>
        <v>-10.49999997485429</v>
      </c>
      <c r="BC49" s="43">
        <f t="shared" si="1029"/>
        <v>-3.8999998942017555</v>
      </c>
      <c r="BD49" s="43">
        <f t="shared" si="1030"/>
        <v>-66.19999999999493</v>
      </c>
      <c r="BE49" s="43">
        <f t="shared" si="1031"/>
        <v>1.1999999405816197</v>
      </c>
      <c r="BF49" s="43">
        <f t="shared" si="1032"/>
        <v>0.80000003799796104</v>
      </c>
      <c r="BG49" s="43">
        <f t="shared" si="1033"/>
        <v>-46.199999999998909</v>
      </c>
      <c r="BH49" s="43">
        <f t="shared" si="1034"/>
        <v>-7.30000005569309</v>
      </c>
      <c r="BI49" s="43">
        <f t="shared" si="1035"/>
        <v>14.100000029429793</v>
      </c>
      <c r="BJ49" s="43">
        <f t="shared" si="1036"/>
        <v>3.3999999999991815</v>
      </c>
      <c r="BK49" s="43">
        <f t="shared" si="1037"/>
        <v>-7.4000000022351742</v>
      </c>
      <c r="BL49" s="43">
        <f t="shared" si="1038"/>
        <v>16.800000099465251</v>
      </c>
      <c r="BM49" s="43">
        <f t="shared" si="1039"/>
        <v>5.8999999999969077</v>
      </c>
      <c r="BN49" s="40"/>
      <c r="BO49" s="39">
        <v>196.10499999999999</v>
      </c>
      <c r="BP49" s="39">
        <v>-2.5295999999999998</v>
      </c>
      <c r="BQ49" s="39">
        <v>-0.96109999999999995</v>
      </c>
      <c r="BR49" s="39" t="s">
        <v>77</v>
      </c>
      <c r="BS49" s="39" t="s">
        <v>77</v>
      </c>
      <c r="BT49" s="39" t="s">
        <v>77</v>
      </c>
      <c r="BU49" s="41">
        <v>196.13800000000001</v>
      </c>
      <c r="BV49" s="42">
        <v>-2.1709000000000001</v>
      </c>
      <c r="BW49" s="42">
        <v>1.7623</v>
      </c>
      <c r="BX49" s="41">
        <v>196.0789</v>
      </c>
      <c r="BY49" s="42">
        <v>-0.19889999999999999</v>
      </c>
      <c r="BZ49" s="42">
        <v>2.6604999999999999</v>
      </c>
      <c r="CA49" s="41">
        <v>196.07259999999999</v>
      </c>
      <c r="CB49" s="42">
        <v>1.4238</v>
      </c>
      <c r="CC49" s="42">
        <v>2.2824</v>
      </c>
      <c r="CD49" s="41">
        <v>196.14349999999999</v>
      </c>
      <c r="CE49" s="42">
        <v>2.6343000000000001</v>
      </c>
      <c r="CF49" s="42">
        <v>0.14169999999999999</v>
      </c>
      <c r="CG49" s="41">
        <v>196.0993</v>
      </c>
      <c r="CH49" s="42">
        <v>2.5326</v>
      </c>
      <c r="CI49" s="42">
        <v>-0.98399999999999999</v>
      </c>
      <c r="CJ49" s="40"/>
      <c r="CK49" s="43">
        <f t="shared" si="1040"/>
        <v>0.2308161346036286</v>
      </c>
      <c r="CL49" s="43">
        <f t="shared" si="1041"/>
        <v>7.6010247454254554</v>
      </c>
      <c r="CM49" s="43">
        <f t="shared" si="1042"/>
        <v>8.567691838665791</v>
      </c>
      <c r="CN49" s="43"/>
      <c r="CO49" s="43"/>
      <c r="CP49" s="43"/>
      <c r="CQ49" s="43">
        <f t="shared" si="1046"/>
        <v>-0.64824278925357248</v>
      </c>
      <c r="CR49" s="43">
        <f t="shared" si="1047"/>
        <v>14.958372322277924</v>
      </c>
      <c r="CS49" s="43">
        <f t="shared" si="1048"/>
        <v>-8.7935175720976755</v>
      </c>
      <c r="CT49" s="43">
        <f t="shared" si="1049"/>
        <v>-11.133115571936969</v>
      </c>
      <c r="CU49" s="43">
        <f t="shared" si="1050"/>
        <v>-0.86963568735118346</v>
      </c>
      <c r="CV49" s="43">
        <f t="shared" si="1051"/>
        <v>-66.079668844280633</v>
      </c>
      <c r="CW49" s="43">
        <f t="shared" si="1052"/>
        <v>1.3903205061751578</v>
      </c>
      <c r="CX49" s="43">
        <f t="shared" si="1053"/>
        <v>-0.21215320812850713</v>
      </c>
      <c r="CY49" s="43">
        <f t="shared" si="1054"/>
        <v>-46.167903205055261</v>
      </c>
      <c r="CZ49" s="43">
        <f t="shared" si="1055"/>
        <v>-0.62289216106137246</v>
      </c>
      <c r="DA49" s="43">
        <f t="shared" si="1056"/>
        <v>-15.82565248262835</v>
      </c>
      <c r="DB49" s="43">
        <f t="shared" si="1057"/>
        <v>3.3612289216192193</v>
      </c>
      <c r="DC49" s="43">
        <f t="shared" si="1058"/>
        <v>0.38495648848879682</v>
      </c>
      <c r="DD49" s="43">
        <f t="shared" si="1059"/>
        <v>-18.322323867291601</v>
      </c>
      <c r="DE49" s="43">
        <f t="shared" si="1060"/>
        <v>5.9091504351105328</v>
      </c>
    </row>
    <row r="50" spans="1:109" ht="29.25" customHeight="1" x14ac:dyDescent="0.2">
      <c r="A50" s="37">
        <v>43859</v>
      </c>
      <c r="B50" s="29">
        <f t="shared" si="1002"/>
        <v>154</v>
      </c>
      <c r="C50" s="38">
        <v>222.9</v>
      </c>
      <c r="D50" s="38">
        <f t="shared" ref="D50" si="1156">IF(C50="","",+C50-$W$6)</f>
        <v>26.800000000000011</v>
      </c>
      <c r="E50" s="39">
        <v>823244.33440000005</v>
      </c>
      <c r="F50" s="39">
        <v>1091518.7790000001</v>
      </c>
      <c r="G50" s="39">
        <v>-124.5438</v>
      </c>
      <c r="H50" s="39">
        <v>823244.23869999999</v>
      </c>
      <c r="I50" s="39">
        <v>1091518.9509999999</v>
      </c>
      <c r="J50" s="39">
        <v>-123.1854</v>
      </c>
      <c r="K50" s="39">
        <v>823244.51580000005</v>
      </c>
      <c r="L50" s="39">
        <v>1091518.4669999999</v>
      </c>
      <c r="M50" s="39">
        <v>-121.81959999999999</v>
      </c>
      <c r="N50" s="39">
        <v>823245.29570000002</v>
      </c>
      <c r="O50" s="39">
        <v>1091516.6540000001</v>
      </c>
      <c r="P50" s="39">
        <v>-120.9224</v>
      </c>
      <c r="Q50" s="39">
        <v>823245.97600000002</v>
      </c>
      <c r="R50" s="39">
        <v>1091515.1810000001</v>
      </c>
      <c r="S50" s="39">
        <v>-121.30029999999999</v>
      </c>
      <c r="T50" s="39">
        <v>823246.55169999995</v>
      </c>
      <c r="U50" s="39">
        <v>1091514.1140000001</v>
      </c>
      <c r="V50" s="39">
        <v>-123.4401</v>
      </c>
      <c r="W50" s="39">
        <v>823246.46640000003</v>
      </c>
      <c r="X50" s="39">
        <v>1091514.186</v>
      </c>
      <c r="Y50" s="39">
        <v>-124.5788</v>
      </c>
      <c r="Z50" s="39">
        <f t="shared" si="1004"/>
        <v>4.3074656876097386</v>
      </c>
      <c r="AA50" s="39">
        <f t="shared" si="2"/>
        <v>3.3933209395940622</v>
      </c>
      <c r="AB50" s="39">
        <f t="shared" si="1005"/>
        <v>2.1679900482701266</v>
      </c>
      <c r="AC50" s="39">
        <f t="shared" si="1006"/>
        <v>1.6659368235333518</v>
      </c>
      <c r="AD50" s="39">
        <f t="shared" si="5"/>
        <v>3.7905077878864519</v>
      </c>
      <c r="AE50" s="39">
        <f t="shared" si="1007"/>
        <v>4.5640796937150618</v>
      </c>
      <c r="AF50" s="39">
        <f t="shared" si="1008"/>
        <v>3.6331326054680639</v>
      </c>
      <c r="AG50" s="39">
        <f t="shared" si="8"/>
        <v>5.3676261129242961</v>
      </c>
      <c r="AH50" s="39">
        <f t="shared" si="1009"/>
        <v>5.0638224693346059</v>
      </c>
      <c r="AI50" s="43">
        <f t="shared" si="1010"/>
        <v>-66.673283700878557</v>
      </c>
      <c r="AJ50" s="43">
        <f t="shared" si="1146"/>
        <v>-47.843510136897471</v>
      </c>
      <c r="AK50" s="43">
        <f t="shared" si="1012"/>
        <v>-37.876815351052251</v>
      </c>
      <c r="AL50" s="43">
        <f t="shared" si="1013"/>
        <v>-4.3743721397733193</v>
      </c>
      <c r="AM50" s="43">
        <f t="shared" si="1014"/>
        <v>-58.012666773831434</v>
      </c>
      <c r="AN50" s="43">
        <f t="shared" si="1015"/>
        <v>-58.522250049467317</v>
      </c>
      <c r="AO50" s="43">
        <f t="shared" si="1016"/>
        <v>-20.049488393771409</v>
      </c>
      <c r="AP50" s="43">
        <f t="shared" si="1017"/>
        <v>-22.286047777147822</v>
      </c>
      <c r="AQ50" s="43">
        <f t="shared" si="1018"/>
        <v>-24.344742113663997</v>
      </c>
      <c r="AR50" s="40"/>
      <c r="AS50" s="43">
        <f t="shared" si="1019"/>
        <v>4.0000000735744834</v>
      </c>
      <c r="AT50" s="43">
        <f t="shared" si="1020"/>
        <v>-5.4999999701976776</v>
      </c>
      <c r="AU50" s="43">
        <f t="shared" si="1021"/>
        <v>7.6999999999998181</v>
      </c>
      <c r="AV50" s="43">
        <f t="shared" si="1022"/>
        <v>-4.3000000296160579</v>
      </c>
      <c r="AW50" s="43">
        <f t="shared" si="1023"/>
        <v>-9.1000001411885023</v>
      </c>
      <c r="AX50" s="43">
        <f t="shared" si="1024"/>
        <v>-3.200000000006753</v>
      </c>
      <c r="AY50" s="43">
        <f t="shared" si="1025"/>
        <v>6.2000000616535544</v>
      </c>
      <c r="AZ50" s="43">
        <f t="shared" si="1026"/>
        <v>-13.400000054389238</v>
      </c>
      <c r="BA50" s="43">
        <f t="shared" si="1027"/>
        <v>-9.1999999999927695</v>
      </c>
      <c r="BB50" s="43">
        <f t="shared" si="1028"/>
        <v>-10.000000009313226</v>
      </c>
      <c r="BC50" s="43">
        <f t="shared" si="1029"/>
        <v>-4.299999913200736</v>
      </c>
      <c r="BD50" s="43">
        <f t="shared" si="1030"/>
        <v>-66.999999999993065</v>
      </c>
      <c r="BE50" s="43">
        <f t="shared" si="1031"/>
        <v>1.7999999690800905</v>
      </c>
      <c r="BF50" s="43">
        <f t="shared" si="1032"/>
        <v>0.70000020787119865</v>
      </c>
      <c r="BG50" s="43">
        <f t="shared" si="1033"/>
        <v>-46.699999999987085</v>
      </c>
      <c r="BH50" s="43">
        <f t="shared" si="1034"/>
        <v>-6.8000000901520252</v>
      </c>
      <c r="BI50" s="43">
        <f t="shared" si="1035"/>
        <v>14.100000029429793</v>
      </c>
      <c r="BJ50" s="43">
        <f t="shared" si="1036"/>
        <v>3.0000000000001137</v>
      </c>
      <c r="BK50" s="43">
        <f t="shared" si="1037"/>
        <v>-9.1999999713152647</v>
      </c>
      <c r="BL50" s="43">
        <f t="shared" si="1038"/>
        <v>15.300000086426735</v>
      </c>
      <c r="BM50" s="43">
        <f t="shared" si="1039"/>
        <v>-7.0000000000050022</v>
      </c>
      <c r="BN50" s="40"/>
      <c r="BO50" s="39">
        <v>196.10589999999999</v>
      </c>
      <c r="BP50" s="39">
        <v>-2.5301999999999998</v>
      </c>
      <c r="BQ50" s="39">
        <v>-0.96199999999999997</v>
      </c>
      <c r="BR50" s="39">
        <v>196.09190000000001</v>
      </c>
      <c r="BS50" s="39">
        <v>-2.7267000000000001</v>
      </c>
      <c r="BT50" s="39">
        <v>0.39660000000000001</v>
      </c>
      <c r="BU50" s="41">
        <v>196.13849999999999</v>
      </c>
      <c r="BV50" s="42">
        <v>-2.1709000000000001</v>
      </c>
      <c r="BW50" s="42">
        <v>1.7619</v>
      </c>
      <c r="BX50" s="41">
        <v>196.07910000000001</v>
      </c>
      <c r="BY50" s="42">
        <v>-0.1983</v>
      </c>
      <c r="BZ50" s="42">
        <v>2.6597</v>
      </c>
      <c r="CA50" s="41">
        <v>196.07310000000001</v>
      </c>
      <c r="CB50" s="42">
        <v>1.4241999999999999</v>
      </c>
      <c r="CC50" s="42">
        <v>2.2818000000000001</v>
      </c>
      <c r="CD50" s="41">
        <v>196.1438</v>
      </c>
      <c r="CE50" s="42">
        <v>2.6347</v>
      </c>
      <c r="CF50" s="42">
        <v>0.14130000000000001</v>
      </c>
      <c r="CG50" s="41">
        <v>196.09690000000001</v>
      </c>
      <c r="CH50" s="42">
        <v>2.5335000000000001</v>
      </c>
      <c r="CI50" s="42">
        <v>-0.99690000000000001</v>
      </c>
      <c r="CJ50" s="40"/>
      <c r="CK50" s="43">
        <f t="shared" si="1040"/>
        <v>1.1308161346050838</v>
      </c>
      <c r="CL50" s="43">
        <f t="shared" si="1041"/>
        <v>7.0010247454255214</v>
      </c>
      <c r="CM50" s="43">
        <f t="shared" si="1042"/>
        <v>7.66769183866578</v>
      </c>
      <c r="CN50" s="43">
        <f t="shared" si="1043"/>
        <v>-7.8769517596413152</v>
      </c>
      <c r="CO50" s="43">
        <f t="shared" si="1044"/>
        <v>6.5856942051856215</v>
      </c>
      <c r="CP50" s="43">
        <f t="shared" si="1045"/>
        <v>-3.0822304824121294</v>
      </c>
      <c r="CQ50" s="43">
        <f t="shared" si="1046"/>
        <v>-0.14824278926539591</v>
      </c>
      <c r="CR50" s="43">
        <f t="shared" si="1047"/>
        <v>14.958372322277924</v>
      </c>
      <c r="CS50" s="43">
        <f t="shared" si="1048"/>
        <v>-9.1935175720976314</v>
      </c>
      <c r="CT50" s="43">
        <f t="shared" si="1049"/>
        <v>-10.93311557193033</v>
      </c>
      <c r="CU50" s="43">
        <f t="shared" si="1050"/>
        <v>-0.26963568735119403</v>
      </c>
      <c r="CV50" s="43">
        <f t="shared" si="1051"/>
        <v>-66.87966884428053</v>
      </c>
      <c r="CW50" s="43">
        <f t="shared" si="1052"/>
        <v>1.8903205061917561</v>
      </c>
      <c r="CX50" s="43">
        <f t="shared" si="1053"/>
        <v>0.18784679187144881</v>
      </c>
      <c r="CY50" s="43">
        <f t="shared" si="1054"/>
        <v>-46.767903205055191</v>
      </c>
      <c r="CZ50" s="43">
        <f t="shared" si="1055"/>
        <v>-0.3228921610514135</v>
      </c>
      <c r="DA50" s="43">
        <f t="shared" si="1056"/>
        <v>-15.425652482628394</v>
      </c>
      <c r="DB50" s="43">
        <f t="shared" si="1057"/>
        <v>2.9612289216192353</v>
      </c>
      <c r="DC50" s="43">
        <f t="shared" si="1058"/>
        <v>-2.0150435115056098</v>
      </c>
      <c r="DD50" s="43">
        <f t="shared" si="1059"/>
        <v>-17.422323867291478</v>
      </c>
      <c r="DE50" s="43">
        <f t="shared" si="1060"/>
        <v>-6.9908495648894897</v>
      </c>
    </row>
    <row r="51" spans="1:109" ht="29.25" customHeight="1" x14ac:dyDescent="0.2">
      <c r="A51" s="37">
        <v>43886</v>
      </c>
      <c r="B51" s="29">
        <f t="shared" ref="B51:B62" si="1157">IF(A51="","",A51-excav)</f>
        <v>181</v>
      </c>
      <c r="C51" s="38">
        <v>222.9</v>
      </c>
      <c r="D51" s="38">
        <f t="shared" ref="D51" si="1158">IF(C51="","",+C51-$W$6)</f>
        <v>26.800000000000011</v>
      </c>
      <c r="E51" s="39">
        <v>823244.33429999999</v>
      </c>
      <c r="F51" s="39">
        <v>1091518.7777</v>
      </c>
      <c r="G51" s="39">
        <v>-124.5437</v>
      </c>
      <c r="H51" s="39">
        <v>823244.23809999996</v>
      </c>
      <c r="I51" s="39">
        <v>1091518.9498999999</v>
      </c>
      <c r="J51" s="39">
        <v>-123.185</v>
      </c>
      <c r="K51" s="39">
        <v>823244.51580000005</v>
      </c>
      <c r="L51" s="39">
        <v>1091518.4671</v>
      </c>
      <c r="M51" s="39">
        <v>-121.8192</v>
      </c>
      <c r="N51" s="39">
        <v>823245.29630000005</v>
      </c>
      <c r="O51" s="39">
        <v>1091516.655</v>
      </c>
      <c r="P51" s="39">
        <v>-120.92230000000001</v>
      </c>
      <c r="Q51" s="39">
        <v>823245.97549999994</v>
      </c>
      <c r="R51" s="39">
        <v>1091515.1813000001</v>
      </c>
      <c r="S51" s="39">
        <v>-121.3</v>
      </c>
      <c r="T51" s="39">
        <v>823246.55119999999</v>
      </c>
      <c r="U51" s="39">
        <v>1091514.1144000001</v>
      </c>
      <c r="V51" s="39">
        <v>-123.4396</v>
      </c>
      <c r="W51" s="39">
        <v>823246.46510000003</v>
      </c>
      <c r="X51" s="39">
        <v>1091514.1865000001</v>
      </c>
      <c r="Y51" s="39">
        <v>-124.5778</v>
      </c>
      <c r="Z51" s="39">
        <f t="shared" si="1004"/>
        <v>4.3064878090962226</v>
      </c>
      <c r="AA51" s="39">
        <f t="shared" si="2"/>
        <v>3.3920737815608835</v>
      </c>
      <c r="AB51" s="39">
        <f t="shared" si="1005"/>
        <v>2.1673292942976952</v>
      </c>
      <c r="AC51" s="39">
        <f t="shared" si="1006"/>
        <v>1.6660617094756014</v>
      </c>
      <c r="AD51" s="39">
        <f t="shared" si="5"/>
        <v>3.7902798919863692</v>
      </c>
      <c r="AE51" s="39">
        <f t="shared" si="1007"/>
        <v>4.5631421125976717</v>
      </c>
      <c r="AF51" s="39">
        <f t="shared" si="1008"/>
        <v>3.6327364849901502</v>
      </c>
      <c r="AG51" s="39">
        <f t="shared" si="8"/>
        <v>5.3663127954222398</v>
      </c>
      <c r="AH51" s="39">
        <f t="shared" si="1009"/>
        <v>5.0616784656215437</v>
      </c>
      <c r="AI51" s="43">
        <f t="shared" ref="AI51" si="1159">IF(Z51="","",(Z51-Z$10)*1000)</f>
        <v>-67.651162214394489</v>
      </c>
      <c r="AJ51" s="43">
        <f t="shared" ref="AJ51" si="1160">IF(AA51="","",(AA51-AA$10)*1000)</f>
        <v>-49.090668170076235</v>
      </c>
      <c r="AK51" s="43">
        <f t="shared" ref="AK51" si="1161">IF(AB51="","",(AB51-AB$10)*1000)</f>
        <v>-38.537569323483737</v>
      </c>
      <c r="AL51" s="43">
        <f t="shared" ref="AL51" si="1162">IF(AC51="","",(AC51-AC$10)*1000)</f>
        <v>-4.2494861975237441</v>
      </c>
      <c r="AM51" s="43">
        <f t="shared" ref="AM51" si="1163">IF(AD51="","",(AD51-AD$10)*1000)</f>
        <v>-58.240562673914198</v>
      </c>
      <c r="AN51" s="43">
        <f t="shared" ref="AN51" si="1164">IF(AE51="","",(AE51-AE$10)*1000)</f>
        <v>-59.459831166857491</v>
      </c>
      <c r="AO51" s="43">
        <f t="shared" ref="AO51" si="1165">IF(AF51="","",(AF51-AF$10)*1000)</f>
        <v>-20.445608871685117</v>
      </c>
      <c r="AP51" s="43">
        <f t="shared" ref="AP51" si="1166">IF(AG51="","",(AG51-AG$10)*1000)</f>
        <v>-23.599365279204143</v>
      </c>
      <c r="AQ51" s="43">
        <f t="shared" ref="AQ51" si="1167">IF(AH51="","",(AH51-AH$10)*1000)</f>
        <v>-26.488745826726223</v>
      </c>
      <c r="AR51" s="40"/>
      <c r="AS51" s="43">
        <f t="shared" si="1019"/>
        <v>3.9000000106170774</v>
      </c>
      <c r="AT51" s="43">
        <f t="shared" si="1020"/>
        <v>-6.8000000901520252</v>
      </c>
      <c r="AU51" s="43">
        <f t="shared" si="1021"/>
        <v>7.8000000000031378</v>
      </c>
      <c r="AV51" s="43">
        <f t="shared" si="1022"/>
        <v>-4.9000000581145287</v>
      </c>
      <c r="AW51" s="43">
        <f t="shared" si="1023"/>
        <v>-10.200000135228038</v>
      </c>
      <c r="AX51" s="43">
        <f t="shared" si="1024"/>
        <v>-2.8000000000076852</v>
      </c>
      <c r="AY51" s="43">
        <f t="shared" si="1025"/>
        <v>6.2000000616535544</v>
      </c>
      <c r="AZ51" s="43">
        <f t="shared" si="1026"/>
        <v>-13.299999991431832</v>
      </c>
      <c r="BA51" s="43">
        <f t="shared" si="1027"/>
        <v>-8.7999999999937017</v>
      </c>
      <c r="BB51" s="43">
        <f t="shared" si="1028"/>
        <v>-9.399999980814755</v>
      </c>
      <c r="BC51" s="43">
        <f t="shared" si="1029"/>
        <v>-3.2999999821186066</v>
      </c>
      <c r="BD51" s="43">
        <f t="shared" si="1030"/>
        <v>-66.900000000003956</v>
      </c>
      <c r="BE51" s="43">
        <f t="shared" si="1031"/>
        <v>1.299999887123704</v>
      </c>
      <c r="BF51" s="43">
        <f t="shared" si="1032"/>
        <v>1.0000001639127731</v>
      </c>
      <c r="BG51" s="43">
        <f t="shared" si="1033"/>
        <v>-46.399999999991337</v>
      </c>
      <c r="BH51" s="43">
        <f t="shared" si="1034"/>
        <v>-7.30000005569309</v>
      </c>
      <c r="BI51" s="43">
        <f t="shared" si="1035"/>
        <v>14.500000048428774</v>
      </c>
      <c r="BJ51" s="43">
        <f t="shared" si="1036"/>
        <v>3.5000000000025011</v>
      </c>
      <c r="BK51" s="43">
        <f t="shared" si="1037"/>
        <v>-10.49999997485429</v>
      </c>
      <c r="BL51" s="43">
        <f t="shared" si="1038"/>
        <v>15.800000168383121</v>
      </c>
      <c r="BM51" s="43">
        <f t="shared" si="1039"/>
        <v>-6.0000000000002274</v>
      </c>
      <c r="BN51" s="40"/>
      <c r="BO51" s="39">
        <v>196.1054</v>
      </c>
      <c r="BP51" s="39">
        <v>-2.5293999999999999</v>
      </c>
      <c r="BQ51" s="39">
        <v>-0.96189999999999998</v>
      </c>
      <c r="BR51" s="39">
        <v>196.09100000000001</v>
      </c>
      <c r="BS51" s="39">
        <v>-2.7261000000000002</v>
      </c>
      <c r="BT51" s="39">
        <v>0.39700000000000002</v>
      </c>
      <c r="BU51" s="41">
        <v>196.1386</v>
      </c>
      <c r="BV51" s="42">
        <v>-2.1711999999999998</v>
      </c>
      <c r="BW51" s="42">
        <v>1.7623</v>
      </c>
      <c r="BX51" s="41">
        <v>196.08009999999999</v>
      </c>
      <c r="BY51" s="42">
        <v>-0.19900000000000001</v>
      </c>
      <c r="BZ51" s="42">
        <v>2.6598000000000002</v>
      </c>
      <c r="CA51" s="41">
        <v>196.0728</v>
      </c>
      <c r="CB51" s="42">
        <v>1.4237</v>
      </c>
      <c r="CC51" s="42">
        <v>2.2822</v>
      </c>
      <c r="CD51" s="41">
        <v>196.14359999999999</v>
      </c>
      <c r="CE51" s="42">
        <v>2.6339000000000001</v>
      </c>
      <c r="CF51" s="42">
        <v>0.14180000000000001</v>
      </c>
      <c r="CG51" s="41">
        <v>196.09610000000001</v>
      </c>
      <c r="CH51" s="42">
        <v>2.5322</v>
      </c>
      <c r="CI51" s="42">
        <v>-0.99590000000000001</v>
      </c>
      <c r="CJ51" s="40"/>
      <c r="CK51" s="43">
        <f t="shared" si="1040"/>
        <v>0.63081613461690722</v>
      </c>
      <c r="CL51" s="43">
        <f t="shared" si="1041"/>
        <v>7.8010247454254333</v>
      </c>
      <c r="CM51" s="43">
        <f t="shared" si="1042"/>
        <v>7.767691838665769</v>
      </c>
      <c r="CN51" s="43">
        <f t="shared" si="1043"/>
        <v>-8.7769517596427704</v>
      </c>
      <c r="CO51" s="43">
        <f t="shared" si="1044"/>
        <v>7.1856942051855555</v>
      </c>
      <c r="CP51" s="43">
        <f t="shared" si="1045"/>
        <v>-2.6822304824121179</v>
      </c>
      <c r="CQ51" s="43">
        <f t="shared" si="1046"/>
        <v>-4.8242789262076258E-2</v>
      </c>
      <c r="CR51" s="43">
        <f t="shared" si="1047"/>
        <v>14.658372322278179</v>
      </c>
      <c r="CS51" s="43">
        <f t="shared" si="1048"/>
        <v>-8.7935175720976755</v>
      </c>
      <c r="CT51" s="43">
        <f t="shared" si="1049"/>
        <v>-9.9331155719539765</v>
      </c>
      <c r="CU51" s="43">
        <f t="shared" si="1050"/>
        <v>-0.9696356873512002</v>
      </c>
      <c r="CV51" s="43">
        <f t="shared" si="1051"/>
        <v>-66.779668844280323</v>
      </c>
      <c r="CW51" s="43">
        <f t="shared" si="1052"/>
        <v>1.5903205061817971</v>
      </c>
      <c r="CX51" s="43">
        <f t="shared" si="1053"/>
        <v>-0.31215320812849612</v>
      </c>
      <c r="CY51" s="43">
        <f t="shared" si="1054"/>
        <v>-46.367903205055242</v>
      </c>
      <c r="CZ51" s="43">
        <f t="shared" si="1055"/>
        <v>-0.52289216105805281</v>
      </c>
      <c r="DA51" s="43">
        <f t="shared" si="1056"/>
        <v>-16.225652482628306</v>
      </c>
      <c r="DB51" s="43">
        <f t="shared" si="1057"/>
        <v>3.4612289216192362</v>
      </c>
      <c r="DC51" s="43">
        <f t="shared" si="1058"/>
        <v>-2.8150435115037453</v>
      </c>
      <c r="DD51" s="43">
        <f t="shared" si="1059"/>
        <v>-18.722323867291557</v>
      </c>
      <c r="DE51" s="43">
        <f t="shared" si="1060"/>
        <v>-5.9908495648894888</v>
      </c>
    </row>
    <row r="52" spans="1:109" ht="29.25" customHeight="1" x14ac:dyDescent="0.2">
      <c r="A52" s="37">
        <v>43970</v>
      </c>
      <c r="B52" s="29">
        <f t="shared" si="1157"/>
        <v>265</v>
      </c>
      <c r="C52" s="38">
        <v>222.9</v>
      </c>
      <c r="D52" s="38">
        <f t="shared" ref="D52" si="1168">IF(C52="","",+C52-$W$6)</f>
        <v>26.800000000000011</v>
      </c>
      <c r="E52" s="39">
        <v>823244.33189999999</v>
      </c>
      <c r="F52" s="39">
        <v>1091518.781</v>
      </c>
      <c r="G52" s="39">
        <v>-124.544</v>
      </c>
      <c r="H52" s="39">
        <v>823244.23620000004</v>
      </c>
      <c r="I52" s="39">
        <v>1091518.9532999999</v>
      </c>
      <c r="J52" s="39">
        <v>-123.18559999999999</v>
      </c>
      <c r="K52" s="39">
        <v>823244.51280000003</v>
      </c>
      <c r="L52" s="39">
        <v>1091518.469</v>
      </c>
      <c r="M52" s="39">
        <v>-121.8202</v>
      </c>
      <c r="N52" s="39">
        <v>823245.29370000004</v>
      </c>
      <c r="O52" s="39">
        <v>1091516.6576</v>
      </c>
      <c r="P52" s="39">
        <v>-120.9241</v>
      </c>
      <c r="Q52" s="39">
        <v>823245.97290000005</v>
      </c>
      <c r="R52" s="39">
        <v>1091515.1839999999</v>
      </c>
      <c r="S52" s="39">
        <v>-121.3014</v>
      </c>
      <c r="T52" s="39">
        <v>823246.549</v>
      </c>
      <c r="U52" s="39">
        <v>1091514.1173</v>
      </c>
      <c r="V52" s="39">
        <v>-123.4402</v>
      </c>
      <c r="W52" s="39">
        <v>823246.46230000001</v>
      </c>
      <c r="X52" s="39">
        <v>1091514.1894</v>
      </c>
      <c r="Y52" s="39">
        <v>-124.5783</v>
      </c>
      <c r="Z52" s="39">
        <f t="shared" si="1004"/>
        <v>4.3055270072048168</v>
      </c>
      <c r="AA52" s="39">
        <f t="shared" si="2"/>
        <v>3.3915965251682665</v>
      </c>
      <c r="AB52" s="39">
        <f t="shared" si="1005"/>
        <v>2.166557172114572</v>
      </c>
      <c r="AC52" s="39">
        <f t="shared" si="1006"/>
        <v>1.6658826160445905</v>
      </c>
      <c r="AD52" s="39">
        <f t="shared" si="5"/>
        <v>3.7894143861376928</v>
      </c>
      <c r="AE52" s="39">
        <f t="shared" si="1007"/>
        <v>4.5618872015819578</v>
      </c>
      <c r="AF52" s="39">
        <f t="shared" si="1008"/>
        <v>3.6321165249829286</v>
      </c>
      <c r="AG52" s="39">
        <f t="shared" si="8"/>
        <v>5.3666340474052996</v>
      </c>
      <c r="AH52" s="39">
        <f t="shared" si="1009"/>
        <v>5.0618742783113717</v>
      </c>
      <c r="AI52" s="43">
        <f t="shared" ref="AI52" si="1169">IF(Z52="","",(Z52-Z$10)*1000)</f>
        <v>-68.611964105800283</v>
      </c>
      <c r="AJ52" s="43">
        <f t="shared" ref="AJ52" si="1170">IF(AA52="","",(AA52-AA$10)*1000)</f>
        <v>-49.567924562693207</v>
      </c>
      <c r="AK52" s="43">
        <f t="shared" ref="AK52" si="1171">IF(AB52="","",(AB52-AB$10)*1000)</f>
        <v>-39.309691506606903</v>
      </c>
      <c r="AL52" s="43">
        <f t="shared" ref="AL52" si="1172">IF(AC52="","",(AC52-AC$10)*1000)</f>
        <v>-4.4285796285346013</v>
      </c>
      <c r="AM52" s="43">
        <f t="shared" ref="AM52" si="1173">IF(AD52="","",(AD52-AD$10)*1000)</f>
        <v>-59.10606852259059</v>
      </c>
      <c r="AN52" s="43">
        <f t="shared" ref="AN52" si="1174">IF(AE52="","",(AE52-AE$10)*1000)</f>
        <v>-60.714742182571335</v>
      </c>
      <c r="AO52" s="43">
        <f t="shared" ref="AO52" si="1175">IF(AF52="","",(AF52-AF$10)*1000)</f>
        <v>-21.06556887890676</v>
      </c>
      <c r="AP52" s="43">
        <f t="shared" ref="AP52" si="1176">IF(AG52="","",(AG52-AG$10)*1000)</f>
        <v>-23.278113296144376</v>
      </c>
      <c r="AQ52" s="43">
        <f t="shared" ref="AQ52" si="1177">IF(AH52="","",(AH52-AH$10)*1000)</f>
        <v>-26.292933136898178</v>
      </c>
      <c r="AR52" s="40"/>
      <c r="AS52" s="43">
        <f t="shared" si="1019"/>
        <v>1.500000013038516</v>
      </c>
      <c r="AT52" s="43">
        <f t="shared" si="1020"/>
        <v>-3.5000001080334187</v>
      </c>
      <c r="AU52" s="43">
        <f t="shared" si="1021"/>
        <v>7.5000000000073896</v>
      </c>
      <c r="AV52" s="43">
        <f t="shared" si="1022"/>
        <v>-6.7999999737367034</v>
      </c>
      <c r="AW52" s="43">
        <f t="shared" si="1023"/>
        <v>-6.8000000901520252</v>
      </c>
      <c r="AX52" s="43">
        <f t="shared" si="1024"/>
        <v>-3.3999999999991815</v>
      </c>
      <c r="AY52" s="43">
        <f t="shared" si="1025"/>
        <v>3.2000000355765224</v>
      </c>
      <c r="AZ52" s="43">
        <f t="shared" si="1026"/>
        <v>-11.399999959394336</v>
      </c>
      <c r="BA52" s="43">
        <f t="shared" si="1027"/>
        <v>-9.7999999999984766</v>
      </c>
      <c r="BB52" s="43">
        <f t="shared" si="1028"/>
        <v>-11.999999987892807</v>
      </c>
      <c r="BC52" s="43">
        <f t="shared" si="1029"/>
        <v>-0.699999975040555</v>
      </c>
      <c r="BD52" s="43">
        <f t="shared" si="1030"/>
        <v>-68.699999999992656</v>
      </c>
      <c r="BE52" s="43">
        <f t="shared" si="1031"/>
        <v>-1.3000000035390258</v>
      </c>
      <c r="BF52" s="43">
        <f t="shared" si="1032"/>
        <v>3.7000000011175871</v>
      </c>
      <c r="BG52" s="43">
        <f t="shared" si="1033"/>
        <v>-47.79999999999518</v>
      </c>
      <c r="BH52" s="43">
        <f t="shared" si="1034"/>
        <v>-9.500000043772161</v>
      </c>
      <c r="BI52" s="43">
        <f t="shared" si="1035"/>
        <v>17.4000000115484</v>
      </c>
      <c r="BJ52" s="43">
        <f t="shared" si="1036"/>
        <v>2.899999999996794</v>
      </c>
      <c r="BK52" s="43">
        <f t="shared" si="1037"/>
        <v>-13.299999991431832</v>
      </c>
      <c r="BL52" s="43">
        <f t="shared" si="1038"/>
        <v>18.700000131502748</v>
      </c>
      <c r="BM52" s="43">
        <f t="shared" si="1039"/>
        <v>-6.5000000000026148</v>
      </c>
      <c r="BN52" s="40"/>
      <c r="BO52" s="39">
        <v>196.1044</v>
      </c>
      <c r="BP52" s="39">
        <v>-2.5329000000000002</v>
      </c>
      <c r="BQ52" s="39">
        <v>-0.96220000000000006</v>
      </c>
      <c r="BR52" s="39">
        <v>196.0907</v>
      </c>
      <c r="BS52" s="39">
        <v>-2.73</v>
      </c>
      <c r="BT52" s="39">
        <v>0.39639999999999997</v>
      </c>
      <c r="BU52" s="41">
        <v>196.13669999999999</v>
      </c>
      <c r="BV52" s="42">
        <v>-2.1741999999999999</v>
      </c>
      <c r="BW52" s="42">
        <v>1.7613000000000001</v>
      </c>
      <c r="BX52" s="41">
        <v>196.0789</v>
      </c>
      <c r="BY52" s="42">
        <v>-0.20250000000000001</v>
      </c>
      <c r="BZ52" s="42">
        <v>2.6579999999999999</v>
      </c>
      <c r="CA52" s="41">
        <v>196.07159999999999</v>
      </c>
      <c r="CB52" s="42">
        <v>1.4200999999999999</v>
      </c>
      <c r="CC52" s="42">
        <v>2.2808000000000002</v>
      </c>
      <c r="CD52" s="41">
        <v>196.1429</v>
      </c>
      <c r="CE52" s="42">
        <v>2.6303000000000001</v>
      </c>
      <c r="CF52" s="42">
        <v>0.14130000000000001</v>
      </c>
      <c r="CG52" s="41">
        <v>196.09479999999999</v>
      </c>
      <c r="CH52" s="42">
        <v>2.5284</v>
      </c>
      <c r="CI52" s="42">
        <v>-0.99639999999999995</v>
      </c>
      <c r="CJ52" s="40"/>
      <c r="CK52" s="43">
        <f t="shared" si="1040"/>
        <v>-0.36918386538786763</v>
      </c>
      <c r="CL52" s="43">
        <f t="shared" si="1041"/>
        <v>4.3010247454251527</v>
      </c>
      <c r="CM52" s="43">
        <f t="shared" si="1042"/>
        <v>7.467691838665691</v>
      </c>
      <c r="CN52" s="43">
        <f t="shared" si="1043"/>
        <v>-9.0769517596527294</v>
      </c>
      <c r="CO52" s="43">
        <f t="shared" si="1044"/>
        <v>3.2856942051857629</v>
      </c>
      <c r="CP52" s="43">
        <f t="shared" si="1045"/>
        <v>-3.2822304824121629</v>
      </c>
      <c r="CQ52" s="43">
        <f t="shared" si="1046"/>
        <v>-1.9482427892683063</v>
      </c>
      <c r="CR52" s="43">
        <f t="shared" si="1047"/>
        <v>11.658372322278066</v>
      </c>
      <c r="CS52" s="43">
        <f t="shared" si="1048"/>
        <v>-9.7935175720975653</v>
      </c>
      <c r="CT52" s="43">
        <f t="shared" si="1049"/>
        <v>-11.133115571936969</v>
      </c>
      <c r="CU52" s="43">
        <f t="shared" si="1050"/>
        <v>-4.4696356873512038</v>
      </c>
      <c r="CV52" s="43">
        <f t="shared" si="1051"/>
        <v>-68.579668844280576</v>
      </c>
      <c r="CW52" s="43">
        <f t="shared" si="1052"/>
        <v>0.39032050617038294</v>
      </c>
      <c r="CX52" s="43">
        <f t="shared" si="1053"/>
        <v>-3.9121532081285437</v>
      </c>
      <c r="CY52" s="43">
        <f t="shared" si="1054"/>
        <v>-47.767903205055084</v>
      </c>
      <c r="CZ52" s="43">
        <f t="shared" si="1055"/>
        <v>-1.2228921610528687</v>
      </c>
      <c r="DA52" s="43">
        <f t="shared" si="1056"/>
        <v>-19.825652482628353</v>
      </c>
      <c r="DB52" s="43">
        <f t="shared" si="1057"/>
        <v>2.9612289216192353</v>
      </c>
      <c r="DC52" s="43">
        <f t="shared" si="1058"/>
        <v>-4.1150435115184791</v>
      </c>
      <c r="DD52" s="43">
        <f t="shared" si="1059"/>
        <v>-22.522323867291583</v>
      </c>
      <c r="DE52" s="43">
        <f t="shared" si="1060"/>
        <v>-6.4908495648894338</v>
      </c>
    </row>
    <row r="53" spans="1:109" ht="29.25" customHeight="1" x14ac:dyDescent="0.2">
      <c r="A53" s="37">
        <v>43977</v>
      </c>
      <c r="B53" s="29">
        <f t="shared" si="1157"/>
        <v>272</v>
      </c>
      <c r="C53" s="38">
        <v>222.9</v>
      </c>
      <c r="D53" s="38">
        <f t="shared" ref="D53" si="1178">IF(C53="","",+C53-$W$6)</f>
        <v>26.800000000000011</v>
      </c>
      <c r="E53" s="39">
        <v>823244.33400000003</v>
      </c>
      <c r="F53" s="39">
        <v>1091518.7767</v>
      </c>
      <c r="G53" s="39">
        <v>-124.5441</v>
      </c>
      <c r="H53" s="39">
        <v>823244.23849999998</v>
      </c>
      <c r="I53" s="39">
        <v>1091518.9495999999</v>
      </c>
      <c r="J53" s="39">
        <v>-123.1859</v>
      </c>
      <c r="K53" s="39">
        <v>823244.51569999999</v>
      </c>
      <c r="L53" s="39">
        <v>1091518.466</v>
      </c>
      <c r="M53" s="39">
        <v>-121.8205</v>
      </c>
      <c r="N53" s="39">
        <v>823245.29509999999</v>
      </c>
      <c r="O53" s="39">
        <v>1091516.6535</v>
      </c>
      <c r="P53" s="39">
        <v>-120.9248</v>
      </c>
      <c r="Q53" s="39">
        <v>823245.97510000004</v>
      </c>
      <c r="R53" s="39">
        <v>1091515.1802000001</v>
      </c>
      <c r="S53" s="39">
        <v>-121.30159999999999</v>
      </c>
      <c r="T53" s="39">
        <v>823246.55059999996</v>
      </c>
      <c r="U53" s="39">
        <v>1091514.1133000001</v>
      </c>
      <c r="V53" s="39">
        <v>-123.4405</v>
      </c>
      <c r="W53" s="39">
        <v>823246.46429999999</v>
      </c>
      <c r="X53" s="39">
        <v>1091514.1854999999</v>
      </c>
      <c r="Y53" s="39">
        <v>-124.5788</v>
      </c>
      <c r="Z53" s="39">
        <f t="shared" si="1004"/>
        <v>4.3047675825819214</v>
      </c>
      <c r="AA53" s="39">
        <f t="shared" si="2"/>
        <v>3.3913200939535786</v>
      </c>
      <c r="AB53" s="39">
        <f t="shared" si="1005"/>
        <v>2.1667715846390254</v>
      </c>
      <c r="AC53" s="39">
        <f t="shared" si="1006"/>
        <v>1.6658304625425235</v>
      </c>
      <c r="AD53" s="39">
        <f t="shared" si="5"/>
        <v>3.7891480281946266</v>
      </c>
      <c r="AE53" s="39">
        <f t="shared" si="1007"/>
        <v>4.5617725327499139</v>
      </c>
      <c r="AF53" s="39">
        <f t="shared" si="1008"/>
        <v>3.6325730838961472</v>
      </c>
      <c r="AG53" s="39">
        <f t="shared" si="8"/>
        <v>5.3666027669709271</v>
      </c>
      <c r="AH53" s="39">
        <f t="shared" si="1009"/>
        <v>5.0614720804451325</v>
      </c>
      <c r="AI53" s="43">
        <f t="shared" ref="AI53" si="1179">IF(Z53="","",(Z53-Z$10)*1000)</f>
        <v>-69.371388728695749</v>
      </c>
      <c r="AJ53" s="43">
        <f t="shared" ref="AJ53" si="1180">IF(AA53="","",(AA53-AA$10)*1000)</f>
        <v>-49.844355777381111</v>
      </c>
      <c r="AK53" s="43">
        <f t="shared" ref="AK53" si="1181">IF(AB53="","",(AB53-AB$10)*1000)</f>
        <v>-39.095278982153481</v>
      </c>
      <c r="AL53" s="43">
        <f t="shared" ref="AL53" si="1182">IF(AC53="","",(AC53-AC$10)*1000)</f>
        <v>-4.4807331306015996</v>
      </c>
      <c r="AM53" s="43">
        <f t="shared" ref="AM53" si="1183">IF(AD53="","",(AD53-AD$10)*1000)</f>
        <v>-59.372426465656773</v>
      </c>
      <c r="AN53" s="43">
        <f t="shared" ref="AN53" si="1184">IF(AE53="","",(AE53-AE$10)*1000)</f>
        <v>-60.829411014615253</v>
      </c>
      <c r="AO53" s="43">
        <f t="shared" ref="AO53" si="1185">IF(AF53="","",(AF53-AF$10)*1000)</f>
        <v>-20.609009965688152</v>
      </c>
      <c r="AP53" s="43">
        <f t="shared" ref="AP53" si="1186">IF(AG53="","",(AG53-AG$10)*1000)</f>
        <v>-23.309393730516881</v>
      </c>
      <c r="AQ53" s="43">
        <f t="shared" ref="AQ53" si="1187">IF(AH53="","",(AH53-AH$10)*1000)</f>
        <v>-26.695131003137362</v>
      </c>
      <c r="AR53" s="40"/>
      <c r="AS53" s="43">
        <f t="shared" ref="AS53" si="1188">IF(E53="","",(E53-E$10)*1000)</f>
        <v>3.6000000545755029</v>
      </c>
      <c r="AT53" s="43">
        <f t="shared" ref="AT53" si="1189">IF(F53="","",(F53-F$10)*1000)</f>
        <v>-7.8000000212341547</v>
      </c>
      <c r="AU53" s="43">
        <f t="shared" ref="AU53" si="1190">IF(G53="","",(G53-G$10)*1000)</f>
        <v>7.40000000000407</v>
      </c>
      <c r="AV53" s="43">
        <f t="shared" ref="AV53" si="1191">IF(H53="","",(H53-H$10)*1000)</f>
        <v>-4.5000000391155481</v>
      </c>
      <c r="AW53" s="43">
        <f t="shared" ref="AW53" si="1192">IF(I53="","",(I53-I$10)*1000)</f>
        <v>-10.500000091269612</v>
      </c>
      <c r="AX53" s="43">
        <f t="shared" ref="AX53" si="1193">IF(J53="","",(J53-J$10)*1000)</f>
        <v>-3.7000000000091404</v>
      </c>
      <c r="AY53" s="43">
        <f t="shared" ref="AY53" si="1194">IF(K53="","",(K53-K$10)*1000)</f>
        <v>6.0999999986961484</v>
      </c>
      <c r="AZ53" s="43">
        <f t="shared" ref="AZ53" si="1195">IF(L53="","",(L53-L$10)*1000)</f>
        <v>-14.399999985471368</v>
      </c>
      <c r="BA53" s="43">
        <f t="shared" ref="BA53" si="1196">IF(M53="","",(M53-M$10)*1000)</f>
        <v>-10.099999999994225</v>
      </c>
      <c r="BB53" s="43">
        <f t="shared" ref="BB53" si="1197">IF(N53="","",(N53-N$10)*1000)</f>
        <v>-10.600000037811697</v>
      </c>
      <c r="BC53" s="43">
        <f t="shared" ref="BC53" si="1198">IF(O53="","",(O53-O$10)*1000)</f>
        <v>-4.7999999951571226</v>
      </c>
      <c r="BD53" s="43">
        <f t="shared" ref="BD53" si="1199">IF(P53="","",(P53-P$10)*1000)</f>
        <v>-69.400000000001683</v>
      </c>
      <c r="BE53" s="43">
        <f t="shared" ref="BE53" si="1200">IF(Q53="","",(Q53-Q$10)*1000)</f>
        <v>0.89999998454004526</v>
      </c>
      <c r="BF53" s="43">
        <f t="shared" ref="BF53" si="1201">IF(R53="","",(R53-R$10)*1000)</f>
        <v>-9.999983012676239E-2</v>
      </c>
      <c r="BG53" s="43">
        <f t="shared" ref="BG53" si="1202">IF(S53="","",(S53-S$10)*1000)</f>
        <v>-47.999999999987608</v>
      </c>
      <c r="BH53" s="43">
        <f t="shared" ref="BH53" si="1203">IF(T53="","",(T53-T$10)*1000)</f>
        <v>-7.9000000841915607</v>
      </c>
      <c r="BI53" s="43">
        <f t="shared" ref="BI53" si="1204">IF(U53="","",(U53-U$10)*1000)</f>
        <v>13.400000054389238</v>
      </c>
      <c r="BJ53" s="43">
        <f t="shared" ref="BJ53" si="1205">IF(V53="","",(V53-V$10)*1000)</f>
        <v>2.6000000000010459</v>
      </c>
      <c r="BK53" s="43">
        <f t="shared" ref="BK53" si="1206">IF(W53="","",(W53-W$10)*1000)</f>
        <v>-11.300000012852252</v>
      </c>
      <c r="BL53" s="43">
        <f t="shared" ref="BL53" si="1207">IF(X53="","",(X53-X$10)*1000)</f>
        <v>14.800000004470348</v>
      </c>
      <c r="BM53" s="43">
        <f t="shared" ref="BM53" si="1208">IF(Y53="","",(Y53-Y$10)*1000)</f>
        <v>-7.0000000000050022</v>
      </c>
      <c r="BN53" s="40"/>
      <c r="BO53" s="39">
        <v>196.10470000000001</v>
      </c>
      <c r="BP53" s="39">
        <v>-2.5286</v>
      </c>
      <c r="BQ53" s="39">
        <v>-0.96230000000000004</v>
      </c>
      <c r="BR53" s="39">
        <v>196.09129999999999</v>
      </c>
      <c r="BS53" s="39">
        <v>-2.7256999999999998</v>
      </c>
      <c r="BT53" s="39">
        <v>0.39610000000000001</v>
      </c>
      <c r="BU53" s="41">
        <v>196.13810000000001</v>
      </c>
      <c r="BV53" s="42">
        <v>-2.1701999999999999</v>
      </c>
      <c r="BW53" s="42">
        <v>1.7609999999999999</v>
      </c>
      <c r="BX53" s="41">
        <v>196.07839999999999</v>
      </c>
      <c r="BY53" s="42">
        <v>-0.19819999999999999</v>
      </c>
      <c r="BZ53" s="42">
        <v>2.6573000000000002</v>
      </c>
      <c r="CA53" s="41">
        <v>196.072</v>
      </c>
      <c r="CB53" s="42">
        <v>1.4245000000000001</v>
      </c>
      <c r="CC53" s="42">
        <v>2.2806000000000002</v>
      </c>
      <c r="CD53" s="41">
        <v>196.14259999999999</v>
      </c>
      <c r="CE53" s="42">
        <v>2.6345999999999998</v>
      </c>
      <c r="CF53" s="42">
        <v>0.14099999999999999</v>
      </c>
      <c r="CG53" s="41">
        <v>196.0949</v>
      </c>
      <c r="CH53" s="42">
        <v>2.5327000000000002</v>
      </c>
      <c r="CI53" s="42">
        <v>-0.99690000000000001</v>
      </c>
      <c r="CJ53" s="40"/>
      <c r="CK53" s="43">
        <f t="shared" si="1040"/>
        <v>-6.918386537790866E-2</v>
      </c>
      <c r="CL53" s="43">
        <f t="shared" si="1041"/>
        <v>8.6010247454253452</v>
      </c>
      <c r="CM53" s="43">
        <f t="shared" si="1042"/>
        <v>7.367691838665702</v>
      </c>
      <c r="CN53" s="43">
        <f t="shared" si="1043"/>
        <v>-8.4769517596612332</v>
      </c>
      <c r="CO53" s="43">
        <f t="shared" si="1044"/>
        <v>7.5856942051859555</v>
      </c>
      <c r="CP53" s="43">
        <f t="shared" si="1045"/>
        <v>-3.5822304824121298</v>
      </c>
      <c r="CQ53" s="43">
        <f t="shared" ref="CQ53:CQ60" si="1209">IF(BU53="","",(BU53-BU$10)*1000)</f>
        <v>-0.54824278925025283</v>
      </c>
      <c r="CR53" s="43">
        <f t="shared" ref="CR53:CR60" si="1210">IF(BV53="","",(BV53-BV$10)*1000)</f>
        <v>15.658372322278069</v>
      </c>
      <c r="CS53" s="43">
        <f t="shared" ref="CS53:CS60" si="1211">IF(BW53="","",(BW53-BW$10)*1000)</f>
        <v>-10.093517572097754</v>
      </c>
      <c r="CT53" s="43">
        <f t="shared" ref="CT53:CT58" si="1212">IF(BX53="","",(BX53-BX$10)*1000)</f>
        <v>-11.633115571953567</v>
      </c>
      <c r="CU53" s="43">
        <f t="shared" ref="CU53:CU58" si="1213">IF(BY53="","",(BY53-BY$10)*1000)</f>
        <v>-0.16963568735117729</v>
      </c>
      <c r="CV53" s="43">
        <f t="shared" ref="CV53:CV58" si="1214">IF(BZ53="","",(BZ53-BZ$10)*1000)</f>
        <v>-69.27966884428028</v>
      </c>
      <c r="CW53" s="43">
        <f t="shared" ref="CW53:CW62" si="1215">IF(CA53="","",(CA53-CA$10)*1000)</f>
        <v>0.79032050618366156</v>
      </c>
      <c r="CX53" s="43">
        <f t="shared" ref="CX53:CX62" si="1216">IF(CB53="","",(CB53-CB$10)*1000)</f>
        <v>0.48784679187163782</v>
      </c>
      <c r="CY53" s="43">
        <f t="shared" ref="CY53:CY62" si="1217">IF(CC53="","",(CC53-CC$10)*1000)</f>
        <v>-47.967903205055066</v>
      </c>
      <c r="CZ53" s="43">
        <f t="shared" si="1055"/>
        <v>-1.5228921610628277</v>
      </c>
      <c r="DA53" s="43">
        <f t="shared" si="1056"/>
        <v>-15.525652482628605</v>
      </c>
      <c r="DB53" s="43">
        <f t="shared" si="1057"/>
        <v>2.6612289216192133</v>
      </c>
      <c r="DC53" s="43">
        <f t="shared" ref="DC53:DC62" si="1218">IF(CG53="","",(CG53-CG$10)*1000)</f>
        <v>-4.0150435115151595</v>
      </c>
      <c r="DD53" s="43">
        <f t="shared" ref="DD53:DD62" si="1219">IF(CH53="","",(CH53-CH$10)*1000)</f>
        <v>-18.22232386729139</v>
      </c>
      <c r="DE53" s="43">
        <f t="shared" ref="DE53:DE62" si="1220">IF(CI53="","",(CI53-CI$10)*1000)</f>
        <v>-6.9908495648894897</v>
      </c>
    </row>
    <row r="54" spans="1:109" ht="29.25" customHeight="1" x14ac:dyDescent="0.2">
      <c r="A54" s="37">
        <v>43997</v>
      </c>
      <c r="B54" s="29">
        <f t="shared" si="1157"/>
        <v>292</v>
      </c>
      <c r="C54" s="38">
        <v>222.9</v>
      </c>
      <c r="D54" s="38">
        <f t="shared" ref="D54" si="1221">IF(C54="","",+C54-$W$6)</f>
        <v>26.800000000000011</v>
      </c>
      <c r="E54" s="39">
        <v>823244.33620000002</v>
      </c>
      <c r="F54" s="39">
        <v>1091518.7767</v>
      </c>
      <c r="G54" s="39">
        <v>-124.5429</v>
      </c>
      <c r="H54" s="39">
        <v>823244.24060000002</v>
      </c>
      <c r="I54" s="39">
        <v>1091518.9494</v>
      </c>
      <c r="J54" s="39">
        <v>-123.1849</v>
      </c>
      <c r="K54" s="39" t="s">
        <v>77</v>
      </c>
      <c r="L54" s="39" t="s">
        <v>77</v>
      </c>
      <c r="M54" s="39" t="s">
        <v>77</v>
      </c>
      <c r="N54" s="39">
        <v>823245.29790000001</v>
      </c>
      <c r="O54" s="39">
        <v>1091516.6532999999</v>
      </c>
      <c r="P54" s="39">
        <v>-120.92310000000001</v>
      </c>
      <c r="Q54" s="39">
        <v>823245.97660000005</v>
      </c>
      <c r="R54" s="39">
        <v>1091515.1806999999</v>
      </c>
      <c r="S54" s="39">
        <v>-121.3005</v>
      </c>
      <c r="T54" s="39">
        <v>823246.55209999997</v>
      </c>
      <c r="U54" s="39">
        <v>1091514.1137999999</v>
      </c>
      <c r="V54" s="39">
        <v>-123.4395</v>
      </c>
      <c r="W54" s="39" t="s">
        <v>77</v>
      </c>
      <c r="X54" s="39" t="s">
        <v>77</v>
      </c>
      <c r="Y54" s="39" t="s">
        <v>77</v>
      </c>
      <c r="Z54" s="39">
        <f t="shared" si="1004"/>
        <v>4.3054205939301369</v>
      </c>
      <c r="AA54" s="39">
        <f t="shared" si="2"/>
        <v>3.3920049735620563</v>
      </c>
      <c r="AB54" s="39"/>
      <c r="AC54" s="39">
        <f t="shared" si="1006"/>
        <v>1.6648168698097938</v>
      </c>
      <c r="AD54" s="39">
        <f t="shared" si="5"/>
        <v>3.7887130862192859</v>
      </c>
      <c r="AE54" s="39"/>
      <c r="AF54" s="39"/>
      <c r="AG54" s="39">
        <f t="shared" si="8"/>
        <v>5.3657134447174526</v>
      </c>
      <c r="AH54" s="39"/>
      <c r="AI54" s="43">
        <f t="shared" ref="AI54:AI55" si="1222">IF(Z54="","",(Z54-Z$10)*1000)</f>
        <v>-68.718377380480263</v>
      </c>
      <c r="AJ54" s="43">
        <f t="shared" ref="AJ54:AJ55" si="1223">IF(AA54="","",(AA54-AA$10)*1000)</f>
        <v>-49.159476168903367</v>
      </c>
      <c r="AK54" s="43" t="str">
        <f t="shared" ref="AK54:AK55" si="1224">IF(AB54="","",(AB54-AB$10)*1000)</f>
        <v/>
      </c>
      <c r="AL54" s="43">
        <f t="shared" ref="AL54:AL55" si="1225">IF(AC54="","",(AC54-AC$10)*1000)</f>
        <v>-5.4943258633313174</v>
      </c>
      <c r="AM54" s="43">
        <f t="shared" ref="AM54:AM55" si="1226">IF(AD54="","",(AD54-AD$10)*1000)</f>
        <v>-59.807368440997436</v>
      </c>
      <c r="AN54" s="43" t="str">
        <f t="shared" ref="AN54:AN55" si="1227">IF(AE54="","",(AE54-AE$10)*1000)</f>
        <v/>
      </c>
      <c r="AO54" s="43" t="str">
        <f t="shared" ref="AO54:AO55" si="1228">IF(AF54="","",(AF54-AF$10)*1000)</f>
        <v/>
      </c>
      <c r="AP54" s="43">
        <f t="shared" ref="AP54:AP55" si="1229">IF(AG54="","",(AG54-AG$10)*1000)</f>
        <v>-24.19871598399137</v>
      </c>
      <c r="AQ54" s="43" t="str">
        <f t="shared" ref="AQ54:AQ55" si="1230">IF(AH54="","",(AH54-AH$10)*1000)</f>
        <v/>
      </c>
      <c r="AR54" s="40"/>
      <c r="AS54" s="43">
        <f t="shared" si="1019"/>
        <v>5.8000000426545739</v>
      </c>
      <c r="AT54" s="43">
        <f t="shared" si="1020"/>
        <v>-7.8000000212341547</v>
      </c>
      <c r="AU54" s="43">
        <f t="shared" si="1021"/>
        <v>8.6000000000012733</v>
      </c>
      <c r="AV54" s="43">
        <f t="shared" si="1022"/>
        <v>-2.3999999975785613</v>
      </c>
      <c r="AW54" s="43">
        <f t="shared" si="1023"/>
        <v>-10.699999984353781</v>
      </c>
      <c r="AX54" s="43">
        <f t="shared" si="1024"/>
        <v>-2.7000000000043656</v>
      </c>
      <c r="AY54" s="43"/>
      <c r="AZ54" s="43"/>
      <c r="BA54" s="43"/>
      <c r="BB54" s="43">
        <f t="shared" si="1028"/>
        <v>-7.8000000212341547</v>
      </c>
      <c r="BC54" s="43">
        <f t="shared" si="1029"/>
        <v>-5.0000001210719347</v>
      </c>
      <c r="BD54" s="43">
        <f t="shared" si="1030"/>
        <v>-67.700000000002092</v>
      </c>
      <c r="BE54" s="43">
        <f t="shared" si="1031"/>
        <v>2.3999999975785613</v>
      </c>
      <c r="BF54" s="43">
        <f t="shared" si="1032"/>
        <v>0.40000001899898052</v>
      </c>
      <c r="BG54" s="43">
        <f t="shared" si="1033"/>
        <v>-46.899999999993724</v>
      </c>
      <c r="BH54" s="43">
        <f t="shared" si="1034"/>
        <v>-6.4000000711530447</v>
      </c>
      <c r="BI54" s="43">
        <f t="shared" si="1035"/>
        <v>13.899999903514981</v>
      </c>
      <c r="BJ54" s="43">
        <f t="shared" si="1036"/>
        <v>3.6000000000058208</v>
      </c>
      <c r="BK54" s="43"/>
      <c r="BL54" s="43"/>
      <c r="BM54" s="43"/>
      <c r="BN54" s="40"/>
      <c r="BO54" s="39">
        <v>196.10672899210149</v>
      </c>
      <c r="BP54" s="39">
        <v>-2.5276805650662233</v>
      </c>
      <c r="BQ54" s="39">
        <v>-0.96108728992102499</v>
      </c>
      <c r="BR54" s="39">
        <v>196.09307947434246</v>
      </c>
      <c r="BS54" s="39">
        <v>-2.7246027341165902</v>
      </c>
      <c r="BT54" s="39">
        <v>0.39704920525657883</v>
      </c>
      <c r="BU54" s="41" t="s">
        <v>77</v>
      </c>
      <c r="BV54" s="42" t="s">
        <v>77</v>
      </c>
      <c r="BW54" s="42" t="s">
        <v>77</v>
      </c>
      <c r="BX54" s="41">
        <v>196.08085077746765</v>
      </c>
      <c r="BY54" s="42">
        <v>-0.19679558964482544</v>
      </c>
      <c r="BZ54" s="42">
        <v>2.6589714922253194</v>
      </c>
      <c r="CA54" s="41">
        <v>196.07355384122167</v>
      </c>
      <c r="CB54" s="42">
        <v>1.4246640011944436</v>
      </c>
      <c r="CC54" s="42">
        <v>2.2816444615877742</v>
      </c>
      <c r="CD54" s="41">
        <v>196.14419748588145</v>
      </c>
      <c r="CE54" s="42">
        <v>2.6348232201921173</v>
      </c>
      <c r="CF54" s="42">
        <v>0.14193802514118659</v>
      </c>
      <c r="CG54" s="41" t="s">
        <v>77</v>
      </c>
      <c r="CH54" s="42" t="s">
        <v>77</v>
      </c>
      <c r="CI54" s="42" t="s">
        <v>77</v>
      </c>
      <c r="CJ54" s="40"/>
      <c r="CK54" s="43">
        <f t="shared" ref="CK54" si="1231">IF(BO54="","",(BO54-BO$10)*1000)</f>
        <v>1.9598082361085289</v>
      </c>
      <c r="CL54" s="43">
        <f t="shared" ref="CL54" si="1232">IF(BP54="","",(BP54-BP$10)*1000)</f>
        <v>9.5204596792020091</v>
      </c>
      <c r="CM54" s="43">
        <f t="shared" ref="CM54" si="1233">IF(BQ54="","",(BQ54-BQ$10)*1000)</f>
        <v>8.5804019176407564</v>
      </c>
      <c r="CN54" s="43">
        <f t="shared" ref="CN54" si="1234">IF(BR54="","",(BR54-BR$10)*1000)</f>
        <v>-6.6974774171910667</v>
      </c>
      <c r="CO54" s="43">
        <f t="shared" ref="CO54" si="1235">IF(BS54="","",(BS54-BS$10)*1000)</f>
        <v>8.6829600885955927</v>
      </c>
      <c r="CP54" s="43">
        <f t="shared" ref="CP54" si="1236">IF(BT54="","",(BT54-BT$10)*1000)</f>
        <v>-2.6330252258333076</v>
      </c>
      <c r="CQ54" s="43"/>
      <c r="CR54" s="43"/>
      <c r="CS54" s="43"/>
      <c r="CT54" s="43">
        <f t="shared" ref="CT54" si="1237">IF(BX54="","",(BX54-BX$10)*1000)</f>
        <v>-9.1823381042956953</v>
      </c>
      <c r="CU54" s="43">
        <f t="shared" ref="CU54" si="1238">IF(BY54="","",(BY54-BY$10)*1000)</f>
        <v>1.234774667823374</v>
      </c>
      <c r="CV54" s="43">
        <f t="shared" ref="CV54" si="1239">IF(BZ54="","",(BZ54-BZ$10)*1000)</f>
        <v>-67.608176618961124</v>
      </c>
      <c r="CW54" s="43">
        <f t="shared" ref="CW54" si="1240">IF(CA54="","",(CA54-CA$10)*1000)</f>
        <v>2.3441617278479043</v>
      </c>
      <c r="CX54" s="43">
        <f t="shared" ref="CX54" si="1241">IF(CB54="","",(CB54-CB$10)*1000)</f>
        <v>0.65184798631512386</v>
      </c>
      <c r="CY54" s="43">
        <f t="shared" ref="CY54" si="1242">IF(CC54="","",(CC54-CC$10)*1000)</f>
        <v>-46.923441617281014</v>
      </c>
      <c r="CZ54" s="43">
        <f t="shared" ref="CZ54" si="1243">IF(CD54="","",(CD54-CD$10)*1000)</f>
        <v>7.4593720398752339E-2</v>
      </c>
      <c r="DA54" s="43">
        <f t="shared" ref="DA54" si="1244">IF(CE54="","",(CE54-CE$10)*1000)</f>
        <v>-15.302432290511092</v>
      </c>
      <c r="DB54" s="43">
        <f t="shared" ref="DB54" si="1245">IF(CF54="","",(CF54-CF$10)*1000)</f>
        <v>3.5992540628058123</v>
      </c>
      <c r="DC54" s="43"/>
      <c r="DD54" s="43"/>
      <c r="DE54" s="43"/>
    </row>
    <row r="55" spans="1:109" ht="29.25" customHeight="1" x14ac:dyDescent="0.2">
      <c r="A55" s="37">
        <v>44029</v>
      </c>
      <c r="B55" s="29">
        <f t="shared" si="1157"/>
        <v>324</v>
      </c>
      <c r="C55" s="38">
        <v>222.9</v>
      </c>
      <c r="D55" s="38">
        <f t="shared" ref="D55" si="1246">IF(C55="","",+C55-$W$6)</f>
        <v>26.800000000000011</v>
      </c>
      <c r="E55" s="39">
        <v>823244.33490000002</v>
      </c>
      <c r="F55" s="39">
        <v>1091518.7766</v>
      </c>
      <c r="G55" s="39">
        <v>-124.5428</v>
      </c>
      <c r="H55" s="39">
        <v>823244.23919999995</v>
      </c>
      <c r="I55" s="39">
        <v>1091518.9494</v>
      </c>
      <c r="J55" s="39">
        <v>-123.1846</v>
      </c>
      <c r="K55" s="39">
        <v>823244.51619999995</v>
      </c>
      <c r="L55" s="39">
        <v>1091518.466</v>
      </c>
      <c r="M55" s="39">
        <v>-121.8193</v>
      </c>
      <c r="N55" s="39">
        <v>823245.29539999994</v>
      </c>
      <c r="O55" s="39">
        <v>1091516.6536000001</v>
      </c>
      <c r="P55" s="39">
        <v>-120.9246</v>
      </c>
      <c r="Q55" s="39">
        <v>823245.97560000001</v>
      </c>
      <c r="R55" s="39">
        <v>1091515.1806999999</v>
      </c>
      <c r="S55" s="39">
        <v>-121.30070000000001</v>
      </c>
      <c r="T55" s="39">
        <v>823246.55090000003</v>
      </c>
      <c r="U55" s="39">
        <v>1091514.1137999999</v>
      </c>
      <c r="V55" s="39">
        <v>-123.4393</v>
      </c>
      <c r="W55" s="39">
        <v>823246.46519999998</v>
      </c>
      <c r="X55" s="39">
        <v>1091514.1861</v>
      </c>
      <c r="Y55" s="39">
        <v>-124.57729999999999</v>
      </c>
      <c r="Z55" s="39">
        <f t="shared" ref="Z55:Z59" si="1247">IF(Xhaut="","",SQRT(((Xbasgauche-Xhaut)^2+(Ybasgauche-Yhaut)^2)+(Zbasgauche-Zhaut)^2))</f>
        <v>4.3036101693181861</v>
      </c>
      <c r="AA55" s="39">
        <f t="shared" si="2"/>
        <v>3.3902589989284126</v>
      </c>
      <c r="AB55" s="39">
        <f t="shared" si="1005"/>
        <v>2.1662027813102167</v>
      </c>
      <c r="AC55" s="39">
        <f t="shared" si="1006"/>
        <v>1.6654001502874731</v>
      </c>
      <c r="AD55" s="39">
        <f t="shared" si="5"/>
        <v>3.7882159892157454</v>
      </c>
      <c r="AE55" s="39">
        <f t="shared" si="1007"/>
        <v>4.5606146055343988</v>
      </c>
      <c r="AF55" s="39">
        <f t="shared" si="1008"/>
        <v>3.6320779742233138</v>
      </c>
      <c r="AG55" s="39">
        <f t="shared" si="8"/>
        <v>5.3658043517634679</v>
      </c>
      <c r="AH55" s="39">
        <f t="shared" si="1009"/>
        <v>5.0608357599527878</v>
      </c>
      <c r="AI55" s="43">
        <f t="shared" si="1222"/>
        <v>-70.528801992431056</v>
      </c>
      <c r="AJ55" s="43">
        <f t="shared" si="1223"/>
        <v>-50.905450802547051</v>
      </c>
      <c r="AK55" s="43">
        <f t="shared" si="1224"/>
        <v>-39.664082310962186</v>
      </c>
      <c r="AL55" s="43">
        <f t="shared" si="1225"/>
        <v>-4.9110453856520131</v>
      </c>
      <c r="AM55" s="43">
        <f t="shared" si="1226"/>
        <v>-60.304465444537939</v>
      </c>
      <c r="AN55" s="43">
        <f t="shared" si="1227"/>
        <v>-61.987338230130362</v>
      </c>
      <c r="AO55" s="43">
        <f t="shared" si="1228"/>
        <v>-21.104119638521546</v>
      </c>
      <c r="AP55" s="43">
        <f t="shared" si="1229"/>
        <v>-24.107808937976039</v>
      </c>
      <c r="AQ55" s="43">
        <f t="shared" si="1230"/>
        <v>-27.331451495482106</v>
      </c>
      <c r="AR55" s="40"/>
      <c r="AS55" s="43">
        <f t="shared" si="1019"/>
        <v>4.5000000391155481</v>
      </c>
      <c r="AT55" s="43">
        <f t="shared" si="1020"/>
        <v>-7.9000000841915607</v>
      </c>
      <c r="AU55" s="43">
        <f t="shared" si="1021"/>
        <v>8.7000000000045929</v>
      </c>
      <c r="AV55" s="43">
        <f t="shared" si="1022"/>
        <v>-3.8000000640749931</v>
      </c>
      <c r="AW55" s="43">
        <f t="shared" si="1023"/>
        <v>-10.699999984353781</v>
      </c>
      <c r="AX55" s="43">
        <f t="shared" si="1024"/>
        <v>-2.4000000000086175</v>
      </c>
      <c r="AY55" s="43">
        <f t="shared" si="1025"/>
        <v>6.5999999642372131</v>
      </c>
      <c r="AZ55" s="43">
        <f t="shared" si="1026"/>
        <v>-14.399999985471368</v>
      </c>
      <c r="BA55" s="43">
        <f t="shared" si="1027"/>
        <v>-8.8999999999970214</v>
      </c>
      <c r="BB55" s="43">
        <f t="shared" si="1028"/>
        <v>-10.300000081770122</v>
      </c>
      <c r="BC55" s="43">
        <f t="shared" si="1029"/>
        <v>-4.6999999321997166</v>
      </c>
      <c r="BD55" s="43">
        <f t="shared" si="1030"/>
        <v>-69.199999999995043</v>
      </c>
      <c r="BE55" s="43">
        <f t="shared" si="1031"/>
        <v>1.39999995008111</v>
      </c>
      <c r="BF55" s="43">
        <f t="shared" si="1032"/>
        <v>0.40000001899898052</v>
      </c>
      <c r="BG55" s="43">
        <f t="shared" si="1033"/>
        <v>-47.100000000000364</v>
      </c>
      <c r="BH55" s="43">
        <f t="shared" si="1034"/>
        <v>-7.6000000117346644</v>
      </c>
      <c r="BI55" s="43">
        <f t="shared" si="1035"/>
        <v>13.899999903514981</v>
      </c>
      <c r="BJ55" s="43">
        <f t="shared" si="1036"/>
        <v>3.7999999999982492</v>
      </c>
      <c r="BK55" s="43">
        <f t="shared" si="1037"/>
        <v>-10.400000028312206</v>
      </c>
      <c r="BL55" s="43">
        <f t="shared" si="1038"/>
        <v>15.400000149384141</v>
      </c>
      <c r="BM55" s="43">
        <f t="shared" si="1039"/>
        <v>-5.49999999999784</v>
      </c>
      <c r="BN55" s="40"/>
      <c r="BO55" s="39">
        <v>196.10550854720674</v>
      </c>
      <c r="BP55" s="39">
        <v>-2.5281393834188539</v>
      </c>
      <c r="BQ55" s="39">
        <v>-0.96097508547207156</v>
      </c>
      <c r="BR55" s="39">
        <v>196.09181066541342</v>
      </c>
      <c r="BS55" s="39">
        <v>-2.7251944469588096</v>
      </c>
      <c r="BT55" s="39">
        <v>0.39736189334585958</v>
      </c>
      <c r="BU55" s="41">
        <v>196.13854358134216</v>
      </c>
      <c r="BV55" s="42">
        <v>-2.1700182635760874</v>
      </c>
      <c r="BW55" s="42">
        <v>1.7621945641865722</v>
      </c>
      <c r="BX55" s="41">
        <v>196.07871184297275</v>
      </c>
      <c r="BY55" s="42">
        <v>-0.19812410748157178</v>
      </c>
      <c r="BZ55" s="42">
        <v>2.6574928815702776</v>
      </c>
      <c r="CA55" s="41">
        <v>196.07264754912947</v>
      </c>
      <c r="CB55" s="42">
        <v>1.4242413491643044</v>
      </c>
      <c r="CC55" s="42">
        <v>2.2814535245086915</v>
      </c>
      <c r="CD55" s="41">
        <v>196.1431099354763</v>
      </c>
      <c r="CE55" s="42">
        <v>2.6343160378051143</v>
      </c>
      <c r="CF55" s="42">
        <v>0.14214890064522478</v>
      </c>
      <c r="CG55" s="41">
        <v>196.09599844719318</v>
      </c>
      <c r="CH55" s="42">
        <v>2.5325698452579504</v>
      </c>
      <c r="CI55" s="42">
        <v>-0.99537998447192422</v>
      </c>
      <c r="CJ55" s="40"/>
      <c r="CK55" s="43">
        <f t="shared" si="1040"/>
        <v>0.73936334135282777</v>
      </c>
      <c r="CL55" s="43">
        <f t="shared" si="1041"/>
        <v>9.0616413265713902</v>
      </c>
      <c r="CM55" s="43">
        <f t="shared" si="1042"/>
        <v>8.6926063665941911</v>
      </c>
      <c r="CN55" s="43">
        <f t="shared" si="1043"/>
        <v>-7.9662863462317546</v>
      </c>
      <c r="CO55" s="43">
        <f t="shared" si="1044"/>
        <v>8.0912472463761098</v>
      </c>
      <c r="CP55" s="43">
        <f t="shared" si="1045"/>
        <v>-2.3203371365525527</v>
      </c>
      <c r="CQ55" s="43">
        <f t="shared" si="1209"/>
        <v>-0.10466144709653236</v>
      </c>
      <c r="CR55" s="43">
        <f t="shared" si="1210"/>
        <v>15.840108746190573</v>
      </c>
      <c r="CS55" s="43">
        <f t="shared" si="1211"/>
        <v>-8.8989533855254876</v>
      </c>
      <c r="CT55" s="43">
        <f t="shared" si="1212"/>
        <v>-11.321272599190024</v>
      </c>
      <c r="CU55" s="43">
        <f t="shared" si="1213"/>
        <v>-9.3743168922966191E-2</v>
      </c>
      <c r="CV55" s="43">
        <f t="shared" si="1214"/>
        <v>-69.086787274002859</v>
      </c>
      <c r="CW55" s="43">
        <f t="shared" si="1215"/>
        <v>1.437869635651623</v>
      </c>
      <c r="CX55" s="43">
        <f t="shared" si="1216"/>
        <v>0.22919595617598709</v>
      </c>
      <c r="CY55" s="43">
        <f t="shared" si="1217"/>
        <v>-47.114378696363701</v>
      </c>
      <c r="CZ55" s="43">
        <f t="shared" si="1055"/>
        <v>-1.0129566847467686</v>
      </c>
      <c r="DA55" s="43">
        <f t="shared" si="1056"/>
        <v>-15.809614677514183</v>
      </c>
      <c r="DB55" s="43">
        <f t="shared" si="1057"/>
        <v>3.8101295668440116</v>
      </c>
      <c r="DC55" s="43">
        <f t="shared" si="1218"/>
        <v>-2.9165963183288568</v>
      </c>
      <c r="DD55" s="43">
        <f t="shared" si="1219"/>
        <v>-18.352478609341194</v>
      </c>
      <c r="DE55" s="43">
        <f t="shared" si="1220"/>
        <v>-5.4708340368136987</v>
      </c>
    </row>
    <row r="56" spans="1:109" ht="29.25" customHeight="1" x14ac:dyDescent="0.2">
      <c r="A56" s="37">
        <v>44055</v>
      </c>
      <c r="B56" s="29">
        <f t="shared" si="1157"/>
        <v>350</v>
      </c>
      <c r="C56" s="38">
        <v>222.9</v>
      </c>
      <c r="D56" s="38">
        <f t="shared" ref="D56" si="1248">IF(C56="","",+C56-$W$6)</f>
        <v>26.800000000000011</v>
      </c>
      <c r="E56" s="39">
        <v>823244.33570000005</v>
      </c>
      <c r="F56" s="39">
        <v>1091518.7775000001</v>
      </c>
      <c r="G56" s="39">
        <v>-124.54340000000001</v>
      </c>
      <c r="H56" s="39">
        <v>823244.23950000003</v>
      </c>
      <c r="I56" s="39">
        <v>1091518.9498000001</v>
      </c>
      <c r="J56" s="39">
        <v>-123.18519999999999</v>
      </c>
      <c r="K56" s="39">
        <v>823244.51679999998</v>
      </c>
      <c r="L56" s="39">
        <v>1091518.4664</v>
      </c>
      <c r="M56" s="39">
        <v>-121.8203</v>
      </c>
      <c r="N56" s="39">
        <v>823245.29669999995</v>
      </c>
      <c r="O56" s="39">
        <v>1091516.6549</v>
      </c>
      <c r="P56" s="39">
        <v>-120.925</v>
      </c>
      <c r="Q56" s="39">
        <v>823245.97589999996</v>
      </c>
      <c r="R56" s="39">
        <v>1091515.1810999999</v>
      </c>
      <c r="S56" s="39">
        <v>-121.30159999999999</v>
      </c>
      <c r="T56" s="39">
        <v>823246.55119999999</v>
      </c>
      <c r="U56" s="39">
        <v>1091514.1148999999</v>
      </c>
      <c r="V56" s="39">
        <v>-123.43980000000001</v>
      </c>
      <c r="W56" s="39">
        <v>823246.46569999994</v>
      </c>
      <c r="X56" s="39">
        <v>1091514.1869999999</v>
      </c>
      <c r="Y56" s="39">
        <v>-124.5779</v>
      </c>
      <c r="Z56" s="39">
        <f t="shared" si="1247"/>
        <v>4.303692637758938</v>
      </c>
      <c r="AA56" s="39">
        <f t="shared" si="2"/>
        <v>3.3900946727598416</v>
      </c>
      <c r="AB56" s="39">
        <f t="shared" si="1005"/>
        <v>2.165949757080039</v>
      </c>
      <c r="AC56" s="39">
        <f t="shared" si="1006"/>
        <v>1.6659011495657459</v>
      </c>
      <c r="AD56" s="39">
        <f t="shared" si="5"/>
        <v>3.788085174634729</v>
      </c>
      <c r="AE56" s="39">
        <f t="shared" si="1007"/>
        <v>4.5607860967401921</v>
      </c>
      <c r="AF56" s="39">
        <f t="shared" si="1008"/>
        <v>3.6319717221678194</v>
      </c>
      <c r="AG56" s="39">
        <f t="shared" si="8"/>
        <v>5.3651687821639626</v>
      </c>
      <c r="AH56" s="39">
        <f t="shared" si="1009"/>
        <v>5.0607094859363242</v>
      </c>
      <c r="AI56" s="43">
        <f t="shared" ref="AI56" si="1249">IF(Z56="","",(Z56-Z$10)*1000)</f>
        <v>-70.446333551679174</v>
      </c>
      <c r="AJ56" s="43">
        <f t="shared" ref="AJ56" si="1250">IF(AA56="","",(AA56-AA$10)*1000)</f>
        <v>-51.069776971118145</v>
      </c>
      <c r="AK56" s="43">
        <f t="shared" ref="AK56" si="1251">IF(AB56="","",(AB56-AB$10)*1000)</f>
        <v>-39.917106541139887</v>
      </c>
      <c r="AL56" s="43">
        <f t="shared" ref="AL56" si="1252">IF(AC56="","",(AC56-AC$10)*1000)</f>
        <v>-4.4100461073792729</v>
      </c>
      <c r="AM56" s="43">
        <f t="shared" ref="AM56" si="1253">IF(AD56="","",(AD56-AD$10)*1000)</f>
        <v>-60.43528002555432</v>
      </c>
      <c r="AN56" s="43">
        <f t="shared" ref="AN56" si="1254">IF(AE56="","",(AE56-AE$10)*1000)</f>
        <v>-61.815847024337067</v>
      </c>
      <c r="AO56" s="43">
        <f t="shared" ref="AO56" si="1255">IF(AF56="","",(AF56-AF$10)*1000)</f>
        <v>-21.210371694015961</v>
      </c>
      <c r="AP56" s="43">
        <f t="shared" ref="AP56" si="1256">IF(AG56="","",(AG56-AG$10)*1000)</f>
        <v>-24.74337853748132</v>
      </c>
      <c r="AQ56" s="43">
        <f t="shared" ref="AQ56" si="1257">IF(AH56="","",(AH56-AH$10)*1000)</f>
        <v>-27.457725511945696</v>
      </c>
      <c r="AR56" s="40"/>
      <c r="AS56" s="43">
        <f t="shared" si="1019"/>
        <v>5.3000000771135092</v>
      </c>
      <c r="AT56" s="43">
        <f t="shared" si="1020"/>
        <v>-6.9999999832361937</v>
      </c>
      <c r="AU56" s="43">
        <f t="shared" si="1021"/>
        <v>8.0999999999988859</v>
      </c>
      <c r="AV56" s="43">
        <f t="shared" si="1022"/>
        <v>-3.4999999916180968</v>
      </c>
      <c r="AW56" s="43">
        <f t="shared" si="1023"/>
        <v>-10.2999999653548</v>
      </c>
      <c r="AX56" s="43">
        <f t="shared" si="1024"/>
        <v>-3.0000000000001137</v>
      </c>
      <c r="AY56" s="43">
        <f t="shared" si="1025"/>
        <v>7.1999999927356839</v>
      </c>
      <c r="AZ56" s="43">
        <f t="shared" si="1026"/>
        <v>-13.999999966472387</v>
      </c>
      <c r="BA56" s="43">
        <f t="shared" si="1027"/>
        <v>-9.9000000000017963</v>
      </c>
      <c r="BB56" s="43">
        <f t="shared" si="1028"/>
        <v>-9.0000000782310963</v>
      </c>
      <c r="BC56" s="43">
        <f t="shared" si="1029"/>
        <v>-3.4000000450760126</v>
      </c>
      <c r="BD56" s="43">
        <f t="shared" si="1030"/>
        <v>-69.599999999994111</v>
      </c>
      <c r="BE56" s="43">
        <f t="shared" si="1031"/>
        <v>1.6999999061226845</v>
      </c>
      <c r="BF56" s="43">
        <f t="shared" si="1032"/>
        <v>0.80000003799796104</v>
      </c>
      <c r="BG56" s="43">
        <f t="shared" si="1033"/>
        <v>-47.999999999987608</v>
      </c>
      <c r="BH56" s="43">
        <f t="shared" si="1034"/>
        <v>-7.30000005569309</v>
      </c>
      <c r="BI56" s="43">
        <f t="shared" si="1035"/>
        <v>14.999999897554517</v>
      </c>
      <c r="BJ56" s="43">
        <f t="shared" si="1036"/>
        <v>3.2999999999958618</v>
      </c>
      <c r="BK56" s="43">
        <f t="shared" si="1037"/>
        <v>-9.9000000627711415</v>
      </c>
      <c r="BL56" s="43">
        <f t="shared" si="1038"/>
        <v>16.300000017508864</v>
      </c>
      <c r="BM56" s="43">
        <f t="shared" si="1039"/>
        <v>-6.100000000003547</v>
      </c>
      <c r="BN56" s="40"/>
      <c r="BO56" s="39">
        <v>196.10661396773224</v>
      </c>
      <c r="BP56" s="39">
        <v>-2.5286169247304717</v>
      </c>
      <c r="BQ56" s="39">
        <v>-0.96158613967733686</v>
      </c>
      <c r="BR56" s="39">
        <v>196.09225161390589</v>
      </c>
      <c r="BS56" s="39">
        <v>-2.7254301681620423</v>
      </c>
      <c r="BT56" s="39">
        <v>0.39675748386093801</v>
      </c>
      <c r="BU56" s="41">
        <v>196.13925641740951</v>
      </c>
      <c r="BV56" s="42">
        <v>-2.1701271891948668</v>
      </c>
      <c r="BW56" s="42">
        <v>1.761187435825903</v>
      </c>
      <c r="BX56" s="41">
        <v>196.08043947020528</v>
      </c>
      <c r="BY56" s="42">
        <v>-0.19875283942855759</v>
      </c>
      <c r="BZ56" s="42">
        <v>2.6570756052979476</v>
      </c>
      <c r="CA56" s="41">
        <v>196.07308849751644</v>
      </c>
      <c r="CB56" s="42">
        <v>1.4240056279118363</v>
      </c>
      <c r="CC56" s="42">
        <v>2.28054911502484</v>
      </c>
      <c r="CD56" s="41">
        <v>196.14384674025979</v>
      </c>
      <c r="CE56" s="42">
        <v>2.6334459121409255</v>
      </c>
      <c r="CF56" s="42">
        <v>0.1416415325973901</v>
      </c>
      <c r="CG56" s="41">
        <v>196.09683197993988</v>
      </c>
      <c r="CH56" s="42">
        <v>2.5319655085237414</v>
      </c>
      <c r="CI56" s="42">
        <v>-0.99598831979940883</v>
      </c>
      <c r="CJ56" s="40"/>
      <c r="CK56" s="43">
        <f t="shared" si="1040"/>
        <v>1.8447838668578243</v>
      </c>
      <c r="CL56" s="43">
        <f t="shared" si="1041"/>
        <v>8.5841000149535773</v>
      </c>
      <c r="CM56" s="43">
        <f t="shared" si="1042"/>
        <v>8.0815521613288865</v>
      </c>
      <c r="CN56" s="43">
        <f t="shared" si="1043"/>
        <v>-7.5253378537638582</v>
      </c>
      <c r="CO56" s="43">
        <f t="shared" si="1044"/>
        <v>7.8555260431434348</v>
      </c>
      <c r="CP56" s="43">
        <f t="shared" si="1045"/>
        <v>-2.924746621474128</v>
      </c>
      <c r="CQ56" s="43">
        <f t="shared" si="1209"/>
        <v>0.60817462025397617</v>
      </c>
      <c r="CR56" s="43">
        <f t="shared" si="1210"/>
        <v>15.731183127411175</v>
      </c>
      <c r="CS56" s="43">
        <f t="shared" si="1211"/>
        <v>-9.9060817461946726</v>
      </c>
      <c r="CT56" s="43">
        <f t="shared" si="1212"/>
        <v>-9.5936453666638499</v>
      </c>
      <c r="CU56" s="43">
        <f t="shared" si="1213"/>
        <v>-0.72247511590878277</v>
      </c>
      <c r="CV56" s="43">
        <f t="shared" si="1214"/>
        <v>-69.504063546332873</v>
      </c>
      <c r="CW56" s="43">
        <f t="shared" si="1215"/>
        <v>1.8788180226181339</v>
      </c>
      <c r="CX56" s="43">
        <f t="shared" si="1216"/>
        <v>-6.5252962921924507E-3</v>
      </c>
      <c r="CY56" s="43">
        <f t="shared" si="1217"/>
        <v>-48.018788180215211</v>
      </c>
      <c r="CZ56" s="43">
        <f t="shared" si="1055"/>
        <v>-0.27615190126084599</v>
      </c>
      <c r="DA56" s="43">
        <f t="shared" si="1056"/>
        <v>-16.679740341702942</v>
      </c>
      <c r="DB56" s="43">
        <f t="shared" si="1057"/>
        <v>3.3027615190093229</v>
      </c>
      <c r="DC56" s="43">
        <f t="shared" si="1218"/>
        <v>-2.0830635716322377</v>
      </c>
      <c r="DD56" s="43">
        <f t="shared" si="1219"/>
        <v>-18.956815343550204</v>
      </c>
      <c r="DE56" s="43">
        <f t="shared" si="1220"/>
        <v>-6.0791693642983091</v>
      </c>
    </row>
    <row r="57" spans="1:109" ht="29.25" customHeight="1" x14ac:dyDescent="0.2">
      <c r="A57" s="37">
        <v>44082</v>
      </c>
      <c r="B57" s="29">
        <f t="shared" si="1157"/>
        <v>377</v>
      </c>
      <c r="C57" s="38">
        <v>222.9</v>
      </c>
      <c r="D57" s="38">
        <f t="shared" ref="D57" si="1258">IF(C57="","",+C57-$W$6)</f>
        <v>26.800000000000011</v>
      </c>
      <c r="E57" s="39">
        <v>823244.33539999998</v>
      </c>
      <c r="F57" s="39">
        <v>1091518.7766</v>
      </c>
      <c r="G57" s="39">
        <v>-124.54389999999999</v>
      </c>
      <c r="H57" s="39"/>
      <c r="I57" s="39"/>
      <c r="J57" s="39"/>
      <c r="K57" s="39"/>
      <c r="L57" s="39"/>
      <c r="M57" s="39"/>
      <c r="N57" s="39">
        <v>823245.29639999999</v>
      </c>
      <c r="O57" s="39">
        <v>1091516.6542</v>
      </c>
      <c r="P57" s="39">
        <v>-120.92619999999999</v>
      </c>
      <c r="Q57" s="39">
        <v>823245.97499999998</v>
      </c>
      <c r="R57" s="39">
        <v>1091515.1806999999</v>
      </c>
      <c r="S57" s="39">
        <v>-121.3027</v>
      </c>
      <c r="T57" s="39">
        <v>823246.55079999997</v>
      </c>
      <c r="U57" s="39">
        <v>1091514.1147</v>
      </c>
      <c r="V57" s="39">
        <v>-123.44029999999999</v>
      </c>
      <c r="W57" s="39">
        <v>823246.46490000002</v>
      </c>
      <c r="X57" s="39">
        <v>1091514.1865999999</v>
      </c>
      <c r="Y57" s="39">
        <v>-124.5784</v>
      </c>
      <c r="Z57" s="39">
        <f t="shared" si="1247"/>
        <v>4.303005467111289</v>
      </c>
      <c r="AA57" s="39"/>
      <c r="AB57" s="39"/>
      <c r="AC57" s="39">
        <f t="shared" ref="AC57:AC58" si="1259">IF(Xhaut="","",SQRT(((Xhautdroit-Xhaut)^2+(Yhautdroit-Yhaut)^2)+(Zhautdroit-Zhaut)^2))</f>
        <v>1.66536856587823</v>
      </c>
      <c r="AD57" s="39">
        <f t="shared" si="5"/>
        <v>3.7872520934990761</v>
      </c>
      <c r="AE57" s="39">
        <f t="shared" ref="AE57:AE64" si="1260">IF(Xhaut="","",SQRT(((Xbasdroit-Xhaut)^2+(Ybasdroit-Yhaut)^2)+(Zbasdroit-Zhaut)^2))</f>
        <v>4.5599349612155784</v>
      </c>
      <c r="AF57" s="39"/>
      <c r="AG57" s="39"/>
      <c r="AH57" s="39">
        <f t="shared" ref="AH57:AH77" si="1261">IF(Xbasdroit="","",SQRT(((Xbasdroit-Xbasgauche)^2+(Ybasdroit-Ybasgauche)^2)+(Zbasdroit-Zbasgauche)^2))</f>
        <v>5.0600455038404597</v>
      </c>
      <c r="AI57" s="43">
        <f t="shared" si="1010"/>
        <v>-71.133504199328172</v>
      </c>
      <c r="AJ57" s="43" t="str">
        <f t="shared" si="1011"/>
        <v/>
      </c>
      <c r="AK57" s="43" t="str">
        <f t="shared" si="1012"/>
        <v/>
      </c>
      <c r="AL57" s="43">
        <f t="shared" si="1013"/>
        <v>-4.9426297948951259</v>
      </c>
      <c r="AM57" s="43">
        <f t="shared" si="1014"/>
        <v>-61.268361161207267</v>
      </c>
      <c r="AN57" s="43">
        <f t="shared" si="1015"/>
        <v>-62.666982548950756</v>
      </c>
      <c r="AO57" s="43" t="str">
        <f t="shared" si="1016"/>
        <v/>
      </c>
      <c r="AP57" s="43" t="str">
        <f t="shared" si="1017"/>
        <v/>
      </c>
      <c r="AQ57" s="43">
        <f t="shared" si="1018"/>
        <v>-28.121707607810187</v>
      </c>
      <c r="AR57" s="40"/>
      <c r="AS57" s="43">
        <f t="shared" ref="AS57" si="1262">IF(E57="","",(E57-E$10)*1000)</f>
        <v>5.0000000046566129</v>
      </c>
      <c r="AT57" s="43">
        <f t="shared" ref="AT57" si="1263">IF(F57="","",(F57-F$10)*1000)</f>
        <v>-7.9000000841915607</v>
      </c>
      <c r="AU57" s="43">
        <f t="shared" ref="AU57" si="1264">IF(G57="","",(G57-G$10)*1000)</f>
        <v>7.6000000000107093</v>
      </c>
      <c r="AV57" s="43" t="str">
        <f t="shared" ref="AV57" si="1265">IF(H57="","",(H57-H$10)*1000)</f>
        <v/>
      </c>
      <c r="AW57" s="43" t="str">
        <f t="shared" ref="AW57" si="1266">IF(I57="","",(I57-I$10)*1000)</f>
        <v/>
      </c>
      <c r="AX57" s="43" t="str">
        <f t="shared" ref="AX57" si="1267">IF(J57="","",(J57-J$10)*1000)</f>
        <v/>
      </c>
      <c r="AY57" s="43" t="str">
        <f t="shared" ref="AY57" si="1268">IF(K57="","",(K57-K$10)*1000)</f>
        <v/>
      </c>
      <c r="AZ57" s="43" t="str">
        <f t="shared" ref="AZ57" si="1269">IF(L57="","",(L57-L$10)*1000)</f>
        <v/>
      </c>
      <c r="BA57" s="43" t="str">
        <f t="shared" ref="BA57" si="1270">IF(M57="","",(M57-M$10)*1000)</f>
        <v/>
      </c>
      <c r="BB57" s="43">
        <f t="shared" ref="BB57" si="1271">IF(N57="","",(N57-N$10)*1000)</f>
        <v>-9.3000000342726707</v>
      </c>
      <c r="BC57" s="43">
        <f t="shared" ref="BC57" si="1272">IF(O57="","",(O57-O$10)*1000)</f>
        <v>-4.1000000201165676</v>
      </c>
      <c r="BD57" s="43">
        <f t="shared" ref="BD57" si="1273">IF(P57="","",(P57-P$10)*1000)</f>
        <v>-70.799999999991314</v>
      </c>
      <c r="BE57" s="43">
        <f t="shared" ref="BE57" si="1274">IF(Q57="","",(Q57-Q$10)*1000)</f>
        <v>0.79999992158263922</v>
      </c>
      <c r="BF57" s="43">
        <f t="shared" ref="BF57" si="1275">IF(R57="","",(R57-R$10)*1000)</f>
        <v>0.40000001899898052</v>
      </c>
      <c r="BG57" s="43">
        <f t="shared" ref="BG57" si="1276">IF(S57="","",(S57-S$10)*1000)</f>
        <v>-49.099999999995703</v>
      </c>
      <c r="BH57" s="43">
        <f t="shared" ref="BH57" si="1277">IF(T57="","",(T57-T$10)*1000)</f>
        <v>-7.7000000746920705</v>
      </c>
      <c r="BI57" s="43">
        <f t="shared" ref="BI57" si="1278">IF(U57="","",(U57-U$10)*1000)</f>
        <v>14.800000004470348</v>
      </c>
      <c r="BJ57" s="43">
        <f t="shared" ref="BJ57" si="1279">IF(V57="","",(V57-V$10)*1000)</f>
        <v>2.8000000000076852</v>
      </c>
      <c r="BK57" s="43">
        <f t="shared" ref="BK57" si="1280">IF(W57="","",(W57-W$10)*1000)</f>
        <v>-10.699999984353781</v>
      </c>
      <c r="BL57" s="43">
        <f t="shared" ref="BL57" si="1281">IF(X57="","",(X57-X$10)*1000)</f>
        <v>15.899999998509884</v>
      </c>
      <c r="BM57" s="43">
        <f t="shared" ref="BM57" si="1282">IF(Y57="","",(Y57-Y$10)*1000)</f>
        <v>-6.6000000000059345</v>
      </c>
      <c r="BN57" s="40"/>
      <c r="BO57" s="39">
        <v>196.1059616932001</v>
      </c>
      <c r="BP57" s="39">
        <v>-2.5279280574283476</v>
      </c>
      <c r="BQ57" s="39">
        <v>-0.96207961693200161</v>
      </c>
      <c r="BR57" s="39">
        <v>0</v>
      </c>
      <c r="BS57" s="39"/>
      <c r="BT57" s="39"/>
      <c r="BU57" s="41"/>
      <c r="BV57" s="42"/>
      <c r="BW57" s="42"/>
      <c r="BX57" s="41">
        <v>196.07987172623388</v>
      </c>
      <c r="BY57" s="42">
        <v>-0.19824523060122826</v>
      </c>
      <c r="BZ57" s="42">
        <v>2.655881282737667</v>
      </c>
      <c r="CA57" s="41">
        <v>196.07210377387415</v>
      </c>
      <c r="CB57" s="42">
        <v>1.423987757946203</v>
      </c>
      <c r="CC57" s="42">
        <v>2.2794589622612591</v>
      </c>
      <c r="CD57" s="41">
        <v>196.14339969306607</v>
      </c>
      <c r="CE57" s="42">
        <v>2.6334581096417549</v>
      </c>
      <c r="CF57" s="42">
        <v>0.14114600306933767</v>
      </c>
      <c r="CG57" s="41">
        <v>196.09593788555955</v>
      </c>
      <c r="CH57" s="42">
        <v>2.5319899037856799</v>
      </c>
      <c r="CI57" s="42">
        <v>-0.99647937885559656</v>
      </c>
      <c r="CJ57" s="40"/>
      <c r="CK57" s="43">
        <f t="shared" ref="CK57" si="1283">IF(BO57="","",(BO57-BO$10)*1000)</f>
        <v>1.1925093347144866</v>
      </c>
      <c r="CL57" s="43">
        <f t="shared" ref="CL57" si="1284">IF(BP57="","",(BP57-BP$10)*1000)</f>
        <v>9.2729673170777183</v>
      </c>
      <c r="CM57" s="43">
        <f t="shared" ref="CM57" si="1285">IF(BQ57="","",(BQ57-BQ$10)*1000)</f>
        <v>7.5880749066641329</v>
      </c>
      <c r="CN57" s="43"/>
      <c r="CO57" s="43" t="str">
        <f t="shared" ref="CO57" si="1286">IF(BS57="","",(BS57-BS$10)*1000)</f>
        <v/>
      </c>
      <c r="CP57" s="43" t="str">
        <f t="shared" ref="CP57" si="1287">IF(BT57="","",(BT57-BT$10)*1000)</f>
        <v/>
      </c>
      <c r="CQ57" s="43" t="str">
        <f t="shared" ref="CQ57" si="1288">IF(BU57="","",(BU57-BU$10)*1000)</f>
        <v/>
      </c>
      <c r="CR57" s="43" t="str">
        <f t="shared" ref="CR57" si="1289">IF(BV57="","",(BV57-BV$10)*1000)</f>
        <v/>
      </c>
      <c r="CS57" s="43" t="str">
        <f t="shared" ref="CS57" si="1290">IF(BW57="","",(BW57-BW$10)*1000)</f>
        <v/>
      </c>
      <c r="CT57" s="43">
        <f t="shared" ref="CT57" si="1291">IF(BX57="","",(BX57-BX$10)*1000)</f>
        <v>-10.161389338065874</v>
      </c>
      <c r="CU57" s="43">
        <f t="shared" ref="CU57" si="1292">IF(BY57="","",(BY57-BY$10)*1000)</f>
        <v>-0.21486628857944612</v>
      </c>
      <c r="CV57" s="43">
        <f t="shared" ref="CV57" si="1293">IF(BZ57="","",(BZ57-BZ$10)*1000)</f>
        <v>-70.698386106613498</v>
      </c>
      <c r="CW57" s="43">
        <f t="shared" ref="CW57" si="1294">IF(CA57="","",(CA57-CA$10)*1000)</f>
        <v>0.89409438032816979</v>
      </c>
      <c r="CX57" s="43">
        <f t="shared" si="1216"/>
        <v>-2.4395261925436174E-2</v>
      </c>
      <c r="CY57" s="43">
        <f t="shared" ref="CY57" si="1295">IF(CC57="","",(CC57-CC$10)*1000)</f>
        <v>-49.108940943796142</v>
      </c>
      <c r="CZ57" s="43">
        <f t="shared" ref="CZ57" si="1296">IF(CD57="","",(CD57-CD$10)*1000)</f>
        <v>-0.72319909497764456</v>
      </c>
      <c r="DA57" s="43">
        <f t="shared" ref="DA57" si="1297">IF(CE57="","",(CE57-CE$10)*1000)</f>
        <v>-16.667542840873573</v>
      </c>
      <c r="DB57" s="43">
        <f t="shared" ref="DB57" si="1298">IF(CF57="","",(CF57-CF$10)*1000)</f>
        <v>2.8072319909568932</v>
      </c>
      <c r="DC57" s="43">
        <f t="shared" ref="DC57" si="1299">IF(CG57="","",(CG57-CG$10)*1000)</f>
        <v>-2.9771579519604074</v>
      </c>
      <c r="DD57" s="43">
        <f t="shared" ref="DD57" si="1300">IF(CH57="","",(CH57-CH$10)*1000)</f>
        <v>-18.932420081611667</v>
      </c>
      <c r="DE57" s="43">
        <f t="shared" ref="DE57" si="1301">IF(CI57="","",(CI57-CI$10)*1000)</f>
        <v>-6.5702284204860462</v>
      </c>
    </row>
    <row r="58" spans="1:109" s="90" customFormat="1" ht="54" customHeight="1" x14ac:dyDescent="0.2">
      <c r="A58" s="82"/>
      <c r="B58" s="83" t="str">
        <f t="shared" si="1157"/>
        <v/>
      </c>
      <c r="C58" s="84"/>
      <c r="D58" s="84" t="str">
        <f t="shared" si="1003"/>
        <v/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 t="str">
        <f t="shared" si="1247"/>
        <v/>
      </c>
      <c r="AA58" s="85"/>
      <c r="AB58" s="85" t="str">
        <f t="shared" ref="AB58" si="1302">IF(Xhaut="","",SQRT(((Xhautgauche-Xhaut)^2+(Yhautgauche-Yhaut)^2)+(Zhautgauche-Zhaut)^2))</f>
        <v/>
      </c>
      <c r="AC58" s="85" t="str">
        <f t="shared" si="1259"/>
        <v/>
      </c>
      <c r="AD58" s="85" t="str">
        <f t="shared" si="5"/>
        <v/>
      </c>
      <c r="AE58" s="85" t="str">
        <f t="shared" si="1260"/>
        <v/>
      </c>
      <c r="AF58" s="85" t="str">
        <f t="shared" ref="AF58:AF66" si="1303">IF(Xhautdroit="","",SQRT(((Xhautdroit-Xhautgauche)^2+(Yhautdroit-Yhautgauche)^2)+(Zhautdroit-Zhautgauche)^2))</f>
        <v/>
      </c>
      <c r="AG58" s="85" t="str">
        <f t="shared" si="8"/>
        <v/>
      </c>
      <c r="AH58" s="85" t="str">
        <f t="shared" si="1261"/>
        <v/>
      </c>
      <c r="AI58" s="86" t="str">
        <f t="shared" ref="AI58:AM62" si="1304">IF(Z58="","",(Z58-Z$10)*1000)</f>
        <v/>
      </c>
      <c r="AJ58" s="86" t="str">
        <f t="shared" si="1304"/>
        <v/>
      </c>
      <c r="AK58" s="86" t="str">
        <f t="shared" si="1304"/>
        <v/>
      </c>
      <c r="AL58" s="86" t="str">
        <f t="shared" si="1304"/>
        <v/>
      </c>
      <c r="AM58" s="86" t="str">
        <f t="shared" si="1304"/>
        <v/>
      </c>
      <c r="AN58" s="86" t="str">
        <f t="shared" ref="AN58:AP59" si="1305">IF(AE58="","",(AE58-AE$10)*1000)</f>
        <v/>
      </c>
      <c r="AO58" s="86" t="str">
        <f t="shared" si="1305"/>
        <v/>
      </c>
      <c r="AP58" s="86" t="str">
        <f t="shared" si="1305"/>
        <v/>
      </c>
      <c r="AQ58" s="86" t="str">
        <f>IF(AH58="","",(AH58-AH$10)*1000)</f>
        <v/>
      </c>
      <c r="AR58" s="87"/>
      <c r="AS58" s="86" t="str">
        <f t="shared" si="1019"/>
        <v/>
      </c>
      <c r="AT58" s="86" t="str">
        <f t="shared" si="1020"/>
        <v/>
      </c>
      <c r="AU58" s="86" t="str">
        <f t="shared" si="1021"/>
        <v/>
      </c>
      <c r="AV58" s="86" t="str">
        <f t="shared" si="1022"/>
        <v/>
      </c>
      <c r="AW58" s="86" t="str">
        <f t="shared" si="1023"/>
        <v/>
      </c>
      <c r="AX58" s="86" t="str">
        <f t="shared" si="1024"/>
        <v/>
      </c>
      <c r="AY58" s="86" t="str">
        <f t="shared" si="1025"/>
        <v/>
      </c>
      <c r="AZ58" s="86" t="str">
        <f t="shared" si="1026"/>
        <v/>
      </c>
      <c r="BA58" s="86" t="str">
        <f t="shared" si="1027"/>
        <v/>
      </c>
      <c r="BB58" s="86" t="str">
        <f t="shared" si="1028"/>
        <v/>
      </c>
      <c r="BC58" s="86" t="str">
        <f t="shared" si="1029"/>
        <v/>
      </c>
      <c r="BD58" s="86" t="str">
        <f t="shared" si="1030"/>
        <v/>
      </c>
      <c r="BE58" s="86" t="str">
        <f t="shared" si="1031"/>
        <v/>
      </c>
      <c r="BF58" s="86" t="str">
        <f t="shared" si="1032"/>
        <v/>
      </c>
      <c r="BG58" s="86" t="str">
        <f t="shared" si="1033"/>
        <v/>
      </c>
      <c r="BH58" s="86" t="str">
        <f t="shared" si="1034"/>
        <v/>
      </c>
      <c r="BI58" s="86" t="str">
        <f t="shared" si="1035"/>
        <v/>
      </c>
      <c r="BJ58" s="86" t="str">
        <f t="shared" si="1036"/>
        <v/>
      </c>
      <c r="BK58" s="86" t="str">
        <f t="shared" si="1037"/>
        <v/>
      </c>
      <c r="BL58" s="86" t="str">
        <f t="shared" si="1038"/>
        <v/>
      </c>
      <c r="BM58" s="86" t="str">
        <f t="shared" si="1039"/>
        <v/>
      </c>
      <c r="BN58" s="87"/>
      <c r="BO58" s="85"/>
      <c r="BP58" s="85"/>
      <c r="BQ58" s="85"/>
      <c r="BR58" s="85"/>
      <c r="BS58" s="85"/>
      <c r="BT58" s="85"/>
      <c r="BU58" s="88"/>
      <c r="BV58" s="89"/>
      <c r="BW58" s="89"/>
      <c r="BX58" s="88"/>
      <c r="BY58" s="89"/>
      <c r="BZ58" s="89"/>
      <c r="CA58" s="88"/>
      <c r="CB58" s="89"/>
      <c r="CC58" s="89"/>
      <c r="CD58" s="88"/>
      <c r="CE58" s="89"/>
      <c r="CF58" s="89"/>
      <c r="CG58" s="88"/>
      <c r="CH58" s="89"/>
      <c r="CI58" s="89"/>
      <c r="CJ58" s="87"/>
      <c r="CK58" s="86" t="str">
        <f t="shared" si="1040"/>
        <v/>
      </c>
      <c r="CL58" s="86" t="str">
        <f t="shared" si="1041"/>
        <v/>
      </c>
      <c r="CM58" s="86" t="str">
        <f t="shared" si="1042"/>
        <v/>
      </c>
      <c r="CN58" s="86" t="str">
        <f t="shared" si="1043"/>
        <v/>
      </c>
      <c r="CO58" s="86" t="str">
        <f t="shared" si="1044"/>
        <v/>
      </c>
      <c r="CP58" s="86" t="str">
        <f t="shared" si="1045"/>
        <v/>
      </c>
      <c r="CQ58" s="86" t="str">
        <f t="shared" si="1209"/>
        <v/>
      </c>
      <c r="CR58" s="86" t="str">
        <f t="shared" si="1210"/>
        <v/>
      </c>
      <c r="CS58" s="86" t="str">
        <f t="shared" si="1211"/>
        <v/>
      </c>
      <c r="CT58" s="86" t="str">
        <f t="shared" si="1212"/>
        <v/>
      </c>
      <c r="CU58" s="86" t="str">
        <f t="shared" si="1213"/>
        <v/>
      </c>
      <c r="CV58" s="86" t="str">
        <f t="shared" si="1214"/>
        <v/>
      </c>
      <c r="CW58" s="86" t="str">
        <f t="shared" si="1215"/>
        <v/>
      </c>
      <c r="CX58" s="86" t="str">
        <f t="shared" si="1216"/>
        <v/>
      </c>
      <c r="CY58" s="86" t="str">
        <f t="shared" si="1217"/>
        <v/>
      </c>
      <c r="CZ58" s="86" t="str">
        <f t="shared" si="1055"/>
        <v/>
      </c>
      <c r="DA58" s="86" t="str">
        <f t="shared" si="1056"/>
        <v/>
      </c>
      <c r="DB58" s="86" t="str">
        <f t="shared" si="1057"/>
        <v/>
      </c>
      <c r="DC58" s="86" t="str">
        <f t="shared" si="1218"/>
        <v/>
      </c>
      <c r="DD58" s="86" t="str">
        <f t="shared" si="1219"/>
        <v/>
      </c>
      <c r="DE58" s="86" t="str">
        <f t="shared" si="1220"/>
        <v/>
      </c>
    </row>
    <row r="59" spans="1:109" ht="29.25" customHeight="1" x14ac:dyDescent="0.2">
      <c r="A59" s="37">
        <v>44140</v>
      </c>
      <c r="B59" s="29">
        <f t="shared" ref="B59" si="1306">IF(A59="","",A59-excav)</f>
        <v>435</v>
      </c>
      <c r="C59" s="38">
        <v>222.9</v>
      </c>
      <c r="D59" s="38">
        <f t="shared" si="1003"/>
        <v>26.800000000000011</v>
      </c>
      <c r="E59" s="39">
        <v>823244.33539999998</v>
      </c>
      <c r="F59" s="39">
        <v>1091518.7766</v>
      </c>
      <c r="G59" s="39">
        <v>-124.54389999999999</v>
      </c>
      <c r="H59" s="39">
        <v>823244.24329999997</v>
      </c>
      <c r="I59" s="39">
        <v>1091518.7657999999</v>
      </c>
      <c r="J59" s="39">
        <v>-123.6147</v>
      </c>
      <c r="N59" s="39">
        <v>823245.51130000001</v>
      </c>
      <c r="O59" s="39">
        <v>1091516.0684</v>
      </c>
      <c r="P59" s="39">
        <v>-121.2804</v>
      </c>
      <c r="T59" s="39">
        <v>823246.36640000006</v>
      </c>
      <c r="U59" s="39">
        <v>1091514.1158</v>
      </c>
      <c r="V59" s="39">
        <v>-123.6062</v>
      </c>
      <c r="W59" s="39">
        <v>823246.46490000002</v>
      </c>
      <c r="X59" s="39">
        <v>1091514.1865999999</v>
      </c>
      <c r="Y59" s="39">
        <v>-124.5784</v>
      </c>
      <c r="Z59" s="39">
        <f t="shared" si="1247"/>
        <v>4.4008544965766374</v>
      </c>
      <c r="AA59" s="39">
        <f t="shared" ref="AA59:AA77" si="1307">IF(Xhaut="","",SQRT(((Xintergauche-Xhaut)^2+(Yintergauche-Yhaut)^2)+(Zintergauche-Zhaut)^2))</f>
        <v>3.7858614937438158</v>
      </c>
      <c r="AB59" s="39"/>
      <c r="AC59" s="39"/>
      <c r="AD59" s="39">
        <f t="shared" si="5"/>
        <v>3.154867415585259</v>
      </c>
      <c r="AE59" s="39">
        <f t="shared" si="1260"/>
        <v>3.9150131800997277</v>
      </c>
      <c r="AF59" s="39" t="str">
        <f t="shared" si="1303"/>
        <v/>
      </c>
      <c r="AG59" s="39">
        <f t="shared" si="8"/>
        <v>5.1117634784379602</v>
      </c>
      <c r="AH59" s="39">
        <f t="shared" si="1261"/>
        <v>5.0600455038404597</v>
      </c>
      <c r="AI59" s="43">
        <f>AI57</f>
        <v>-71.133504199328172</v>
      </c>
      <c r="AJ59" s="43">
        <f>AJ56</f>
        <v>-51.069776971118145</v>
      </c>
      <c r="AK59" s="43" t="str">
        <f t="shared" si="1304"/>
        <v/>
      </c>
      <c r="AL59" s="43" t="str">
        <f t="shared" si="1304"/>
        <v/>
      </c>
      <c r="AM59" s="43">
        <f>AM57</f>
        <v>-61.268361161207267</v>
      </c>
      <c r="AN59" s="43">
        <f>AN57</f>
        <v>-62.666982548950756</v>
      </c>
      <c r="AO59" s="43" t="str">
        <f t="shared" si="1305"/>
        <v/>
      </c>
      <c r="AP59" s="43">
        <f>AP56</f>
        <v>-24.74337853748132</v>
      </c>
      <c r="AQ59" s="43">
        <f>AQ57</f>
        <v>-28.121707607810187</v>
      </c>
      <c r="AR59" s="40"/>
      <c r="AS59" s="43"/>
      <c r="AT59" s="43"/>
      <c r="AU59" s="43"/>
      <c r="AV59" s="43">
        <f>AV56</f>
        <v>-3.4999999916180968</v>
      </c>
      <c r="AW59" s="43">
        <f t="shared" ref="AW59:AX59" si="1308">AW56</f>
        <v>-10.2999999653548</v>
      </c>
      <c r="AX59" s="43">
        <f t="shared" si="1308"/>
        <v>-3.0000000000001137</v>
      </c>
      <c r="AY59" s="43"/>
      <c r="AZ59" s="43"/>
      <c r="BA59" s="43"/>
      <c r="BB59" s="43">
        <f>BB57</f>
        <v>-9.3000000342726707</v>
      </c>
      <c r="BC59" s="43">
        <f t="shared" ref="BC59:BD59" si="1309">BC57</f>
        <v>-4.1000000201165676</v>
      </c>
      <c r="BD59" s="43">
        <f t="shared" si="1309"/>
        <v>-70.799999999991314</v>
      </c>
      <c r="BE59" s="43"/>
      <c r="BF59" s="43"/>
      <c r="BG59" s="43"/>
      <c r="BH59" s="43">
        <f>BH57</f>
        <v>-7.7000000746920705</v>
      </c>
      <c r="BI59" s="43">
        <f t="shared" ref="BI59:BJ59" si="1310">BI57</f>
        <v>14.800000004470348</v>
      </c>
      <c r="BJ59" s="43">
        <f t="shared" si="1310"/>
        <v>2.8000000000076852</v>
      </c>
      <c r="BK59" s="43">
        <f t="shared" si="1037"/>
        <v>-10.699999984353781</v>
      </c>
      <c r="BL59" s="43">
        <f t="shared" si="1038"/>
        <v>15.899999998509884</v>
      </c>
      <c r="BM59" s="43">
        <f t="shared" si="1039"/>
        <v>-6.6000000000059345</v>
      </c>
      <c r="BN59" s="40"/>
      <c r="BO59" s="39"/>
      <c r="BP59" s="39"/>
      <c r="BQ59" s="39"/>
      <c r="BR59" s="39">
        <v>196.0179</v>
      </c>
      <c r="BS59" s="39">
        <v>-2.5571000000000002</v>
      </c>
      <c r="BT59" s="39">
        <v>-3.2000000000000001E-2</v>
      </c>
      <c r="BU59" s="41"/>
      <c r="BV59" s="42"/>
      <c r="BW59" s="42"/>
      <c r="BX59" s="41">
        <v>196.02699999999999</v>
      </c>
      <c r="BY59" s="42">
        <v>0.42349999999999999</v>
      </c>
      <c r="BZ59" s="42">
        <v>2.3022</v>
      </c>
      <c r="CA59" s="41"/>
      <c r="CB59" s="42"/>
      <c r="CC59" s="42"/>
      <c r="CD59" s="41">
        <v>195.97669999999999</v>
      </c>
      <c r="CE59" s="42">
        <v>2.5545</v>
      </c>
      <c r="CF59" s="42">
        <v>-2.3099999999999999E-2</v>
      </c>
      <c r="CG59" s="41"/>
      <c r="CH59" s="42"/>
      <c r="CI59" s="42"/>
      <c r="CJ59" s="40"/>
      <c r="CK59" s="43" t="str">
        <f t="shared" si="1040"/>
        <v/>
      </c>
      <c r="CL59" s="43" t="str">
        <f t="shared" si="1041"/>
        <v/>
      </c>
      <c r="CM59" s="43" t="str">
        <f t="shared" si="1042"/>
        <v/>
      </c>
      <c r="CN59" s="43">
        <f>CN56</f>
        <v>-7.5253378537638582</v>
      </c>
      <c r="CO59" s="43">
        <f t="shared" ref="CO59:CP59" si="1311">CO56</f>
        <v>7.8555260431434348</v>
      </c>
      <c r="CP59" s="43">
        <f t="shared" si="1311"/>
        <v>-2.924746621474128</v>
      </c>
      <c r="CQ59" s="43" t="str">
        <f t="shared" si="1209"/>
        <v/>
      </c>
      <c r="CR59" s="43" t="str">
        <f t="shared" si="1210"/>
        <v/>
      </c>
      <c r="CS59" s="43" t="str">
        <f t="shared" si="1211"/>
        <v/>
      </c>
      <c r="CT59" s="43">
        <f>CT57</f>
        <v>-10.161389338065874</v>
      </c>
      <c r="CU59" s="43">
        <f t="shared" ref="CU59:CV59" si="1312">CU57</f>
        <v>-0.21486628857944612</v>
      </c>
      <c r="CV59" s="43">
        <f t="shared" si="1312"/>
        <v>-70.698386106613498</v>
      </c>
      <c r="CW59" s="43" t="str">
        <f t="shared" si="1215"/>
        <v/>
      </c>
      <c r="CX59" s="43" t="str">
        <f t="shared" si="1216"/>
        <v/>
      </c>
      <c r="CY59" s="43" t="str">
        <f t="shared" si="1217"/>
        <v/>
      </c>
      <c r="CZ59" s="43">
        <f>CZ57</f>
        <v>-0.72319909497764456</v>
      </c>
      <c r="DA59" s="43">
        <f t="shared" ref="DA59:DB59" si="1313">DA57</f>
        <v>-16.667542840873573</v>
      </c>
      <c r="DB59" s="43">
        <f t="shared" si="1313"/>
        <v>2.8072319909568932</v>
      </c>
      <c r="DC59" s="43" t="str">
        <f t="shared" si="1218"/>
        <v/>
      </c>
      <c r="DD59" s="43" t="str">
        <f t="shared" si="1219"/>
        <v/>
      </c>
      <c r="DE59" s="43" t="str">
        <f t="shared" si="1220"/>
        <v/>
      </c>
    </row>
    <row r="60" spans="1:109" ht="29.25" customHeight="1" x14ac:dyDescent="0.2">
      <c r="A60" s="37">
        <v>44172</v>
      </c>
      <c r="B60" s="29">
        <f t="shared" si="1157"/>
        <v>467</v>
      </c>
      <c r="C60" s="38">
        <v>222.9</v>
      </c>
      <c r="D60" s="38">
        <f t="shared" ref="D60" si="1314">IF(C60="","",+C60-$W$6)</f>
        <v>26.800000000000011</v>
      </c>
      <c r="E60" s="39"/>
      <c r="F60" s="39"/>
      <c r="G60" s="39"/>
      <c r="H60" s="39">
        <v>823244.24410000001</v>
      </c>
      <c r="I60" s="39">
        <v>1091518.7657999999</v>
      </c>
      <c r="J60" s="39">
        <v>-123.614</v>
      </c>
      <c r="K60" s="39"/>
      <c r="L60" s="39"/>
      <c r="M60" s="39"/>
      <c r="N60" s="39">
        <v>823245.51190000004</v>
      </c>
      <c r="O60" s="39">
        <v>1091516.0681</v>
      </c>
      <c r="P60" s="39">
        <v>-121.2805</v>
      </c>
      <c r="Q60" s="39"/>
      <c r="R60" s="39"/>
      <c r="S60" s="39"/>
      <c r="T60" s="39">
        <v>823246.36739999999</v>
      </c>
      <c r="U60" s="39">
        <v>1091514.1155000001</v>
      </c>
      <c r="V60" s="39">
        <v>-123.60550000000001</v>
      </c>
      <c r="W60" s="39"/>
      <c r="X60" s="39"/>
      <c r="Y60" s="39"/>
      <c r="Z60" s="39"/>
      <c r="AA60" s="39">
        <f t="shared" si="1307"/>
        <v>3.7855150745375266</v>
      </c>
      <c r="AB60" s="39"/>
      <c r="AC60" s="39"/>
      <c r="AD60" s="39">
        <f t="shared" si="5"/>
        <v>3.1543861541914895</v>
      </c>
      <c r="AE60" s="39"/>
      <c r="AF60" s="39"/>
      <c r="AG60" s="39">
        <f t="shared" si="8"/>
        <v>5.1121194458491734</v>
      </c>
      <c r="AH60" s="39"/>
      <c r="AI60" s="43"/>
      <c r="AJ60" s="43">
        <f t="shared" ref="AJ60:AJ65" si="1315">IF(AA60="","",AJ$59+(AA60-AA$59)*1000)</f>
        <v>-51.416196177407343</v>
      </c>
      <c r="AK60" s="43"/>
      <c r="AL60" s="43"/>
      <c r="AM60" s="43">
        <f t="shared" ref="AM60:AM65" si="1316">IF(AD60="","",AM$59+(AD60-AD$59)*1000)</f>
        <v>-61.749622554976739</v>
      </c>
      <c r="AN60" s="43"/>
      <c r="AO60" s="43"/>
      <c r="AP60" s="43">
        <f t="shared" ref="AP60:AP65" si="1317">IF(AG60="","",AP$59+(AG60-AG$59)*1000)</f>
        <v>-24.387411126268077</v>
      </c>
      <c r="AQ60" s="43"/>
      <c r="AR60" s="40"/>
      <c r="AS60" s="43" t="str">
        <f t="shared" si="1019"/>
        <v/>
      </c>
      <c r="AT60" s="43" t="str">
        <f t="shared" si="1020"/>
        <v/>
      </c>
      <c r="AU60" s="43" t="str">
        <f t="shared" si="1021"/>
        <v/>
      </c>
      <c r="AV60" s="43">
        <f t="shared" ref="AV60:AV65" si="1318">IF(H60="","",AV$59+(H60-H$59)*1000)</f>
        <v>-2.6999999536201358</v>
      </c>
      <c r="AW60" s="43">
        <f t="shared" ref="AW60:AX60" si="1319">IF(I60="","",AW$59+(I60-I$59)*1000)</f>
        <v>-10.2999999653548</v>
      </c>
      <c r="AX60" s="43">
        <f t="shared" si="1319"/>
        <v>-2.3000000000052978</v>
      </c>
      <c r="AY60" s="43" t="str">
        <f t="shared" si="1025"/>
        <v/>
      </c>
      <c r="AZ60" s="43" t="str">
        <f t="shared" si="1026"/>
        <v/>
      </c>
      <c r="BA60" s="43" t="str">
        <f t="shared" si="1027"/>
        <v/>
      </c>
      <c r="BB60" s="43">
        <f t="shared" ref="BB60:BD60" si="1320">IF(N60="","",BB$59+(N60-N$59)*1000)</f>
        <v>-8.7000000057742</v>
      </c>
      <c r="BC60" s="43">
        <f t="shared" si="1320"/>
        <v>-4.3999999761581421</v>
      </c>
      <c r="BD60" s="43">
        <f t="shared" si="1320"/>
        <v>-70.899999999994634</v>
      </c>
      <c r="BE60" s="43" t="str">
        <f t="shared" si="1031"/>
        <v/>
      </c>
      <c r="BF60" s="43" t="str">
        <f t="shared" si="1032"/>
        <v/>
      </c>
      <c r="BG60" s="43" t="str">
        <f t="shared" si="1033"/>
        <v/>
      </c>
      <c r="BH60" s="43">
        <f t="shared" ref="BH60:BJ60" si="1321">IF(T60="","",BH$59+(T60-T$59)*1000)</f>
        <v>-6.700000143609941</v>
      </c>
      <c r="BI60" s="43">
        <f t="shared" si="1321"/>
        <v>14.500000048428774</v>
      </c>
      <c r="BJ60" s="43">
        <f t="shared" si="1321"/>
        <v>3.5000000000025011</v>
      </c>
      <c r="BK60" s="43" t="str">
        <f t="shared" si="1037"/>
        <v/>
      </c>
      <c r="BL60" s="43" t="str">
        <f t="shared" si="1038"/>
        <v/>
      </c>
      <c r="BM60" s="43" t="str">
        <f t="shared" si="1039"/>
        <v/>
      </c>
      <c r="BN60" s="40"/>
      <c r="BO60" s="39"/>
      <c r="BP60" s="39"/>
      <c r="BQ60" s="39"/>
      <c r="BR60" s="39">
        <v>196.01865258740941</v>
      </c>
      <c r="BS60" s="39">
        <v>-2.5567282317636884</v>
      </c>
      <c r="BT60" s="39">
        <v>-3.1306525874100544E-2</v>
      </c>
      <c r="BU60" s="41"/>
      <c r="BV60" s="42"/>
      <c r="BW60" s="42"/>
      <c r="BX60" s="41">
        <v>196.02746131977548</v>
      </c>
      <c r="BY60" s="42">
        <v>0.42401404756627031</v>
      </c>
      <c r="BZ60" s="42">
        <v>2.3021053868022392</v>
      </c>
      <c r="CA60" s="41"/>
      <c r="CB60" s="42"/>
      <c r="CC60" s="42"/>
      <c r="CD60" s="41">
        <v>195.97752385289303</v>
      </c>
      <c r="CE60" s="42">
        <v>2.5552186973257158</v>
      </c>
      <c r="CF60" s="42">
        <v>-2.2395238528943651E-2</v>
      </c>
      <c r="CG60" s="41"/>
      <c r="CH60" s="42"/>
      <c r="CI60" s="42"/>
      <c r="CJ60" s="40"/>
      <c r="CK60" s="43" t="str">
        <f t="shared" si="1040"/>
        <v/>
      </c>
      <c r="CL60" s="43" t="str">
        <f t="shared" si="1041"/>
        <v/>
      </c>
      <c r="CM60" s="43" t="str">
        <f t="shared" si="1042"/>
        <v/>
      </c>
      <c r="CN60" s="43">
        <f t="shared" ref="CN60:CN65" si="1322">IF(BR60="","",CN$59+(BR60-BR$59)*1000)</f>
        <v>-6.7727504443553244</v>
      </c>
      <c r="CO60" s="43">
        <f t="shared" ref="CO60:CP60" si="1323">IF(BS60="","",CO$59+(BS60-BS$59)*1000)</f>
        <v>8.2272942794552328</v>
      </c>
      <c r="CP60" s="43">
        <f t="shared" si="1323"/>
        <v>-2.2312724955746708</v>
      </c>
      <c r="CQ60" s="43" t="str">
        <f t="shared" si="1209"/>
        <v/>
      </c>
      <c r="CR60" s="43" t="str">
        <f t="shared" si="1210"/>
        <v/>
      </c>
      <c r="CS60" s="43" t="str">
        <f t="shared" si="1211"/>
        <v/>
      </c>
      <c r="CT60" s="43">
        <f t="shared" ref="CT60:CT65" si="1324">IF(BX60="","",CT$59+(BX60-BX$59)*1000)</f>
        <v>-9.7000695625695244</v>
      </c>
      <c r="CU60" s="43">
        <f t="shared" ref="CU60:CV60" si="1325">IF(BY60="","",CU$59+(BY60-BY$59)*1000)</f>
        <v>0.29918127769087977</v>
      </c>
      <c r="CV60" s="43">
        <f t="shared" si="1325"/>
        <v>-70.79299930437432</v>
      </c>
      <c r="CW60" s="43" t="str">
        <f t="shared" si="1215"/>
        <v/>
      </c>
      <c r="CX60" s="43" t="str">
        <f t="shared" si="1216"/>
        <v/>
      </c>
      <c r="CY60" s="43" t="str">
        <f t="shared" si="1217"/>
        <v/>
      </c>
      <c r="CZ60" s="43">
        <f t="shared" ref="CZ60:DB60" si="1326">IF(CD60="","",CZ$59+(CD60-CD$59)*1000)</f>
        <v>0.10065379805723751</v>
      </c>
      <c r="DA60" s="43">
        <f t="shared" si="1326"/>
        <v>-15.948845515157739</v>
      </c>
      <c r="DB60" s="43">
        <f t="shared" si="1326"/>
        <v>3.5119934620132414</v>
      </c>
      <c r="DC60" s="43" t="str">
        <f t="shared" si="1218"/>
        <v/>
      </c>
      <c r="DD60" s="43" t="str">
        <f t="shared" si="1219"/>
        <v/>
      </c>
      <c r="DE60" s="43" t="str">
        <f t="shared" si="1220"/>
        <v/>
      </c>
    </row>
    <row r="61" spans="1:109" ht="29.25" customHeight="1" x14ac:dyDescent="0.2">
      <c r="A61" s="37">
        <v>44229</v>
      </c>
      <c r="B61" s="29">
        <f t="shared" ref="B61" si="1327">IF(A61="","",A61-excav)</f>
        <v>524</v>
      </c>
      <c r="C61" s="38">
        <v>222.9</v>
      </c>
      <c r="D61" s="38">
        <f t="shared" ref="D61" si="1328">IF(C61="","",+C61-$W$6)</f>
        <v>26.800000000000011</v>
      </c>
      <c r="E61" s="39"/>
      <c r="F61" s="39"/>
      <c r="G61" s="39"/>
      <c r="H61" s="39">
        <v>823244.24300000002</v>
      </c>
      <c r="I61" s="39">
        <v>1091518.7660000001</v>
      </c>
      <c r="J61" s="39">
        <v>-123.614</v>
      </c>
      <c r="K61" s="39"/>
      <c r="L61" s="39"/>
      <c r="M61" s="39"/>
      <c r="N61" s="39">
        <v>823245.51100000006</v>
      </c>
      <c r="O61" s="39">
        <v>1091516.0689999999</v>
      </c>
      <c r="P61" s="39">
        <v>-121.28</v>
      </c>
      <c r="Q61" s="39"/>
      <c r="R61" s="39"/>
      <c r="S61" s="39"/>
      <c r="T61" s="39">
        <v>823246.36600000004</v>
      </c>
      <c r="U61" s="39">
        <v>1091514.1159999999</v>
      </c>
      <c r="V61" s="39">
        <v>-123.605</v>
      </c>
      <c r="W61" s="39"/>
      <c r="X61" s="39"/>
      <c r="Y61" s="39"/>
      <c r="Z61" s="39"/>
      <c r="AA61" s="39">
        <f t="shared" si="1307"/>
        <v>3.7853915254522383</v>
      </c>
      <c r="AB61" s="39"/>
      <c r="AC61" s="39"/>
      <c r="AD61" s="39">
        <f t="shared" si="5"/>
        <v>3.1544982168148601</v>
      </c>
      <c r="AE61" s="39"/>
      <c r="AF61" s="39"/>
      <c r="AG61" s="39">
        <f t="shared" si="8"/>
        <v>5.1117228016971099</v>
      </c>
      <c r="AH61" s="39"/>
      <c r="AI61" s="43"/>
      <c r="AJ61" s="43">
        <f t="shared" si="1315"/>
        <v>-51.539745262695561</v>
      </c>
      <c r="AK61" s="43"/>
      <c r="AL61" s="43"/>
      <c r="AM61" s="43">
        <f t="shared" si="1316"/>
        <v>-61.637559931606134</v>
      </c>
      <c r="AN61" s="43"/>
      <c r="AO61" s="43"/>
      <c r="AP61" s="43">
        <f t="shared" si="1317"/>
        <v>-24.784055278331607</v>
      </c>
      <c r="AQ61" s="43"/>
      <c r="AR61" s="40"/>
      <c r="AS61" s="43" t="str">
        <f t="shared" ref="AS61" si="1329">IF(E61="","",(E61-E$10)*1000)</f>
        <v/>
      </c>
      <c r="AT61" s="43" t="str">
        <f t="shared" ref="AT61" si="1330">IF(F61="","",(F61-F$10)*1000)</f>
        <v/>
      </c>
      <c r="AU61" s="43" t="str">
        <f t="shared" ref="AU61" si="1331">IF(G61="","",(G61-G$10)*1000)</f>
        <v/>
      </c>
      <c r="AV61" s="43">
        <f t="shared" si="1318"/>
        <v>-3.7999999476596713</v>
      </c>
      <c r="AW61" s="43">
        <f t="shared" ref="AW61" si="1332">IF(I61="","",AW$59+(I61-I$59)*1000)</f>
        <v>-10.099999839439988</v>
      </c>
      <c r="AX61" s="43">
        <f t="shared" ref="AX61" si="1333">IF(J61="","",AX$59+(J61-J$59)*1000)</f>
        <v>-2.3000000000052978</v>
      </c>
      <c r="AY61" s="43" t="str">
        <f t="shared" ref="AY61" si="1334">IF(K61="","",(K61-K$10)*1000)</f>
        <v/>
      </c>
      <c r="AZ61" s="43" t="str">
        <f t="shared" ref="AZ61" si="1335">IF(L61="","",(L61-L$10)*1000)</f>
        <v/>
      </c>
      <c r="BA61" s="43" t="str">
        <f t="shared" ref="BA61" si="1336">IF(M61="","",(M61-M$10)*1000)</f>
        <v/>
      </c>
      <c r="BB61" s="43">
        <f t="shared" ref="BB61" si="1337">IF(N61="","",BB$59+(N61-N$59)*1000)</f>
        <v>-9.5999999903142452</v>
      </c>
      <c r="BC61" s="43">
        <f t="shared" ref="BC61" si="1338">IF(O61="","",BC$59+(O61-O$59)*1000)</f>
        <v>-3.5000001080334187</v>
      </c>
      <c r="BD61" s="43">
        <f t="shared" ref="BD61" si="1339">IF(P61="","",BD$59+(P61-P$59)*1000)</f>
        <v>-70.399999999992247</v>
      </c>
      <c r="BE61" s="43" t="str">
        <f t="shared" ref="BE61" si="1340">IF(Q61="","",(Q61-Q$10)*1000)</f>
        <v/>
      </c>
      <c r="BF61" s="43" t="str">
        <f t="shared" ref="BF61" si="1341">IF(R61="","",(R61-R$10)*1000)</f>
        <v/>
      </c>
      <c r="BG61" s="43" t="str">
        <f t="shared" ref="BG61" si="1342">IF(S61="","",(S61-S$10)*1000)</f>
        <v/>
      </c>
      <c r="BH61" s="43">
        <f t="shared" ref="BH61" si="1343">IF(T61="","",BH$59+(T61-T$59)*1000)</f>
        <v>-8.100000093691051</v>
      </c>
      <c r="BI61" s="43">
        <f t="shared" ref="BI61" si="1344">IF(U61="","",BI$59+(U61-U$59)*1000)</f>
        <v>14.999999897554517</v>
      </c>
      <c r="BJ61" s="43">
        <f t="shared" ref="BJ61" si="1345">IF(V61="","",BJ$59+(V61-V$59)*1000)</f>
        <v>4.0000000000048885</v>
      </c>
      <c r="BK61" s="43" t="str">
        <f t="shared" ref="BK61" si="1346">IF(W61="","",(W61-W$10)*1000)</f>
        <v/>
      </c>
      <c r="BL61" s="43" t="str">
        <f t="shared" ref="BL61" si="1347">IF(X61="","",(X61-X$10)*1000)</f>
        <v/>
      </c>
      <c r="BM61" s="43" t="str">
        <f t="shared" ref="BM61" si="1348">IF(Y61="","",(Y61-Y$10)*1000)</f>
        <v/>
      </c>
      <c r="BN61" s="40"/>
      <c r="BO61" s="39"/>
      <c r="BP61" s="39"/>
      <c r="BQ61" s="39"/>
      <c r="BR61" s="39">
        <v>196.018</v>
      </c>
      <c r="BS61" s="39">
        <v>-2.5569999999999999</v>
      </c>
      <c r="BT61" s="39">
        <v>-3.1E-2</v>
      </c>
      <c r="BU61" s="41"/>
      <c r="BV61" s="42"/>
      <c r="BW61" s="42"/>
      <c r="BX61" s="41">
        <v>196.02699999999999</v>
      </c>
      <c r="BY61" s="42">
        <v>0.42299999999999999</v>
      </c>
      <c r="BZ61" s="42">
        <v>2.3029999999999999</v>
      </c>
      <c r="CA61" s="41"/>
      <c r="CB61" s="42"/>
      <c r="CC61" s="42"/>
      <c r="CD61" s="41">
        <v>195.976</v>
      </c>
      <c r="CE61" s="42">
        <v>2.5539999999999998</v>
      </c>
      <c r="CF61" s="42">
        <v>-2.1999999999999999E-2</v>
      </c>
      <c r="CG61" s="41"/>
      <c r="CH61" s="42"/>
      <c r="CI61" s="42"/>
      <c r="CJ61" s="40"/>
      <c r="CK61" s="43" t="str">
        <f t="shared" ref="CK61" si="1349">IF(BO61="","",(BO61-BO$10)*1000)</f>
        <v/>
      </c>
      <c r="CL61" s="43" t="str">
        <f t="shared" ref="CL61" si="1350">IF(BP61="","",(BP61-BP$10)*1000)</f>
        <v/>
      </c>
      <c r="CM61" s="43" t="str">
        <f t="shared" ref="CM61" si="1351">IF(BQ61="","",(BQ61-BQ$10)*1000)</f>
        <v/>
      </c>
      <c r="CN61" s="43">
        <f t="shared" si="1322"/>
        <v>-7.4253378537605386</v>
      </c>
      <c r="CO61" s="43">
        <f t="shared" ref="CO61" si="1352">IF(BS61="","",CO$59+(BS61-BS$59)*1000)</f>
        <v>7.9555260431436459</v>
      </c>
      <c r="CP61" s="43">
        <f t="shared" ref="CP61" si="1353">IF(BT61="","",CP$59+(BT61-BT$59)*1000)</f>
        <v>-1.9247466214741271</v>
      </c>
      <c r="CQ61" s="43" t="str">
        <f t="shared" ref="CQ61" si="1354">IF(BU61="","",(BU61-BU$10)*1000)</f>
        <v/>
      </c>
      <c r="CR61" s="43" t="str">
        <f t="shared" ref="CR61" si="1355">IF(BV61="","",(BV61-BV$10)*1000)</f>
        <v/>
      </c>
      <c r="CS61" s="43" t="str">
        <f t="shared" ref="CS61" si="1356">IF(BW61="","",(BW61-BW$10)*1000)</f>
        <v/>
      </c>
      <c r="CT61" s="43">
        <f t="shared" si="1324"/>
        <v>-10.161389338065874</v>
      </c>
      <c r="CU61" s="43">
        <f t="shared" ref="CU61" si="1357">IF(BY61="","",CU$59+(BY61-BY$59)*1000)</f>
        <v>-0.71486628857944656</v>
      </c>
      <c r="CV61" s="43">
        <f t="shared" ref="CV61" si="1358">IF(BZ61="","",CV$59+(BZ61-BZ$59)*1000)</f>
        <v>-69.898386106613586</v>
      </c>
      <c r="CW61" s="43" t="str">
        <f t="shared" ref="CW61" si="1359">IF(CA61="","",(CA61-CA$10)*1000)</f>
        <v/>
      </c>
      <c r="CX61" s="43" t="str">
        <f t="shared" ref="CX61" si="1360">IF(CB61="","",(CB61-CB$10)*1000)</f>
        <v/>
      </c>
      <c r="CY61" s="43" t="str">
        <f t="shared" ref="CY61" si="1361">IF(CC61="","",(CC61-CC$10)*1000)</f>
        <v/>
      </c>
      <c r="CZ61" s="43">
        <f t="shared" ref="CZ61" si="1362">IF(CD61="","",CZ$59+(CD61-CD$59)*1000)</f>
        <v>-1.4231990949724604</v>
      </c>
      <c r="DA61" s="43">
        <f t="shared" ref="DA61" si="1363">IF(CE61="","",DA$59+(CE61-CE$59)*1000)</f>
        <v>-17.16754284087374</v>
      </c>
      <c r="DB61" s="43">
        <f t="shared" ref="DB61" si="1364">IF(CF61="","",DB$59+(CF61-CF$59)*1000)</f>
        <v>3.9072319909568938</v>
      </c>
      <c r="DC61" s="43" t="str">
        <f t="shared" ref="DC61" si="1365">IF(CG61="","",(CG61-CG$10)*1000)</f>
        <v/>
      </c>
      <c r="DD61" s="43" t="str">
        <f t="shared" ref="DD61" si="1366">IF(CH61="","",(CH61-CH$10)*1000)</f>
        <v/>
      </c>
      <c r="DE61" s="43" t="str">
        <f t="shared" ref="DE61" si="1367">IF(CI61="","",(CI61-CI$10)*1000)</f>
        <v/>
      </c>
    </row>
    <row r="62" spans="1:109" ht="29.25" customHeight="1" x14ac:dyDescent="0.2">
      <c r="A62" s="37">
        <v>44273</v>
      </c>
      <c r="B62" s="29">
        <f t="shared" si="1157"/>
        <v>568</v>
      </c>
      <c r="C62" s="38">
        <v>222.9</v>
      </c>
      <c r="D62" s="38">
        <f t="shared" ref="D62" si="1368">IF(C62="","",+C62-$W$6)</f>
        <v>26.800000000000011</v>
      </c>
      <c r="E62" s="39"/>
      <c r="F62" s="39"/>
      <c r="G62" s="39"/>
      <c r="H62" s="39">
        <v>823244.24210000003</v>
      </c>
      <c r="I62" s="39">
        <v>1091518.7671999999</v>
      </c>
      <c r="J62" s="39">
        <v>-123.6134</v>
      </c>
      <c r="K62" s="39"/>
      <c r="L62" s="39"/>
      <c r="M62" s="39"/>
      <c r="N62" s="39">
        <v>823245.51069999998</v>
      </c>
      <c r="O62" s="39">
        <v>1091516.0697999999</v>
      </c>
      <c r="P62" s="39">
        <v>-121.2805</v>
      </c>
      <c r="Q62" s="39"/>
      <c r="R62" s="39"/>
      <c r="S62" s="39"/>
      <c r="T62" s="39">
        <v>823246.36769999994</v>
      </c>
      <c r="U62" s="39">
        <v>1091514.1176</v>
      </c>
      <c r="V62" s="39">
        <v>-123.6049</v>
      </c>
      <c r="W62" s="39"/>
      <c r="X62" s="39"/>
      <c r="Y62" s="39"/>
      <c r="Z62" s="39"/>
      <c r="AA62" s="39">
        <f t="shared" si="1307"/>
        <v>3.7851994834604321</v>
      </c>
      <c r="AB62" s="39"/>
      <c r="AC62" s="39"/>
      <c r="AD62" s="39">
        <f t="shared" si="5"/>
        <v>3.154103549299387</v>
      </c>
      <c r="AE62" s="39"/>
      <c r="AF62" s="39" t="str">
        <f t="shared" si="1303"/>
        <v/>
      </c>
      <c r="AG62" s="39">
        <f t="shared" si="8"/>
        <v>5.1124385344553058</v>
      </c>
      <c r="AH62" s="39" t="str">
        <f t="shared" si="1261"/>
        <v/>
      </c>
      <c r="AI62" s="43" t="str">
        <f t="shared" si="1304"/>
        <v/>
      </c>
      <c r="AJ62" s="43">
        <f t="shared" si="1315"/>
        <v>-51.731787254501782</v>
      </c>
      <c r="AK62" s="43"/>
      <c r="AL62" s="43"/>
      <c r="AM62" s="43">
        <f t="shared" si="1316"/>
        <v>-62.032227447079265</v>
      </c>
      <c r="AN62" s="43"/>
      <c r="AO62" s="43"/>
      <c r="AP62" s="43">
        <f t="shared" si="1317"/>
        <v>-24.068322520135688</v>
      </c>
      <c r="AQ62" s="43" t="str">
        <f>IF(AH62="","",(AH62-AH$10)*1000)</f>
        <v/>
      </c>
      <c r="AR62" s="40"/>
      <c r="AS62" s="43" t="str">
        <f t="shared" si="1019"/>
        <v/>
      </c>
      <c r="AT62" s="43" t="str">
        <f t="shared" si="1020"/>
        <v/>
      </c>
      <c r="AU62" s="43" t="str">
        <f t="shared" si="1021"/>
        <v/>
      </c>
      <c r="AV62" s="43">
        <f t="shared" si="1318"/>
        <v>-4.6999999321997166</v>
      </c>
      <c r="AW62" s="43">
        <f t="shared" ref="AW62" si="1369">IF(I62="","",AW$59+(I62-I$59)*1000)</f>
        <v>-8.9000000152736902</v>
      </c>
      <c r="AX62" s="43">
        <f t="shared" ref="AX62" si="1370">IF(J62="","",AX$59+(J62-J$59)*1000)</f>
        <v>-1.6999999999995907</v>
      </c>
      <c r="AY62" s="43" t="str">
        <f t="shared" ref="AY62" si="1371">IF(K62="","",(K62-K$10)*1000)</f>
        <v/>
      </c>
      <c r="AZ62" s="43" t="str">
        <f t="shared" ref="AZ62" si="1372">IF(L62="","",(L62-L$10)*1000)</f>
        <v/>
      </c>
      <c r="BA62" s="43" t="str">
        <f t="shared" ref="BA62" si="1373">IF(M62="","",(M62-M$10)*1000)</f>
        <v/>
      </c>
      <c r="BB62" s="43">
        <f t="shared" ref="BB62" si="1374">IF(N62="","",BB$59+(N62-N$59)*1000)</f>
        <v>-9.9000000627711415</v>
      </c>
      <c r="BC62" s="43">
        <f t="shared" ref="BC62" si="1375">IF(O62="","",BC$59+(O62-O$59)*1000)</f>
        <v>-2.7000000700354576</v>
      </c>
      <c r="BD62" s="43">
        <f t="shared" ref="BD62" si="1376">IF(P62="","",BD$59+(P62-P$59)*1000)</f>
        <v>-70.899999999994634</v>
      </c>
      <c r="BE62" s="43" t="str">
        <f t="shared" si="1031"/>
        <v/>
      </c>
      <c r="BF62" s="43" t="str">
        <f t="shared" si="1032"/>
        <v/>
      </c>
      <c r="BG62" s="43" t="str">
        <f t="shared" si="1033"/>
        <v/>
      </c>
      <c r="BH62" s="43">
        <f t="shared" ref="BH62" si="1377">IF(T62="","",BH$59+(T62-T$59)*1000)</f>
        <v>-6.4000001875683665</v>
      </c>
      <c r="BI62" s="43">
        <f t="shared" ref="BI62" si="1378">IF(U62="","",BI$59+(U62-U$59)*1000)</f>
        <v>16.599999973550439</v>
      </c>
      <c r="BJ62" s="43">
        <f t="shared" ref="BJ62" si="1379">IF(V62="","",BJ$59+(V62-V$59)*1000)</f>
        <v>4.1000000000082082</v>
      </c>
      <c r="BK62" s="43" t="str">
        <f t="shared" si="1037"/>
        <v/>
      </c>
      <c r="BL62" s="43" t="str">
        <f t="shared" si="1038"/>
        <v/>
      </c>
      <c r="BM62" s="43" t="str">
        <f t="shared" si="1039"/>
        <v/>
      </c>
      <c r="BN62" s="40"/>
      <c r="BO62" s="39"/>
      <c r="BP62" s="39"/>
      <c r="BQ62" s="39"/>
      <c r="BR62" s="39">
        <v>196.01743171612355</v>
      </c>
      <c r="BS62" s="39">
        <v>-2.558842344598403</v>
      </c>
      <c r="BT62" s="39">
        <v>-3.0694317161234608E-2</v>
      </c>
      <c r="BU62" s="41"/>
      <c r="BV62" s="42"/>
      <c r="BW62" s="42"/>
      <c r="BX62" s="41">
        <v>196.02709227764234</v>
      </c>
      <c r="BY62" s="42">
        <v>0.42196616873157072</v>
      </c>
      <c r="BZ62" s="42">
        <v>2.3021090772235766</v>
      </c>
      <c r="CA62" s="41"/>
      <c r="CB62" s="42"/>
      <c r="CC62" s="42"/>
      <c r="CD62" s="41">
        <v>195.9786833096575</v>
      </c>
      <c r="CE62" s="42">
        <v>2.5534422796747882</v>
      </c>
      <c r="CF62" s="42">
        <v>-2.1806833096576383E-2</v>
      </c>
      <c r="CG62" s="41"/>
      <c r="CH62" s="42"/>
      <c r="CI62" s="42"/>
      <c r="CJ62" s="40"/>
      <c r="CK62" s="43" t="str">
        <f t="shared" si="1040"/>
        <v/>
      </c>
      <c r="CL62" s="43" t="str">
        <f t="shared" si="1041"/>
        <v/>
      </c>
      <c r="CM62" s="43" t="str">
        <f t="shared" si="1042"/>
        <v/>
      </c>
      <c r="CN62" s="43">
        <f t="shared" si="1322"/>
        <v>-7.9936217302076784</v>
      </c>
      <c r="CO62" s="43">
        <f t="shared" ref="CO62" si="1380">IF(BS62="","",CO$59+(BS62-BS$59)*1000)</f>
        <v>6.1131814447406008</v>
      </c>
      <c r="CP62" s="43">
        <f t="shared" ref="CP62" si="1381">IF(BT62="","",CP$59+(BT62-BT$59)*1000)</f>
        <v>-1.6190637827087351</v>
      </c>
      <c r="CQ62" s="43" t="str">
        <f t="shared" ref="CQ62" si="1382">IF(BU62="","",(BU62-BU$10)*1000)</f>
        <v/>
      </c>
      <c r="CR62" s="43" t="str">
        <f t="shared" ref="CR62" si="1383">IF(BV62="","",(BV62-BV$10)*1000)</f>
        <v/>
      </c>
      <c r="CS62" s="43" t="str">
        <f t="shared" ref="CS62" si="1384">IF(BW62="","",(BW62-BW$10)*1000)</f>
        <v/>
      </c>
      <c r="CT62" s="43">
        <f t="shared" si="1324"/>
        <v>-10.069111695713673</v>
      </c>
      <c r="CU62" s="43">
        <f t="shared" ref="CU62" si="1385">IF(BY62="","",CU$59+(BY62-BY$59)*1000)</f>
        <v>-1.7486975570087104</v>
      </c>
      <c r="CV62" s="43">
        <f t="shared" ref="CV62" si="1386">IF(BZ62="","",CV$59+(BZ62-BZ$59)*1000)</f>
        <v>-70.789308883036909</v>
      </c>
      <c r="CW62" s="43" t="str">
        <f t="shared" si="1215"/>
        <v/>
      </c>
      <c r="CX62" s="43" t="str">
        <f t="shared" si="1216"/>
        <v/>
      </c>
      <c r="CY62" s="43" t="str">
        <f t="shared" si="1217"/>
        <v/>
      </c>
      <c r="CZ62" s="43">
        <f t="shared" ref="CZ62" si="1387">IF(CD62="","",CZ$59+(CD62-CD$59)*1000)</f>
        <v>1.2601105625265063</v>
      </c>
      <c r="DA62" s="43">
        <f t="shared" ref="DA62" si="1388">IF(CE62="","",DA$59+(CE62-CE$59)*1000)</f>
        <v>-17.725263166085359</v>
      </c>
      <c r="DB62" s="43">
        <f t="shared" ref="DB62" si="1389">IF(CF62="","",DB$59+(CF62-CF$59)*1000)</f>
        <v>4.1003988943805085</v>
      </c>
      <c r="DC62" s="43" t="str">
        <f t="shared" si="1218"/>
        <v/>
      </c>
      <c r="DD62" s="43" t="str">
        <f t="shared" si="1219"/>
        <v/>
      </c>
      <c r="DE62" s="43" t="str">
        <f t="shared" si="1220"/>
        <v/>
      </c>
    </row>
    <row r="63" spans="1:109" ht="29.25" customHeight="1" x14ac:dyDescent="0.2">
      <c r="A63" s="37">
        <v>44322</v>
      </c>
      <c r="B63" s="29">
        <f t="shared" ref="B63" si="1390">IF(A63="","",A63-excav)</f>
        <v>617</v>
      </c>
      <c r="C63" s="38">
        <v>222.9</v>
      </c>
      <c r="D63" s="38">
        <f t="shared" ref="D63" si="1391">IF(C63="","",+C63-$W$6)</f>
        <v>26.800000000000011</v>
      </c>
      <c r="E63" s="39">
        <v>823244.3334</v>
      </c>
      <c r="F63" s="39">
        <v>1091518.7751</v>
      </c>
      <c r="G63" s="39">
        <v>-124.5438</v>
      </c>
      <c r="H63" s="39">
        <v>823244.24309999996</v>
      </c>
      <c r="I63" s="39">
        <v>1091518.7666</v>
      </c>
      <c r="J63" s="39">
        <v>-123.6139</v>
      </c>
      <c r="K63" s="39"/>
      <c r="L63" s="39"/>
      <c r="M63" s="39"/>
      <c r="N63" s="39">
        <v>823245.51029999997</v>
      </c>
      <c r="O63" s="39">
        <v>1091516.0689999999</v>
      </c>
      <c r="P63" s="39">
        <v>-121.2816</v>
      </c>
      <c r="Q63" s="39"/>
      <c r="R63" s="39"/>
      <c r="S63" s="39"/>
      <c r="T63" s="39">
        <v>823246.36710000003</v>
      </c>
      <c r="U63" s="39">
        <v>1091514.1166000001</v>
      </c>
      <c r="V63" s="39">
        <v>-123.6053</v>
      </c>
      <c r="W63" s="39">
        <v>823246.46569999994</v>
      </c>
      <c r="X63" s="39">
        <v>1091514.1895000001</v>
      </c>
      <c r="Y63" s="39">
        <v>-124.5804</v>
      </c>
      <c r="Z63" s="39">
        <f t="shared" ref="Z63:Z77" si="1392">IF(Xhaut="","",SQRT(((Xbasgauche-Xhaut)^2+(Ybasgauche-Yhaut)^2)+(Zbasgauche-Zhaut)^2))</f>
        <v>4.3988657242841622</v>
      </c>
      <c r="AA63" s="39">
        <f t="shared" si="1307"/>
        <v>3.7845032554346054</v>
      </c>
      <c r="AB63" s="39"/>
      <c r="AC63" s="39"/>
      <c r="AD63" s="39">
        <f t="shared" si="5"/>
        <v>3.1536571927634638</v>
      </c>
      <c r="AE63" s="39">
        <f t="shared" si="1260"/>
        <v>3.9150211811978806</v>
      </c>
      <c r="AF63" s="39" t="str">
        <f t="shared" si="1303"/>
        <v/>
      </c>
      <c r="AG63" s="39">
        <f t="shared" si="8"/>
        <v>5.1121375137437992</v>
      </c>
      <c r="AH63" s="39">
        <f t="shared" si="1261"/>
        <v>5.0572492729341594</v>
      </c>
      <c r="AI63" s="43">
        <f t="shared" ref="AI63:AI68" si="1393">IF(Z63="","",AI$59+(Z63-Z$59)*1000)</f>
        <v>-73.122276491803348</v>
      </c>
      <c r="AJ63" s="43">
        <f t="shared" si="1315"/>
        <v>-52.428015280328481</v>
      </c>
      <c r="AK63" s="43" t="str">
        <f t="shared" ref="AK63:AL63" si="1394">IF(AB63="","",(AB63-AB$10)*1000)</f>
        <v/>
      </c>
      <c r="AL63" s="43" t="str">
        <f t="shared" si="1394"/>
        <v/>
      </c>
      <c r="AM63" s="43">
        <f t="shared" si="1316"/>
        <v>-62.478583983002437</v>
      </c>
      <c r="AN63" s="43">
        <f t="shared" ref="AN63:AN68" si="1395">IF(AE63="","",AN$59+(AE63-AE$59)*1000)</f>
        <v>-62.658981450797846</v>
      </c>
      <c r="AO63" s="43" t="str">
        <f t="shared" ref="AO63" si="1396">IF(AF63="","",(AF63-AF$10)*1000)</f>
        <v/>
      </c>
      <c r="AP63" s="43">
        <f t="shared" si="1317"/>
        <v>-24.369343231642304</v>
      </c>
      <c r="AQ63" s="43">
        <f>IF(AH63="","",AQ$59+(AH63-AH$59)*1000)</f>
        <v>-30.91793851411051</v>
      </c>
      <c r="AR63" s="40"/>
      <c r="AS63" s="43">
        <f t="shared" ref="AS63" si="1397">IF(E63="","",(E63-E$10)*1000)</f>
        <v>3.0000000260770321</v>
      </c>
      <c r="AT63" s="43">
        <f t="shared" ref="AT63" si="1398">IF(F63="","",(F63-F$10)*1000)</f>
        <v>-9.4000000972300768</v>
      </c>
      <c r="AU63" s="43">
        <f t="shared" ref="AU63" si="1399">IF(G63="","",(G63-G$10)*1000)</f>
        <v>7.6999999999998181</v>
      </c>
      <c r="AV63" s="43">
        <f t="shared" si="1318"/>
        <v>-3.7000000011175871</v>
      </c>
      <c r="AW63" s="43">
        <f t="shared" ref="AW63" si="1400">IF(I63="","",AW$59+(I63-I$59)*1000)</f>
        <v>-9.4999999273568392</v>
      </c>
      <c r="AX63" s="43">
        <f t="shared" ref="AX63" si="1401">IF(J63="","",AX$59+(J63-J$59)*1000)</f>
        <v>-2.2000000000019782</v>
      </c>
      <c r="AY63" s="43"/>
      <c r="AZ63" s="43"/>
      <c r="BA63" s="43"/>
      <c r="BB63" s="43">
        <f t="shared" ref="BB63" si="1402">IF(N63="","",BB$59+(N63-N$59)*1000)</f>
        <v>-10.300000081770122</v>
      </c>
      <c r="BC63" s="43">
        <f t="shared" ref="BC63" si="1403">IF(O63="","",BC$59+(O63-O$59)*1000)</f>
        <v>-3.5000001080334187</v>
      </c>
      <c r="BD63" s="43">
        <f t="shared" ref="BD63" si="1404">IF(P63="","",BD$59+(P63-P$59)*1000)</f>
        <v>-71.999999999988518</v>
      </c>
      <c r="BE63" s="43" t="str">
        <f t="shared" si="1031"/>
        <v/>
      </c>
      <c r="BF63" s="43" t="str">
        <f t="shared" si="1032"/>
        <v/>
      </c>
      <c r="BG63" s="43" t="str">
        <f t="shared" si="1033"/>
        <v/>
      </c>
      <c r="BH63" s="43">
        <f t="shared" ref="BH63" si="1405">IF(T63="","",BH$59+(T63-T$59)*1000)</f>
        <v>-7.0000000996515155</v>
      </c>
      <c r="BI63" s="43">
        <f t="shared" ref="BI63" si="1406">IF(U63="","",BI$59+(U63-U$59)*1000)</f>
        <v>15.600000042468309</v>
      </c>
      <c r="BJ63" s="43">
        <f t="shared" ref="BJ63" si="1407">IF(V63="","",BJ$59+(V63-V$59)*1000)</f>
        <v>3.7000000000091404</v>
      </c>
      <c r="BK63" s="43">
        <f t="shared" ref="BK63" si="1408">IF(W63="","",(W63-W$10)*1000)</f>
        <v>-9.9000000627711415</v>
      </c>
      <c r="BL63" s="43">
        <f t="shared" ref="BL63" si="1409">IF(X63="","",(X63-X$10)*1000)</f>
        <v>18.800000194460154</v>
      </c>
      <c r="BM63" s="43">
        <f t="shared" ref="BM63" si="1410">IF(Y63="","",(Y63-Y$10)*1000)</f>
        <v>-8.6000000000012733</v>
      </c>
      <c r="BN63" s="40"/>
      <c r="BO63" s="39">
        <v>196.10351513110055</v>
      </c>
      <c r="BP63" s="39">
        <v>-2.527413923353925</v>
      </c>
      <c r="BQ63" s="39">
        <v>-0.96195515131101672</v>
      </c>
      <c r="BR63" s="39">
        <v>196.01808441694135</v>
      </c>
      <c r="BS63" s="39">
        <v>-2.5578759174676193</v>
      </c>
      <c r="BT63" s="39">
        <v>-3.1200844169418929E-2</v>
      </c>
      <c r="BU63" s="41"/>
      <c r="BV63" s="42"/>
      <c r="BW63" s="42"/>
      <c r="BX63" s="41">
        <v>196.0263916391813</v>
      </c>
      <c r="BY63" s="42">
        <v>0.42252214159324736</v>
      </c>
      <c r="BZ63" s="42">
        <v>2.3010160836081894</v>
      </c>
      <c r="CA63" s="41"/>
      <c r="CB63" s="42"/>
      <c r="CC63" s="42"/>
      <c r="CD63" s="41">
        <v>195.97771688252672</v>
      </c>
      <c r="CE63" s="42">
        <v>2.5540949804926072</v>
      </c>
      <c r="CF63" s="42">
        <v>-2.2197168825272229E-2</v>
      </c>
      <c r="CG63" s="41">
        <v>196.09788861003989</v>
      </c>
      <c r="CH63" s="42">
        <v>2.5296997782404564</v>
      </c>
      <c r="CI63" s="42">
        <v>-0.99849888610039272</v>
      </c>
      <c r="CJ63" s="40"/>
      <c r="CK63" s="43">
        <f t="shared" ref="CK63" si="1411">IF(BO63="","",(BO63-BO$10)*1000)</f>
        <v>-1.2540527648354782</v>
      </c>
      <c r="CL63" s="43">
        <f t="shared" ref="CL63" si="1412">IF(BP63="","",(BP63-BP$10)*1000)</f>
        <v>9.7871013915002969</v>
      </c>
      <c r="CM63" s="43">
        <f t="shared" ref="CM63" si="1413">IF(BQ63="","",(BQ63-BQ$10)*1000)</f>
        <v>7.7125405276490255</v>
      </c>
      <c r="CN63" s="43">
        <f t="shared" si="1322"/>
        <v>-7.3409209124122299</v>
      </c>
      <c r="CO63" s="43">
        <f t="shared" ref="CO63" si="1414">IF(BS63="","",CO$59+(BS63-BS$59)*1000)</f>
        <v>7.0796085755242544</v>
      </c>
      <c r="CP63" s="43">
        <f t="shared" ref="CP63" si="1415">IF(BT63="","",CP$59+(BT63-BT$59)*1000)</f>
        <v>-2.1255907908930558</v>
      </c>
      <c r="CQ63" s="43"/>
      <c r="CR63" s="43"/>
      <c r="CS63" s="43"/>
      <c r="CT63" s="43">
        <f t="shared" si="1324"/>
        <v>-10.769750156754299</v>
      </c>
      <c r="CU63" s="43">
        <f t="shared" ref="CU63" si="1416">IF(BY63="","",CU$59+(BY63-BY$59)*1000)</f>
        <v>-1.1927246953320758</v>
      </c>
      <c r="CV63" s="43">
        <f t="shared" ref="CV63" si="1417">IF(BZ63="","",CV$59+(BZ63-BZ$59)*1000)</f>
        <v>-71.882302498424082</v>
      </c>
      <c r="CW63" s="43"/>
      <c r="CX63" s="43"/>
      <c r="CY63" s="43"/>
      <c r="CZ63" s="43">
        <f t="shared" ref="CZ63" si="1418">IF(CD63="","",CZ$59+(CD63-CD$59)*1000)</f>
        <v>0.29368343174951406</v>
      </c>
      <c r="DA63" s="43">
        <f t="shared" ref="DA63" si="1419">IF(CE63="","",DA$59+(CE63-CE$59)*1000)</f>
        <v>-17.072562348266374</v>
      </c>
      <c r="DB63" s="43">
        <f t="shared" ref="DB63" si="1420">IF(CF63="","",DB$59+(CF63-CF$59)*1000)</f>
        <v>3.7100631656846632</v>
      </c>
      <c r="DC63" s="43">
        <f t="shared" ref="DC63" si="1421">IF(CG63="","",(CG63-CG$10)*1000)</f>
        <v>-1.0264334716225676</v>
      </c>
      <c r="DD63" s="43">
        <f t="shared" ref="DD63" si="1422">IF(CH63="","",(CH63-CH$10)*1000)</f>
        <v>-21.222545626835121</v>
      </c>
      <c r="DE63" s="43">
        <f t="shared" ref="DE63" si="1423">IF(CI63="","",(CI63-CI$10)*1000)</f>
        <v>-8.5897356652822054</v>
      </c>
    </row>
    <row r="64" spans="1:109" ht="29.25" customHeight="1" x14ac:dyDescent="0.2">
      <c r="A64" s="37">
        <v>44357</v>
      </c>
      <c r="B64" s="29">
        <f t="shared" ref="B64" si="1424">IF(A64="","",A64-excav)</f>
        <v>652</v>
      </c>
      <c r="C64" s="38">
        <v>222.9</v>
      </c>
      <c r="D64" s="38">
        <f t="shared" ref="D64" si="1425">IF(C64="","",+C64-$W$6)</f>
        <v>26.800000000000011</v>
      </c>
      <c r="E64" s="39">
        <v>823244.33285000001</v>
      </c>
      <c r="F64" s="39">
        <v>1091518.7752499999</v>
      </c>
      <c r="G64" s="39">
        <v>-124.5461</v>
      </c>
      <c r="H64" s="39">
        <v>823244.24310000008</v>
      </c>
      <c r="I64" s="39">
        <v>1091518.7667</v>
      </c>
      <c r="J64" s="39">
        <v>-123.6165</v>
      </c>
      <c r="K64" s="39"/>
      <c r="L64" s="39"/>
      <c r="M64" s="39"/>
      <c r="N64" s="39">
        <v>823245.51055000001</v>
      </c>
      <c r="O64" s="39">
        <v>1091516.0684500001</v>
      </c>
      <c r="P64" s="39">
        <v>-121.28415</v>
      </c>
      <c r="Q64" s="39"/>
      <c r="R64" s="39"/>
      <c r="S64" s="39"/>
      <c r="T64" s="39">
        <v>823246.36664999998</v>
      </c>
      <c r="U64" s="39">
        <v>1091514.1172000002</v>
      </c>
      <c r="V64" s="39">
        <v>-123.60785</v>
      </c>
      <c r="W64" s="39">
        <v>823246.46505</v>
      </c>
      <c r="X64" s="39">
        <v>1091514.1901500002</v>
      </c>
      <c r="Y64" s="39">
        <v>-124.58265</v>
      </c>
      <c r="Z64" s="39">
        <f t="shared" si="1392"/>
        <v>4.3993250995437849</v>
      </c>
      <c r="AA64" s="39">
        <f t="shared" si="1307"/>
        <v>3.7850811202365531</v>
      </c>
      <c r="AB64" s="39"/>
      <c r="AC64" s="39"/>
      <c r="AD64" s="39">
        <f t="shared" si="5"/>
        <v>3.1527552176100118</v>
      </c>
      <c r="AE64" s="39">
        <f t="shared" si="1260"/>
        <v>3.9139728397011946</v>
      </c>
      <c r="AF64" s="39" t="str">
        <f t="shared" si="1303"/>
        <v/>
      </c>
      <c r="AG64" s="39">
        <f t="shared" si="8"/>
        <v>5.1114958351695581</v>
      </c>
      <c r="AH64" s="39">
        <f t="shared" si="1261"/>
        <v>5.0567533804378506</v>
      </c>
      <c r="AI64" s="43">
        <f t="shared" si="1393"/>
        <v>-72.662901232180658</v>
      </c>
      <c r="AJ64" s="43">
        <f t="shared" si="1315"/>
        <v>-51.850150478380826</v>
      </c>
      <c r="AK64" s="43"/>
      <c r="AL64" s="43"/>
      <c r="AM64" s="43">
        <f t="shared" si="1316"/>
        <v>-63.380559136454465</v>
      </c>
      <c r="AN64" s="43">
        <f t="shared" si="1395"/>
        <v>-63.707322947483824</v>
      </c>
      <c r="AO64" s="43" t="str">
        <f t="shared" ref="AO64" si="1426">IF(AF64="","",(AF64-AF$10)*1000)</f>
        <v/>
      </c>
      <c r="AP64" s="43">
        <f t="shared" si="1317"/>
        <v>-25.011021805883438</v>
      </c>
      <c r="AQ64" s="43">
        <f>IF(AH64="","",AQ$59+(AH64-AH$59)*1000)</f>
        <v>-31.41383101041928</v>
      </c>
      <c r="AR64" s="40"/>
      <c r="AS64" s="43">
        <f t="shared" ref="AS64" si="1427">IF(E64="","",(E64-E$10)*1000)</f>
        <v>2.4500000290572643</v>
      </c>
      <c r="AT64" s="43">
        <f t="shared" ref="AT64" si="1428">IF(F64="","",(F64-F$10)*1000)</f>
        <v>-9.2500001192092896</v>
      </c>
      <c r="AU64" s="43">
        <f t="shared" ref="AU64" si="1429">IF(G64="","",(G64-G$10)*1000)</f>
        <v>5.4000000000087311</v>
      </c>
      <c r="AV64" s="43">
        <f t="shared" si="1318"/>
        <v>-3.6999998847022653</v>
      </c>
      <c r="AW64" s="43">
        <f t="shared" ref="AW64" si="1430">IF(I64="","",AW$59+(I64-I$59)*1000)</f>
        <v>-9.3999998643994331</v>
      </c>
      <c r="AX64" s="43">
        <f t="shared" ref="AX64" si="1431">IF(J64="","",AX$59+(J64-J$59)*1000)</f>
        <v>-4.8000000000030241</v>
      </c>
      <c r="AY64" s="43"/>
      <c r="AZ64" s="43"/>
      <c r="BA64" s="43"/>
      <c r="BB64" s="43">
        <f t="shared" ref="BB64" si="1432">IF(N64="","",BB$59+(N64-N$59)*1000)</f>
        <v>-10.050000040791929</v>
      </c>
      <c r="BC64" s="43">
        <f t="shared" ref="BC64" si="1433">IF(O64="","",BC$59+(O64-O$59)*1000)</f>
        <v>-4.0499998722225428</v>
      </c>
      <c r="BD64" s="43">
        <f t="shared" ref="BD64" si="1434">IF(P64="","",BD$59+(P64-P$59)*1000)</f>
        <v>-74.549999999987904</v>
      </c>
      <c r="BE64" s="43" t="str">
        <f t="shared" ref="BE64" si="1435">IF(Q64="","",(Q64-Q$10)*1000)</f>
        <v/>
      </c>
      <c r="BF64" s="43" t="str">
        <f t="shared" ref="BF64" si="1436">IF(R64="","",(R64-R$10)*1000)</f>
        <v/>
      </c>
      <c r="BG64" s="43" t="str">
        <f t="shared" ref="BG64" si="1437">IF(S64="","",(S64-S$10)*1000)</f>
        <v/>
      </c>
      <c r="BH64" s="43">
        <f t="shared" ref="BH64" si="1438">IF(T64="","",BH$59+(T64-T$59)*1000)</f>
        <v>-7.450000150129199</v>
      </c>
      <c r="BI64" s="43">
        <f t="shared" ref="BI64" si="1439">IF(U64="","",BI$59+(U64-U$59)*1000)</f>
        <v>16.200000187382102</v>
      </c>
      <c r="BJ64" s="43">
        <f t="shared" ref="BJ64" si="1440">IF(V64="","",BJ$59+(V64-V$59)*1000)</f>
        <v>1.1500000000097543</v>
      </c>
      <c r="BK64" s="43">
        <f t="shared" ref="BK64" si="1441">IF(W64="","",(W64-W$10)*1000)</f>
        <v>-10.550000006332994</v>
      </c>
      <c r="BL64" s="43">
        <f t="shared" ref="BL64" si="1442">IF(X64="","",(X64-X$10)*1000)</f>
        <v>19.450000254437327</v>
      </c>
      <c r="BM64" s="43">
        <f t="shared" ref="BM64" si="1443">IF(Y64="","",(Y64-Y$10)*1000)</f>
        <v>-10.850000000004911</v>
      </c>
      <c r="BN64" s="40"/>
      <c r="BO64" s="39">
        <v>196.10308006826844</v>
      </c>
      <c r="BP64" s="39">
        <v>-2.5277823257456724</v>
      </c>
      <c r="BQ64" s="39">
        <v>-0.96425080068267732</v>
      </c>
      <c r="BR64" s="39">
        <v>196.01812668227447</v>
      </c>
      <c r="BS64" s="39">
        <v>-2.5579665466803774</v>
      </c>
      <c r="BT64" s="39">
        <v>-3.3801266822749199E-2</v>
      </c>
      <c r="BU64" s="41" t="s">
        <v>77</v>
      </c>
      <c r="BV64" s="42" t="s">
        <v>77</v>
      </c>
      <c r="BW64" s="42" t="s">
        <v>77</v>
      </c>
      <c r="BX64" s="41">
        <v>196.02638575372487</v>
      </c>
      <c r="BY64" s="42">
        <v>0.42312626502640766</v>
      </c>
      <c r="BZ64" s="42">
        <v>2.2984661424627575</v>
      </c>
      <c r="CA64" s="41" t="s">
        <v>77</v>
      </c>
      <c r="CB64" s="42" t="s">
        <v>77</v>
      </c>
      <c r="CC64" s="42" t="s">
        <v>77</v>
      </c>
      <c r="CD64" s="41">
        <v>195.97756264232618</v>
      </c>
      <c r="CE64" s="42">
        <v>2.5533610117058667</v>
      </c>
      <c r="CF64" s="42">
        <v>-2.4745626423268163E-2</v>
      </c>
      <c r="CG64" s="41">
        <v>196.09757424409099</v>
      </c>
      <c r="CH64" s="42">
        <v>2.5288359645714276</v>
      </c>
      <c r="CI64" s="42">
        <v>-1.0007457424409125</v>
      </c>
      <c r="CJ64" s="40"/>
      <c r="CK64" s="43">
        <f t="shared" ref="CK64" si="1444">IF(BO64="","",(BO64-BO$10)*1000)</f>
        <v>-1.6891155969460669</v>
      </c>
      <c r="CL64" s="43">
        <f t="shared" ref="CL64" si="1445">IF(BP64="","",(BP64-BP$10)*1000)</f>
        <v>9.4186989997528947</v>
      </c>
      <c r="CM64" s="43">
        <f t="shared" ref="CM64" si="1446">IF(BQ64="","",(BQ64-BQ$10)*1000)</f>
        <v>5.4168911559884236</v>
      </c>
      <c r="CN64" s="43">
        <f t="shared" si="1322"/>
        <v>-7.2986555792908803</v>
      </c>
      <c r="CO64" s="43">
        <f t="shared" ref="CO64" si="1447">IF(BS64="","",CO$59+(BS64-BS$59)*1000)</f>
        <v>6.9889793627662122</v>
      </c>
      <c r="CP64" s="43">
        <f t="shared" ref="CP64" si="1448">IF(BT64="","",CP$59+(BT64-BT$59)*1000)</f>
        <v>-4.7260134442233257</v>
      </c>
      <c r="CQ64" s="43"/>
      <c r="CR64" s="43"/>
      <c r="CS64" s="43"/>
      <c r="CT64" s="43">
        <f t="shared" si="1324"/>
        <v>-10.775635613185841</v>
      </c>
      <c r="CU64" s="43">
        <f t="shared" ref="CU64" si="1449">IF(BY64="","",CU$59+(BY64-BY$59)*1000)</f>
        <v>-0.58860126217177844</v>
      </c>
      <c r="CV64" s="43">
        <f t="shared" ref="CV64" si="1450">IF(BZ64="","",CV$59+(BZ64-BZ$59)*1000)</f>
        <v>-74.432243643856026</v>
      </c>
      <c r="CW64" s="43"/>
      <c r="CX64" s="43"/>
      <c r="CY64" s="43"/>
      <c r="CZ64" s="43">
        <f t="shared" ref="CZ64" si="1451">IF(CD64="","",CZ$59+(CD64-CD$59)*1000)</f>
        <v>0.13944323120540503</v>
      </c>
      <c r="DA64" s="43">
        <f t="shared" ref="DA64" si="1452">IF(CE64="","",DA$59+(CE64-CE$59)*1000)</f>
        <v>-17.806531135006853</v>
      </c>
      <c r="DB64" s="43">
        <f t="shared" ref="DB64" si="1453">IF(CF64="","",DB$59+(CF64-CF$59)*1000)</f>
        <v>1.1616055676887289</v>
      </c>
      <c r="DC64" s="43">
        <f t="shared" ref="DC64" si="1454">IF(CG64="","",(CG64-CG$10)*1000)</f>
        <v>-1.340799420518124</v>
      </c>
      <c r="DD64" s="43">
        <f t="shared" ref="DD64" si="1455">IF(CH64="","",(CH64-CH$10)*1000)</f>
        <v>-22.086359295864</v>
      </c>
      <c r="DE64" s="43">
        <f t="shared" ref="DE64" si="1456">IF(CI64="","",(CI64-CI$10)*1000)</f>
        <v>-10.836592005802004</v>
      </c>
    </row>
    <row r="65" spans="1:114" ht="29.25" customHeight="1" x14ac:dyDescent="0.2">
      <c r="A65" s="37">
        <v>44369</v>
      </c>
      <c r="B65" s="29">
        <f t="shared" ref="B65" si="1457">IF(A65="","",A65-excav)</f>
        <v>664</v>
      </c>
      <c r="C65" s="38">
        <v>222.9</v>
      </c>
      <c r="D65" s="38">
        <f t="shared" ref="D65" si="1458">IF(C65="","",+C65-$W$6)</f>
        <v>26.800000000000011</v>
      </c>
      <c r="E65" s="39">
        <v>823244.33200000005</v>
      </c>
      <c r="F65" s="39">
        <v>1091518.774</v>
      </c>
      <c r="G65" s="39">
        <v>-124.5468</v>
      </c>
      <c r="H65" s="39">
        <v>823244.24210000003</v>
      </c>
      <c r="I65" s="39">
        <v>1091518.7657000001</v>
      </c>
      <c r="J65" s="39">
        <v>-123.61709999999999</v>
      </c>
      <c r="K65" s="39"/>
      <c r="L65" s="39"/>
      <c r="M65" s="39"/>
      <c r="N65" s="39">
        <v>823245.50870000001</v>
      </c>
      <c r="O65" s="39">
        <v>1091516.067</v>
      </c>
      <c r="P65" s="39">
        <v>-121.28530000000001</v>
      </c>
      <c r="Q65" s="39"/>
      <c r="R65" s="39"/>
      <c r="S65" s="39"/>
      <c r="T65" s="39">
        <v>823246.36450000003</v>
      </c>
      <c r="U65" s="39">
        <v>1091514.1163999999</v>
      </c>
      <c r="V65" s="39">
        <v>-123.60850000000001</v>
      </c>
      <c r="W65" s="39"/>
      <c r="X65" s="39"/>
      <c r="Y65" s="39"/>
      <c r="Z65" s="39">
        <f t="shared" si="1392"/>
        <v>4.3988469102192882</v>
      </c>
      <c r="AA65" s="39">
        <f t="shared" si="1307"/>
        <v>3.7847785259233917</v>
      </c>
      <c r="AB65" s="39"/>
      <c r="AC65" s="39"/>
      <c r="AD65" s="39">
        <f t="shared" si="5"/>
        <v>3.1519029554249971</v>
      </c>
      <c r="AE65" s="39"/>
      <c r="AF65" s="39" t="str">
        <f t="shared" si="1303"/>
        <v/>
      </c>
      <c r="AG65" s="39">
        <f t="shared" si="8"/>
        <v>5.1108361558067035</v>
      </c>
      <c r="AH65" s="39" t="str">
        <f t="shared" si="1261"/>
        <v/>
      </c>
      <c r="AI65" s="43">
        <f t="shared" si="1393"/>
        <v>-73.141090556677383</v>
      </c>
      <c r="AJ65" s="43">
        <f t="shared" si="1315"/>
        <v>-52.152744791542197</v>
      </c>
      <c r="AK65" s="43"/>
      <c r="AL65" s="43"/>
      <c r="AM65" s="43">
        <f t="shared" si="1316"/>
        <v>-64.232821321469132</v>
      </c>
      <c r="AN65" s="43" t="str">
        <f t="shared" si="1395"/>
        <v/>
      </c>
      <c r="AO65" s="43" t="str">
        <f t="shared" ref="AO65" si="1459">IF(AF65="","",(AF65-AF$10)*1000)</f>
        <v/>
      </c>
      <c r="AP65" s="43">
        <f t="shared" si="1317"/>
        <v>-25.670701168738042</v>
      </c>
      <c r="AQ65" s="43" t="str">
        <f>IF(AH65="","",AQ$59+(AH65-AH$59)*1000)</f>
        <v/>
      </c>
      <c r="AR65" s="40"/>
      <c r="AS65" s="43">
        <f t="shared" ref="AS65" si="1460">IF(E65="","",(E65-E$10)*1000)</f>
        <v>1.6000000759959221</v>
      </c>
      <c r="AT65" s="43">
        <f t="shared" ref="AT65" si="1461">IF(F65="","",(F65-F$10)*1000)</f>
        <v>-10.500000091269612</v>
      </c>
      <c r="AU65" s="43">
        <f t="shared" ref="AU65" si="1462">IF(G65="","",(G65-G$10)*1000)</f>
        <v>4.6999999999997044</v>
      </c>
      <c r="AV65" s="43">
        <f t="shared" si="1318"/>
        <v>-4.6999999321997166</v>
      </c>
      <c r="AW65" s="43">
        <f t="shared" ref="AW65" si="1463">IF(I65="","",AW$59+(I65-I$59)*1000)</f>
        <v>-10.399999795481563</v>
      </c>
      <c r="AX65" s="43">
        <f t="shared" ref="AX65" si="1464">IF(J65="","",AX$59+(J65-J$59)*1000)</f>
        <v>-5.3999999999945203</v>
      </c>
      <c r="AY65" s="43"/>
      <c r="AZ65" s="43"/>
      <c r="BA65" s="43"/>
      <c r="BB65" s="43">
        <f t="shared" ref="BB65" si="1465">IF(N65="","",BB$59+(N65-N$59)*1000)</f>
        <v>-11.900000041350722</v>
      </c>
      <c r="BC65" s="43">
        <f t="shared" ref="BC65" si="1466">IF(O65="","",BC$59+(O65-O$59)*1000)</f>
        <v>-5.4999999701976776</v>
      </c>
      <c r="BD65" s="43">
        <f t="shared" ref="BD65" si="1467">IF(P65="","",BD$59+(P65-P$59)*1000)</f>
        <v>-75.699999999997658</v>
      </c>
      <c r="BE65" s="43"/>
      <c r="BF65" s="43"/>
      <c r="BG65" s="43"/>
      <c r="BH65" s="43">
        <f t="shared" ref="BH65" si="1468">IF(T65="","",BH$59+(T65-T$59)*1000)</f>
        <v>-9.6000001067295671</v>
      </c>
      <c r="BI65" s="43">
        <f t="shared" ref="BI65" si="1469">IF(U65="","",BI$59+(U65-U$59)*1000)</f>
        <v>15.399999916553497</v>
      </c>
      <c r="BJ65" s="43">
        <f t="shared" ref="BJ65" si="1470">IF(V65="","",BJ$59+(V65-V$59)*1000)</f>
        <v>0.50000000000238742</v>
      </c>
      <c r="BK65" s="43" t="str">
        <f t="shared" ref="BK65" si="1471">IF(W65="","",(W65-W$10)*1000)</f>
        <v/>
      </c>
      <c r="BL65" s="43" t="str">
        <f t="shared" ref="BL65" si="1472">IF(X65="","",(X65-X$10)*1000)</f>
        <v/>
      </c>
      <c r="BM65" s="43" t="str">
        <f t="shared" ref="BM65" si="1473">IF(Y65="","",(Y65-Y$10)*1000)</f>
        <v/>
      </c>
      <c r="BN65" s="40"/>
      <c r="BO65" s="39">
        <v>196.10178140506838</v>
      </c>
      <c r="BP65" s="39">
        <v>-2.5270087148983009</v>
      </c>
      <c r="BQ65" s="39">
        <v>-0.96493781405068546</v>
      </c>
      <c r="BR65" s="39">
        <v>196.01679773820132</v>
      </c>
      <c r="BS65" s="39">
        <v>-2.5574829067238274</v>
      </c>
      <c r="BT65" s="39">
        <v>-3.4387977382010604E-2</v>
      </c>
      <c r="BU65" s="41" t="s">
        <v>77</v>
      </c>
      <c r="BV65" s="42" t="s">
        <v>77</v>
      </c>
      <c r="BW65" s="42" t="s">
        <v>77</v>
      </c>
      <c r="BX65" s="41">
        <v>196.02409626797737</v>
      </c>
      <c r="BY65" s="42">
        <v>0.42365848236757375</v>
      </c>
      <c r="BZ65" s="42">
        <v>2.2973390373202136</v>
      </c>
      <c r="CA65" s="41" t="s">
        <v>77</v>
      </c>
      <c r="CB65" s="42" t="s">
        <v>77</v>
      </c>
      <c r="CC65" s="42" t="s">
        <v>77</v>
      </c>
      <c r="CD65" s="41">
        <v>195.97527599273724</v>
      </c>
      <c r="CE65" s="42">
        <v>2.553177343787282</v>
      </c>
      <c r="CF65" s="42">
        <v>-2.5372759927378752E-2</v>
      </c>
      <c r="CG65" s="41" t="s">
        <v>77</v>
      </c>
      <c r="CH65" s="42" t="s">
        <v>77</v>
      </c>
      <c r="CI65" s="42" t="s">
        <v>77</v>
      </c>
      <c r="CJ65" s="40"/>
      <c r="CK65" s="43">
        <f t="shared" ref="CK65" si="1474">IF(BO65="","",(BO65-BO$10)*1000)</f>
        <v>-2.9877787970065128</v>
      </c>
      <c r="CL65" s="43">
        <f t="shared" ref="CL65" si="1475">IF(BP65="","",(BP65-BP$10)*1000)</f>
        <v>10.192309847124381</v>
      </c>
      <c r="CM65" s="43">
        <f t="shared" ref="CM65" si="1476">IF(BQ65="","",(BQ65-BQ$10)*1000)</f>
        <v>4.7298777879802856</v>
      </c>
      <c r="CN65" s="43">
        <f t="shared" si="1322"/>
        <v>-8.6275996524420862</v>
      </c>
      <c r="CO65" s="43">
        <f t="shared" ref="CO65" si="1477">IF(BS65="","",CO$59+(BS65-BS$59)*1000)</f>
        <v>7.4726193193161983</v>
      </c>
      <c r="CP65" s="43">
        <f t="shared" ref="CP65" si="1478">IF(BT65="","",CP$59+(BT65-BT$59)*1000)</f>
        <v>-5.312724003484731</v>
      </c>
      <c r="CQ65" s="43"/>
      <c r="CR65" s="43"/>
      <c r="CS65" s="43"/>
      <c r="CT65" s="43">
        <f t="shared" si="1324"/>
        <v>-13.065121360682497</v>
      </c>
      <c r="CU65" s="43">
        <f t="shared" ref="CU65" si="1479">IF(BY65="","",CU$59+(BY65-BY$59)*1000)</f>
        <v>-5.638392100568157E-2</v>
      </c>
      <c r="CV65" s="43">
        <f t="shared" ref="CV65" si="1480">IF(BZ65="","",CV$59+(BZ65-BZ$59)*1000)</f>
        <v>-75.559348786399909</v>
      </c>
      <c r="CW65" s="43"/>
      <c r="CX65" s="43"/>
      <c r="CY65" s="43"/>
      <c r="CZ65" s="43">
        <f t="shared" ref="CZ65" si="1481">IF(CD65="","",CZ$59+(CD65-CD$59)*1000)</f>
        <v>-2.1472063577334666</v>
      </c>
      <c r="DA65" s="43">
        <f t="shared" ref="DA65" si="1482">IF(CE65="","",DA$59+(CE65-CE$59)*1000)</f>
        <v>-17.99019905359156</v>
      </c>
      <c r="DB65" s="43">
        <f t="shared" ref="DB65" si="1483">IF(CF65="","",DB$59+(CF65-CF$59)*1000)</f>
        <v>0.53447206357814059</v>
      </c>
      <c r="DC65" s="43"/>
      <c r="DD65" s="43"/>
      <c r="DE65" s="43"/>
    </row>
    <row r="66" spans="1:114" ht="29.25" customHeight="1" x14ac:dyDescent="0.2">
      <c r="A66" s="37">
        <v>44376</v>
      </c>
      <c r="B66" s="29">
        <f t="shared" ref="B66" si="1484">IF(A66="","",A66-excav)</f>
        <v>671</v>
      </c>
      <c r="C66" s="38">
        <v>222.9</v>
      </c>
      <c r="D66" s="38">
        <f t="shared" ref="D66" si="1485">IF(C66="","",+C66-$W$6)</f>
        <v>26.800000000000011</v>
      </c>
      <c r="E66" s="39">
        <v>823244.33180000004</v>
      </c>
      <c r="F66" s="39">
        <v>1091518.7738999999</v>
      </c>
      <c r="G66" s="39">
        <v>-124.5463</v>
      </c>
      <c r="H66" s="39">
        <v>823244.24190000002</v>
      </c>
      <c r="I66" s="39">
        <v>1091518.7656</v>
      </c>
      <c r="J66" s="39">
        <v>-123.6165</v>
      </c>
      <c r="K66" s="39"/>
      <c r="L66" s="39"/>
      <c r="M66" s="39"/>
      <c r="N66" s="39">
        <v>823245.5085</v>
      </c>
      <c r="O66" s="39">
        <v>1091516.0669</v>
      </c>
      <c r="P66" s="39">
        <v>-121.2851</v>
      </c>
      <c r="Q66" s="39"/>
      <c r="R66" s="39"/>
      <c r="S66" s="39"/>
      <c r="T66" s="39">
        <v>823246.36430000002</v>
      </c>
      <c r="U66" s="39">
        <v>1091514.1163000001</v>
      </c>
      <c r="V66" s="39">
        <v>-123.6082</v>
      </c>
      <c r="W66" s="39"/>
      <c r="X66" s="39"/>
      <c r="Y66" s="39"/>
      <c r="Z66" s="39">
        <f t="shared" si="1392"/>
        <v>4.3986244815334947</v>
      </c>
      <c r="AA66" s="39">
        <f t="shared" si="1307"/>
        <v>3.7845320992549278</v>
      </c>
      <c r="AB66" s="39"/>
      <c r="AC66" s="39"/>
      <c r="AD66" s="39">
        <f t="shared" si="5"/>
        <v>3.1518292481523322</v>
      </c>
      <c r="AE66" s="39"/>
      <c r="AF66" s="39" t="str">
        <f t="shared" si="1303"/>
        <v/>
      </c>
      <c r="AG66" s="39">
        <f t="shared" si="8"/>
        <v>5.1108356595899309</v>
      </c>
      <c r="AH66" s="39" t="str">
        <f t="shared" si="1261"/>
        <v/>
      </c>
      <c r="AI66" s="43">
        <f t="shared" si="1393"/>
        <v>-73.363519242470858</v>
      </c>
      <c r="AJ66" s="43">
        <f t="shared" ref="AJ66" si="1486">IF(AA66="","",AJ$59+(AA66-AA$59)*1000)</f>
        <v>-52.399171460006059</v>
      </c>
      <c r="AK66" s="43"/>
      <c r="AL66" s="43"/>
      <c r="AM66" s="43">
        <f t="shared" ref="AM66:AM67" si="1487">IF(AD66="","",AM$59+(AD66-AD$59)*1000)</f>
        <v>-64.306528594133994</v>
      </c>
      <c r="AN66" s="43" t="str">
        <f t="shared" si="1395"/>
        <v/>
      </c>
      <c r="AO66" s="43" t="str">
        <f t="shared" ref="AO66" si="1488">IF(AF66="","",(AF66-AF$10)*1000)</f>
        <v/>
      </c>
      <c r="AP66" s="43">
        <f t="shared" ref="AP66:AQ67" si="1489">IF(AG66="","",AP$59+(AG66-AG$59)*1000)</f>
        <v>-25.671197385510602</v>
      </c>
      <c r="AQ66" s="43" t="str">
        <f>IF(AH66="","",AQ$59+(AH66-AH$59)*1000)</f>
        <v/>
      </c>
      <c r="AR66" s="40"/>
      <c r="AS66" s="43">
        <f t="shared" ref="AS66" si="1490">IF(E66="","",(E66-E$10)*1000)</f>
        <v>1.4000000664964318</v>
      </c>
      <c r="AT66" s="43">
        <f t="shared" ref="AT66" si="1491">IF(F66="","",(F66-F$10)*1000)</f>
        <v>-10.600000154227018</v>
      </c>
      <c r="AU66" s="43">
        <f t="shared" ref="AU66" si="1492">IF(G66="","",(G66-G$10)*1000)</f>
        <v>5.2000000000020918</v>
      </c>
      <c r="AV66" s="43">
        <f t="shared" ref="AV66" si="1493">IF(H66="","",AV$59+(H66-H$59)*1000)</f>
        <v>-4.8999999416992068</v>
      </c>
      <c r="AW66" s="43">
        <f t="shared" ref="AW66" si="1494">IF(I66="","",AW$59+(I66-I$59)*1000)</f>
        <v>-10.499999858438969</v>
      </c>
      <c r="AX66" s="43">
        <f t="shared" ref="AX66" si="1495">IF(J66="","",AX$59+(J66-J$59)*1000)</f>
        <v>-4.8000000000030241</v>
      </c>
      <c r="AY66" s="43"/>
      <c r="AZ66" s="43"/>
      <c r="BA66" s="43"/>
      <c r="BB66" s="43">
        <f t="shared" ref="BB66" si="1496">IF(N66="","",BB$59+(N66-N$59)*1000)</f>
        <v>-12.100000050850213</v>
      </c>
      <c r="BC66" s="43">
        <f t="shared" ref="BC66" si="1497">IF(O66="","",BC$59+(O66-O$59)*1000)</f>
        <v>-5.6000000331550837</v>
      </c>
      <c r="BD66" s="43">
        <f t="shared" ref="BD66" si="1498">IF(P66="","",BD$59+(P66-P$59)*1000)</f>
        <v>-75.499999999991019</v>
      </c>
      <c r="BE66" s="43"/>
      <c r="BF66" s="43"/>
      <c r="BG66" s="43"/>
      <c r="BH66" s="43">
        <f t="shared" ref="BH66" si="1499">IF(T66="","",BH$59+(T66-T$59)*1000)</f>
        <v>-9.8000001162290573</v>
      </c>
      <c r="BI66" s="43">
        <f t="shared" ref="BI66" si="1500">IF(U66="","",BI$59+(U66-U$59)*1000)</f>
        <v>15.300000086426735</v>
      </c>
      <c r="BJ66" s="43">
        <f t="shared" ref="BJ66" si="1501">IF(V66="","",BJ$59+(V66-V$59)*1000)</f>
        <v>0.80000000001234639</v>
      </c>
      <c r="BK66" s="43" t="str">
        <f t="shared" ref="BK66:BK67" si="1502">IF(W66="","",(W66-W$10)*1000)</f>
        <v/>
      </c>
      <c r="BL66" s="43" t="str">
        <f t="shared" ref="BL66:BL67" si="1503">IF(X66="","",(X66-X$10)*1000)</f>
        <v/>
      </c>
      <c r="BM66" s="43" t="str">
        <f t="shared" ref="BM66:BM67" si="1504">IF(Y66="","",(Y66-Y$10)*1000)</f>
        <v/>
      </c>
      <c r="BN66" s="40"/>
      <c r="BO66" s="39">
        <v>196.10155788142234</v>
      </c>
      <c r="BP66" s="39">
        <v>-2.5270026160423531</v>
      </c>
      <c r="BQ66" s="39">
        <v>-0.96443557881423203</v>
      </c>
      <c r="BR66" s="39">
        <v>196.01657421455522</v>
      </c>
      <c r="BS66" s="39">
        <v>-2.5574768078679049</v>
      </c>
      <c r="BT66" s="39">
        <v>-3.3785742145553854E-2</v>
      </c>
      <c r="BU66" s="41" t="s">
        <v>77</v>
      </c>
      <c r="BV66" s="42" t="s">
        <v>77</v>
      </c>
      <c r="BW66" s="42" t="s">
        <v>77</v>
      </c>
      <c r="BX66" s="41">
        <v>196.02387274433133</v>
      </c>
      <c r="BY66" s="42">
        <v>0.42366458122354766</v>
      </c>
      <c r="BZ66" s="42">
        <v>2.2975412725566855</v>
      </c>
      <c r="CA66" s="41" t="s">
        <v>77</v>
      </c>
      <c r="CB66" s="42" t="s">
        <v>77</v>
      </c>
      <c r="CC66" s="42" t="s">
        <v>77</v>
      </c>
      <c r="CD66" s="41">
        <v>195.97505246918962</v>
      </c>
      <c r="CE66" s="42">
        <v>2.5531834424322439</v>
      </c>
      <c r="CF66" s="42">
        <v>-2.5070524691898299E-2</v>
      </c>
      <c r="CG66" s="41" t="s">
        <v>77</v>
      </c>
      <c r="CH66" s="42" t="s">
        <v>77</v>
      </c>
      <c r="CI66" s="42" t="s">
        <v>77</v>
      </c>
      <c r="CJ66" s="40"/>
      <c r="CK66" s="43">
        <f t="shared" ref="CK66" si="1505">IF(BO66="","",(BO66-BO$10)*1000)</f>
        <v>-3.2113024430486803</v>
      </c>
      <c r="CL66" s="43">
        <f t="shared" ref="CL66" si="1506">IF(BP66="","",(BP66-BP$10)*1000)</f>
        <v>10.198408703072204</v>
      </c>
      <c r="CM66" s="43">
        <f t="shared" ref="CM66" si="1507">IF(BQ66="","",(BQ66-BQ$10)*1000)</f>
        <v>5.2321130244337155</v>
      </c>
      <c r="CN66" s="43">
        <f t="shared" ref="CN66" si="1508">IF(BR66="","",CN$59+(BR66-BR$59)*1000)</f>
        <v>-8.851123298541097</v>
      </c>
      <c r="CO66" s="43">
        <f t="shared" ref="CO66" si="1509">IF(BS66="","",CO$59+(BS66-BS$59)*1000)</f>
        <v>7.4787181752387077</v>
      </c>
      <c r="CP66" s="43">
        <f t="shared" ref="CP66" si="1510">IF(BT66="","",CP$59+(BT66-BT$59)*1000)</f>
        <v>-4.7104887670279814</v>
      </c>
      <c r="CQ66" s="43"/>
      <c r="CR66" s="43"/>
      <c r="CS66" s="43"/>
      <c r="CT66" s="43">
        <f t="shared" ref="CT66" si="1511">IF(BX66="","",CT$59+(BX66-BX$59)*1000)</f>
        <v>-13.288645006724664</v>
      </c>
      <c r="CU66" s="43">
        <f t="shared" ref="CU66" si="1512">IF(BY66="","",CU$59+(BY66-BY$59)*1000)</f>
        <v>-5.0285065031768772E-2</v>
      </c>
      <c r="CV66" s="43">
        <f t="shared" ref="CV66" si="1513">IF(BZ66="","",CV$59+(BZ66-BZ$59)*1000)</f>
        <v>-75.357113549928016</v>
      </c>
      <c r="CW66" s="43"/>
      <c r="CX66" s="43"/>
      <c r="CY66" s="43"/>
      <c r="CZ66" s="43">
        <f t="shared" ref="CZ66" si="1514">IF(CD66="","",CZ$59+(CD66-CD$59)*1000)</f>
        <v>-2.3707299053512543</v>
      </c>
      <c r="DA66" s="43">
        <f t="shared" ref="DA66" si="1515">IF(CE66="","",DA$59+(CE66-CE$59)*1000)</f>
        <v>-17.984100408629633</v>
      </c>
      <c r="DB66" s="43">
        <f t="shared" ref="DB66" si="1516">IF(CF66="","",DB$59+(CF66-CF$59)*1000)</f>
        <v>0.83670729905859287</v>
      </c>
      <c r="DC66" s="43"/>
      <c r="DD66" s="43"/>
      <c r="DE66" s="43"/>
    </row>
    <row r="67" spans="1:114" ht="29.25" customHeight="1" x14ac:dyDescent="0.2">
      <c r="A67" s="37">
        <v>44400</v>
      </c>
      <c r="B67" s="29">
        <f t="shared" ref="B67" si="1517">IF(A67="","",A67-excav)</f>
        <v>695</v>
      </c>
      <c r="C67" s="38">
        <v>222.9</v>
      </c>
      <c r="D67" s="38">
        <f t="shared" ref="D67" si="1518">IF(C67="","",+C67-$W$6)</f>
        <v>26.800000000000011</v>
      </c>
      <c r="E67" s="39">
        <v>823244.33189999999</v>
      </c>
      <c r="F67" s="39">
        <v>1091518.7738000001</v>
      </c>
      <c r="G67" s="39">
        <v>-124.54600000000001</v>
      </c>
      <c r="H67" s="39">
        <v>823244.2415</v>
      </c>
      <c r="I67" s="39">
        <v>1091518.7651</v>
      </c>
      <c r="J67" s="39">
        <v>-123.6163</v>
      </c>
      <c r="K67" s="39"/>
      <c r="L67" s="39"/>
      <c r="M67" s="39"/>
      <c r="N67" s="39">
        <v>823245.50809999998</v>
      </c>
      <c r="O67" s="39">
        <v>1091516.0671000001</v>
      </c>
      <c r="P67" s="39">
        <v>-121.2855</v>
      </c>
      <c r="Q67" s="39"/>
      <c r="R67" s="39"/>
      <c r="S67" s="39"/>
      <c r="T67" s="39">
        <v>823246.36340000003</v>
      </c>
      <c r="U67" s="39">
        <v>1091514.1168</v>
      </c>
      <c r="V67" s="39">
        <v>-123.608</v>
      </c>
      <c r="W67" s="39">
        <v>823246.46219999995</v>
      </c>
      <c r="X67" s="39">
        <v>1091514.1899000001</v>
      </c>
      <c r="Y67" s="39">
        <v>-124.5827</v>
      </c>
      <c r="Z67" s="39">
        <f t="shared" si="1392"/>
        <v>4.3977871230728018</v>
      </c>
      <c r="AA67" s="39">
        <f t="shared" si="1307"/>
        <v>3.7836633305791247</v>
      </c>
      <c r="AB67" s="39"/>
      <c r="AC67" s="39"/>
      <c r="AD67" s="39">
        <f t="shared" si="5"/>
        <v>3.1510656024029688</v>
      </c>
      <c r="AE67" s="39">
        <f t="shared" ref="AE67:AE77" si="1519">IF(Xhaut="","",SQRT(((Xbasdroit-Xhaut)^2+(Ybasdroit-Yhaut)^2)+(Zbasdroit-Zhaut)^2))</f>
        <v>3.9122518438751865</v>
      </c>
      <c r="AF67" s="39"/>
      <c r="AG67" s="39">
        <f t="shared" si="8"/>
        <v>5.1097183278653553</v>
      </c>
      <c r="AH67" s="39">
        <f t="shared" si="1261"/>
        <v>5.0548653977673501</v>
      </c>
      <c r="AI67" s="43">
        <f t="shared" si="1393"/>
        <v>-74.200877703163741</v>
      </c>
      <c r="AJ67" s="43">
        <f t="shared" ref="AJ67" si="1520">IF(AA67="","",AJ$59+(AA67-AA$59)*1000)</f>
        <v>-53.267940135809155</v>
      </c>
      <c r="AK67" s="43"/>
      <c r="AL67" s="43"/>
      <c r="AM67" s="43">
        <f t="shared" si="1487"/>
        <v>-65.070174343497385</v>
      </c>
      <c r="AN67" s="43">
        <f t="shared" si="1395"/>
        <v>-65.428318773491867</v>
      </c>
      <c r="AO67" s="43"/>
      <c r="AP67" s="43">
        <f t="shared" si="1489"/>
        <v>-26.788529110086223</v>
      </c>
      <c r="AQ67" s="43">
        <f t="shared" si="1489"/>
        <v>-33.301813680919778</v>
      </c>
      <c r="AR67" s="40"/>
      <c r="AS67" s="43">
        <f t="shared" ref="AS67" si="1521">IF(E67="","",(E67-E$10)*1000)</f>
        <v>1.500000013038516</v>
      </c>
      <c r="AT67" s="43">
        <f t="shared" ref="AT67" si="1522">IF(F67="","",(F67-F$10)*1000)</f>
        <v>-10.699999984353781</v>
      </c>
      <c r="AU67" s="43">
        <f t="shared" ref="AU67" si="1523">IF(G67="","",(G67-G$10)*1000)</f>
        <v>5.49999999999784</v>
      </c>
      <c r="AV67" s="43">
        <f t="shared" ref="AV67" si="1524">IF(H67="","",AV$59+(H67-H$59)*1000)</f>
        <v>-5.2999999606981874</v>
      </c>
      <c r="AW67" s="43">
        <f t="shared" ref="AW67" si="1525">IF(I67="","",AW$59+(I67-I$59)*1000)</f>
        <v>-10.999999940395355</v>
      </c>
      <c r="AX67" s="43">
        <f t="shared" ref="AX67" si="1526">IF(J67="","",AX$59+(J67-J$59)*1000)</f>
        <v>-4.5999999999963848</v>
      </c>
      <c r="AY67" s="43"/>
      <c r="AZ67" s="43"/>
      <c r="BA67" s="43"/>
      <c r="BB67" s="43">
        <f t="shared" ref="BB67" si="1527">IF(N67="","",BB$59+(N67-N$59)*1000)</f>
        <v>-12.500000069849193</v>
      </c>
      <c r="BC67" s="43">
        <f t="shared" ref="BC67" si="1528">IF(O67="","",BC$59+(O67-O$59)*1000)</f>
        <v>-5.3999999072402716</v>
      </c>
      <c r="BD67" s="43">
        <f t="shared" ref="BD67" si="1529">IF(P67="","",BD$59+(P67-P$59)*1000)</f>
        <v>-75.899999999990087</v>
      </c>
      <c r="BE67" s="43"/>
      <c r="BF67" s="43"/>
      <c r="BG67" s="43"/>
      <c r="BH67" s="43">
        <f t="shared" ref="BH67" si="1530">IF(T67="","",BH$59+(T67-T$59)*1000)</f>
        <v>-10.700000100769103</v>
      </c>
      <c r="BI67" s="43">
        <f t="shared" ref="BI67" si="1531">IF(U67="","",BI$59+(U67-U$59)*1000)</f>
        <v>15.799999935552478</v>
      </c>
      <c r="BJ67" s="43">
        <f t="shared" ref="BJ67" si="1532">IF(V67="","",BJ$59+(V67-V$59)*1000)</f>
        <v>1.0000000000047748</v>
      </c>
      <c r="BK67" s="43">
        <f t="shared" si="1502"/>
        <v>-13.400000054389238</v>
      </c>
      <c r="BL67" s="43">
        <f t="shared" si="1503"/>
        <v>19.200000213459134</v>
      </c>
      <c r="BM67" s="43">
        <f t="shared" si="1504"/>
        <v>-10.900000000006571</v>
      </c>
      <c r="BN67" s="40"/>
      <c r="BO67" s="39">
        <v>196.10160624544957</v>
      </c>
      <c r="BP67" s="39">
        <v>-2.5268697218129672</v>
      </c>
      <c r="BQ67" s="39">
        <v>-0.96413606245450012</v>
      </c>
      <c r="BR67" s="39">
        <v>196.01600037167864</v>
      </c>
      <c r="BS67" s="39">
        <v>-2.5571927225811293</v>
      </c>
      <c r="BT67" s="39">
        <v>-3.3580003716778606E-2</v>
      </c>
      <c r="BU67" s="41" t="s">
        <v>77</v>
      </c>
      <c r="BV67" s="42" t="s">
        <v>77</v>
      </c>
      <c r="BW67" s="42" t="s">
        <v>77</v>
      </c>
      <c r="BX67" s="41">
        <v>196.02359475794967</v>
      </c>
      <c r="BY67" s="42">
        <v>0.42331426188751087</v>
      </c>
      <c r="BZ67" s="42">
        <v>2.2971440524205065</v>
      </c>
      <c r="CA67" s="41" t="s">
        <v>77</v>
      </c>
      <c r="CB67" s="42" t="s">
        <v>77</v>
      </c>
      <c r="CC67" s="42" t="s">
        <v>77</v>
      </c>
      <c r="CD67" s="41">
        <v>195.97444813230067</v>
      </c>
      <c r="CE67" s="42">
        <v>2.5523499097418658</v>
      </c>
      <c r="CF67" s="42">
        <v>-2.4864481323007226E-2</v>
      </c>
      <c r="CG67" s="41">
        <v>196.09488564868752</v>
      </c>
      <c r="CH67" s="42">
        <v>2.5278579793717846</v>
      </c>
      <c r="CI67" s="42">
        <v>-1.0007688564868857</v>
      </c>
      <c r="CJ67" s="40"/>
      <c r="CK67" s="43">
        <f t="shared" ref="CK67" si="1533">IF(BO67="","",(BO67-BO$10)*1000)</f>
        <v>-3.1629384158122775</v>
      </c>
      <c r="CL67" s="43">
        <f t="shared" ref="CL67" si="1534">IF(BP67="","",(BP67-BP$10)*1000)</f>
        <v>10.331302932458097</v>
      </c>
      <c r="CM67" s="43">
        <f t="shared" ref="CM67" si="1535">IF(BQ67="","",(BQ67-BQ$10)*1000)</f>
        <v>5.5316293841656261</v>
      </c>
      <c r="CN67" s="43">
        <f t="shared" ref="CN67" si="1536">IF(BR67="","",CN$59+(BR67-BR$59)*1000)</f>
        <v>-9.4249661751177882</v>
      </c>
      <c r="CO67" s="43">
        <f t="shared" ref="CO67" si="1537">IF(BS67="","",CO$59+(BS67-BS$59)*1000)</f>
        <v>7.7628034620143005</v>
      </c>
      <c r="CP67" s="43">
        <f t="shared" ref="CP67" si="1538">IF(BT67="","",CP$59+(BT67-BT$59)*1000)</f>
        <v>-4.504750338252733</v>
      </c>
      <c r="CQ67" s="43"/>
      <c r="CR67" s="43"/>
      <c r="CS67" s="43"/>
      <c r="CT67" s="43">
        <f t="shared" ref="CT67" si="1539">IF(BX67="","",CT$59+(BX67-BX$59)*1000)</f>
        <v>-13.566631388385986</v>
      </c>
      <c r="CU67" s="43">
        <f t="shared" ref="CU67" si="1540">IF(BY67="","",CU$59+(BY67-BY$59)*1000)</f>
        <v>-0.4006044010685661</v>
      </c>
      <c r="CV67" s="43">
        <f t="shared" ref="CV67" si="1541">IF(BZ67="","",CV$59+(BZ67-BZ$59)*1000)</f>
        <v>-75.75433368610706</v>
      </c>
      <c r="CW67" s="43"/>
      <c r="CX67" s="43"/>
      <c r="CY67" s="43"/>
      <c r="CZ67" s="43">
        <f t="shared" ref="CZ67" si="1542">IF(CD67="","",CZ$59+(CD67-CD$59)*1000)</f>
        <v>-2.9750667943062581</v>
      </c>
      <c r="DA67" s="43">
        <f t="shared" ref="DA67" si="1543">IF(CE67="","",DA$59+(CE67-CE$59)*1000)</f>
        <v>-18.817633099007747</v>
      </c>
      <c r="DB67" s="43">
        <f t="shared" ref="DB67" si="1544">IF(CF67="","",DB$59+(CF67-CF$59)*1000)</f>
        <v>1.0427506679496663</v>
      </c>
      <c r="DC67" s="43">
        <f t="shared" ref="DC67" si="1545">IF(CG67="","",(CG67-CG$10)*1000)</f>
        <v>-4.0293948239877864</v>
      </c>
      <c r="DD67" s="43">
        <f t="shared" ref="DD67" si="1546">IF(CH67="","",(CH67-CH$10)*1000)</f>
        <v>-23.064344495506983</v>
      </c>
      <c r="DE67" s="43">
        <f t="shared" ref="DE67" si="1547">IF(CI67="","",(CI67-CI$10)*1000)</f>
        <v>-10.85970605177522</v>
      </c>
    </row>
    <row r="68" spans="1:114" ht="29.25" customHeight="1" x14ac:dyDescent="0.2">
      <c r="A68" s="37">
        <v>44433</v>
      </c>
      <c r="B68" s="29">
        <f t="shared" ref="B68" si="1548">IF(A68="","",A68-excav)</f>
        <v>728</v>
      </c>
      <c r="C68" s="38">
        <v>222.9</v>
      </c>
      <c r="D68" s="38">
        <f t="shared" ref="D68" si="1549">IF(C68="","",+C68-$W$6)</f>
        <v>26.800000000000011</v>
      </c>
      <c r="E68" s="39">
        <v>823244.33109999995</v>
      </c>
      <c r="F68" s="39">
        <v>1091518.7744</v>
      </c>
      <c r="G68" s="39">
        <v>-124.54640000000001</v>
      </c>
      <c r="H68" s="39">
        <v>823244.24069999997</v>
      </c>
      <c r="I68" s="39">
        <v>1091518.7656</v>
      </c>
      <c r="J68" s="39">
        <v>-123.61669999999999</v>
      </c>
      <c r="K68" s="39"/>
      <c r="L68" s="39"/>
      <c r="M68" s="39"/>
      <c r="N68" s="39">
        <v>823245.50730000006</v>
      </c>
      <c r="O68" s="39">
        <v>1091516.0676</v>
      </c>
      <c r="P68" s="39">
        <v>-121.2868</v>
      </c>
      <c r="Q68" s="39"/>
      <c r="R68" s="39"/>
      <c r="S68" s="39"/>
      <c r="T68" s="39">
        <v>823246.36250000005</v>
      </c>
      <c r="U68" s="39">
        <v>1091514.1179</v>
      </c>
      <c r="V68" s="39">
        <v>-123.6087</v>
      </c>
      <c r="W68" s="39">
        <v>823246.46149999998</v>
      </c>
      <c r="X68" s="39">
        <v>1091514.1910000001</v>
      </c>
      <c r="Y68" s="39">
        <v>-124.583</v>
      </c>
      <c r="Z68" s="39">
        <f t="shared" si="1392"/>
        <v>4.3971814654935066</v>
      </c>
      <c r="AA68" s="39">
        <f t="shared" si="1307"/>
        <v>3.783108982136302</v>
      </c>
      <c r="AB68" s="39"/>
      <c r="AC68" s="39"/>
      <c r="AD68" s="39">
        <f t="shared" si="5"/>
        <v>3.1502248713344603</v>
      </c>
      <c r="AE68" s="39">
        <f t="shared" si="1519"/>
        <v>3.9111455661044969</v>
      </c>
      <c r="AF68" s="39"/>
      <c r="AG68" s="39">
        <f t="shared" si="8"/>
        <v>5.1091305063745622</v>
      </c>
      <c r="AH68" s="39">
        <f t="shared" si="1261"/>
        <v>5.0544534105145988</v>
      </c>
      <c r="AI68" s="43">
        <f t="shared" si="1393"/>
        <v>-74.806535282458952</v>
      </c>
      <c r="AJ68" s="43">
        <f t="shared" ref="AJ68" si="1550">IF(AA68="","",AJ$59+(AA68-AA$59)*1000)</f>
        <v>-53.82228857863192</v>
      </c>
      <c r="AK68" s="43"/>
      <c r="AL68" s="43"/>
      <c r="AM68" s="43">
        <f t="shared" ref="AM68" si="1551">IF(AD68="","",AM$59+(AD68-AD$59)*1000)</f>
        <v>-65.910905412005945</v>
      </c>
      <c r="AN68" s="43">
        <f t="shared" si="1395"/>
        <v>-66.534596544181483</v>
      </c>
      <c r="AO68" s="43"/>
      <c r="AP68" s="43">
        <f t="shared" ref="AP68" si="1552">IF(AG68="","",AP$59+(AG68-AG$59)*1000)</f>
        <v>-27.376350600879285</v>
      </c>
      <c r="AQ68" s="43">
        <f t="shared" ref="AQ68" si="1553">IF(AH68="","",AQ$59+(AH68-AH$59)*1000)</f>
        <v>-33.713800933671045</v>
      </c>
      <c r="AR68" s="40"/>
      <c r="AS68" s="43">
        <f t="shared" ref="AS68" si="1554">IF(E68="","",(E68-E$10)*1000)</f>
        <v>0.699999975040555</v>
      </c>
      <c r="AT68" s="43">
        <f t="shared" ref="AT68" si="1555">IF(F68="","",(F68-F$10)*1000)</f>
        <v>-10.100000072270632</v>
      </c>
      <c r="AU68" s="43">
        <f t="shared" ref="AU68" si="1556">IF(G68="","",(G68-G$10)*1000)</f>
        <v>5.0999999999987722</v>
      </c>
      <c r="AV68" s="43">
        <f t="shared" ref="AV68" si="1557">IF(H68="","",AV$59+(H68-H$59)*1000)</f>
        <v>-6.0999999986961484</v>
      </c>
      <c r="AW68" s="43">
        <f t="shared" ref="AW68" si="1558">IF(I68="","",AW$59+(I68-I$59)*1000)</f>
        <v>-10.499999858438969</v>
      </c>
      <c r="AX68" s="43">
        <f t="shared" ref="AX68" si="1559">IF(J68="","",AX$59+(J68-J$59)*1000)</f>
        <v>-4.9999999999954525</v>
      </c>
      <c r="AY68" s="43"/>
      <c r="AZ68" s="43"/>
      <c r="BA68" s="43"/>
      <c r="BB68" s="43">
        <f t="shared" ref="BB68" si="1560">IF(N68="","",BB$59+(N68-N$59)*1000)</f>
        <v>-13.299999991431832</v>
      </c>
      <c r="BC68" s="43">
        <f t="shared" ref="BC68" si="1561">IF(O68="","",BC$59+(O68-O$59)*1000)</f>
        <v>-4.9000000581145287</v>
      </c>
      <c r="BD68" s="43">
        <f t="shared" ref="BD68" si="1562">IF(P68="","",BD$59+(P68-P$59)*1000)</f>
        <v>-77.199999999990609</v>
      </c>
      <c r="BE68" s="43"/>
      <c r="BF68" s="43"/>
      <c r="BG68" s="43"/>
      <c r="BH68" s="43">
        <f t="shared" ref="BH68" si="1563">IF(T68="","",BH$59+(T68-T$59)*1000)</f>
        <v>-11.600000085309148</v>
      </c>
      <c r="BI68" s="43">
        <f t="shared" ref="BI68" si="1564">IF(U68="","",BI$59+(U68-U$59)*1000)</f>
        <v>16.899999929592013</v>
      </c>
      <c r="BJ68" s="43">
        <f t="shared" ref="BJ68" si="1565">IF(V68="","",BJ$59+(V68-V$59)*1000)</f>
        <v>0.30000000000995897</v>
      </c>
      <c r="BK68" s="43">
        <f t="shared" ref="BK68" si="1566">IF(W68="","",(W68-W$10)*1000)</f>
        <v>-14.100000029429793</v>
      </c>
      <c r="BL68" s="43">
        <f t="shared" ref="BL68" si="1567">IF(X68="","",(X68-X$10)*1000)</f>
        <v>20.30000020749867</v>
      </c>
      <c r="BM68" s="43">
        <f t="shared" ref="BM68" si="1568">IF(Y68="","",(Y68-Y$10)*1000)</f>
        <v>-11.200000000002319</v>
      </c>
      <c r="BN68" s="40"/>
      <c r="BO68" s="39">
        <v>196.10113480294473</v>
      </c>
      <c r="BP68" s="39">
        <v>-2.5277516185869531</v>
      </c>
      <c r="BQ68" s="39">
        <v>-0.96453134802945328</v>
      </c>
      <c r="BR68" s="39">
        <v>196.01548666404457</v>
      </c>
      <c r="BS68" s="39">
        <v>-2.5579839903041068</v>
      </c>
      <c r="BT68" s="39">
        <v>-3.3974866640448909E-2</v>
      </c>
      <c r="BU68" s="41" t="s">
        <v>77</v>
      </c>
      <c r="BV68" s="42" t="s">
        <v>77</v>
      </c>
      <c r="BW68" s="42" t="s">
        <v>77</v>
      </c>
      <c r="BX68" s="41">
        <v>196.0230810503227</v>
      </c>
      <c r="BY68" s="42">
        <v>0.42252299442473595</v>
      </c>
      <c r="BZ68" s="42">
        <v>2.2958491894967636</v>
      </c>
      <c r="CA68" s="41" t="s">
        <v>77</v>
      </c>
      <c r="CB68" s="42" t="s">
        <v>77</v>
      </c>
      <c r="CC68" s="42" t="s">
        <v>77</v>
      </c>
      <c r="CD68" s="41">
        <v>195.97409738667898</v>
      </c>
      <c r="CE68" s="42">
        <v>2.5509726016906304</v>
      </c>
      <c r="CF68" s="42">
        <v>-2.5560973866788572E-2</v>
      </c>
      <c r="CG68" s="41">
        <v>196.09471616148431</v>
      </c>
      <c r="CH68" s="42">
        <v>2.5265652017266347</v>
      </c>
      <c r="CI68" s="42">
        <v>-1.0010671616148414</v>
      </c>
      <c r="CJ68" s="40"/>
      <c r="CK68" s="43">
        <f t="shared" ref="CK68" si="1569">IF(BO68="","",(BO68-BO$10)*1000)</f>
        <v>-3.6343809206584865</v>
      </c>
      <c r="CL68" s="43">
        <f t="shared" ref="CL68" si="1570">IF(BP68="","",(BP68-BP$10)*1000)</f>
        <v>9.4494061584722289</v>
      </c>
      <c r="CM68" s="43">
        <f t="shared" ref="CM68" si="1571">IF(BQ68="","",(BQ68-BQ$10)*1000)</f>
        <v>5.1363438092124625</v>
      </c>
      <c r="CN68" s="43">
        <f t="shared" ref="CN68" si="1572">IF(BR68="","",CN$59+(BR68-BR$59)*1000)</f>
        <v>-9.9386738091880034</v>
      </c>
      <c r="CO68" s="43">
        <f t="shared" ref="CO68" si="1573">IF(BS68="","",CO$59+(BS68-BS$59)*1000)</f>
        <v>6.9715357390367494</v>
      </c>
      <c r="CP68" s="43">
        <f t="shared" ref="CP68" si="1574">IF(BT68="","",CP$59+(BT68-BT$59)*1000)</f>
        <v>-4.8996132619230357</v>
      </c>
      <c r="CQ68" s="43"/>
      <c r="CR68" s="43"/>
      <c r="CS68" s="43"/>
      <c r="CT68" s="43">
        <f t="shared" ref="CT68" si="1575">IF(BX68="","",CT$59+(BX68-BX$59)*1000)</f>
        <v>-14.080339015350773</v>
      </c>
      <c r="CU68" s="43">
        <f t="shared" ref="CU68" si="1576">IF(BY68="","",CU$59+(BY68-BY$59)*1000)</f>
        <v>-1.19187186384348</v>
      </c>
      <c r="CV68" s="43">
        <f t="shared" ref="CV68" si="1577">IF(BZ68="","",CV$59+(BZ68-BZ$59)*1000)</f>
        <v>-77.049196609849872</v>
      </c>
      <c r="CW68" s="43"/>
      <c r="CX68" s="43"/>
      <c r="CY68" s="43"/>
      <c r="CZ68" s="43">
        <f t="shared" ref="CZ68" si="1578">IF(CD68="","",CZ$59+(CD68-CD$59)*1000)</f>
        <v>-3.3258124159942781</v>
      </c>
      <c r="DA68" s="43">
        <f t="shared" ref="DA68" si="1579">IF(CE68="","",DA$59+(CE68-CE$59)*1000)</f>
        <v>-20.194941150243118</v>
      </c>
      <c r="DB68" s="43">
        <f t="shared" ref="DB68" si="1580">IF(CF68="","",DB$59+(CF68-CF$59)*1000)</f>
        <v>0.34625812416832025</v>
      </c>
      <c r="DC68" s="43">
        <f t="shared" ref="DC68" si="1581">IF(CG68="","",(CG68-CG$10)*1000)</f>
        <v>-4.1988820271967597</v>
      </c>
      <c r="DD68" s="43">
        <f t="shared" ref="DD68" si="1582">IF(CH68="","",(CH68-CH$10)*1000)</f>
        <v>-24.357122140656884</v>
      </c>
      <c r="DE68" s="43">
        <f t="shared" ref="DE68" si="1583">IF(CI68="","",(CI68-CI$10)*1000)</f>
        <v>-11.15801117973092</v>
      </c>
    </row>
    <row r="69" spans="1:114" ht="29.25" customHeight="1" x14ac:dyDescent="0.2">
      <c r="A69" s="37">
        <v>44439</v>
      </c>
      <c r="B69" s="29">
        <f t="shared" ref="B69" si="1584">IF(A69="","",A69-excav)</f>
        <v>734</v>
      </c>
      <c r="C69" s="38">
        <v>222.9</v>
      </c>
      <c r="D69" s="38">
        <f t="shared" ref="D69" si="1585">IF(C69="","",+C69-$W$6)</f>
        <v>26.800000000000011</v>
      </c>
      <c r="E69" s="39">
        <v>823244.33200000005</v>
      </c>
      <c r="F69" s="39">
        <v>1091518.7734000001</v>
      </c>
      <c r="G69" s="39">
        <v>-124.5463</v>
      </c>
      <c r="H69" s="39">
        <v>823244.24170000001</v>
      </c>
      <c r="I69" s="39">
        <v>1091518.7649000001</v>
      </c>
      <c r="J69" s="39">
        <v>-123.61660000000001</v>
      </c>
      <c r="K69" s="39"/>
      <c r="L69" s="39"/>
      <c r="M69" s="39"/>
      <c r="N69" s="39">
        <v>823245.50809999998</v>
      </c>
      <c r="O69" s="39">
        <v>1091516.0669</v>
      </c>
      <c r="P69" s="39">
        <v>-121.28660000000001</v>
      </c>
      <c r="Q69" s="39"/>
      <c r="R69" s="39"/>
      <c r="S69" s="39"/>
      <c r="T69" s="39">
        <v>823246.36289999995</v>
      </c>
      <c r="U69" s="39">
        <v>1091514.1166999999</v>
      </c>
      <c r="V69" s="39">
        <v>-123.60850000000001</v>
      </c>
      <c r="W69" s="39">
        <v>823246.46189999999</v>
      </c>
      <c r="X69" s="39">
        <v>1091514.19</v>
      </c>
      <c r="Y69" s="39">
        <v>-124.5827</v>
      </c>
      <c r="Z69" s="39">
        <f t="shared" si="1392"/>
        <v>4.3970441833458453</v>
      </c>
      <c r="AA69" s="39">
        <f t="shared" si="1307"/>
        <v>3.7831036148117105</v>
      </c>
      <c r="AB69" s="39"/>
      <c r="AC69" s="39"/>
      <c r="AD69" s="39">
        <f t="shared" si="5"/>
        <v>3.1504257950730095</v>
      </c>
      <c r="AE69" s="39">
        <f t="shared" si="1519"/>
        <v>3.9111076768805066</v>
      </c>
      <c r="AF69" s="39"/>
      <c r="AG69" s="39">
        <f t="shared" si="8"/>
        <v>5.1093363846310123</v>
      </c>
      <c r="AH69" s="39">
        <f t="shared" si="1261"/>
        <v>5.054241241853008</v>
      </c>
      <c r="AI69" s="43">
        <f t="shared" ref="AI69" si="1586">IF(Z69="","",AI$59+(Z69-Z$59)*1000)</f>
        <v>-74.943817430120234</v>
      </c>
      <c r="AJ69" s="43">
        <f t="shared" ref="AJ69" si="1587">IF(AA69="","",AJ$59+(AA69-AA$59)*1000)</f>
        <v>-53.827655903223359</v>
      </c>
      <c r="AK69" s="43"/>
      <c r="AL69" s="43"/>
      <c r="AM69" s="43">
        <f t="shared" ref="AM69" si="1588">IF(AD69="","",AM$59+(AD69-AD$59)*1000)</f>
        <v>-65.709981673456767</v>
      </c>
      <c r="AN69" s="43">
        <f t="shared" ref="AN69" si="1589">IF(AE69="","",AN$59+(AE69-AE$59)*1000)</f>
        <v>-66.572485768171759</v>
      </c>
      <c r="AO69" s="43"/>
      <c r="AP69" s="43">
        <f t="shared" ref="AP69" si="1590">IF(AG69="","",AP$59+(AG69-AG$59)*1000)</f>
        <v>-27.170472344429264</v>
      </c>
      <c r="AQ69" s="43">
        <f t="shared" ref="AQ69" si="1591">IF(AH69="","",AQ$59+(AH69-AH$59)*1000)</f>
        <v>-33.92596959526184</v>
      </c>
      <c r="AR69" s="40"/>
      <c r="AS69" s="43">
        <f t="shared" ref="AS69" si="1592">IF(E69="","",(E69-E$10)*1000)</f>
        <v>1.6000000759959221</v>
      </c>
      <c r="AT69" s="43">
        <f t="shared" ref="AT69" si="1593">IF(F69="","",(F69-F$10)*1000)</f>
        <v>-11.100000003352761</v>
      </c>
      <c r="AU69" s="43">
        <f t="shared" ref="AU69" si="1594">IF(G69="","",(G69-G$10)*1000)</f>
        <v>5.2000000000020918</v>
      </c>
      <c r="AV69" s="43">
        <f t="shared" ref="AV69" si="1595">IF(H69="","",AV$59+(H69-H$59)*1000)</f>
        <v>-5.0999999511986971</v>
      </c>
      <c r="AW69" s="43">
        <f t="shared" ref="AW69" si="1596">IF(I69="","",AW$59+(I69-I$59)*1000)</f>
        <v>-11.199999833479524</v>
      </c>
      <c r="AX69" s="43">
        <f t="shared" ref="AX69" si="1597">IF(J69="","",AX$59+(J69-J$59)*1000)</f>
        <v>-4.9000000000063437</v>
      </c>
      <c r="AY69" s="43"/>
      <c r="AZ69" s="43"/>
      <c r="BA69" s="43"/>
      <c r="BB69" s="43">
        <f t="shared" ref="BB69" si="1598">IF(N69="","",BB$59+(N69-N$59)*1000)</f>
        <v>-12.500000069849193</v>
      </c>
      <c r="BC69" s="43">
        <f t="shared" ref="BC69" si="1599">IF(O69="","",BC$59+(O69-O$59)*1000)</f>
        <v>-5.6000000331550837</v>
      </c>
      <c r="BD69" s="43">
        <f t="shared" ref="BD69" si="1600">IF(P69="","",BD$59+(P69-P$59)*1000)</f>
        <v>-76.999999999998181</v>
      </c>
      <c r="BE69" s="43"/>
      <c r="BF69" s="43"/>
      <c r="BG69" s="43"/>
      <c r="BH69" s="43">
        <f t="shared" ref="BH69" si="1601">IF(T69="","",BH$59+(T69-T$59)*1000)</f>
        <v>-11.200000182725489</v>
      </c>
      <c r="BI69" s="43">
        <f t="shared" ref="BI69" si="1602">IF(U69="","",BI$59+(U69-U$59)*1000)</f>
        <v>15.699999872595072</v>
      </c>
      <c r="BJ69" s="43">
        <f t="shared" ref="BJ69" si="1603">IF(V69="","",BJ$59+(V69-V$59)*1000)</f>
        <v>0.50000000000238742</v>
      </c>
      <c r="BK69" s="43">
        <f t="shared" ref="BK69" si="1604">IF(W69="","",(W69-W$10)*1000)</f>
        <v>-13.700000010430813</v>
      </c>
      <c r="BL69" s="43">
        <f t="shared" ref="BL69" si="1605">IF(X69="","",(X69-X$10)*1000)</f>
        <v>19.300000043585896</v>
      </c>
      <c r="BM69" s="43">
        <f t="shared" ref="BM69" si="1606">IF(Y69="","",(Y69-Y$10)*1000)</f>
        <v>-10.900000000006571</v>
      </c>
      <c r="BN69" s="40"/>
      <c r="BO69" s="39">
        <v>196.10152781389948</v>
      </c>
      <c r="BP69" s="39">
        <v>-2.5264649397484962</v>
      </c>
      <c r="BQ69" s="39">
        <v>-0.96443527813900687</v>
      </c>
      <c r="BR69" s="39">
        <v>196.01609709974025</v>
      </c>
      <c r="BS69" s="39">
        <v>-2.5569269338621625</v>
      </c>
      <c r="BT69" s="39">
        <v>-3.3880970997415716E-2</v>
      </c>
      <c r="BU69" s="41" t="s">
        <v>77</v>
      </c>
      <c r="BV69" s="42" t="s">
        <v>77</v>
      </c>
      <c r="BW69" s="42" t="s">
        <v>77</v>
      </c>
      <c r="BX69" s="41">
        <v>196.02351022749443</v>
      </c>
      <c r="BY69" s="42">
        <v>0.4234955204114591</v>
      </c>
      <c r="BZ69" s="42">
        <v>2.2960448977250394</v>
      </c>
      <c r="CA69" s="41" t="s">
        <v>77</v>
      </c>
      <c r="CB69" s="42" t="s">
        <v>77</v>
      </c>
      <c r="CC69" s="42" t="s">
        <v>77</v>
      </c>
      <c r="CD69" s="41">
        <v>195.97395272097418</v>
      </c>
      <c r="CE69" s="42">
        <v>2.5522292129641255</v>
      </c>
      <c r="CF69" s="42">
        <v>-2.5359527209758426E-2</v>
      </c>
      <c r="CG69" s="41">
        <v>196.09465602624184</v>
      </c>
      <c r="CH69" s="42">
        <v>2.5276405547363772</v>
      </c>
      <c r="CI69" s="42">
        <v>-1.0007665602624201</v>
      </c>
      <c r="CJ69" s="40"/>
      <c r="CK69" s="43">
        <f t="shared" ref="CK69" si="1607">IF(BO69="","",(BO69-BO$10)*1000)</f>
        <v>-3.2413699659059603</v>
      </c>
      <c r="CL69" s="43">
        <f t="shared" ref="CL69" si="1608">IF(BP69="","",(BP69-BP$10)*1000)</f>
        <v>10.736084996929129</v>
      </c>
      <c r="CM69" s="43">
        <f t="shared" ref="CM69" si="1609">IF(BQ69="","",(BQ69-BQ$10)*1000)</f>
        <v>5.2324136996588777</v>
      </c>
      <c r="CN69" s="43">
        <f t="shared" ref="CN69" si="1610">IF(BR69="","",CN$59+(BR69-BR$59)*1000)</f>
        <v>-9.3282381135111336</v>
      </c>
      <c r="CO69" s="43">
        <f t="shared" ref="CO69" si="1611">IF(BS69="","",CO$59+(BS69-BS$59)*1000)</f>
        <v>8.0285921809810645</v>
      </c>
      <c r="CP69" s="43">
        <f t="shared" ref="CP69" si="1612">IF(BT69="","",CP$59+(BT69-BT$59)*1000)</f>
        <v>-4.8057176188898429</v>
      </c>
      <c r="CQ69" s="43"/>
      <c r="CR69" s="43"/>
      <c r="CS69" s="43"/>
      <c r="CT69" s="43">
        <f t="shared" ref="CT69" si="1613">IF(BX69="","",CT$59+(BX69-BX$59)*1000)</f>
        <v>-13.651161843625914</v>
      </c>
      <c r="CU69" s="43">
        <f t="shared" ref="CU69" si="1614">IF(BY69="","",CU$59+(BY69-BY$59)*1000)</f>
        <v>-0.21934587712033049</v>
      </c>
      <c r="CV69" s="43">
        <f t="shared" ref="CV69" si="1615">IF(BZ69="","",CV$59+(BZ69-BZ$59)*1000)</f>
        <v>-76.853488381574124</v>
      </c>
      <c r="CW69" s="43"/>
      <c r="CX69" s="43"/>
      <c r="CY69" s="43"/>
      <c r="CZ69" s="43">
        <f t="shared" ref="CZ69" si="1616">IF(CD69="","",CZ$59+(CD69-CD$59)*1000)</f>
        <v>-3.4704781207892665</v>
      </c>
      <c r="DA69" s="43">
        <f t="shared" ref="DA69" si="1617">IF(CE69="","",DA$59+(CE69-CE$59)*1000)</f>
        <v>-18.938329876748039</v>
      </c>
      <c r="DB69" s="43">
        <f t="shared" ref="DB69" si="1618">IF(CF69="","",DB$59+(CF69-CF$59)*1000)</f>
        <v>0.54770478119846677</v>
      </c>
      <c r="DC69" s="43">
        <f t="shared" ref="DC69" si="1619">IF(CG69="","",(CG69-CG$10)*1000)</f>
        <v>-4.2590172696748141</v>
      </c>
      <c r="DD69" s="43">
        <f t="shared" ref="DD69" si="1620">IF(CH69="","",(CH69-CH$10)*1000)</f>
        <v>-23.281769130914398</v>
      </c>
      <c r="DE69" s="43">
        <f t="shared" ref="DE69" si="1621">IF(CI69="","",(CI69-CI$10)*1000)</f>
        <v>-10.857409827309539</v>
      </c>
    </row>
    <row r="70" spans="1:114" ht="29.25" customHeight="1" x14ac:dyDescent="0.2">
      <c r="A70" s="37">
        <v>44445</v>
      </c>
      <c r="B70" s="29">
        <f t="shared" ref="B70" si="1622">IF(A70="","",A70-excav)</f>
        <v>740</v>
      </c>
      <c r="C70" s="38">
        <v>222.9</v>
      </c>
      <c r="D70" s="38">
        <f t="shared" ref="D70" si="1623">IF(C70="","",+C70-$W$6)</f>
        <v>26.800000000000011</v>
      </c>
      <c r="E70" s="39">
        <v>823244.33160000003</v>
      </c>
      <c r="F70" s="39">
        <v>1091518.7749999999</v>
      </c>
      <c r="G70" s="39">
        <v>-124.5461</v>
      </c>
      <c r="H70" s="39">
        <v>823244.24129999999</v>
      </c>
      <c r="I70" s="39">
        <v>1091518.7664999999</v>
      </c>
      <c r="J70" s="39">
        <v>-123.6164</v>
      </c>
      <c r="K70" s="39"/>
      <c r="L70" s="39"/>
      <c r="M70" s="39"/>
      <c r="N70" s="39">
        <v>823245.50800000003</v>
      </c>
      <c r="O70" s="39">
        <v>1091516.0682999999</v>
      </c>
      <c r="P70" s="39">
        <v>-121.2865</v>
      </c>
      <c r="Q70" s="39"/>
      <c r="R70" s="39"/>
      <c r="S70" s="39"/>
      <c r="T70" s="39">
        <v>823246.36300000001</v>
      </c>
      <c r="U70" s="39">
        <v>1091514.1181999999</v>
      </c>
      <c r="V70" s="39">
        <v>-123.6084</v>
      </c>
      <c r="W70" s="39">
        <v>823246.46180000005</v>
      </c>
      <c r="X70" s="39">
        <v>1091514.1915</v>
      </c>
      <c r="Y70" s="39">
        <v>-124.5827</v>
      </c>
      <c r="Z70" s="39">
        <f t="shared" si="1392"/>
        <v>4.3971734113959151</v>
      </c>
      <c r="AA70" s="39">
        <f t="shared" si="1307"/>
        <v>3.7832850989593729</v>
      </c>
      <c r="AB70" s="39"/>
      <c r="AC70" s="39"/>
      <c r="AD70" s="39">
        <f t="shared" si="5"/>
        <v>3.1504181658998975</v>
      </c>
      <c r="AE70" s="39">
        <f t="shared" si="1519"/>
        <v>3.9111439656342664</v>
      </c>
      <c r="AF70" s="39"/>
      <c r="AG70" s="39">
        <f t="shared" si="8"/>
        <v>5.1096347990911051</v>
      </c>
      <c r="AH70" s="39">
        <f t="shared" si="1261"/>
        <v>5.0544597980001083</v>
      </c>
      <c r="AI70" s="43">
        <f t="shared" ref="AI70" si="1624">IF(Z70="","",AI$59+(Z70-Z$59)*1000)</f>
        <v>-74.814589380050478</v>
      </c>
      <c r="AJ70" s="43">
        <f t="shared" ref="AJ70" si="1625">IF(AA70="","",AJ$59+(AA70-AA$59)*1000)</f>
        <v>-53.646171755560971</v>
      </c>
      <c r="AK70" s="43"/>
      <c r="AL70" s="43"/>
      <c r="AM70" s="43">
        <f t="shared" ref="AM70" si="1626">IF(AD70="","",AM$59+(AD70-AD$59)*1000)</f>
        <v>-65.717610846568689</v>
      </c>
      <c r="AN70" s="43">
        <f t="shared" ref="AN70" si="1627">IF(AE70="","",AN$59+(AE70-AE$59)*1000)</f>
        <v>-66.536197014412039</v>
      </c>
      <c r="AO70" s="43"/>
      <c r="AP70" s="43">
        <f t="shared" ref="AP70" si="1628">IF(AG70="","",AP$59+(AG70-AG$59)*1000)</f>
        <v>-26.872057884336442</v>
      </c>
      <c r="AQ70" s="43">
        <f t="shared" ref="AQ70" si="1629">IF(AH70="","",AQ$59+(AH70-AH$59)*1000)</f>
        <v>-33.707413448161638</v>
      </c>
      <c r="AR70" s="40"/>
      <c r="AS70" s="43">
        <f t="shared" ref="AS70" si="1630">IF(E70="","",(E70-E$10)*1000)</f>
        <v>1.2000000569969416</v>
      </c>
      <c r="AT70" s="43">
        <f t="shared" ref="AT70" si="1631">IF(F70="","",(F70-F$10)*1000)</f>
        <v>-9.5000001601874828</v>
      </c>
      <c r="AU70" s="43">
        <f t="shared" ref="AU70" si="1632">IF(G70="","",(G70-G$10)*1000)</f>
        <v>5.4000000000087311</v>
      </c>
      <c r="AV70" s="43">
        <f t="shared" ref="AV70" si="1633">IF(H70="","",AV$59+(H70-H$59)*1000)</f>
        <v>-5.4999999701976776</v>
      </c>
      <c r="AW70" s="43">
        <f t="shared" ref="AW70" si="1634">IF(I70="","",AW$59+(I70-I$59)*1000)</f>
        <v>-9.5999999903142452</v>
      </c>
      <c r="AX70" s="43">
        <f t="shared" ref="AX70" si="1635">IF(J70="","",AX$59+(J70-J$59)*1000)</f>
        <v>-4.6999999999997044</v>
      </c>
      <c r="AY70" s="43"/>
      <c r="AZ70" s="43"/>
      <c r="BA70" s="43"/>
      <c r="BB70" s="43">
        <f t="shared" ref="BB70" si="1636">IF(N70="","",BB$59+(N70-N$59)*1000)</f>
        <v>-12.600000016391277</v>
      </c>
      <c r="BC70" s="43">
        <f t="shared" ref="BC70" si="1637">IF(O70="","",BC$59+(O70-O$59)*1000)</f>
        <v>-4.2000000830739737</v>
      </c>
      <c r="BD70" s="43">
        <f t="shared" ref="BD70" si="1638">IF(P70="","",BD$59+(P70-P$59)*1000)</f>
        <v>-76.899999999994861</v>
      </c>
      <c r="BE70" s="43"/>
      <c r="BF70" s="43"/>
      <c r="BG70" s="43"/>
      <c r="BH70" s="43">
        <f t="shared" ref="BH70" si="1639">IF(T70="","",BH$59+(T70-T$59)*1000)</f>
        <v>-11.100000119768083</v>
      </c>
      <c r="BI70" s="43">
        <f t="shared" ref="BI70" si="1640">IF(U70="","",BI$59+(U70-U$59)*1000)</f>
        <v>17.199999885633588</v>
      </c>
      <c r="BJ70" s="43">
        <f t="shared" ref="BJ70" si="1641">IF(V70="","",BJ$59+(V70-V$59)*1000)</f>
        <v>0.60000000000570708</v>
      </c>
      <c r="BK70" s="43">
        <f t="shared" ref="BK70" si="1642">IF(W70="","",(W70-W$10)*1000)</f>
        <v>-13.799999956972897</v>
      </c>
      <c r="BL70" s="43">
        <f t="shared" ref="BL70" si="1643">IF(X70="","",(X70-X$10)*1000)</f>
        <v>20.800000056624413</v>
      </c>
      <c r="BM70" s="43">
        <f t="shared" ref="BM70" si="1644">IF(Y70="","",(Y70-Y$10)*1000)</f>
        <v>-10.900000000006571</v>
      </c>
      <c r="BN70" s="40"/>
      <c r="BO70" s="39">
        <v>196.10184154021243</v>
      </c>
      <c r="BP70" s="39">
        <v>-2.528084067697046</v>
      </c>
      <c r="BQ70" s="39">
        <v>-0.96423841540212152</v>
      </c>
      <c r="BR70" s="39">
        <v>196.01641082605323</v>
      </c>
      <c r="BS70" s="39">
        <v>-2.5585460618107292</v>
      </c>
      <c r="BT70" s="39">
        <v>-3.3684108260530365E-2</v>
      </c>
      <c r="BU70" s="41" t="s">
        <v>77</v>
      </c>
      <c r="BV70" s="42" t="s">
        <v>77</v>
      </c>
      <c r="BW70" s="42" t="s">
        <v>77</v>
      </c>
      <c r="BX70" s="41">
        <v>196.02401131113098</v>
      </c>
      <c r="BY70" s="42">
        <v>0.42218444640944397</v>
      </c>
      <c r="BZ70" s="42">
        <v>2.2961398868886818</v>
      </c>
      <c r="CA70" s="41" t="s">
        <v>77</v>
      </c>
      <c r="CB70" s="42" t="s">
        <v>77</v>
      </c>
      <c r="CC70" s="42" t="s">
        <v>77</v>
      </c>
      <c r="CD70" s="41">
        <v>195.9746773282568</v>
      </c>
      <c r="CE70" s="42">
        <v>2.5509120401062129</v>
      </c>
      <c r="CF70" s="42">
        <v>-2.5266773282581312E-2</v>
      </c>
      <c r="CG70" s="41">
        <v>196.09519937510601</v>
      </c>
      <c r="CH70" s="42">
        <v>2.526238851472447</v>
      </c>
      <c r="CI70" s="42">
        <v>-1.0007719937510728</v>
      </c>
      <c r="CJ70" s="40"/>
      <c r="CK70" s="43">
        <f t="shared" ref="CK70" si="1645">IF(BO70="","",(BO70-BO$10)*1000)</f>
        <v>-2.9276436529528382</v>
      </c>
      <c r="CL70" s="43">
        <f t="shared" ref="CL70" si="1646">IF(BP70="","",(BP70-BP$10)*1000)</f>
        <v>9.1169570483793372</v>
      </c>
      <c r="CM70" s="43">
        <f t="shared" ref="CM70" si="1647">IF(BQ70="","",(BQ70-BQ$10)*1000)</f>
        <v>5.4292764365442281</v>
      </c>
      <c r="CN70" s="43">
        <f t="shared" ref="CN70" si="1648">IF(BR70="","",CN$59+(BR70-BR$59)*1000)</f>
        <v>-9.0145118005295899</v>
      </c>
      <c r="CO70" s="43">
        <f t="shared" ref="CO70" si="1649">IF(BS70="","",CO$59+(BS70-BS$59)*1000)</f>
        <v>6.4094642324143969</v>
      </c>
      <c r="CP70" s="43">
        <f t="shared" ref="CP70" si="1650">IF(BT70="","",CP$59+(BT70-BT$59)*1000)</f>
        <v>-4.6088548820044926</v>
      </c>
      <c r="CQ70" s="43"/>
      <c r="CR70" s="43"/>
      <c r="CS70" s="43"/>
      <c r="CT70" s="43">
        <f t="shared" ref="CT70" si="1651">IF(BX70="","",CT$59+(BX70-BX$59)*1000)</f>
        <v>-13.150078207075921</v>
      </c>
      <c r="CU70" s="43">
        <f t="shared" ref="CU70" si="1652">IF(BY70="","",CU$59+(BY70-BY$59)*1000)</f>
        <v>-1.530419879135464</v>
      </c>
      <c r="CV70" s="43">
        <f t="shared" ref="CV70" si="1653">IF(BZ70="","",CV$59+(BZ70-BZ$59)*1000)</f>
        <v>-76.758499217931757</v>
      </c>
      <c r="CW70" s="43"/>
      <c r="CX70" s="43"/>
      <c r="CY70" s="43"/>
      <c r="CZ70" s="43">
        <f t="shared" ref="CZ70" si="1654">IF(CD70="","",CZ$59+(CD70-CD$59)*1000)</f>
        <v>-2.7458708381686847</v>
      </c>
      <c r="DA70" s="43">
        <f t="shared" ref="DA70" si="1655">IF(CE70="","",DA$59+(CE70-CE$59)*1000)</f>
        <v>-20.255502734660702</v>
      </c>
      <c r="DB70" s="43">
        <f t="shared" ref="DB70" si="1656">IF(CF70="","",DB$59+(CF70-CF$59)*1000)</f>
        <v>0.64045870837558061</v>
      </c>
      <c r="DC70" s="43">
        <f t="shared" ref="DC70" si="1657">IF(CG70="","",(CG70-CG$10)*1000)</f>
        <v>-3.7156684055048572</v>
      </c>
      <c r="DD70" s="43">
        <f t="shared" ref="DD70" si="1658">IF(CH70="","",(CH70-CH$10)*1000)</f>
        <v>-24.683472394844586</v>
      </c>
      <c r="DE70" s="43">
        <f t="shared" ref="DE70" si="1659">IF(CI70="","",(CI70-CI$10)*1000)</f>
        <v>-10.862843315962323</v>
      </c>
      <c r="DF70" s="76"/>
      <c r="DG70" s="76"/>
      <c r="DH70" s="76"/>
      <c r="DI70" s="76"/>
      <c r="DJ70" s="76"/>
    </row>
    <row r="71" spans="1:114" ht="29.25" customHeight="1" x14ac:dyDescent="0.2">
      <c r="A71" s="37">
        <v>44453</v>
      </c>
      <c r="B71" s="29">
        <f t="shared" ref="B71" si="1660">IF(A71="","",A71-excav)</f>
        <v>748</v>
      </c>
      <c r="C71" s="38">
        <v>222.9</v>
      </c>
      <c r="D71" s="38">
        <f t="shared" ref="D71" si="1661">IF(C71="","",+C71-$W$6)</f>
        <v>26.800000000000011</v>
      </c>
      <c r="E71" s="39">
        <v>823244.33219999995</v>
      </c>
      <c r="F71" s="39">
        <v>1091518.7737</v>
      </c>
      <c r="G71" s="39">
        <v>-124.5459</v>
      </c>
      <c r="H71" s="39">
        <v>823244.24170000001</v>
      </c>
      <c r="I71" s="39">
        <v>1091518.7648</v>
      </c>
      <c r="J71" s="39">
        <v>-123.6163</v>
      </c>
      <c r="K71" s="39"/>
      <c r="L71" s="39"/>
      <c r="M71" s="39"/>
      <c r="N71" s="39">
        <v>823245.50820000004</v>
      </c>
      <c r="O71" s="39">
        <v>1091516.0667999999</v>
      </c>
      <c r="P71" s="39">
        <v>-121.2863</v>
      </c>
      <c r="Q71" s="39"/>
      <c r="R71" s="39"/>
      <c r="S71" s="39"/>
      <c r="T71" s="39">
        <v>823246.36349999998</v>
      </c>
      <c r="U71" s="39">
        <v>1091514.1168</v>
      </c>
      <c r="V71" s="39">
        <v>-123.6082</v>
      </c>
      <c r="W71" s="39">
        <v>823246.46189999999</v>
      </c>
      <c r="X71" s="39">
        <v>1091514.19</v>
      </c>
      <c r="Y71" s="39">
        <v>-124.58240000000001</v>
      </c>
      <c r="Z71" s="39">
        <f t="shared" si="1392"/>
        <v>4.3971895309160915</v>
      </c>
      <c r="AA71" s="39">
        <f t="shared" si="1307"/>
        <v>3.7831370911666542</v>
      </c>
      <c r="AB71" s="39"/>
      <c r="AC71" s="39"/>
      <c r="AD71" s="39">
        <f t="shared" si="5"/>
        <v>3.1504376997032222</v>
      </c>
      <c r="AE71" s="39">
        <f t="shared" si="1519"/>
        <v>3.9110353028063187</v>
      </c>
      <c r="AF71" s="39"/>
      <c r="AG71" s="39">
        <f t="shared" si="8"/>
        <v>5.1094035708940231</v>
      </c>
      <c r="AH71" s="39">
        <f t="shared" si="1261"/>
        <v>5.0544297433934462</v>
      </c>
      <c r="AI71" s="43">
        <f t="shared" ref="AI71" si="1662">IF(Z71="","",AI$59+(Z71-Z$59)*1000)</f>
        <v>-74.798469859874032</v>
      </c>
      <c r="AJ71" s="43">
        <f t="shared" ref="AJ71" si="1663">IF(AA71="","",AJ$59+(AA71-AA$59)*1000)</f>
        <v>-53.7941795482797</v>
      </c>
      <c r="AK71" s="43"/>
      <c r="AL71" s="43"/>
      <c r="AM71" s="43">
        <f t="shared" ref="AM71" si="1664">IF(AD71="","",AM$59+(AD71-AD$59)*1000)</f>
        <v>-65.698077043244041</v>
      </c>
      <c r="AN71" s="43">
        <f t="shared" ref="AN71" si="1665">IF(AE71="","",AN$59+(AE71-AE$59)*1000)</f>
        <v>-66.644859842359679</v>
      </c>
      <c r="AO71" s="43"/>
      <c r="AP71" s="43">
        <f t="shared" ref="AP71" si="1666">IF(AG71="","",AP$59+(AG71-AG$59)*1000)</f>
        <v>-27.103286081418432</v>
      </c>
      <c r="AQ71" s="43">
        <f t="shared" ref="AQ71" si="1667">IF(AH71="","",AQ$59+(AH71-AH$59)*1000)</f>
        <v>-33.737468054823694</v>
      </c>
      <c r="AR71" s="40"/>
      <c r="AS71" s="43">
        <f t="shared" ref="AS71" si="1668">IF(E71="","",(E71-E$10)*1000)</f>
        <v>1.7999999690800905</v>
      </c>
      <c r="AT71" s="43">
        <f t="shared" ref="AT71" si="1669">IF(F71="","",(F71-F$10)*1000)</f>
        <v>-10.800000047311187</v>
      </c>
      <c r="AU71" s="43">
        <f t="shared" ref="AU71" si="1670">IF(G71="","",(G71-G$10)*1000)</f>
        <v>5.6000000000011596</v>
      </c>
      <c r="AV71" s="43">
        <f t="shared" ref="AV71" si="1671">IF(H71="","",AV$59+(H71-H$59)*1000)</f>
        <v>-5.0999999511986971</v>
      </c>
      <c r="AW71" s="43">
        <f t="shared" ref="AW71" si="1672">IF(I71="","",AW$59+(I71-I$59)*1000)</f>
        <v>-11.29999989643693</v>
      </c>
      <c r="AX71" s="43">
        <f t="shared" ref="AX71" si="1673">IF(J71="","",AX$59+(J71-J$59)*1000)</f>
        <v>-4.5999999999963848</v>
      </c>
      <c r="AY71" s="43"/>
      <c r="AZ71" s="43"/>
      <c r="BA71" s="43"/>
      <c r="BB71" s="43">
        <f t="shared" ref="BB71" si="1674">IF(N71="","",BB$59+(N71-N$59)*1000)</f>
        <v>-12.400000006891787</v>
      </c>
      <c r="BC71" s="43">
        <f t="shared" ref="BC71" si="1675">IF(O71="","",BC$59+(O71-O$59)*1000)</f>
        <v>-5.7000000961124897</v>
      </c>
      <c r="BD71" s="43">
        <f t="shared" ref="BD71" si="1676">IF(P71="","",BD$59+(P71-P$59)*1000)</f>
        <v>-76.699999999988222</v>
      </c>
      <c r="BE71" s="43"/>
      <c r="BF71" s="43"/>
      <c r="BG71" s="43"/>
      <c r="BH71" s="43">
        <f t="shared" ref="BH71" si="1677">IF(T71="","",BH$59+(T71-T$59)*1000)</f>
        <v>-10.600000154227018</v>
      </c>
      <c r="BI71" s="43">
        <f t="shared" ref="BI71" si="1678">IF(U71="","",BI$59+(U71-U$59)*1000)</f>
        <v>15.799999935552478</v>
      </c>
      <c r="BJ71" s="43">
        <f t="shared" ref="BJ71" si="1679">IF(V71="","",BJ$59+(V71-V$59)*1000)</f>
        <v>0.80000000001234639</v>
      </c>
      <c r="BK71" s="43">
        <f t="shared" ref="BK71" si="1680">IF(W71="","",(W71-W$10)*1000)</f>
        <v>-13.700000010430813</v>
      </c>
      <c r="BL71" s="43">
        <f t="shared" ref="BL71" si="1681">IF(X71="","",(X71-X$10)*1000)</f>
        <v>19.300000043585896</v>
      </c>
      <c r="BM71" s="43">
        <f t="shared" ref="BM71" si="1682">IF(Y71="","",(Y71-Y$10)*1000)</f>
        <v>-10.600000000010823</v>
      </c>
      <c r="BN71" s="40"/>
      <c r="BO71" s="39">
        <v>196.10183586779686</v>
      </c>
      <c r="BP71" s="39">
        <v>-2.5266522969665703</v>
      </c>
      <c r="BQ71" s="39">
        <v>-0.96403835867798193</v>
      </c>
      <c r="BR71" s="39">
        <v>196.01605483451266</v>
      </c>
      <c r="BS71" s="39">
        <v>-2.5568363046001674</v>
      </c>
      <c r="BT71" s="39">
        <v>-3.3580548345128136E-2</v>
      </c>
      <c r="BU71" s="41" t="s">
        <v>77</v>
      </c>
      <c r="BV71" s="42" t="s">
        <v>77</v>
      </c>
      <c r="BW71" s="42" t="s">
        <v>77</v>
      </c>
      <c r="BX71" s="41">
        <v>196.0235585915288</v>
      </c>
      <c r="BY71" s="42">
        <v>0.42362841490106606</v>
      </c>
      <c r="BZ71" s="42">
        <v>2.2963444140847145</v>
      </c>
      <c r="CA71" s="41" t="s">
        <v>77</v>
      </c>
      <c r="CB71" s="42" t="s">
        <v>77</v>
      </c>
      <c r="CC71" s="42" t="s">
        <v>77</v>
      </c>
      <c r="CD71" s="41">
        <v>195.97453876145713</v>
      </c>
      <c r="CE71" s="42">
        <v>2.5523921749202541</v>
      </c>
      <c r="CF71" s="42">
        <v>-2.5065387614574774E-2</v>
      </c>
      <c r="CG71" s="41">
        <v>196.09465602624184</v>
      </c>
      <c r="CH71" s="42">
        <v>2.5276405547363772</v>
      </c>
      <c r="CI71" s="42">
        <v>-1.0004665602624243</v>
      </c>
      <c r="CJ71" s="40"/>
      <c r="CK71" s="43">
        <f t="shared" ref="CK71" si="1683">IF(BO71="","",(BO71-BO$10)*1000)</f>
        <v>-2.9333160685212079</v>
      </c>
      <c r="CL71" s="43">
        <f t="shared" ref="CL71" si="1684">IF(BP71="","",(BP71-BP$10)*1000)</f>
        <v>10.54872777885496</v>
      </c>
      <c r="CM71" s="43">
        <f t="shared" ref="CM71" si="1685">IF(BQ71="","",(BQ71-BQ$10)*1000)</f>
        <v>5.6293331606838137</v>
      </c>
      <c r="CN71" s="43">
        <f t="shared" ref="CN71" si="1686">IF(BR71="","",CN$59+(BR71-BR$59)*1000)</f>
        <v>-9.3705033411026761</v>
      </c>
      <c r="CO71" s="43">
        <f t="shared" ref="CO71" si="1687">IF(BS71="","",CO$59+(BS71-BS$59)*1000)</f>
        <v>8.1192214429761655</v>
      </c>
      <c r="CP71" s="43">
        <f t="shared" ref="CP71" si="1688">IF(BT71="","",CP$59+(BT71-BT$59)*1000)</f>
        <v>-4.5052949666022633</v>
      </c>
      <c r="CQ71" s="43"/>
      <c r="CR71" s="43"/>
      <c r="CS71" s="43"/>
      <c r="CT71" s="43">
        <f t="shared" ref="CT71" si="1689">IF(BX71="","",CT$59+(BX71-BX$59)*1000)</f>
        <v>-13.602797809255662</v>
      </c>
      <c r="CU71" s="43">
        <f t="shared" ref="CU71" si="1690">IF(BY71="","",CU$59+(BY71-BY$59)*1000)</f>
        <v>-8.6451387513369893E-2</v>
      </c>
      <c r="CV71" s="43">
        <f t="shared" ref="CV71" si="1691">IF(BZ71="","",CV$59+(BZ71-BZ$59)*1000)</f>
        <v>-76.553972021899057</v>
      </c>
      <c r="CW71" s="43"/>
      <c r="CX71" s="43"/>
      <c r="CY71" s="43"/>
      <c r="CZ71" s="43">
        <f t="shared" ref="CZ71" si="1692">IF(CD71="","",CZ$59+(CD71-CD$59)*1000)</f>
        <v>-2.8844376378458492</v>
      </c>
      <c r="DA71" s="43">
        <f t="shared" ref="DA71" si="1693">IF(CE71="","",DA$59+(CE71-CE$59)*1000)</f>
        <v>-18.775367920619512</v>
      </c>
      <c r="DB71" s="43">
        <f t="shared" ref="DB71" si="1694">IF(CF71="","",DB$59+(CF71-CF$59)*1000)</f>
        <v>0.84184437638211773</v>
      </c>
      <c r="DC71" s="43">
        <f t="shared" ref="DC71" si="1695">IF(CG71="","",(CG71-CG$10)*1000)</f>
        <v>-4.2590172696748141</v>
      </c>
      <c r="DD71" s="43">
        <f t="shared" ref="DD71" si="1696">IF(CH71="","",(CH71-CH$10)*1000)</f>
        <v>-23.281769130914398</v>
      </c>
      <c r="DE71" s="43">
        <f t="shared" ref="DE71" si="1697">IF(CI71="","",(CI71-CI$10)*1000)</f>
        <v>-10.557409827313791</v>
      </c>
    </row>
    <row r="72" spans="1:114" ht="29.25" customHeight="1" x14ac:dyDescent="0.2">
      <c r="A72" s="37">
        <v>44459</v>
      </c>
      <c r="B72" s="29">
        <f t="shared" ref="B72" si="1698">IF(A72="","",A72-excav)</f>
        <v>754</v>
      </c>
      <c r="C72" s="38">
        <v>222.9</v>
      </c>
      <c r="D72" s="38">
        <f t="shared" ref="D72" si="1699">IF(C72="","",+C72-$W$6)</f>
        <v>26.800000000000011</v>
      </c>
      <c r="E72" s="39">
        <v>823244.33160000003</v>
      </c>
      <c r="F72" s="39">
        <v>1091518.7755</v>
      </c>
      <c r="G72" s="39">
        <v>-124.5458</v>
      </c>
      <c r="H72" s="39">
        <v>823244.24100000004</v>
      </c>
      <c r="I72" s="39">
        <v>1091518.7666</v>
      </c>
      <c r="J72" s="39">
        <v>-123.616</v>
      </c>
      <c r="K72" s="39"/>
      <c r="L72" s="39"/>
      <c r="M72" s="39"/>
      <c r="N72" s="39">
        <v>823245.50769999996</v>
      </c>
      <c r="O72" s="39">
        <v>1091516.0686000001</v>
      </c>
      <c r="P72" s="39">
        <v>-121.2863</v>
      </c>
      <c r="Q72" s="39"/>
      <c r="R72" s="39"/>
      <c r="S72" s="39"/>
      <c r="T72" s="39">
        <v>823246.36300000001</v>
      </c>
      <c r="U72" s="39">
        <v>1091514.1188999999</v>
      </c>
      <c r="V72" s="39">
        <v>-123.608</v>
      </c>
      <c r="W72" s="39">
        <v>823246.46200000006</v>
      </c>
      <c r="X72" s="39">
        <v>1091514.1921000001</v>
      </c>
      <c r="Y72" s="39">
        <v>-124.5821</v>
      </c>
      <c r="Z72" s="39">
        <f t="shared" si="1392"/>
        <v>4.3971421479340425</v>
      </c>
      <c r="AA72" s="39">
        <f t="shared" si="1307"/>
        <v>3.7830192940340273</v>
      </c>
      <c r="AB72" s="39"/>
      <c r="AC72" s="39"/>
      <c r="AD72" s="39">
        <f t="shared" si="5"/>
        <v>3.1501046127057188</v>
      </c>
      <c r="AE72" s="39">
        <f t="shared" si="1519"/>
        <v>3.9107848803326899</v>
      </c>
      <c r="AF72" s="39"/>
      <c r="AG72" s="39">
        <f t="shared" si="8"/>
        <v>5.1092135687122608</v>
      </c>
      <c r="AH72" s="39">
        <f t="shared" si="1261"/>
        <v>5.054451247075459</v>
      </c>
      <c r="AI72" s="43">
        <f t="shared" ref="AI72" si="1700">IF(Z72="","",AI$59+(Z72-Z$59)*1000)</f>
        <v>-74.845852841923119</v>
      </c>
      <c r="AJ72" s="43">
        <f t="shared" ref="AJ72" si="1701">IF(AA72="","",AJ$59+(AA72-AA$59)*1000)</f>
        <v>-53.911976680906641</v>
      </c>
      <c r="AK72" s="43"/>
      <c r="AL72" s="43"/>
      <c r="AM72" s="43">
        <f t="shared" ref="AM72" si="1702">IF(AD72="","",AM$59+(AD72-AD$59)*1000)</f>
        <v>-66.031164040747385</v>
      </c>
      <c r="AN72" s="43">
        <f t="shared" ref="AN72" si="1703">IF(AE72="","",AN$59+(AE72-AE$59)*1000)</f>
        <v>-66.89528231598851</v>
      </c>
      <c r="AO72" s="43"/>
      <c r="AP72" s="43">
        <f t="shared" ref="AP72" si="1704">IF(AG72="","",AP$59+(AG72-AG$59)*1000)</f>
        <v>-27.293288263180671</v>
      </c>
      <c r="AQ72" s="43">
        <f t="shared" ref="AQ72" si="1705">IF(AH72="","",AQ$59+(AH72-AH$59)*1000)</f>
        <v>-33.71596437281088</v>
      </c>
      <c r="AR72" s="40"/>
      <c r="AS72" s="43">
        <f t="shared" ref="AS72" si="1706">IF(E72="","",(E72-E$10)*1000)</f>
        <v>1.2000000569969416</v>
      </c>
      <c r="AT72" s="43">
        <f t="shared" ref="AT72" si="1707">IF(F72="","",(F72-F$10)*1000)</f>
        <v>-9.0000000782310963</v>
      </c>
      <c r="AU72" s="43">
        <f t="shared" ref="AU72" si="1708">IF(G72="","",(G72-G$10)*1000)</f>
        <v>5.7000000000044793</v>
      </c>
      <c r="AV72" s="43">
        <f t="shared" ref="AV72" si="1709">IF(H72="","",AV$59+(H72-H$59)*1000)</f>
        <v>-5.7999999262392521</v>
      </c>
      <c r="AW72" s="43">
        <f t="shared" ref="AW72" si="1710">IF(I72="","",AW$59+(I72-I$59)*1000)</f>
        <v>-9.4999999273568392</v>
      </c>
      <c r="AX72" s="43">
        <f t="shared" ref="AX72" si="1711">IF(J72="","",AX$59+(J72-J$59)*1000)</f>
        <v>-4.3000000000006366</v>
      </c>
      <c r="AY72" s="43"/>
      <c r="AZ72" s="43"/>
      <c r="BA72" s="43"/>
      <c r="BB72" s="43">
        <f t="shared" ref="BB72" si="1712">IF(N72="","",BB$59+(N72-N$59)*1000)</f>
        <v>-12.900000088848174</v>
      </c>
      <c r="BC72" s="43">
        <f t="shared" ref="BC72" si="1713">IF(O72="","",BC$59+(O72-O$59)*1000)</f>
        <v>-3.8999998942017555</v>
      </c>
      <c r="BD72" s="43">
        <f t="shared" ref="BD72" si="1714">IF(P72="","",BD$59+(P72-P$59)*1000)</f>
        <v>-76.699999999988222</v>
      </c>
      <c r="BE72" s="43"/>
      <c r="BF72" s="43"/>
      <c r="BG72" s="43"/>
      <c r="BH72" s="43">
        <f t="shared" ref="BH72" si="1715">IF(T72="","",BH$59+(T72-T$59)*1000)</f>
        <v>-11.100000119768083</v>
      </c>
      <c r="BI72" s="43">
        <f t="shared" ref="BI72" si="1716">IF(U72="","",BI$59+(U72-U$59)*1000)</f>
        <v>17.899999860674143</v>
      </c>
      <c r="BJ72" s="43">
        <f t="shared" ref="BJ72" si="1717">IF(V72="","",BJ$59+(V72-V$59)*1000)</f>
        <v>1.0000000000047748</v>
      </c>
      <c r="BK72" s="43">
        <f t="shared" ref="BK72" si="1718">IF(W72="","",(W72-W$10)*1000)</f>
        <v>-13.599999947473407</v>
      </c>
      <c r="BL72" s="43">
        <f t="shared" ref="BL72" si="1719">IF(X72="","",(X72-X$10)*1000)</f>
        <v>21.400000201538205</v>
      </c>
      <c r="BM72" s="43">
        <f t="shared" ref="BM72" si="1720">IF(Y72="","",(Y72-Y$10)*1000)</f>
        <v>-10.300000000000864</v>
      </c>
      <c r="BN72" s="40"/>
      <c r="BO72" s="39">
        <v>196.10205286625214</v>
      </c>
      <c r="BP72" s="39">
        <v>-2.5285372137959321</v>
      </c>
      <c r="BQ72" s="39">
        <v>-0.96394052866251911</v>
      </c>
      <c r="BR72" s="39">
        <v>196.01618120370597</v>
      </c>
      <c r="BS72" s="39">
        <v>-2.5587634866571505</v>
      </c>
      <c r="BT72" s="39">
        <v>-3.3281812037060376E-2</v>
      </c>
      <c r="BU72" s="42" t="s">
        <v>77</v>
      </c>
      <c r="BV72" s="42" t="s">
        <v>77</v>
      </c>
      <c r="BW72" s="42" t="s">
        <v>77</v>
      </c>
      <c r="BX72" s="41">
        <v>196.02386621913342</v>
      </c>
      <c r="BY72" s="42">
        <v>0.42178576298990772</v>
      </c>
      <c r="BZ72" s="42">
        <v>2.2963413378086699</v>
      </c>
      <c r="CA72" s="41" t="s">
        <v>77</v>
      </c>
      <c r="CB72" s="42" t="s">
        <v>77</v>
      </c>
      <c r="CC72" s="42" t="s">
        <v>77</v>
      </c>
      <c r="CD72" s="41">
        <v>195.97497318465332</v>
      </c>
      <c r="CE72" s="42">
        <v>2.5502776356944077</v>
      </c>
      <c r="CF72" s="42">
        <v>-2.4869731846536069E-2</v>
      </c>
      <c r="CG72" s="41">
        <v>196.09563422479175</v>
      </c>
      <c r="CH72" s="42">
        <v>2.5257796065176188</v>
      </c>
      <c r="CI72" s="42">
        <v>-1.0001763422479115</v>
      </c>
      <c r="CJ72" s="40"/>
      <c r="CK72" s="43">
        <f t="shared" ref="CK72" si="1721">IF(BO72="","",(BO72-BO$10)*1000)</f>
        <v>-2.7163176132489752</v>
      </c>
      <c r="CL72" s="43">
        <f t="shared" ref="CL72" si="1722">IF(BP72="","",(BP72-BP$10)*1000)</f>
        <v>8.6638109494932003</v>
      </c>
      <c r="CM72" s="43">
        <f t="shared" ref="CM72" si="1723">IF(BQ72="","",(BQ72-BQ$10)*1000)</f>
        <v>5.7271631761466324</v>
      </c>
      <c r="CN72" s="43">
        <f t="shared" ref="CN72" si="1724">IF(BR72="","",CN$59+(BR72-BR$59)*1000)</f>
        <v>-9.2441341477922379</v>
      </c>
      <c r="CO72" s="43">
        <f t="shared" ref="CO72" si="1725">IF(BS72="","",CO$59+(BS72-BS$59)*1000)</f>
        <v>6.1920393859931089</v>
      </c>
      <c r="CP72" s="43">
        <f t="shared" ref="CP72" si="1726">IF(BT72="","",CP$59+(BT72-BT$59)*1000)</f>
        <v>-4.2065586585345036</v>
      </c>
      <c r="CQ72" s="43"/>
      <c r="CR72" s="43"/>
      <c r="CS72" s="43"/>
      <c r="CT72" s="43">
        <f t="shared" ref="CT72" si="1727">IF(BX72="","",CT$59+(BX72-BX$59)*1000)</f>
        <v>-13.295170204628448</v>
      </c>
      <c r="CU72" s="43">
        <f t="shared" ref="CU72" si="1728">IF(BY72="","",CU$59+(BY72-BY$59)*1000)</f>
        <v>-1.9291032986717138</v>
      </c>
      <c r="CV72" s="43">
        <f t="shared" ref="CV72" si="1729">IF(BZ72="","",CV$59+(BZ72-BZ$59)*1000)</f>
        <v>-76.557048297943624</v>
      </c>
      <c r="CW72" s="43"/>
      <c r="CX72" s="43"/>
      <c r="CY72" s="43"/>
      <c r="CZ72" s="43">
        <f t="shared" ref="CZ72" si="1730">IF(CD72="","",CZ$59+(CD72-CD$59)*1000)</f>
        <v>-2.4500144416492731</v>
      </c>
      <c r="DA72" s="43">
        <f t="shared" ref="DA72" si="1731">IF(CE72="","",DA$59+(CE72-CE$59)*1000)</f>
        <v>-20.88990714646588</v>
      </c>
      <c r="DB72" s="43">
        <f t="shared" ref="DB72" si="1732">IF(CF72="","",DB$59+(CF72-CF$59)*1000)</f>
        <v>1.0375001444208227</v>
      </c>
      <c r="DC72" s="43">
        <f t="shared" ref="DC72" si="1733">IF(CG72="","",(CG72-CG$10)*1000)</f>
        <v>-3.2808187197588268</v>
      </c>
      <c r="DD72" s="43">
        <f t="shared" ref="DD72" si="1734">IF(CH72="","",(CH72-CH$10)*1000)</f>
        <v>-25.142717349672772</v>
      </c>
      <c r="DE72" s="43">
        <f t="shared" ref="DE72" si="1735">IF(CI72="","",(CI72-CI$10)*1000)</f>
        <v>-10.267191812801002</v>
      </c>
    </row>
    <row r="73" spans="1:114" ht="29.25" customHeight="1" x14ac:dyDescent="0.2">
      <c r="A73" s="37">
        <v>44466</v>
      </c>
      <c r="B73" s="29">
        <f t="shared" ref="B73" si="1736">IF(A73="","",A73-excav)</f>
        <v>761</v>
      </c>
      <c r="C73" s="38">
        <v>222.9</v>
      </c>
      <c r="D73" s="38">
        <f t="shared" ref="D73" si="1737">IF(C73="","",+C73-$W$6)</f>
        <v>26.800000000000011</v>
      </c>
      <c r="E73" s="39">
        <v>823244.3321</v>
      </c>
      <c r="F73" s="39">
        <v>1091518.7742999999</v>
      </c>
      <c r="G73" s="39">
        <v>-124.5463</v>
      </c>
      <c r="H73" s="39">
        <v>823244.24190000002</v>
      </c>
      <c r="I73" s="39">
        <v>1091518.7656</v>
      </c>
      <c r="J73" s="39">
        <v>-123.61669999999999</v>
      </c>
      <c r="K73" s="39"/>
      <c r="L73" s="39"/>
      <c r="M73" s="39"/>
      <c r="N73" s="39">
        <v>823245.50820000004</v>
      </c>
      <c r="O73" s="39">
        <v>1091516.0674000001</v>
      </c>
      <c r="P73" s="39">
        <v>-121.28700000000001</v>
      </c>
      <c r="Q73" s="39"/>
      <c r="R73" s="39"/>
      <c r="S73" s="39"/>
      <c r="T73" s="39">
        <v>823246.36360000004</v>
      </c>
      <c r="U73" s="39">
        <v>1091514.1176</v>
      </c>
      <c r="V73" s="39">
        <v>-123.60850000000001</v>
      </c>
      <c r="W73" s="39">
        <v>823246.46230000001</v>
      </c>
      <c r="X73" s="39">
        <v>1091514.1909</v>
      </c>
      <c r="Y73" s="39">
        <v>-124.5829</v>
      </c>
      <c r="Z73" s="39">
        <f t="shared" si="1392"/>
        <v>4.3969938946298059</v>
      </c>
      <c r="AA73" s="39">
        <f t="shared" si="1307"/>
        <v>3.7830280226241855</v>
      </c>
      <c r="AB73" s="39"/>
      <c r="AC73" s="39"/>
      <c r="AD73" s="39">
        <f t="shared" si="5"/>
        <v>3.1500462616025149</v>
      </c>
      <c r="AE73" s="39">
        <f t="shared" si="1519"/>
        <v>3.9108203576741274</v>
      </c>
      <c r="AF73" s="39"/>
      <c r="AG73" s="39">
        <f t="shared" si="8"/>
        <v>5.1093622038852793</v>
      </c>
      <c r="AH73" s="39">
        <f t="shared" si="1261"/>
        <v>5.0543691158266411</v>
      </c>
      <c r="AI73" s="43">
        <f t="shared" ref="AI73" si="1738">IF(Z73="","",AI$59+(Z73-Z$59)*1000)</f>
        <v>-74.994106146159638</v>
      </c>
      <c r="AJ73" s="43">
        <f t="shared" ref="AJ73" si="1739">IF(AA73="","",AJ$59+(AA73-AA$59)*1000)</f>
        <v>-53.903248090748427</v>
      </c>
      <c r="AK73" s="43"/>
      <c r="AL73" s="43"/>
      <c r="AM73" s="43">
        <f t="shared" ref="AM73" si="1740">IF(AD73="","",AM$59+(AD73-AD$59)*1000)</f>
        <v>-66.089515143951346</v>
      </c>
      <c r="AN73" s="43">
        <f t="shared" ref="AN73" si="1741">IF(AE73="","",AN$59+(AE73-AE$59)*1000)</f>
        <v>-66.859804974551025</v>
      </c>
      <c r="AO73" s="43"/>
      <c r="AP73" s="43">
        <f t="shared" ref="AP73" si="1742">IF(AG73="","",AP$59+(AG73-AG$59)*1000)</f>
        <v>-27.14465309016223</v>
      </c>
      <c r="AQ73" s="43">
        <f t="shared" ref="AQ73" si="1743">IF(AH73="","",AQ$59+(AH73-AH$59)*1000)</f>
        <v>-33.798095621628832</v>
      </c>
      <c r="AR73" s="40"/>
      <c r="AS73" s="43">
        <f t="shared" ref="AS73" si="1744">IF(E73="","",(E73-E$10)*1000)</f>
        <v>1.7000000225380063</v>
      </c>
      <c r="AT73" s="43">
        <f t="shared" ref="AT73" si="1745">IF(F73="","",(F73-F$10)*1000)</f>
        <v>-10.200000135228038</v>
      </c>
      <c r="AU73" s="43">
        <f t="shared" ref="AU73" si="1746">IF(G73="","",(G73-G$10)*1000)</f>
        <v>5.2000000000020918</v>
      </c>
      <c r="AV73" s="43">
        <f t="shared" ref="AV73" si="1747">IF(H73="","",AV$59+(H73-H$59)*1000)</f>
        <v>-4.8999999416992068</v>
      </c>
      <c r="AW73" s="43">
        <f t="shared" ref="AW73" si="1748">IF(I73="","",AW$59+(I73-I$59)*1000)</f>
        <v>-10.499999858438969</v>
      </c>
      <c r="AX73" s="43">
        <f t="shared" ref="AX73" si="1749">IF(J73="","",AX$59+(J73-J$59)*1000)</f>
        <v>-4.9999999999954525</v>
      </c>
      <c r="AY73" s="43"/>
      <c r="AZ73" s="43"/>
      <c r="BA73" s="43"/>
      <c r="BB73" s="43">
        <f t="shared" ref="BB73" si="1750">IF(N73="","",BB$59+(N73-N$59)*1000)</f>
        <v>-12.400000006891787</v>
      </c>
      <c r="BC73" s="43">
        <f t="shared" ref="BC73" si="1751">IF(O73="","",BC$59+(O73-O$59)*1000)</f>
        <v>-5.0999999511986971</v>
      </c>
      <c r="BD73" s="43">
        <f t="shared" ref="BD73" si="1752">IF(P73="","",BD$59+(P73-P$59)*1000)</f>
        <v>-77.399999999997249</v>
      </c>
      <c r="BE73" s="43"/>
      <c r="BF73" s="43"/>
      <c r="BG73" s="43"/>
      <c r="BH73" s="43">
        <f t="shared" ref="BH73" si="1753">IF(T73="","",BH$59+(T73-T$59)*1000)</f>
        <v>-10.500000091269612</v>
      </c>
      <c r="BI73" s="43">
        <f t="shared" ref="BI73" si="1754">IF(U73="","",BI$59+(U73-U$59)*1000)</f>
        <v>16.599999973550439</v>
      </c>
      <c r="BJ73" s="43">
        <f t="shared" ref="BJ73" si="1755">IF(V73="","",BJ$59+(V73-V$59)*1000)</f>
        <v>0.50000000000238742</v>
      </c>
      <c r="BK73" s="43">
        <f t="shared" ref="BK73" si="1756">IF(W73="","",(W73-W$10)*1000)</f>
        <v>-13.299999991431832</v>
      </c>
      <c r="BL73" s="43">
        <f t="shared" ref="BL73" si="1757">IF(X73="","",(X73-X$10)*1000)</f>
        <v>20.200000144541264</v>
      </c>
      <c r="BM73" s="43">
        <f t="shared" ref="BM73" si="1758">IF(Y73="","",(Y73-Y$10)*1000)</f>
        <v>-11.099999999999</v>
      </c>
      <c r="BN73" s="40"/>
      <c r="BO73" s="39">
        <v>196.1019988298093</v>
      </c>
      <c r="BP73" s="39">
        <v>-2.52723833729479</v>
      </c>
      <c r="BQ73" s="39">
        <v>-0.9644399882980963</v>
      </c>
      <c r="BR73" s="39">
        <v>196.01657421455522</v>
      </c>
      <c r="BS73" s="39">
        <v>-2.5574768078679049</v>
      </c>
      <c r="BT73" s="39">
        <v>-3.3985742145546283E-2</v>
      </c>
      <c r="BU73" s="42" t="s">
        <v>77</v>
      </c>
      <c r="BV73" s="42"/>
      <c r="BW73" s="42"/>
      <c r="BX73" s="41">
        <v>196.02381218279606</v>
      </c>
      <c r="BY73" s="42">
        <v>0.42308463954020614</v>
      </c>
      <c r="BZ73" s="42">
        <v>2.2956418781720345</v>
      </c>
      <c r="CA73" s="41" t="s">
        <v>77</v>
      </c>
      <c r="CB73" s="42" t="s">
        <v>77</v>
      </c>
      <c r="CC73" s="42" t="s">
        <v>77</v>
      </c>
      <c r="CD73" s="41">
        <v>195.97496751234323</v>
      </c>
      <c r="CE73" s="42">
        <v>2.5517094064741221</v>
      </c>
      <c r="CF73" s="42">
        <v>-2.5369675123442903E-2</v>
      </c>
      <c r="CG73" s="41">
        <v>196.09539892993044</v>
      </c>
      <c r="CH73" s="42">
        <v>2.5269939526127283</v>
      </c>
      <c r="CI73" s="42">
        <v>-1.0009739892992968</v>
      </c>
      <c r="CJ73" s="40"/>
      <c r="CK73" s="43">
        <f t="shared" ref="CK73" si="1759">IF(BO73="","",(BO73-BO$10)*1000)</f>
        <v>-2.7703540560821693</v>
      </c>
      <c r="CL73" s="43">
        <f t="shared" ref="CL73" si="1760">IF(BP73="","",(BP73-BP$10)*1000)</f>
        <v>9.9626874506353325</v>
      </c>
      <c r="CM73" s="43">
        <f t="shared" ref="CM73" si="1761">IF(BQ73="","",(BQ73-BQ$10)*1000)</f>
        <v>5.2277035405694505</v>
      </c>
      <c r="CN73" s="43">
        <f t="shared" ref="CN73" si="1762">IF(BR73="","",CN$59+(BR73-BR$59)*1000)</f>
        <v>-8.851123298541097</v>
      </c>
      <c r="CO73" s="43">
        <f t="shared" ref="CO73" si="1763">IF(BS73="","",CO$59+(BS73-BS$59)*1000)</f>
        <v>7.4787181752387077</v>
      </c>
      <c r="CP73" s="43">
        <f t="shared" ref="CP73" si="1764">IF(BT73="","",CP$59+(BT73-BT$59)*1000)</f>
        <v>-4.9104887670204098</v>
      </c>
      <c r="CQ73" s="43"/>
      <c r="CR73" s="43"/>
      <c r="CS73" s="43"/>
      <c r="CT73" s="43">
        <f t="shared" ref="CT73" si="1765">IF(BX73="","",CT$59+(BX73-BX$59)*1000)</f>
        <v>-13.349206541988679</v>
      </c>
      <c r="CU73" s="43">
        <f t="shared" ref="CU73" si="1766">IF(BY73="","",CU$59+(BY73-BY$59)*1000)</f>
        <v>-0.63022674837329151</v>
      </c>
      <c r="CV73" s="43">
        <f t="shared" ref="CV73" si="1767">IF(BZ73="","",CV$59+(BZ73-BZ$59)*1000)</f>
        <v>-77.256507934579048</v>
      </c>
      <c r="CW73" s="43"/>
      <c r="CX73" s="43"/>
      <c r="CY73" s="43"/>
      <c r="CZ73" s="43">
        <f t="shared" ref="CZ73" si="1768">IF(CD73="","",CZ$59+(CD73-CD$59)*1000)</f>
        <v>-2.455686751744679</v>
      </c>
      <c r="DA73" s="43">
        <f t="shared" ref="DA73" si="1769">IF(CE73="","",DA$59+(CE73-CE$59)*1000)</f>
        <v>-19.458136366751422</v>
      </c>
      <c r="DB73" s="43">
        <f t="shared" ref="DB73" si="1770">IF(CF73="","",DB$59+(CF73-CF$59)*1000)</f>
        <v>0.53755686751398946</v>
      </c>
      <c r="DC73" s="43">
        <f t="shared" ref="DC73" si="1771">IF(CG73="","",(CG73-CG$10)*1000)</f>
        <v>-3.5161135810710675</v>
      </c>
      <c r="DD73" s="43">
        <f t="shared" ref="DD73" si="1772">IF(CH73="","",(CH73-CH$10)*1000)</f>
        <v>-23.928371254563263</v>
      </c>
      <c r="DE73" s="43">
        <f t="shared" ref="DE73" si="1773">IF(CI73="","",(CI73-CI$10)*1000)</f>
        <v>-11.064838864186299</v>
      </c>
    </row>
    <row r="74" spans="1:114" ht="29.25" customHeight="1" x14ac:dyDescent="0.2">
      <c r="A74" s="37">
        <v>44474</v>
      </c>
      <c r="B74" s="29">
        <f t="shared" ref="B74" si="1774">IF(A74="","",A74-excav)</f>
        <v>769</v>
      </c>
      <c r="C74" s="38">
        <v>222.9</v>
      </c>
      <c r="D74" s="38">
        <f t="shared" ref="D74" si="1775">IF(C74="","",+C74-$W$6)</f>
        <v>26.800000000000011</v>
      </c>
      <c r="E74" s="39">
        <v>823244.33270000003</v>
      </c>
      <c r="F74" s="39">
        <v>1091518.7747</v>
      </c>
      <c r="G74" s="39">
        <v>-124.5453</v>
      </c>
      <c r="H74" s="39">
        <v>823244.24230000004</v>
      </c>
      <c r="I74" s="39">
        <v>1091518.7660000001</v>
      </c>
      <c r="J74" s="39">
        <v>-123.6159</v>
      </c>
      <c r="K74" s="39"/>
      <c r="L74" s="39"/>
      <c r="M74" s="39"/>
      <c r="N74" s="39">
        <v>823245.5085</v>
      </c>
      <c r="O74" s="39">
        <v>1091516.0678000001</v>
      </c>
      <c r="P74" s="39">
        <v>-121.2863</v>
      </c>
      <c r="Q74" s="39"/>
      <c r="R74" s="39"/>
      <c r="S74" s="39"/>
      <c r="T74" s="39">
        <v>823246.3639</v>
      </c>
      <c r="U74" s="39">
        <v>1091514.1177999999</v>
      </c>
      <c r="V74" s="39">
        <v>-123.60769999999999</v>
      </c>
      <c r="W74" s="39">
        <v>823246.46290000004</v>
      </c>
      <c r="X74" s="39">
        <v>1091514.1910999999</v>
      </c>
      <c r="Y74" s="39">
        <v>-124.5819</v>
      </c>
      <c r="Z74" s="39">
        <f t="shared" si="1392"/>
        <v>4.3966912842774626</v>
      </c>
      <c r="AA74" s="39">
        <f t="shared" si="1307"/>
        <v>3.7829329679232315</v>
      </c>
      <c r="AB74" s="39"/>
      <c r="AC74" s="39"/>
      <c r="AD74" s="39">
        <f t="shared" si="5"/>
        <v>3.1500963668953137</v>
      </c>
      <c r="AE74" s="39">
        <f t="shared" si="1519"/>
        <v>3.9107367094461134</v>
      </c>
      <c r="AF74" s="39"/>
      <c r="AG74" s="39">
        <f t="shared" si="8"/>
        <v>5.1095026217230641</v>
      </c>
      <c r="AH74" s="39">
        <f t="shared" si="1261"/>
        <v>5.0545504805250907</v>
      </c>
      <c r="AI74" s="43">
        <f t="shared" ref="AI74" si="1776">IF(Z74="","",AI$59+(Z74-Z$59)*1000)</f>
        <v>-75.296716498503002</v>
      </c>
      <c r="AJ74" s="43">
        <f t="shared" ref="AJ74" si="1777">IF(AA74="","",AJ$59+(AA74-AA$59)*1000)</f>
        <v>-53.998302791702372</v>
      </c>
      <c r="AK74" s="43"/>
      <c r="AL74" s="43"/>
      <c r="AM74" s="43">
        <f t="shared" ref="AM74" si="1778">IF(AD74="","",AM$59+(AD74-AD$59)*1000)</f>
        <v>-66.039409851152527</v>
      </c>
      <c r="AN74" s="43">
        <f t="shared" ref="AN74" si="1779">IF(AE74="","",AN$59+(AE74-AE$59)*1000)</f>
        <v>-66.94345320256501</v>
      </c>
      <c r="AO74" s="43"/>
      <c r="AP74" s="43">
        <f t="shared" ref="AP74" si="1780">IF(AG74="","",AP$59+(AG74-AG$59)*1000)</f>
        <v>-27.004235252377384</v>
      </c>
      <c r="AQ74" s="43">
        <f t="shared" ref="AQ74" si="1781">IF(AH74="","",AQ$59+(AH74-AH$59)*1000)</f>
        <v>-33.616730923179183</v>
      </c>
      <c r="AR74" s="40"/>
      <c r="AS74" s="43">
        <f t="shared" ref="AS74" si="1782">IF(E74="","",(E74-E$10)*1000)</f>
        <v>2.3000000510364771</v>
      </c>
      <c r="AT74" s="43">
        <f t="shared" ref="AT74" si="1783">IF(F74="","",(F74-F$10)*1000)</f>
        <v>-9.8000001162290573</v>
      </c>
      <c r="AU74" s="43">
        <f t="shared" ref="AU74" si="1784">IF(G74="","",(G74-G$10)*1000)</f>
        <v>6.2000000000068667</v>
      </c>
      <c r="AV74" s="43">
        <f t="shared" ref="AV74" si="1785">IF(H74="","",AV$59+(H74-H$59)*1000)</f>
        <v>-4.4999999227002263</v>
      </c>
      <c r="AW74" s="43">
        <f t="shared" ref="AW74" si="1786">IF(I74="","",AW$59+(I74-I$59)*1000)</f>
        <v>-10.099999839439988</v>
      </c>
      <c r="AX74" s="43">
        <f t="shared" ref="AX74" si="1787">IF(J74="","",AX$59+(J74-J$59)*1000)</f>
        <v>-4.199999999997317</v>
      </c>
      <c r="AY74" s="43"/>
      <c r="AZ74" s="43"/>
      <c r="BA74" s="43"/>
      <c r="BB74" s="43">
        <f t="shared" ref="BB74" si="1788">IF(N74="","",BB$59+(N74-N$59)*1000)</f>
        <v>-12.100000050850213</v>
      </c>
      <c r="BC74" s="43">
        <f t="shared" ref="BC74" si="1789">IF(O74="","",BC$59+(O74-O$59)*1000)</f>
        <v>-4.6999999321997166</v>
      </c>
      <c r="BD74" s="43">
        <f t="shared" ref="BD74" si="1790">IF(P74="","",BD$59+(P74-P$59)*1000)</f>
        <v>-76.699999999988222</v>
      </c>
      <c r="BE74" s="43"/>
      <c r="BF74" s="43"/>
      <c r="BG74" s="43"/>
      <c r="BH74" s="43">
        <f t="shared" ref="BH74" si="1791">IF(T74="","",BH$59+(T74-T$59)*1000)</f>
        <v>-10.200000135228038</v>
      </c>
      <c r="BI74" s="43">
        <f t="shared" ref="BI74" si="1792">IF(U74="","",BI$59+(U74-U$59)*1000)</f>
        <v>16.799999866634607</v>
      </c>
      <c r="BJ74" s="43">
        <f t="shared" ref="BJ74" si="1793">IF(V74="","",BJ$59+(V74-V$59)*1000)</f>
        <v>1.3000000000147338</v>
      </c>
      <c r="BK74" s="43">
        <f t="shared" ref="BK74" si="1794">IF(W74="","",(W74-W$10)*1000)</f>
        <v>-12.699999962933362</v>
      </c>
      <c r="BL74" s="43">
        <f t="shared" ref="BL74" si="1795">IF(X74="","",(X74-X$10)*1000)</f>
        <v>20.400000037625432</v>
      </c>
      <c r="BM74" s="43">
        <f t="shared" ref="BM74" si="1796">IF(Y74="","",(Y74-Y$10)*1000)</f>
        <v>-10.100000000008436</v>
      </c>
      <c r="BN74" s="40"/>
      <c r="BO74" s="39">
        <v>196.10271166587668</v>
      </c>
      <c r="BP74" s="39">
        <v>-2.5273472629135942</v>
      </c>
      <c r="BQ74" s="39">
        <v>-0.96344711665877014</v>
      </c>
      <c r="BR74" s="39">
        <v>196.01710579220415</v>
      </c>
      <c r="BS74" s="39">
        <v>-2.5576702638926996</v>
      </c>
      <c r="BT74" s="39">
        <v>-3.3191057922039136E-2</v>
      </c>
      <c r="BU74" s="42" t="s">
        <v>77</v>
      </c>
      <c r="BV74" s="42"/>
      <c r="BW74" s="42"/>
      <c r="BX74" s="41">
        <v>196.02425313118306</v>
      </c>
      <c r="BY74" s="42">
        <v>0.42284891828778121</v>
      </c>
      <c r="BZ74" s="42">
        <v>2.296337468688165</v>
      </c>
      <c r="CA74" s="41" t="s">
        <v>77</v>
      </c>
      <c r="CB74" s="42" t="s">
        <v>77</v>
      </c>
      <c r="CC74" s="42" t="s">
        <v>77</v>
      </c>
      <c r="CD74" s="41">
        <v>195.97532393027498</v>
      </c>
      <c r="CE74" s="42">
        <v>2.5516549437456177</v>
      </c>
      <c r="CF74" s="42">
        <v>-2.4573239302753791E-2</v>
      </c>
      <c r="CG74" s="41">
        <v>196.09602723554261</v>
      </c>
      <c r="CH74" s="42">
        <v>2.5270662855179045</v>
      </c>
      <c r="CI74" s="42">
        <v>-0.99998027235542963</v>
      </c>
      <c r="CJ74" s="40"/>
      <c r="CK74" s="43">
        <f t="shared" ref="CK74" si="1797">IF(BO74="","",(BO74-BO$10)*1000)</f>
        <v>-2.0575179887032391</v>
      </c>
      <c r="CL74" s="43">
        <f t="shared" ref="CL74" si="1798">IF(BP74="","",(BP74-BP$10)*1000)</f>
        <v>9.8537618318310649</v>
      </c>
      <c r="CM74" s="43">
        <f t="shared" ref="CM74" si="1799">IF(BQ74="","",(BQ74-BQ$10)*1000)</f>
        <v>6.2205751798956044</v>
      </c>
      <c r="CN74" s="43">
        <f t="shared" ref="CN74" si="1800">IF(BR74="","",CN$59+(BR74-BR$59)*1000)</f>
        <v>-8.3195456496127917</v>
      </c>
      <c r="CO74" s="43">
        <f t="shared" ref="CO74" si="1801">IF(BS74="","",CO$59+(BS74-BS$59)*1000)</f>
        <v>7.2852621504440052</v>
      </c>
      <c r="CP74" s="43">
        <f t="shared" ref="CP74" si="1802">IF(BT74="","",CP$59+(BT74-BT$59)*1000)</f>
        <v>-4.1158045435132626</v>
      </c>
      <c r="CQ74" s="43"/>
      <c r="CR74" s="43"/>
      <c r="CS74" s="43"/>
      <c r="CT74" s="43">
        <f t="shared" ref="CT74" si="1803">IF(BX74="","",CT$59+(BX74-BX$59)*1000)</f>
        <v>-12.908258154993746</v>
      </c>
      <c r="CU74" s="43">
        <f t="shared" ref="CU74" si="1804">IF(BY74="","",CU$59+(BY74-BY$59)*1000)</f>
        <v>-0.86594800079822787</v>
      </c>
      <c r="CV74" s="43">
        <f t="shared" ref="CV74" si="1805">IF(BZ74="","",CV$59+(BZ74-BZ$59)*1000)</f>
        <v>-76.560917418448497</v>
      </c>
      <c r="CW74" s="43"/>
      <c r="CX74" s="43"/>
      <c r="CY74" s="43"/>
      <c r="CZ74" s="43">
        <f t="shared" ref="CZ74" si="1806">IF(CD74="","",CZ$59+(CD74-CD$59)*1000)</f>
        <v>-2.0992688199896747</v>
      </c>
      <c r="DA74" s="43">
        <f t="shared" ref="DA74" si="1807">IF(CE74="","",DA$59+(CE74-CE$59)*1000)</f>
        <v>-19.512599095255823</v>
      </c>
      <c r="DB74" s="43">
        <f t="shared" ref="DB74" si="1808">IF(CF74="","",DB$59+(CF74-CF$59)*1000)</f>
        <v>1.3339926882031012</v>
      </c>
      <c r="DC74" s="43">
        <f t="shared" ref="DC74" si="1809">IF(CG74="","",(CG74-CG$10)*1000)</f>
        <v>-2.887807968903644</v>
      </c>
      <c r="DD74" s="43">
        <f t="shared" ref="DD74" si="1810">IF(CH74="","",(CH74-CH$10)*1000)</f>
        <v>-23.856038349387099</v>
      </c>
      <c r="DE74" s="43">
        <f t="shared" ref="DE74" si="1811">IF(CI74="","",(CI74-CI$10)*1000)</f>
        <v>-10.071121920319115</v>
      </c>
    </row>
    <row r="75" spans="1:114" ht="29.25" customHeight="1" x14ac:dyDescent="0.2">
      <c r="A75" s="37">
        <v>44480</v>
      </c>
      <c r="B75" s="29">
        <f t="shared" ref="B75" si="1812">IF(A75="","",A75-excav)</f>
        <v>775</v>
      </c>
      <c r="C75" s="38">
        <v>222.9</v>
      </c>
      <c r="D75" s="38">
        <f t="shared" ref="D75" si="1813">IF(C75="","",+C75-$W$6)</f>
        <v>26.800000000000011</v>
      </c>
      <c r="E75" s="39" t="e">
        <f>VLOOKUP(#REF!,#REF!,#REF!,FALSE)</f>
        <v>#REF!</v>
      </c>
      <c r="F75" s="39" t="e">
        <f>VLOOKUP(#REF!,#REF!,#REF!,FALSE)</f>
        <v>#REF!</v>
      </c>
      <c r="G75" s="39" t="e">
        <f>VLOOKUP(#REF!,#REF!,#REF!,FALSE)</f>
        <v>#REF!</v>
      </c>
      <c r="H75" s="39" t="e">
        <f>VLOOKUP(#REF!,#REF!,#REF!,FALSE)</f>
        <v>#REF!</v>
      </c>
      <c r="I75" s="39" t="e">
        <f>VLOOKUP(#REF!,#REF!,#REF!,FALSE)</f>
        <v>#REF!</v>
      </c>
      <c r="J75" s="39" t="e">
        <f>VLOOKUP(#REF!,#REF!,#REF!,FALSE)</f>
        <v>#REF!</v>
      </c>
      <c r="K75" s="39"/>
      <c r="L75" s="39"/>
      <c r="M75" s="39"/>
      <c r="N75" s="39"/>
      <c r="O75" s="39"/>
      <c r="P75" s="39"/>
      <c r="Q75" s="39"/>
      <c r="R75" s="39"/>
      <c r="S75" s="39"/>
      <c r="T75" s="39" t="e">
        <f>VLOOKUP(#REF!,#REF!,#REF!,FALSE)</f>
        <v>#REF!</v>
      </c>
      <c r="U75" s="39" t="e">
        <f>VLOOKUP(#REF!,#REF!,#REF!,FALSE)</f>
        <v>#REF!</v>
      </c>
      <c r="V75" s="39" t="e">
        <f>VLOOKUP(#REF!,#REF!,#REF!,FALSE)</f>
        <v>#REF!</v>
      </c>
      <c r="W75" s="39" t="e">
        <f>VLOOKUP(#REF!,#REF!,#REF!,FALSE)</f>
        <v>#REF!</v>
      </c>
      <c r="X75" s="39" t="e">
        <f>VLOOKUP(#REF!,#REF!,#REF!,FALSE)</f>
        <v>#REF!</v>
      </c>
      <c r="Y75" s="39" t="e">
        <f>VLOOKUP(#REF!,#REF!,#REF!,FALSE)</f>
        <v>#REF!</v>
      </c>
      <c r="Z75" s="39" t="str">
        <f t="shared" si="1392"/>
        <v/>
      </c>
      <c r="AA75" s="39" t="str">
        <f t="shared" si="1307"/>
        <v/>
      </c>
      <c r="AB75" s="39"/>
      <c r="AC75" s="39"/>
      <c r="AD75" s="39" t="str">
        <f t="shared" si="5"/>
        <v/>
      </c>
      <c r="AE75" s="39" t="str">
        <f t="shared" si="1519"/>
        <v/>
      </c>
      <c r="AF75" s="39"/>
      <c r="AG75" s="39" t="e">
        <f t="shared" si="8"/>
        <v>#REF!</v>
      </c>
      <c r="AH75" s="39" t="e">
        <f t="shared" si="1261"/>
        <v>#REF!</v>
      </c>
      <c r="AI75" s="43" t="str">
        <f t="shared" ref="AI75:AI76" si="1814">IF(Z75="","",AI$59+(Z75-Z$59)*1000)</f>
        <v/>
      </c>
      <c r="AJ75" s="43" t="str">
        <f t="shared" ref="AJ75:AJ76" si="1815">IF(AA75="","",AJ$59+(AA75-AA$59)*1000)</f>
        <v/>
      </c>
      <c r="AK75" s="43"/>
      <c r="AL75" s="43"/>
      <c r="AM75" s="43" t="str">
        <f t="shared" ref="AM75:AM76" si="1816">IF(AD75="","",AM$59+(AD75-AD$59)*1000)</f>
        <v/>
      </c>
      <c r="AN75" s="43" t="str">
        <f t="shared" ref="AN75:AN76" si="1817">IF(AE75="","",AN$59+(AE75-AE$59)*1000)</f>
        <v/>
      </c>
      <c r="AO75" s="43"/>
      <c r="AP75" s="43" t="e">
        <f t="shared" ref="AP75:AP76" si="1818">IF(AG75="","",AP$59+(AG75-AG$59)*1000)</f>
        <v>#REF!</v>
      </c>
      <c r="AQ75" s="43" t="e">
        <f t="shared" ref="AQ75:AQ76" si="1819">IF(AH75="","",AQ$59+(AH75-AH$59)*1000)</f>
        <v>#REF!</v>
      </c>
      <c r="AR75" s="40"/>
      <c r="AS75" s="43" t="e">
        <f t="shared" ref="AS75:AS76" si="1820">IF(E75="","",(E75-E$10)*1000)</f>
        <v>#REF!</v>
      </c>
      <c r="AT75" s="43" t="e">
        <f t="shared" ref="AT75:AT76" si="1821">IF(F75="","",(F75-F$10)*1000)</f>
        <v>#REF!</v>
      </c>
      <c r="AU75" s="43" t="e">
        <f t="shared" ref="AU75:AU76" si="1822">IF(G75="","",(G75-G$10)*1000)</f>
        <v>#REF!</v>
      </c>
      <c r="AV75" s="43" t="e">
        <f t="shared" ref="AV75:AV76" si="1823">IF(H75="","",AV$59+(H75-H$59)*1000)</f>
        <v>#REF!</v>
      </c>
      <c r="AW75" s="43" t="e">
        <f t="shared" ref="AW75:AW76" si="1824">IF(I75="","",AW$59+(I75-I$59)*1000)</f>
        <v>#REF!</v>
      </c>
      <c r="AX75" s="43" t="e">
        <f t="shared" ref="AX75:AX76" si="1825">IF(J75="","",AX$59+(J75-J$59)*1000)</f>
        <v>#REF!</v>
      </c>
      <c r="AY75" s="43"/>
      <c r="AZ75" s="43"/>
      <c r="BA75" s="43"/>
      <c r="BB75" s="43" t="str">
        <f t="shared" ref="BB75:BB76" si="1826">IF(N75="","",BB$59+(N75-N$59)*1000)</f>
        <v/>
      </c>
      <c r="BC75" s="43" t="str">
        <f t="shared" ref="BC75:BC76" si="1827">IF(O75="","",BC$59+(O75-O$59)*1000)</f>
        <v/>
      </c>
      <c r="BD75" s="43" t="str">
        <f t="shared" ref="BD75:BD76" si="1828">IF(P75="","",BD$59+(P75-P$59)*1000)</f>
        <v/>
      </c>
      <c r="BE75" s="43"/>
      <c r="BF75" s="43"/>
      <c r="BG75" s="43"/>
      <c r="BH75" s="43" t="e">
        <f t="shared" ref="BH75:BH76" si="1829">IF(T75="","",BH$59+(T75-T$59)*1000)</f>
        <v>#REF!</v>
      </c>
      <c r="BI75" s="43" t="e">
        <f t="shared" ref="BI75:BI76" si="1830">IF(U75="","",BI$59+(U75-U$59)*1000)</f>
        <v>#REF!</v>
      </c>
      <c r="BJ75" s="43" t="e">
        <f t="shared" ref="BJ75:BJ76" si="1831">IF(V75="","",BJ$59+(V75-V$59)*1000)</f>
        <v>#REF!</v>
      </c>
      <c r="BK75" s="43" t="e">
        <f t="shared" ref="BK75:BK76" si="1832">IF(W75="","",(W75-W$10)*1000)</f>
        <v>#REF!</v>
      </c>
      <c r="BL75" s="43" t="e">
        <f t="shared" ref="BL75:BL76" si="1833">IF(X75="","",(X75-X$10)*1000)</f>
        <v>#REF!</v>
      </c>
      <c r="BM75" s="43" t="e">
        <f t="shared" ref="BM75:BM76" si="1834">IF(Y75="","",(Y75-Y$10)*1000)</f>
        <v>#REF!</v>
      </c>
      <c r="BN75" s="40"/>
      <c r="BO75" s="39">
        <v>196.10166113467471</v>
      </c>
      <c r="BP75" s="39">
        <v>-2.5248580093499808</v>
      </c>
      <c r="BQ75" s="39">
        <v>-0.96383661134674981</v>
      </c>
      <c r="BR75" s="39">
        <v>196.01644784536191</v>
      </c>
      <c r="BS75" s="39">
        <v>-2.5555496258109294</v>
      </c>
      <c r="BT75" s="39">
        <v>-3.3284478453623478E-2</v>
      </c>
      <c r="BU75" s="42" t="s">
        <v>77</v>
      </c>
      <c r="BV75" s="42" t="s">
        <v>77</v>
      </c>
      <c r="BW75" s="42" t="s">
        <v>77</v>
      </c>
      <c r="BX75" s="41">
        <v>196.023691912304</v>
      </c>
      <c r="BY75" s="42">
        <v>0.42523534529955881</v>
      </c>
      <c r="BZ75" s="42">
        <v>2.2961430808769592</v>
      </c>
      <c r="CA75" s="41" t="s">
        <v>77</v>
      </c>
      <c r="CB75" s="42" t="s">
        <v>77</v>
      </c>
      <c r="CC75" s="42" t="s">
        <v>77</v>
      </c>
      <c r="CD75" s="41">
        <v>195.97444245988504</v>
      </c>
      <c r="CE75" s="42">
        <v>2.5537816804723592</v>
      </c>
      <c r="CF75" s="42">
        <v>-2.4864424598860069E-2</v>
      </c>
      <c r="CG75" s="41">
        <v>196.09496450663582</v>
      </c>
      <c r="CH75" s="42">
        <v>2.5291084920495801</v>
      </c>
      <c r="CI75" s="42">
        <v>-1.0000696450663611</v>
      </c>
      <c r="CJ75" s="40"/>
      <c r="CK75" s="43">
        <f t="shared" ref="CK75" si="1835">IF(BO75="","",(BO75-BO$10)*1000)</f>
        <v>-3.1080491906720908</v>
      </c>
      <c r="CL75" s="43">
        <f t="shared" ref="CL75" si="1836">IF(BP75="","",(BP75-BP$10)*1000)</f>
        <v>12.343015395444468</v>
      </c>
      <c r="CM75" s="43">
        <f t="shared" ref="CM75" si="1837">IF(BQ75="","",(BQ75-BQ$10)*1000)</f>
        <v>5.8310804919159409</v>
      </c>
      <c r="CN75" s="43">
        <f t="shared" ref="CN75" si="1838">IF(BR75="","",CN$59+(BR75-BR$59)*1000)</f>
        <v>-8.9774924918515353</v>
      </c>
      <c r="CO75" s="43">
        <f t="shared" ref="CO75" si="1839">IF(BS75="","",CO$59+(BS75-BS$59)*1000)</f>
        <v>9.4059002322142149</v>
      </c>
      <c r="CP75" s="43">
        <f t="shared" ref="CP75" si="1840">IF(BT75="","",CP$59+(BT75-BT$59)*1000)</f>
        <v>-4.2092250750976055</v>
      </c>
      <c r="CQ75" s="43"/>
      <c r="CR75" s="43"/>
      <c r="CS75" s="43"/>
      <c r="CT75" s="43">
        <f t="shared" ref="CT75" si="1841">IF(BX75="","",CT$59+(BX75-BX$59)*1000)</f>
        <v>-13.469477034050215</v>
      </c>
      <c r="CU75" s="43">
        <f t="shared" ref="CU75" si="1842">IF(BY75="","",CU$59+(BY75-BY$59)*1000)</f>
        <v>1.5204790109793753</v>
      </c>
      <c r="CV75" s="43">
        <f t="shared" ref="CV75" si="1843">IF(BZ75="","",CV$59+(BZ75-BZ$59)*1000)</f>
        <v>-76.75530522965434</v>
      </c>
      <c r="CW75" s="43"/>
      <c r="CX75" s="43"/>
      <c r="CY75" s="43"/>
      <c r="CZ75" s="43">
        <f t="shared" ref="CZ75" si="1844">IF(CD75="","",CZ$59+(CD75-CD$59)*1000)</f>
        <v>-2.9807392099314711</v>
      </c>
      <c r="DA75" s="43">
        <f t="shared" ref="DA75" si="1845">IF(CE75="","",DA$59+(CE75-CE$59)*1000)</f>
        <v>-17.38586236851436</v>
      </c>
      <c r="DB75" s="43">
        <f t="shared" ref="DB75" si="1846">IF(CF75="","",DB$59+(CF75-CF$59)*1000)</f>
        <v>1.0428073920968235</v>
      </c>
      <c r="DC75" s="43">
        <f t="shared" ref="DC75" si="1847">IF(CG75="","",(CG75-CG$10)*1000)</f>
        <v>-3.9505368756920234</v>
      </c>
      <c r="DD75" s="43">
        <f t="shared" ref="DD75" si="1848">IF(CH75="","",(CH75-CH$10)*1000)</f>
        <v>-21.81383181771146</v>
      </c>
      <c r="DE75" s="43">
        <f t="shared" ref="DE75" si="1849">IF(CI75="","",(CI75-CI$10)*1000)</f>
        <v>-10.160494631250572</v>
      </c>
    </row>
    <row r="76" spans="1:114" ht="29.25" customHeight="1" x14ac:dyDescent="0.2">
      <c r="A76" s="37">
        <v>44487</v>
      </c>
      <c r="B76" s="29">
        <f t="shared" ref="B76" si="1850">IF(A76="","",A76-excav)</f>
        <v>782</v>
      </c>
      <c r="C76" s="38">
        <v>222.9</v>
      </c>
      <c r="D76" s="38">
        <f t="shared" ref="D76" si="1851">IF(C76="","",+C76-$W$6)</f>
        <v>26.800000000000011</v>
      </c>
      <c r="E76" s="39">
        <v>823244.33279999997</v>
      </c>
      <c r="F76" s="39">
        <v>1091518.7722</v>
      </c>
      <c r="G76" s="39">
        <v>-124.5457</v>
      </c>
      <c r="H76" s="39">
        <v>823244.24269999994</v>
      </c>
      <c r="I76" s="39">
        <v>1091518.7638999999</v>
      </c>
      <c r="J76" s="39">
        <v>-123.61620000000001</v>
      </c>
      <c r="K76" s="39"/>
      <c r="L76" s="39"/>
      <c r="M76" s="39"/>
      <c r="N76" s="39">
        <v>823245.50899999996</v>
      </c>
      <c r="O76" s="39">
        <v>1091516.0656000001</v>
      </c>
      <c r="P76" s="39">
        <v>-121.28660000000001</v>
      </c>
      <c r="Q76" s="39"/>
      <c r="R76" s="39"/>
      <c r="S76" s="39"/>
      <c r="T76" s="39">
        <v>823246.36410000001</v>
      </c>
      <c r="U76" s="39">
        <v>1091514.1158</v>
      </c>
      <c r="V76" s="39">
        <v>-123.6082</v>
      </c>
      <c r="W76" s="39">
        <v>823246.46270000003</v>
      </c>
      <c r="X76" s="39">
        <v>1091514.1891000001</v>
      </c>
      <c r="Y76" s="39">
        <v>-124.5823</v>
      </c>
      <c r="Z76" s="39">
        <f t="shared" si="1392"/>
        <v>4.3966877088922329</v>
      </c>
      <c r="AA76" s="39">
        <f t="shared" si="1307"/>
        <v>3.7830377660080483</v>
      </c>
      <c r="AB76" s="39"/>
      <c r="AC76" s="39"/>
      <c r="AD76" s="39">
        <f t="shared" ref="AD76:AD77" si="1852">IF(Xhaut="","",SQRT(((Xinterdroit-Xhaut)^2+(Yinterdroit-Yhaut)^2)+(Zinterdroit-Zhaut)^2))</f>
        <v>3.1500385093377994</v>
      </c>
      <c r="AE76" s="39">
        <f t="shared" si="1519"/>
        <v>3.9105542356786556</v>
      </c>
      <c r="AF76" s="39"/>
      <c r="AG76" s="39">
        <f t="shared" ref="AG76:AG77" si="1853">IF(Xinterdroit="","",SQRT(((Xinterdroit-Xintergauche)^2+(Yinterdroit-Yintergauche)^2)+(Zinterdroit-Zintergauche)^2))</f>
        <v>5.1093282894230603</v>
      </c>
      <c r="AH76" s="39">
        <f t="shared" si="1261"/>
        <v>5.0539706350168307</v>
      </c>
      <c r="AI76" s="43">
        <f t="shared" si="1814"/>
        <v>-75.300291883732655</v>
      </c>
      <c r="AJ76" s="43">
        <f t="shared" si="1815"/>
        <v>-53.893504706885594</v>
      </c>
      <c r="AK76" s="43"/>
      <c r="AL76" s="43"/>
      <c r="AM76" s="43">
        <f t="shared" si="1816"/>
        <v>-66.097267408666838</v>
      </c>
      <c r="AN76" s="43">
        <f t="shared" si="1817"/>
        <v>-67.125926970022846</v>
      </c>
      <c r="AO76" s="43"/>
      <c r="AP76" s="43">
        <f t="shared" si="1818"/>
        <v>-27.178567552381239</v>
      </c>
      <c r="AQ76" s="43">
        <f t="shared" si="1819"/>
        <v>-34.196576431439141</v>
      </c>
      <c r="AR76" s="40"/>
      <c r="AS76" s="43">
        <f t="shared" si="1820"/>
        <v>2.3999999975785613</v>
      </c>
      <c r="AT76" s="43">
        <f t="shared" si="1821"/>
        <v>-12.300000060349703</v>
      </c>
      <c r="AU76" s="43">
        <f t="shared" si="1822"/>
        <v>5.8000000000077989</v>
      </c>
      <c r="AV76" s="43">
        <f t="shared" si="1823"/>
        <v>-4.1000000201165676</v>
      </c>
      <c r="AW76" s="43">
        <f t="shared" si="1824"/>
        <v>-12.199999997392297</v>
      </c>
      <c r="AX76" s="43">
        <f t="shared" si="1825"/>
        <v>-4.500000000007276</v>
      </c>
      <c r="AY76" s="43"/>
      <c r="AZ76" s="43"/>
      <c r="BA76" s="43"/>
      <c r="BB76" s="43">
        <f t="shared" si="1826"/>
        <v>-11.600000085309148</v>
      </c>
      <c r="BC76" s="43">
        <f t="shared" si="1827"/>
        <v>-6.8999999202787876</v>
      </c>
      <c r="BD76" s="43">
        <f t="shared" si="1828"/>
        <v>-76.999999999998181</v>
      </c>
      <c r="BE76" s="43"/>
      <c r="BF76" s="43"/>
      <c r="BG76" s="43"/>
      <c r="BH76" s="43">
        <f t="shared" si="1829"/>
        <v>-10.000000125728548</v>
      </c>
      <c r="BI76" s="43">
        <f t="shared" si="1830"/>
        <v>14.800000004470348</v>
      </c>
      <c r="BJ76" s="43">
        <f t="shared" si="1831"/>
        <v>0.80000000001234639</v>
      </c>
      <c r="BK76" s="43">
        <f t="shared" si="1832"/>
        <v>-12.899999972432852</v>
      </c>
      <c r="BL76" s="43">
        <f t="shared" si="1833"/>
        <v>18.400000175461173</v>
      </c>
      <c r="BM76" s="43">
        <f t="shared" si="1834"/>
        <v>-10.500000000007503</v>
      </c>
      <c r="BN76" s="40"/>
      <c r="BO76" s="39">
        <v>196.10174566503156</v>
      </c>
      <c r="BP76" s="39">
        <v>-2.5250392676629136</v>
      </c>
      <c r="BQ76" s="39">
        <v>-0.96383745665031029</v>
      </c>
      <c r="BR76" s="39">
        <v>196.01658073964759</v>
      </c>
      <c r="BS76" s="39">
        <v>-2.5555979896834944</v>
      </c>
      <c r="BT76" s="39">
        <v>-3.3485807396488099E-2</v>
      </c>
      <c r="BU76" s="42" t="s">
        <v>77</v>
      </c>
      <c r="BV76" s="42" t="s">
        <v>77</v>
      </c>
      <c r="BW76" s="42" t="s">
        <v>77</v>
      </c>
      <c r="BX76" s="41">
        <v>196.02377644275924</v>
      </c>
      <c r="BY76" s="42">
        <v>0.42505408677562201</v>
      </c>
      <c r="BZ76" s="42">
        <v>2.2960422355724006</v>
      </c>
      <c r="CA76" s="41" t="s">
        <v>77</v>
      </c>
      <c r="CB76" s="42" t="s">
        <v>77</v>
      </c>
      <c r="CC76" s="42" t="s">
        <v>77</v>
      </c>
      <c r="CD76" s="41">
        <v>195.97465988473147</v>
      </c>
      <c r="CE76" s="42">
        <v>2.5535520581250779</v>
      </c>
      <c r="CF76" s="42">
        <v>-2.5066598847317323E-2</v>
      </c>
      <c r="CG76" s="41">
        <v>196.09500067316225</v>
      </c>
      <c r="CH76" s="42">
        <v>2.5287943390852718</v>
      </c>
      <c r="CI76" s="42">
        <v>-1.0003700067316288</v>
      </c>
      <c r="CJ76" s="40"/>
      <c r="CK76" s="43">
        <f t="shared" ref="CK76" si="1854">IF(BO76="","",(BO76-BO$10)*1000)</f>
        <v>-3.0235188338281205</v>
      </c>
      <c r="CL76" s="43">
        <f t="shared" ref="CL76" si="1855">IF(BP76="","",(BP76-BP$10)*1000)</f>
        <v>12.161757082511659</v>
      </c>
      <c r="CM76" s="43">
        <f t="shared" ref="CM76" si="1856">IF(BQ76="","",(BQ76-BQ$10)*1000)</f>
        <v>5.8302351883554593</v>
      </c>
      <c r="CN76" s="43">
        <f t="shared" ref="CN76" si="1857">IF(BR76="","",CN$59+(BR76-BR$59)*1000)</f>
        <v>-8.8445982061671202</v>
      </c>
      <c r="CO76" s="43">
        <f t="shared" ref="CO76" si="1858">IF(BS76="","",CO$59+(BS76-BS$59)*1000)</f>
        <v>9.3575363596491989</v>
      </c>
      <c r="CP76" s="43">
        <f t="shared" ref="CP76" si="1859">IF(BT76="","",CP$59+(BT76-BT$59)*1000)</f>
        <v>-4.4105540179622258</v>
      </c>
      <c r="CQ76" s="43"/>
      <c r="CR76" s="43"/>
      <c r="CS76" s="43"/>
      <c r="CT76" s="43">
        <f t="shared" ref="CT76" si="1860">IF(BX76="","",CT$59+(BX76-BX$59)*1000)</f>
        <v>-13.384946578810286</v>
      </c>
      <c r="CU76" s="43">
        <f t="shared" ref="CU76" si="1861">IF(BY76="","",CU$59+(BY76-BY$59)*1000)</f>
        <v>1.339220487042575</v>
      </c>
      <c r="CV76" s="43">
        <f t="shared" ref="CV76" si="1862">IF(BZ76="","",CV$59+(BZ76-BZ$59)*1000)</f>
        <v>-76.856150534212901</v>
      </c>
      <c r="CW76" s="43"/>
      <c r="CX76" s="43"/>
      <c r="CY76" s="43"/>
      <c r="CZ76" s="43">
        <f t="shared" ref="CZ76" si="1863">IF(CD76="","",CZ$59+(CD76-CD$59)*1000)</f>
        <v>-2.7633143635057422</v>
      </c>
      <c r="DA76" s="43">
        <f t="shared" ref="DA76" si="1864">IF(CE76="","",DA$59+(CE76-CE$59)*1000)</f>
        <v>-17.61548471579566</v>
      </c>
      <c r="DB76" s="43">
        <f t="shared" ref="DB76" si="1865">IF(CF76="","",DB$59+(CF76-CF$59)*1000)</f>
        <v>0.84063314363956931</v>
      </c>
      <c r="DC76" s="43">
        <f t="shared" ref="DC76" si="1866">IF(CG76="","",(CG76-CG$10)*1000)</f>
        <v>-3.914370349264118</v>
      </c>
      <c r="DD76" s="43">
        <f t="shared" ref="DD76" si="1867">IF(CH76="","",(CH76-CH$10)*1000)</f>
        <v>-22.127984782019716</v>
      </c>
      <c r="DE76" s="43">
        <f t="shared" ref="DE76" si="1868">IF(CI76="","",(CI76-CI$10)*1000)</f>
        <v>-10.460856296518273</v>
      </c>
    </row>
    <row r="77" spans="1:114" ht="29.25" customHeight="1" x14ac:dyDescent="0.2">
      <c r="A77" s="37">
        <v>44494</v>
      </c>
      <c r="B77" s="29">
        <f t="shared" ref="B77" si="1869">IF(A77="","",A77-excav)</f>
        <v>789</v>
      </c>
      <c r="C77" s="38">
        <v>222.9</v>
      </c>
      <c r="D77" s="38">
        <f t="shared" ref="D77:D78" si="1870">IF(C77="","",+C77-$W$6)</f>
        <v>26.800000000000011</v>
      </c>
      <c r="E77" s="39">
        <v>823244.33279999997</v>
      </c>
      <c r="F77" s="39">
        <v>1091518.7722</v>
      </c>
      <c r="G77" s="39">
        <v>-124.54600000000001</v>
      </c>
      <c r="H77" s="39">
        <v>823244.2426</v>
      </c>
      <c r="I77" s="39">
        <v>1091518.7638000001</v>
      </c>
      <c r="J77" s="39">
        <v>-123.6164</v>
      </c>
      <c r="K77" s="39"/>
      <c r="L77" s="39"/>
      <c r="M77" s="39"/>
      <c r="N77" s="39">
        <v>823245.50879999995</v>
      </c>
      <c r="O77" s="39">
        <v>1091516.0656000001</v>
      </c>
      <c r="P77" s="39">
        <v>-121.2871</v>
      </c>
      <c r="Q77" s="39"/>
      <c r="R77" s="39"/>
      <c r="S77" s="39"/>
      <c r="T77" s="39">
        <v>823246.36360000004</v>
      </c>
      <c r="U77" s="39">
        <v>1091514.1158</v>
      </c>
      <c r="V77" s="39">
        <v>-123.6083</v>
      </c>
      <c r="W77" s="39">
        <v>823246.46259999997</v>
      </c>
      <c r="X77" s="39">
        <v>1091514.1891000001</v>
      </c>
      <c r="Y77" s="39">
        <v>-124.58240000000001</v>
      </c>
      <c r="Z77" s="39">
        <f t="shared" si="1392"/>
        <v>4.3964859569321764</v>
      </c>
      <c r="AA77" s="39">
        <f t="shared" si="1307"/>
        <v>3.7827482297663546</v>
      </c>
      <c r="AB77" s="39"/>
      <c r="AC77" s="39"/>
      <c r="AD77" s="39">
        <f t="shared" si="1852"/>
        <v>3.1496622867200066</v>
      </c>
      <c r="AE77" s="39">
        <f t="shared" si="1519"/>
        <v>3.9102415245202451</v>
      </c>
      <c r="AF77" s="39"/>
      <c r="AG77" s="39">
        <f t="shared" si="1853"/>
        <v>5.1090714039438998</v>
      </c>
      <c r="AH77" s="39">
        <f t="shared" si="1261"/>
        <v>5.0539270482807961</v>
      </c>
      <c r="AI77" s="43">
        <f t="shared" ref="AI77:AI78" si="1871">IF(Z77="","",AI$59+(Z77-Z$59)*1000)</f>
        <v>-75.50204384378921</v>
      </c>
      <c r="AJ77" s="43">
        <f t="shared" ref="AJ77:AJ78" si="1872">IF(AA77="","",AJ$59+(AA77-AA$59)*1000)</f>
        <v>-54.18304094857929</v>
      </c>
      <c r="AK77" s="43"/>
      <c r="AL77" s="43"/>
      <c r="AM77" s="43">
        <f t="shared" ref="AM77:AM78" si="1873">IF(AD77="","",AM$59+(AD77-AD$59)*1000)</f>
        <v>-66.473490026459643</v>
      </c>
      <c r="AN77" s="43">
        <f t="shared" ref="AN77:AN78" si="1874">IF(AE77="","",AN$59+(AE77-AE$59)*1000)</f>
        <v>-67.438638128433311</v>
      </c>
      <c r="AO77" s="43"/>
      <c r="AP77" s="43">
        <f t="shared" ref="AP77:AP78" si="1875">IF(AG77="","",AP$59+(AG77-AG$59)*1000)</f>
        <v>-27.435453031541712</v>
      </c>
      <c r="AQ77" s="43">
        <f t="shared" ref="AQ77:AQ78" si="1876">IF(AH77="","",AQ$59+(AH77-AH$59)*1000)</f>
        <v>-34.240163167473803</v>
      </c>
      <c r="AR77" s="40"/>
      <c r="AS77" s="43">
        <f t="shared" ref="AS77:AS78" si="1877">IF(E77="","",(E77-E$10)*1000)</f>
        <v>2.3999999975785613</v>
      </c>
      <c r="AT77" s="43">
        <f t="shared" ref="AT77:AT78" si="1878">IF(F77="","",(F77-F$10)*1000)</f>
        <v>-12.300000060349703</v>
      </c>
      <c r="AU77" s="43">
        <f t="shared" ref="AU77:AU78" si="1879">IF(G77="","",(G77-G$10)*1000)</f>
        <v>5.49999999999784</v>
      </c>
      <c r="AV77" s="43">
        <f t="shared" ref="AV77:AV78" si="1880">IF(H77="","",AV$59+(H77-H$59)*1000)</f>
        <v>-4.1999999666586518</v>
      </c>
      <c r="AW77" s="43">
        <f t="shared" ref="AW77:AW78" si="1881">IF(I77="","",AW$59+(I77-I$59)*1000)</f>
        <v>-12.299999827519059</v>
      </c>
      <c r="AX77" s="43">
        <f t="shared" ref="AX77:AX78" si="1882">IF(J77="","",AX$59+(J77-J$59)*1000)</f>
        <v>-4.6999999999997044</v>
      </c>
      <c r="AY77" s="43"/>
      <c r="AZ77" s="43"/>
      <c r="BA77" s="43"/>
      <c r="BB77" s="43">
        <f t="shared" ref="BB77:BB78" si="1883">IF(N77="","",BB$59+(N77-N$59)*1000)</f>
        <v>-11.800000094808638</v>
      </c>
      <c r="BC77" s="43">
        <f t="shared" ref="BC77:BC78" si="1884">IF(O77="","",BC$59+(O77-O$59)*1000)</f>
        <v>-6.8999999202787876</v>
      </c>
      <c r="BD77" s="43">
        <f t="shared" ref="BD77:BD78" si="1885">IF(P77="","",BD$59+(P77-P$59)*1000)</f>
        <v>-77.499999999986358</v>
      </c>
      <c r="BE77" s="43"/>
      <c r="BF77" s="43"/>
      <c r="BG77" s="43"/>
      <c r="BH77" s="43">
        <f t="shared" ref="BH77:BH78" si="1886">IF(T77="","",BH$59+(T77-T$59)*1000)</f>
        <v>-10.500000091269612</v>
      </c>
      <c r="BI77" s="43">
        <f t="shared" ref="BI77:BI78" si="1887">IF(U77="","",BI$59+(U77-U$59)*1000)</f>
        <v>14.800000004470348</v>
      </c>
      <c r="BJ77" s="43">
        <f t="shared" ref="BJ77:BJ78" si="1888">IF(V77="","",BJ$59+(V77-V$59)*1000)</f>
        <v>0.70000000000902673</v>
      </c>
      <c r="BK77" s="43">
        <f t="shared" ref="BK77:BK78" si="1889">IF(W77="","",(W77-W$10)*1000)</f>
        <v>-13.000000035390258</v>
      </c>
      <c r="BL77" s="43">
        <f t="shared" ref="BL77:BL78" si="1890">IF(X77="","",(X77-X$10)*1000)</f>
        <v>18.400000175461173</v>
      </c>
      <c r="BM77" s="43">
        <f t="shared" ref="BM77:BM78" si="1891">IF(Y77="","",(Y77-Y$10)*1000)</f>
        <v>-10.600000000010823</v>
      </c>
      <c r="BN77" s="40"/>
      <c r="BO77" s="39">
        <v>196.10174566503156</v>
      </c>
      <c r="BP77" s="39">
        <v>-2.5250392676629136</v>
      </c>
      <c r="BQ77" s="39">
        <v>-0.96413745665032025</v>
      </c>
      <c r="BR77" s="39">
        <v>196.01644784536191</v>
      </c>
      <c r="BS77" s="39">
        <v>-2.5555496258109294</v>
      </c>
      <c r="BT77" s="39">
        <v>-3.3684478453622546E-2</v>
      </c>
      <c r="BU77" s="42" t="s">
        <v>77</v>
      </c>
      <c r="BV77" s="42" t="s">
        <v>77</v>
      </c>
      <c r="BW77" s="42" t="s">
        <v>77</v>
      </c>
      <c r="BX77" s="41">
        <v>196.02359518434082</v>
      </c>
      <c r="BY77" s="42">
        <v>0.42496955636957068</v>
      </c>
      <c r="BZ77" s="42">
        <v>2.2955440481566001</v>
      </c>
      <c r="CA77" s="41" t="s">
        <v>77</v>
      </c>
      <c r="CB77" s="42" t="s">
        <v>77</v>
      </c>
      <c r="CC77" s="42" t="s">
        <v>77</v>
      </c>
      <c r="CD77" s="41">
        <v>195.97420673873813</v>
      </c>
      <c r="CE77" s="42">
        <v>2.5533407321345529</v>
      </c>
      <c r="CF77" s="42">
        <v>-2.5162067387384468E-2</v>
      </c>
      <c r="CG77" s="41">
        <v>196.09491004390026</v>
      </c>
      <c r="CH77" s="42">
        <v>2.5287520738576243</v>
      </c>
      <c r="CI77" s="42">
        <v>-1.0004691004390196</v>
      </c>
      <c r="CJ77" s="40"/>
      <c r="CK77" s="43">
        <f t="shared" ref="CK77:CK78" si="1892">IF(BO77="","",(BO77-BO$10)*1000)</f>
        <v>-3.0235188338281205</v>
      </c>
      <c r="CL77" s="43">
        <f t="shared" ref="CL77:CL78" si="1893">IF(BP77="","",(BP77-BP$10)*1000)</f>
        <v>12.161757082511659</v>
      </c>
      <c r="CM77" s="43">
        <f t="shared" ref="CM77:CM78" si="1894">IF(BQ77="","",(BQ77-BQ$10)*1000)</f>
        <v>5.5302351883455003</v>
      </c>
      <c r="CN77" s="43">
        <f t="shared" ref="CN77:CN78" si="1895">IF(BR77="","",CN$59+(BR77-BR$59)*1000)</f>
        <v>-8.9774924918515353</v>
      </c>
      <c r="CO77" s="43">
        <f t="shared" ref="CO77:CO78" si="1896">IF(BS77="","",CO$59+(BS77-BS$59)*1000)</f>
        <v>9.4059002322142149</v>
      </c>
      <c r="CP77" s="43">
        <f t="shared" ref="CP77:CP78" si="1897">IF(BT77="","",CP$59+(BT77-BT$59)*1000)</f>
        <v>-4.6092250750966732</v>
      </c>
      <c r="CQ77" s="43"/>
      <c r="CR77" s="43"/>
      <c r="CS77" s="43"/>
      <c r="CT77" s="43">
        <f t="shared" ref="CT77:CT78" si="1898">IF(BX77="","",CT$59+(BX77-BX$59)*1000)</f>
        <v>-13.566204997232489</v>
      </c>
      <c r="CU77" s="43">
        <f t="shared" ref="CU77:CU78" si="1899">IF(BY77="","",CU$59+(BY77-BY$59)*1000)</f>
        <v>1.2546900809912442</v>
      </c>
      <c r="CV77" s="43">
        <f t="shared" ref="CV77:CV78" si="1900">IF(BZ77="","",CV$59+(BZ77-BZ$59)*1000)</f>
        <v>-77.354337950013445</v>
      </c>
      <c r="CW77" s="43"/>
      <c r="CX77" s="43"/>
      <c r="CY77" s="43"/>
      <c r="CZ77" s="43">
        <f t="shared" ref="CZ77:CZ78" si="1901">IF(CD77="","",CZ$59+(CD77-CD$59)*1000)</f>
        <v>-3.2164603568389794</v>
      </c>
      <c r="DA77" s="43">
        <f t="shared" ref="DA77:DA78" si="1902">IF(CE77="","",DA$59+(CE77-CE$59)*1000)</f>
        <v>-17.826810706320639</v>
      </c>
      <c r="DB77" s="43">
        <f t="shared" ref="DB77:DB78" si="1903">IF(CF77="","",DB$59+(CF77-CF$59)*1000)</f>
        <v>0.74516460357242442</v>
      </c>
      <c r="DC77" s="43">
        <f t="shared" ref="DC77:DC78" si="1904">IF(CG77="","",(CG77-CG$10)*1000)</f>
        <v>-4.004999611254334</v>
      </c>
      <c r="DD77" s="43">
        <f t="shared" ref="DD77:DD78" si="1905">IF(CH77="","",(CH77-CH$10)*1000)</f>
        <v>-22.170250009667214</v>
      </c>
      <c r="DE77" s="43">
        <f t="shared" ref="DE77:DE78" si="1906">IF(CI77="","",(CI77-CI$10)*1000)</f>
        <v>-10.55995000390908</v>
      </c>
    </row>
    <row r="78" spans="1:114" ht="29.25" customHeight="1" x14ac:dyDescent="0.2">
      <c r="A78" s="37">
        <v>44502</v>
      </c>
      <c r="B78" s="29">
        <f t="shared" ref="B78" si="1907">IF(A78="","",A78-excav)</f>
        <v>797</v>
      </c>
      <c r="C78" s="38">
        <v>222.9</v>
      </c>
      <c r="D78" s="38">
        <f t="shared" si="1870"/>
        <v>26.800000000000011</v>
      </c>
      <c r="E78" s="39">
        <v>823244.33319999999</v>
      </c>
      <c r="F78" s="39">
        <v>1091518.7727000001</v>
      </c>
      <c r="G78" s="39">
        <v>-124.5472</v>
      </c>
      <c r="H78" s="39">
        <v>823244.24289999995</v>
      </c>
      <c r="I78" s="39">
        <v>1091518.7642999999</v>
      </c>
      <c r="J78" s="39">
        <v>-123.6177</v>
      </c>
      <c r="K78" s="39"/>
      <c r="L78" s="39"/>
      <c r="M78" s="39"/>
      <c r="N78" s="39">
        <v>823245.50899999996</v>
      </c>
      <c r="O78" s="39">
        <v>1091516.0659</v>
      </c>
      <c r="P78" s="39">
        <v>-121.2885</v>
      </c>
      <c r="Q78" s="39"/>
      <c r="R78" s="39"/>
      <c r="S78" s="39"/>
      <c r="T78" s="39">
        <v>823246.36419999995</v>
      </c>
      <c r="U78" s="39">
        <v>1091514.1161</v>
      </c>
      <c r="V78" s="39">
        <v>-123.60939999999999</v>
      </c>
      <c r="W78" s="39">
        <v>823246.46250000002</v>
      </c>
      <c r="X78" s="39">
        <v>1091514.1894</v>
      </c>
      <c r="Y78" s="39">
        <v>-124.5836</v>
      </c>
      <c r="Z78" s="39">
        <f t="shared" ref="Z78:Z101" si="1908">IF(Xhaut="","",SQRT(((Xbasgauche-Xhaut)^2+(Ybasgauche-Yhaut)^2)+(Zbasgauche-Zhaut)^2))</f>
        <v>4.3964073480696815</v>
      </c>
      <c r="AA78" s="39">
        <f t="shared" ref="AA78:AA101" si="1909">IF(Xhaut="","",SQRT(((Xintergauche-Xhaut)^2+(Yintergauche-Yhaut)^2)+(Zintergauche-Zhaut)^2))</f>
        <v>3.7827958455828461</v>
      </c>
      <c r="AB78" s="39"/>
      <c r="AC78" s="39"/>
      <c r="AD78" s="39">
        <f t="shared" ref="AD78" si="1910">IF(Xhaut="","",SQRT(((Xinterdroit-Xhaut)^2+(Yinterdroit-Yhaut)^2)+(Zinterdroit-Zhaut)^2))</f>
        <v>3.1495497916717721</v>
      </c>
      <c r="AE78" s="39">
        <f t="shared" ref="AE78" si="1911">IF(Xhaut="","",SQRT(((Xbasdroit-Xhaut)^2+(Ybasdroit-Yhaut)^2)+(Zbasdroit-Zhaut)^2))</f>
        <v>3.9099998094841624</v>
      </c>
      <c r="AF78" s="39"/>
      <c r="AG78" s="39">
        <f t="shared" ref="AG78" si="1912">IF(Xinterdroit="","",SQRT(((Xinterdroit-Xintergauche)^2+(Yinterdroit-Yintergauche)^2)+(Zinterdroit-Zintergauche)^2))</f>
        <v>5.1093782223884059</v>
      </c>
      <c r="AH78" s="39">
        <f t="shared" ref="AH78:AH101" si="1913">IF(Xbasdroit="","",SQRT(((Xbasdroit-Xbasgauche)^2+(Ybasdroit-Ybasgauche)^2)+(Zbasdroit-Zbasgauche)^2))</f>
        <v>5.0538977374542489</v>
      </c>
      <c r="AI78" s="43">
        <f t="shared" si="1871"/>
        <v>-75.580652706284098</v>
      </c>
      <c r="AJ78" s="43">
        <f t="shared" si="1872"/>
        <v>-54.135425132087803</v>
      </c>
      <c r="AK78" s="43"/>
      <c r="AL78" s="43"/>
      <c r="AM78" s="43">
        <f t="shared" si="1873"/>
        <v>-66.58598507469415</v>
      </c>
      <c r="AN78" s="43">
        <f t="shared" si="1874"/>
        <v>-67.680353164516035</v>
      </c>
      <c r="AO78" s="43"/>
      <c r="AP78" s="43">
        <f t="shared" si="1875"/>
        <v>-27.128634587035627</v>
      </c>
      <c r="AQ78" s="43">
        <f t="shared" si="1876"/>
        <v>-34.269473994021027</v>
      </c>
      <c r="AR78" s="40"/>
      <c r="AS78" s="43">
        <f t="shared" si="1877"/>
        <v>2.8000000165775418</v>
      </c>
      <c r="AT78" s="43">
        <f t="shared" si="1878"/>
        <v>-11.799999978393316</v>
      </c>
      <c r="AU78" s="43">
        <f t="shared" si="1879"/>
        <v>4.3000000000006366</v>
      </c>
      <c r="AV78" s="43">
        <f t="shared" si="1880"/>
        <v>-3.9000000106170774</v>
      </c>
      <c r="AW78" s="43">
        <f t="shared" si="1881"/>
        <v>-11.799999978393316</v>
      </c>
      <c r="AX78" s="43">
        <f t="shared" si="1882"/>
        <v>-6.0000000000002274</v>
      </c>
      <c r="AY78" s="43"/>
      <c r="AZ78" s="43"/>
      <c r="BA78" s="43"/>
      <c r="BB78" s="43">
        <f t="shared" si="1883"/>
        <v>-11.600000085309148</v>
      </c>
      <c r="BC78" s="43">
        <f t="shared" si="1884"/>
        <v>-6.5999999642372131</v>
      </c>
      <c r="BD78" s="43">
        <f t="shared" si="1885"/>
        <v>-78.8999999999902</v>
      </c>
      <c r="BE78" s="43"/>
      <c r="BF78" s="43"/>
      <c r="BG78" s="43"/>
      <c r="BH78" s="43">
        <f t="shared" si="1886"/>
        <v>-9.9000001791864634</v>
      </c>
      <c r="BI78" s="43">
        <f t="shared" si="1887"/>
        <v>15.099999960511923</v>
      </c>
      <c r="BJ78" s="43">
        <f t="shared" si="1888"/>
        <v>-0.39999999998485691</v>
      </c>
      <c r="BK78" s="43">
        <f t="shared" si="1889"/>
        <v>-13.099999981932342</v>
      </c>
      <c r="BL78" s="43">
        <f t="shared" si="1890"/>
        <v>18.700000131502748</v>
      </c>
      <c r="BM78" s="43">
        <f t="shared" si="1891"/>
        <v>-11.800000000008026</v>
      </c>
      <c r="BN78" s="40"/>
      <c r="BO78" s="39">
        <v>196.10231950790811</v>
      </c>
      <c r="BP78" s="39">
        <v>-2.5253233529497101</v>
      </c>
      <c r="BQ78" s="39">
        <v>-0.96534319507908606</v>
      </c>
      <c r="BR78" s="39">
        <v>196.01693105887813</v>
      </c>
      <c r="BS78" s="39">
        <v>-2.5558759761143421</v>
      </c>
      <c r="BT78" s="39">
        <v>-3.4989310588784406E-2</v>
      </c>
      <c r="BU78" s="42" t="s">
        <v>77</v>
      </c>
      <c r="BV78" s="42" t="s">
        <v>77</v>
      </c>
      <c r="BW78" s="42" t="s">
        <v>77</v>
      </c>
      <c r="BX78" s="41">
        <v>196.02390323834371</v>
      </c>
      <c r="BY78" s="42">
        <v>0.42478219920068899</v>
      </c>
      <c r="BZ78" s="42">
        <v>2.2941409676165563</v>
      </c>
      <c r="CA78" s="41" t="s">
        <v>77</v>
      </c>
      <c r="CB78" s="42" t="s">
        <v>77</v>
      </c>
      <c r="CC78" s="42" t="s">
        <v>77</v>
      </c>
      <c r="CD78" s="41">
        <v>195.97487730947239</v>
      </c>
      <c r="CE78" s="42">
        <v>2.5533224357285387</v>
      </c>
      <c r="CF78" s="42">
        <v>-2.6268773094727749E-2</v>
      </c>
      <c r="CG78" s="41">
        <v>196.09494621032826</v>
      </c>
      <c r="CH78" s="42">
        <v>2.5284379211043038</v>
      </c>
      <c r="CI78" s="42">
        <v>-1.001669462103294</v>
      </c>
      <c r="CJ78" s="40"/>
      <c r="CK78" s="43">
        <f t="shared" si="1892"/>
        <v>-2.449675957279851</v>
      </c>
      <c r="CL78" s="43">
        <f t="shared" si="1893"/>
        <v>11.877671795715194</v>
      </c>
      <c r="CM78" s="43">
        <f t="shared" si="1894"/>
        <v>4.3244967595796879</v>
      </c>
      <c r="CN78" s="43">
        <f t="shared" si="1895"/>
        <v>-8.4942789756325965</v>
      </c>
      <c r="CO78" s="43">
        <f t="shared" si="1896"/>
        <v>9.0795499288014447</v>
      </c>
      <c r="CP78" s="43">
        <f t="shared" si="1897"/>
        <v>-5.9140572102585329</v>
      </c>
      <c r="CQ78" s="43"/>
      <c r="CR78" s="43"/>
      <c r="CS78" s="43"/>
      <c r="CT78" s="43">
        <f t="shared" si="1898"/>
        <v>-13.258150994346352</v>
      </c>
      <c r="CU78" s="43">
        <f t="shared" si="1899"/>
        <v>1.0673329121095587</v>
      </c>
      <c r="CV78" s="43">
        <f t="shared" si="1900"/>
        <v>-78.757418490057233</v>
      </c>
      <c r="CW78" s="43"/>
      <c r="CX78" s="43"/>
      <c r="CY78" s="43"/>
      <c r="CZ78" s="43">
        <f t="shared" si="1901"/>
        <v>-2.5458896225813987</v>
      </c>
      <c r="DA78" s="43">
        <f t="shared" si="1902"/>
        <v>-17.84510711233489</v>
      </c>
      <c r="DB78" s="43">
        <f t="shared" si="1903"/>
        <v>-0.36154110377085624</v>
      </c>
      <c r="DC78" s="43">
        <f t="shared" si="1904"/>
        <v>-3.9688331832508084</v>
      </c>
      <c r="DD78" s="43">
        <f t="shared" si="1905"/>
        <v>-22.484402762987798</v>
      </c>
      <c r="DE78" s="43">
        <f t="shared" si="1906"/>
        <v>-11.760311668183476</v>
      </c>
    </row>
    <row r="79" spans="1:114" ht="29.25" customHeight="1" x14ac:dyDescent="0.2">
      <c r="A79" s="37">
        <v>44522</v>
      </c>
      <c r="B79" s="29">
        <f t="shared" ref="B79" si="1914">IF(A79="","",A79-excav)</f>
        <v>817</v>
      </c>
      <c r="C79" s="38">
        <v>222.9</v>
      </c>
      <c r="D79" s="38">
        <f t="shared" ref="D79" si="1915">IF(C79="","",+C79-$W$6)</f>
        <v>26.800000000000011</v>
      </c>
      <c r="E79" s="39">
        <v>823244.33299999998</v>
      </c>
      <c r="F79" s="39">
        <v>1091518.7723000001</v>
      </c>
      <c r="G79" s="39">
        <v>-124.54640000000001</v>
      </c>
      <c r="H79" s="39">
        <v>823244.24280000001</v>
      </c>
      <c r="I79" s="39">
        <v>1091518.7638000001</v>
      </c>
      <c r="J79" s="39">
        <v>-123.6169</v>
      </c>
      <c r="K79" s="39"/>
      <c r="L79" s="39"/>
      <c r="M79" s="39"/>
      <c r="N79" s="39">
        <v>823245.50789999997</v>
      </c>
      <c r="O79" s="39">
        <v>1091516.0658</v>
      </c>
      <c r="P79" s="39">
        <v>-121.28789999999999</v>
      </c>
      <c r="Q79" s="39"/>
      <c r="R79" s="39"/>
      <c r="S79" s="39"/>
      <c r="T79" s="39"/>
      <c r="U79" s="39"/>
      <c r="V79" s="39"/>
      <c r="W79" s="39"/>
      <c r="X79" s="39"/>
      <c r="Y79" s="39"/>
      <c r="Z79" s="39">
        <f t="shared" si="1908"/>
        <v>4.3958337673796812</v>
      </c>
      <c r="AA79" s="39">
        <f t="shared" si="1909"/>
        <v>3.7820527508738708</v>
      </c>
      <c r="AB79" s="39"/>
      <c r="AC79" s="39"/>
      <c r="AD79" s="39"/>
      <c r="AE79" s="39"/>
      <c r="AF79" s="39"/>
      <c r="AG79" s="39"/>
      <c r="AH79" s="39" t="str">
        <f t="shared" si="1913"/>
        <v/>
      </c>
      <c r="AI79" s="43">
        <f t="shared" ref="AI79" si="1916">IF(Z79="","",AI$59+(Z79-Z$59)*1000)</f>
        <v>-76.154233396284354</v>
      </c>
      <c r="AJ79" s="43">
        <f t="shared" ref="AJ79" si="1917">IF(AA79="","",AJ$59+(AA79-AA$59)*1000)</f>
        <v>-54.878519841063067</v>
      </c>
      <c r="AK79" s="43"/>
      <c r="AL79" s="43"/>
      <c r="AM79" s="43" t="str">
        <f t="shared" ref="AM79" si="1918">IF(AD79="","",AM$59+(AD79-AD$59)*1000)</f>
        <v/>
      </c>
      <c r="AN79" s="43" t="str">
        <f t="shared" ref="AN79" si="1919">IF(AE79="","",AN$59+(AE79-AE$59)*1000)</f>
        <v/>
      </c>
      <c r="AO79" s="43"/>
      <c r="AP79" s="43" t="str">
        <f t="shared" ref="AP79" si="1920">IF(AG79="","",AP$59+(AG79-AG$59)*1000)</f>
        <v/>
      </c>
      <c r="AQ79" s="43" t="str">
        <f t="shared" ref="AQ79" si="1921">IF(AH79="","",AQ$59+(AH79-AH$59)*1000)</f>
        <v/>
      </c>
      <c r="AR79" s="40"/>
      <c r="AS79" s="43">
        <f t="shared" ref="AS79" si="1922">IF(E79="","",(E79-E$10)*1000)</f>
        <v>2.6000000070780516</v>
      </c>
      <c r="AT79" s="43">
        <f t="shared" ref="AT79" si="1923">IF(F79="","",(F79-F$10)*1000)</f>
        <v>-12.199999997392297</v>
      </c>
      <c r="AU79" s="43">
        <f t="shared" ref="AU79" si="1924">IF(G79="","",(G79-G$10)*1000)</f>
        <v>5.0999999999987722</v>
      </c>
      <c r="AV79" s="43">
        <f t="shared" ref="AV79" si="1925">IF(H79="","",AV$59+(H79-H$59)*1000)</f>
        <v>-3.9999999571591616</v>
      </c>
      <c r="AW79" s="43">
        <f t="shared" ref="AW79" si="1926">IF(I79="","",AW$59+(I79-I$59)*1000)</f>
        <v>-12.299999827519059</v>
      </c>
      <c r="AX79" s="43">
        <f t="shared" ref="AX79" si="1927">IF(J79="","",AX$59+(J79-J$59)*1000)</f>
        <v>-5.2000000000020918</v>
      </c>
      <c r="AY79" s="43"/>
      <c r="AZ79" s="43"/>
      <c r="BA79" s="43"/>
      <c r="BB79" s="43">
        <f t="shared" ref="BB79" si="1928">IF(N79="","",BB$59+(N79-N$59)*1000)</f>
        <v>-12.700000079348683</v>
      </c>
      <c r="BC79" s="43">
        <f t="shared" ref="BC79" si="1929">IF(O79="","",BC$59+(O79-O$59)*1000)</f>
        <v>-6.7000000271946192</v>
      </c>
      <c r="BD79" s="43">
        <f t="shared" ref="BD79" si="1930">IF(P79="","",BD$59+(P79-P$59)*1000)</f>
        <v>-78.299999999984493</v>
      </c>
      <c r="BE79" s="43"/>
      <c r="BF79" s="43"/>
      <c r="BG79" s="43"/>
      <c r="BH79" s="43" t="str">
        <f t="shared" ref="BH79" si="1931">IF(T79="","",BH$59+(T79-T$59)*1000)</f>
        <v/>
      </c>
      <c r="BI79" s="43" t="str">
        <f t="shared" ref="BI79" si="1932">IF(U79="","",BI$59+(U79-U$59)*1000)</f>
        <v/>
      </c>
      <c r="BJ79" s="43" t="str">
        <f t="shared" ref="BJ79" si="1933">IF(V79="","",BJ$59+(V79-V$59)*1000)</f>
        <v/>
      </c>
      <c r="BK79" s="43" t="str">
        <f t="shared" ref="BK79" si="1934">IF(W79="","",(W79-W$10)*1000)</f>
        <v/>
      </c>
      <c r="BL79" s="43" t="str">
        <f t="shared" ref="BL79" si="1935">IF(X79="","",(X79-X$10)*1000)</f>
        <v/>
      </c>
      <c r="BM79" s="43" t="str">
        <f t="shared" ref="BM79" si="1936">IF(Y79="","",(Y79-Y$10)*1000)</f>
        <v/>
      </c>
      <c r="BN79" s="40"/>
      <c r="BO79" s="39">
        <v>196.1019691886776</v>
      </c>
      <c r="BP79" s="39">
        <v>-2.5250453665188313</v>
      </c>
      <c r="BQ79" s="39">
        <v>-0.96453969188678457</v>
      </c>
      <c r="BR79" s="39">
        <v>196.01662910378033</v>
      </c>
      <c r="BS79" s="39">
        <v>-2.5554650954049158</v>
      </c>
      <c r="BT79" s="39">
        <v>-3.4186291037812566E-2</v>
      </c>
      <c r="BU79" s="42" t="s">
        <v>77</v>
      </c>
      <c r="BV79" s="42" t="s">
        <v>77</v>
      </c>
      <c r="BW79" s="42" t="s">
        <v>77</v>
      </c>
      <c r="BX79" s="41">
        <v>196.0228640518674</v>
      </c>
      <c r="BY79" s="42">
        <v>0.42440791125411625</v>
      </c>
      <c r="BZ79" s="42">
        <v>2.2947513594813245</v>
      </c>
      <c r="CA79" s="41" t="s">
        <v>77</v>
      </c>
      <c r="CB79" s="42" t="s">
        <v>77</v>
      </c>
      <c r="CC79" s="42" t="s">
        <v>77</v>
      </c>
      <c r="CD79" s="42" t="s">
        <v>77</v>
      </c>
      <c r="CE79" s="42" t="s">
        <v>77</v>
      </c>
      <c r="CF79" s="42" t="s">
        <v>77</v>
      </c>
      <c r="CG79" s="42" t="s">
        <v>77</v>
      </c>
      <c r="CH79" s="42" t="s">
        <v>77</v>
      </c>
      <c r="CI79" s="42" t="s">
        <v>77</v>
      </c>
      <c r="CJ79" s="40"/>
      <c r="CK79" s="43">
        <f t="shared" ref="CK79" si="1937">IF(BO79="","",(BO79-BO$10)*1000)</f>
        <v>-2.799995187785953</v>
      </c>
      <c r="CL79" s="43">
        <f t="shared" ref="CL79" si="1938">IF(BP79="","",(BP79-BP$10)*1000)</f>
        <v>12.155658226594035</v>
      </c>
      <c r="CM79" s="43">
        <f t="shared" ref="CM79" si="1939">IF(BQ79="","",(BQ79-BQ$10)*1000)</f>
        <v>5.1279999518811792</v>
      </c>
      <c r="CN79" s="43">
        <f t="shared" ref="CN79" si="1940">IF(BR79="","",CN$59+(BR79-BR$59)*1000)</f>
        <v>-8.7962340734293321</v>
      </c>
      <c r="CO79" s="43">
        <f t="shared" ref="CO79" si="1941">IF(BS79="","",CO$59+(BS79-BS$59)*1000)</f>
        <v>9.4904306382277426</v>
      </c>
      <c r="CP79" s="43">
        <f t="shared" ref="CP79" si="1942">IF(BT79="","",CP$59+(BT79-BT$59)*1000)</f>
        <v>-5.1110376592866933</v>
      </c>
      <c r="CQ79" s="43"/>
      <c r="CR79" s="43"/>
      <c r="CS79" s="43"/>
      <c r="CT79" s="43">
        <f t="shared" ref="CT79" si="1943">IF(BX79="","",CT$59+(BX79-BX$59)*1000)</f>
        <v>-14.297337470651428</v>
      </c>
      <c r="CU79" s="43">
        <f t="shared" ref="CU79" si="1944">IF(BY79="","",CU$59+(BY79-BY$59)*1000)</f>
        <v>0.69304496553682093</v>
      </c>
      <c r="CV79" s="43">
        <f t="shared" ref="CV79" si="1945">IF(BZ79="","",CV$59+(BZ79-BZ$59)*1000)</f>
        <v>-78.147026625289044</v>
      </c>
      <c r="CW79" s="43"/>
      <c r="CX79" s="43"/>
      <c r="CY79" s="43"/>
      <c r="CZ79" s="43"/>
      <c r="DA79" s="43"/>
      <c r="DB79" s="43"/>
      <c r="DC79" s="43"/>
      <c r="DD79" s="43"/>
      <c r="DE79" s="43"/>
    </row>
    <row r="80" spans="1:114" ht="29.25" customHeight="1" x14ac:dyDescent="0.2">
      <c r="A80" s="37">
        <v>44529</v>
      </c>
      <c r="B80" s="29">
        <f t="shared" ref="B80" si="1946">IF(A80="","",A80-excav)</f>
        <v>824</v>
      </c>
      <c r="C80" s="38">
        <v>222.9</v>
      </c>
      <c r="D80" s="38">
        <f t="shared" ref="D80" si="1947">IF(C80="","",+C80-$W$6)</f>
        <v>26.800000000000011</v>
      </c>
      <c r="E80" s="39">
        <v>823244.3308</v>
      </c>
      <c r="F80" s="39">
        <v>1091518.7751</v>
      </c>
      <c r="G80" s="39">
        <v>-124.5446</v>
      </c>
      <c r="H80" s="39">
        <v>823244.24049999996</v>
      </c>
      <c r="I80" s="39">
        <v>1091518.7666</v>
      </c>
      <c r="J80" s="39">
        <v>-123.61499999999999</v>
      </c>
      <c r="K80" s="39"/>
      <c r="L80" s="39"/>
      <c r="M80" s="39"/>
      <c r="N80" s="39">
        <v>823245.50600000005</v>
      </c>
      <c r="O80" s="39">
        <v>1091516.0691</v>
      </c>
      <c r="P80" s="39">
        <v>-121.2864</v>
      </c>
      <c r="Q80" s="39"/>
      <c r="R80" s="39"/>
      <c r="S80" s="39"/>
      <c r="T80" s="39"/>
      <c r="U80" s="39"/>
      <c r="V80" s="39"/>
      <c r="W80" s="39"/>
      <c r="X80" s="39"/>
      <c r="Y80" s="39"/>
      <c r="Z80" s="39">
        <f t="shared" si="1908"/>
        <v>4.3953837466326</v>
      </c>
      <c r="AA80" s="39">
        <f t="shared" si="1909"/>
        <v>3.7815835916045817</v>
      </c>
      <c r="AB80" s="39"/>
      <c r="AC80" s="39"/>
      <c r="AD80" s="39"/>
      <c r="AE80" s="39"/>
      <c r="AF80" s="39"/>
      <c r="AG80" s="39"/>
      <c r="AH80" s="39" t="str">
        <f t="shared" si="1913"/>
        <v/>
      </c>
      <c r="AI80" s="43">
        <f t="shared" ref="AI80:AI81" si="1948">IF(Z80="","",AI$59+(Z80-Z$59)*1000)</f>
        <v>-76.60425414336558</v>
      </c>
      <c r="AJ80" s="43">
        <f t="shared" ref="AJ80:AJ81" si="1949">IF(AA80="","",AJ$59+(AA80-AA$59)*1000)</f>
        <v>-55.347679110352217</v>
      </c>
      <c r="AK80" s="43"/>
      <c r="AL80" s="43"/>
      <c r="AM80" s="43" t="str">
        <f t="shared" ref="AM80:AM81" si="1950">IF(AD80="","",AM$59+(AD80-AD$59)*1000)</f>
        <v/>
      </c>
      <c r="AN80" s="43" t="str">
        <f t="shared" ref="AN80:AN81" si="1951">IF(AE80="","",AN$59+(AE80-AE$59)*1000)</f>
        <v/>
      </c>
      <c r="AO80" s="43"/>
      <c r="AP80" s="43" t="str">
        <f t="shared" ref="AP80:AP81" si="1952">IF(AG80="","",AP$59+(AG80-AG$59)*1000)</f>
        <v/>
      </c>
      <c r="AQ80" s="43" t="str">
        <f t="shared" ref="AQ80:AQ81" si="1953">IF(AH80="","",AQ$59+(AH80-AH$59)*1000)</f>
        <v/>
      </c>
      <c r="AR80" s="40"/>
      <c r="AS80" s="43">
        <f t="shared" ref="AS80" si="1954">IF(E80="","",(E80-E$10)*1000)</f>
        <v>0.40000001899898052</v>
      </c>
      <c r="AT80" s="43">
        <f t="shared" ref="AT80" si="1955">IF(F80="","",(F80-F$10)*1000)</f>
        <v>-9.4000000972300768</v>
      </c>
      <c r="AU80" s="43">
        <f t="shared" ref="AU80" si="1956">IF(G80="","",(G80-G$10)*1000)</f>
        <v>6.9000000000016826</v>
      </c>
      <c r="AV80" s="43">
        <f t="shared" ref="AV80" si="1957">IF(H80="","",AV$59+(H80-H$59)*1000)</f>
        <v>-6.3000000081956387</v>
      </c>
      <c r="AW80" s="43">
        <f t="shared" ref="AW80" si="1958">IF(I80="","",AW$59+(I80-I$59)*1000)</f>
        <v>-9.4999999273568392</v>
      </c>
      <c r="AX80" s="43">
        <f t="shared" ref="AX80" si="1959">IF(J80="","",AX$59+(J80-J$59)*1000)</f>
        <v>-3.2999999999958618</v>
      </c>
      <c r="AY80" s="43"/>
      <c r="AZ80" s="43"/>
      <c r="BA80" s="43"/>
      <c r="BB80" s="43">
        <f t="shared" ref="BB80" si="1960">IF(N80="","",BB$59+(N80-N$59)*1000)</f>
        <v>-14.599999994970858</v>
      </c>
      <c r="BC80" s="43">
        <f t="shared" ref="BC80" si="1961">IF(O80="","",BC$59+(O80-O$59)*1000)</f>
        <v>-3.4000000450760126</v>
      </c>
      <c r="BD80" s="43">
        <f t="shared" ref="BD80" si="1962">IF(P80="","",BD$59+(P80-P$59)*1000)</f>
        <v>-76.799999999991542</v>
      </c>
      <c r="BE80" s="43"/>
      <c r="BF80" s="43"/>
      <c r="BG80" s="43"/>
      <c r="BH80" s="43" t="str">
        <f t="shared" ref="BH80:BH81" si="1963">IF(T80="","",BH$59+(T80-T$59)*1000)</f>
        <v/>
      </c>
      <c r="BI80" s="43" t="str">
        <f t="shared" ref="BI80:BI81" si="1964">IF(U80="","",BI$59+(U80-U$59)*1000)</f>
        <v/>
      </c>
      <c r="BJ80" s="43" t="str">
        <f t="shared" ref="BJ80:BJ81" si="1965">IF(V80="","",BJ$59+(V80-V$59)*1000)</f>
        <v/>
      </c>
      <c r="BK80" s="43" t="str">
        <f t="shared" ref="BK80:BK81" si="1966">IF(W80="","",(W80-W$10)*1000)</f>
        <v/>
      </c>
      <c r="BL80" s="43" t="str">
        <f t="shared" ref="BL80:BL81" si="1967">IF(X80="","",(X80-X$10)*1000)</f>
        <v/>
      </c>
      <c r="BM80" s="43" t="str">
        <f t="shared" ref="BM80:BM81" si="1968">IF(Y80="","",(Y80-Y$10)*1000)</f>
        <v/>
      </c>
      <c r="BN80" s="40"/>
      <c r="BO80" s="39">
        <v>196.10115877176631</v>
      </c>
      <c r="BP80" s="39">
        <v>-2.5285128185831884</v>
      </c>
      <c r="BQ80" s="39">
        <v>-0.96273158771766987</v>
      </c>
      <c r="BR80" s="39">
        <v>196.01572805760708</v>
      </c>
      <c r="BS80" s="39">
        <v>-2.5589748126968619</v>
      </c>
      <c r="BT80" s="39">
        <v>-3.2277280576067824E-2</v>
      </c>
      <c r="BU80" s="42" t="s">
        <v>77</v>
      </c>
      <c r="BV80" s="42" t="s">
        <v>77</v>
      </c>
      <c r="BW80" s="42" t="s">
        <v>77</v>
      </c>
      <c r="BX80" s="41">
        <v>196.0225368486762</v>
      </c>
      <c r="BY80" s="42">
        <v>0.420614108724566</v>
      </c>
      <c r="BZ80" s="42">
        <v>2.2962546315132357</v>
      </c>
      <c r="CA80" s="41" t="s">
        <v>77</v>
      </c>
      <c r="CB80" s="42" t="s">
        <v>77</v>
      </c>
      <c r="CC80" s="42" t="s">
        <v>77</v>
      </c>
      <c r="CD80" s="42" t="s">
        <v>77</v>
      </c>
      <c r="CE80" s="42" t="s">
        <v>77</v>
      </c>
      <c r="CF80" s="42" t="s">
        <v>77</v>
      </c>
      <c r="CG80" s="42" t="s">
        <v>77</v>
      </c>
      <c r="CH80" s="42" t="s">
        <v>77</v>
      </c>
      <c r="CI80" s="42" t="s">
        <v>77</v>
      </c>
      <c r="CJ80" s="40"/>
      <c r="CK80" s="43">
        <f t="shared" ref="CK80:CK81" si="1969">IF(BO80="","",(BO80-BO$10)*1000)</f>
        <v>-3.6104120990785304</v>
      </c>
      <c r="CL80" s="43">
        <f t="shared" ref="CL80:CL81" si="1970">IF(BP80="","",(BP80-BP$10)*1000)</f>
        <v>8.6882061622368667</v>
      </c>
      <c r="CM80" s="43">
        <f t="shared" ref="CM80:CM81" si="1971">IF(BQ80="","",(BQ80-BQ$10)*1000)</f>
        <v>6.9361041209958785</v>
      </c>
      <c r="CN80" s="43">
        <f t="shared" ref="CN80:CN81" si="1972">IF(BR80="","",CN$59+(BR80-BR$59)*1000)</f>
        <v>-9.6972802466837038</v>
      </c>
      <c r="CO80" s="43">
        <f t="shared" ref="CO80:CO81" si="1973">IF(BS80="","",CO$59+(BS80-BS$59)*1000)</f>
        <v>5.9807133462816964</v>
      </c>
      <c r="CP80" s="43">
        <f t="shared" ref="CP80:CP81" si="1974">IF(BT80="","",CP$59+(BT80-BT$59)*1000)</f>
        <v>-3.202027197541951</v>
      </c>
      <c r="CQ80" s="43"/>
      <c r="CR80" s="43"/>
      <c r="CS80" s="43"/>
      <c r="CT80" s="43">
        <f t="shared" ref="CT80:CT81" si="1975">IF(BX80="","",CT$59+(BX80-BX$59)*1000)</f>
        <v>-14.624540661856145</v>
      </c>
      <c r="CU80" s="43">
        <f t="shared" ref="CU80:CU81" si="1976">IF(BY80="","",CU$59+(BY80-BY$59)*1000)</f>
        <v>-3.1007575640134286</v>
      </c>
      <c r="CV80" s="43">
        <f t="shared" ref="CV80:CV81" si="1977">IF(BZ80="","",CV$59+(BZ80-BZ$59)*1000)</f>
        <v>-76.643754593377793</v>
      </c>
      <c r="CW80" s="43"/>
      <c r="CX80" s="43"/>
      <c r="CY80" s="43"/>
      <c r="CZ80" s="43"/>
      <c r="DA80" s="43"/>
      <c r="DB80" s="43"/>
      <c r="DC80" s="43"/>
      <c r="DD80" s="43"/>
      <c r="DE80" s="43"/>
    </row>
    <row r="81" spans="1:109" ht="29.25" customHeight="1" x14ac:dyDescent="0.2">
      <c r="A81" s="37">
        <v>44536</v>
      </c>
      <c r="B81" s="29">
        <f t="shared" ref="B81" si="1978">IF(A81="","",A81-excav)</f>
        <v>831</v>
      </c>
      <c r="C81" s="38">
        <v>222.9</v>
      </c>
      <c r="D81" s="38">
        <f t="shared" ref="D81" si="1979">IF(C81="","",+C81-$W$6)</f>
        <v>26.800000000000011</v>
      </c>
      <c r="E81" s="39">
        <v>823244.33109999995</v>
      </c>
      <c r="F81" s="39">
        <v>1091518.7753000001</v>
      </c>
      <c r="G81" s="39">
        <v>-124.5461</v>
      </c>
      <c r="H81" s="39">
        <v>823244.24080000003</v>
      </c>
      <c r="I81" s="39">
        <v>1091518.767</v>
      </c>
      <c r="J81" s="39">
        <v>-123.6165</v>
      </c>
      <c r="K81" s="39"/>
      <c r="L81" s="39"/>
      <c r="M81" s="39"/>
      <c r="N81" s="39">
        <v>823245.50639999995</v>
      </c>
      <c r="O81" s="39">
        <v>1091516.0691</v>
      </c>
      <c r="P81" s="39">
        <v>-121.2878</v>
      </c>
      <c r="Q81" s="39"/>
      <c r="R81" s="39"/>
      <c r="S81" s="39"/>
      <c r="T81" s="39">
        <v>823246.36199999996</v>
      </c>
      <c r="U81" s="39">
        <v>1091514.1192000001</v>
      </c>
      <c r="V81" s="39">
        <v>-123.6087</v>
      </c>
      <c r="W81" s="39">
        <v>823246.46059999999</v>
      </c>
      <c r="X81" s="39">
        <v>1091514.1927</v>
      </c>
      <c r="Y81" s="39">
        <v>-124.5826</v>
      </c>
      <c r="Z81" s="39">
        <f t="shared" si="1908"/>
        <v>4.3956077419075763</v>
      </c>
      <c r="AA81" s="39">
        <f t="shared" si="1909"/>
        <v>3.7819639686233901</v>
      </c>
      <c r="AB81" s="39"/>
      <c r="AC81" s="39"/>
      <c r="AD81" s="39">
        <f t="shared" ref="AD81:AD101" si="1980">IF(Xhaut="","",SQRT(((Xinterdroit-Xhaut)^2+(Yinterdroit-Yhaut)^2)+(Zinterdroit-Zhaut)^2))</f>
        <v>3.1497203335518136</v>
      </c>
      <c r="AE81" s="39">
        <f t="shared" ref="AE81:AE101" si="1981">IF(Xhaut="","",SQRT(((Xbasdroit-Xhaut)^2+(Ybasdroit-Yhaut)^2)+(Zbasdroit-Zhaut)^2))</f>
        <v>3.9098697727523231</v>
      </c>
      <c r="AF81" s="39"/>
      <c r="AG81" s="39">
        <f t="shared" ref="AG81:AG101" si="1982">IF(Xinterdroit="","",SQRT(((Xinterdroit-Xintergauche)^2+(Yinterdroit-Yintergauche)^2)+(Zinterdroit-Zintergauche)^2))</f>
        <v>5.1089720217450063</v>
      </c>
      <c r="AH81" s="39">
        <f t="shared" si="1913"/>
        <v>5.0533479259708933</v>
      </c>
      <c r="AI81" s="43">
        <f t="shared" si="1948"/>
        <v>-76.380258868389276</v>
      </c>
      <c r="AJ81" s="43">
        <f t="shared" si="1949"/>
        <v>-54.967302091543772</v>
      </c>
      <c r="AK81" s="43"/>
      <c r="AL81" s="43"/>
      <c r="AM81" s="43">
        <f t="shared" si="1950"/>
        <v>-66.415443194652653</v>
      </c>
      <c r="AN81" s="43">
        <f t="shared" si="1951"/>
        <v>-67.810389896355346</v>
      </c>
      <c r="AO81" s="43"/>
      <c r="AP81" s="43">
        <f t="shared" si="1952"/>
        <v>-27.534835230435206</v>
      </c>
      <c r="AQ81" s="43">
        <f t="shared" si="1953"/>
        <v>-34.81928547737656</v>
      </c>
      <c r="AR81" s="40"/>
      <c r="AS81" s="43">
        <f t="shared" ref="AS81" si="1983">IF(E81="","",(E81-E$10)*1000)</f>
        <v>0.699999975040555</v>
      </c>
      <c r="AT81" s="43">
        <f t="shared" ref="AT81" si="1984">IF(F81="","",(F81-F$10)*1000)</f>
        <v>-9.1999999713152647</v>
      </c>
      <c r="AU81" s="43">
        <f t="shared" ref="AU81" si="1985">IF(G81="","",(G81-G$10)*1000)</f>
        <v>5.4000000000087311</v>
      </c>
      <c r="AV81" s="43">
        <f t="shared" ref="AV81" si="1986">IF(H81="","",AV$59+(H81-H$59)*1000)</f>
        <v>-5.9999999357387424</v>
      </c>
      <c r="AW81" s="43">
        <f t="shared" ref="AW81" si="1987">IF(I81="","",AW$59+(I81-I$59)*1000)</f>
        <v>-9.0999999083578587</v>
      </c>
      <c r="AX81" s="43">
        <f t="shared" ref="AX81" si="1988">IF(J81="","",AX$59+(J81-J$59)*1000)</f>
        <v>-4.8000000000030241</v>
      </c>
      <c r="AY81" s="43"/>
      <c r="AZ81" s="43"/>
      <c r="BA81" s="43"/>
      <c r="BB81" s="43">
        <f t="shared" ref="BB81" si="1989">IF(N81="","",BB$59+(N81-N$59)*1000)</f>
        <v>-14.200000092387199</v>
      </c>
      <c r="BC81" s="43">
        <f t="shared" ref="BC81" si="1990">IF(O81="","",BC$59+(O81-O$59)*1000)</f>
        <v>-3.4000000450760126</v>
      </c>
      <c r="BD81" s="43">
        <f t="shared" ref="BD81" si="1991">IF(P81="","",BD$59+(P81-P$59)*1000)</f>
        <v>-78.199999999995384</v>
      </c>
      <c r="BE81" s="43"/>
      <c r="BF81" s="43"/>
      <c r="BG81" s="43"/>
      <c r="BH81" s="43">
        <f t="shared" si="1963"/>
        <v>-12.100000167265534</v>
      </c>
      <c r="BI81" s="43">
        <f t="shared" si="1964"/>
        <v>18.200000049546361</v>
      </c>
      <c r="BJ81" s="43">
        <f t="shared" si="1965"/>
        <v>0.30000000000995897</v>
      </c>
      <c r="BK81" s="43">
        <f t="shared" si="1966"/>
        <v>-15.000000013969839</v>
      </c>
      <c r="BL81" s="43">
        <f t="shared" si="1967"/>
        <v>22.000000113621354</v>
      </c>
      <c r="BM81" s="43">
        <f t="shared" si="1968"/>
        <v>-10.800000000003251</v>
      </c>
      <c r="BN81" s="40"/>
      <c r="BO81" s="39">
        <v>196.10151518979646</v>
      </c>
      <c r="BP81" s="39">
        <v>-2.5285672815226832</v>
      </c>
      <c r="BQ81" s="39">
        <v>-0.9642351518979666</v>
      </c>
      <c r="BR81" s="39">
        <v>196.01616900609957</v>
      </c>
      <c r="BS81" s="39">
        <v>-2.5592105339000755</v>
      </c>
      <c r="BT81" s="39">
        <v>-3.3781690061005065E-2</v>
      </c>
      <c r="BU81" s="42" t="s">
        <v>77</v>
      </c>
      <c r="BV81" s="42" t="s">
        <v>77</v>
      </c>
      <c r="BW81" s="42" t="s">
        <v>77</v>
      </c>
      <c r="BX81" s="41">
        <v>196.0228993654076</v>
      </c>
      <c r="BY81" s="42">
        <v>0.42078316948744671</v>
      </c>
      <c r="BZ81" s="42">
        <v>2.2948510063459224</v>
      </c>
      <c r="CA81" s="41" t="s">
        <v>77</v>
      </c>
      <c r="CB81" s="42" t="s">
        <v>77</v>
      </c>
      <c r="CC81" s="42" t="s">
        <v>77</v>
      </c>
      <c r="CD81" s="41">
        <v>195.97419368824399</v>
      </c>
      <c r="CE81" s="42">
        <v>2.5495830958783268</v>
      </c>
      <c r="CF81" s="42">
        <v>-2.5561936882439795E-2</v>
      </c>
      <c r="CG81" s="41">
        <v>196.09461900703155</v>
      </c>
      <c r="CH81" s="42">
        <v>2.5246441185255803</v>
      </c>
      <c r="CI81" s="42">
        <v>-1.0006661900703193</v>
      </c>
      <c r="CJ81" s="40"/>
      <c r="CK81" s="43">
        <f t="shared" si="1969"/>
        <v>-3.2539940689275682</v>
      </c>
      <c r="CL81" s="43">
        <f t="shared" si="1970"/>
        <v>8.6337432227421296</v>
      </c>
      <c r="CM81" s="43">
        <f t="shared" si="1971"/>
        <v>5.4325399406991437</v>
      </c>
      <c r="CN81" s="43">
        <f t="shared" si="1972"/>
        <v>-9.2563317541873857</v>
      </c>
      <c r="CO81" s="43">
        <f t="shared" si="1973"/>
        <v>5.7449921430681172</v>
      </c>
      <c r="CP81" s="43">
        <f t="shared" si="1974"/>
        <v>-4.7064366824791923</v>
      </c>
      <c r="CQ81" s="43"/>
      <c r="CR81" s="43"/>
      <c r="CS81" s="43"/>
      <c r="CT81" s="43">
        <f t="shared" si="1975"/>
        <v>-14.26202393045628</v>
      </c>
      <c r="CU81" s="43">
        <f t="shared" si="1976"/>
        <v>-2.9316968011327269</v>
      </c>
      <c r="CV81" s="43">
        <f t="shared" si="1977"/>
        <v>-78.047379760691086</v>
      </c>
      <c r="CW81" s="43"/>
      <c r="CX81" s="43"/>
      <c r="CY81" s="43"/>
      <c r="CZ81" s="43">
        <f t="shared" ref="CZ81" si="1992">IF(CD81="","",CZ$59+(CD81-CD$59)*1000)</f>
        <v>-3.2295108509856618</v>
      </c>
      <c r="DA81" s="43">
        <f t="shared" ref="DA81" si="1993">IF(CE81="","",DA$59+(CE81-CE$59)*1000)</f>
        <v>-21.584446962546799</v>
      </c>
      <c r="DB81" s="43">
        <f t="shared" ref="DB81" si="1994">IF(CF81="","",DB$59+(CF81-CF$59)*1000)</f>
        <v>0.34529510851709722</v>
      </c>
      <c r="DC81" s="43">
        <f t="shared" ref="DC81" si="1995">IF(CG81="","",(CG81-CG$10)*1000)</f>
        <v>-4.2960364799569106</v>
      </c>
      <c r="DD81" s="43">
        <f t="shared" ref="DD81" si="1996">IF(CH81="","",(CH81-CH$10)*1000)</f>
        <v>-26.278205341711214</v>
      </c>
      <c r="DE81" s="43">
        <f t="shared" ref="DE81" si="1997">IF(CI81="","",(CI81-CI$10)*1000)</f>
        <v>-10.757039635208798</v>
      </c>
    </row>
    <row r="82" spans="1:109" ht="29.25" customHeight="1" x14ac:dyDescent="0.2">
      <c r="A82" s="37">
        <v>44543</v>
      </c>
      <c r="B82" s="29">
        <f t="shared" ref="B82" si="1998">IF(A82="","",A82-excav)</f>
        <v>838</v>
      </c>
      <c r="C82" s="38">
        <v>222.9</v>
      </c>
      <c r="D82" s="38">
        <f t="shared" ref="D82" si="1999">IF(C82="","",+C82-$W$6)</f>
        <v>26.800000000000011</v>
      </c>
      <c r="E82" s="39">
        <v>823244.33160000003</v>
      </c>
      <c r="F82" s="39">
        <v>1091518.7747</v>
      </c>
      <c r="G82" s="39">
        <v>-124.5459</v>
      </c>
      <c r="H82" s="39">
        <v>823244.24129999999</v>
      </c>
      <c r="I82" s="39">
        <v>1091518.7662</v>
      </c>
      <c r="J82" s="39">
        <v>-123.6163</v>
      </c>
      <c r="K82" s="39" t="e">
        <v>#N/A</v>
      </c>
      <c r="L82" s="39" t="e">
        <v>#N/A</v>
      </c>
      <c r="M82" s="39" t="e">
        <v>#N/A</v>
      </c>
      <c r="N82" s="39">
        <v>823245.50589999999</v>
      </c>
      <c r="O82" s="39">
        <v>1091516.0686000001</v>
      </c>
      <c r="P82" s="39">
        <v>-121.2884</v>
      </c>
      <c r="Q82" s="39" t="e">
        <v>#N/A</v>
      </c>
      <c r="R82" s="39" t="e">
        <v>#N/A</v>
      </c>
      <c r="S82" s="39" t="e">
        <v>#N/A</v>
      </c>
      <c r="T82" s="39">
        <v>823246.36159999995</v>
      </c>
      <c r="U82" s="39">
        <v>1091514.1179</v>
      </c>
      <c r="V82" s="39">
        <v>-123.6084</v>
      </c>
      <c r="W82" s="39">
        <v>823246.46100000001</v>
      </c>
      <c r="X82" s="39">
        <v>1091514.1913999999</v>
      </c>
      <c r="Y82" s="39">
        <v>-124.58240000000001</v>
      </c>
      <c r="Z82" s="39">
        <f t="shared" si="1908"/>
        <v>4.3946858760331748</v>
      </c>
      <c r="AA82" s="39">
        <f t="shared" si="1909"/>
        <v>3.7809228144886831</v>
      </c>
      <c r="AB82" s="39"/>
      <c r="AC82" s="39"/>
      <c r="AD82" s="39">
        <f t="shared" si="1980"/>
        <v>3.1495798101579768</v>
      </c>
      <c r="AE82" s="39">
        <f t="shared" si="1981"/>
        <v>3.909799464278144</v>
      </c>
      <c r="AF82" s="39"/>
      <c r="AG82" s="39">
        <f t="shared" si="1982"/>
        <v>5.109053472983109</v>
      </c>
      <c r="AH82" s="39">
        <f t="shared" si="1913"/>
        <v>5.0539405913027426</v>
      </c>
      <c r="AI82" s="43">
        <f t="shared" ref="AI82" si="2000">IF(Z82="","",AI$59+(Z82-Z$59)*1000)</f>
        <v>-77.302124742790738</v>
      </c>
      <c r="AJ82" s="43">
        <f t="shared" ref="AJ82" si="2001">IF(AA82="","",AJ$59+(AA82-AA$59)*1000)</f>
        <v>-56.008456226250843</v>
      </c>
      <c r="AK82" s="43"/>
      <c r="AL82" s="43"/>
      <c r="AM82" s="43">
        <f t="shared" ref="AM82" si="2002">IF(AD82="","",AM$59+(AD82-AD$59)*1000)</f>
        <v>-66.555966588489397</v>
      </c>
      <c r="AN82" s="43">
        <f t="shared" ref="AN82" si="2003">IF(AE82="","",AN$59+(AE82-AE$59)*1000)</f>
        <v>-67.880698370534446</v>
      </c>
      <c r="AO82" s="43"/>
      <c r="AP82" s="43">
        <f t="shared" ref="AP82" si="2004">IF(AG82="","",AP$59+(AG82-AG$59)*1000)</f>
        <v>-27.453383992332547</v>
      </c>
      <c r="AQ82" s="43">
        <f t="shared" ref="AQ82" si="2005">IF(AH82="","",AQ$59+(AH82-AH$59)*1000)</f>
        <v>-34.226620145527242</v>
      </c>
      <c r="AR82" s="40"/>
      <c r="AS82" s="43">
        <f t="shared" ref="AS82" si="2006">IF(E82="","",(E82-E$10)*1000)</f>
        <v>1.2000000569969416</v>
      </c>
      <c r="AT82" s="43">
        <f t="shared" ref="AT82" si="2007">IF(F82="","",(F82-F$10)*1000)</f>
        <v>-9.8000001162290573</v>
      </c>
      <c r="AU82" s="43">
        <f t="shared" ref="AU82" si="2008">IF(G82="","",(G82-G$10)*1000)</f>
        <v>5.6000000000011596</v>
      </c>
      <c r="AV82" s="43">
        <f t="shared" ref="AV82" si="2009">IF(H82="","",AV$59+(H82-H$59)*1000)</f>
        <v>-5.4999999701976776</v>
      </c>
      <c r="AW82" s="43">
        <f t="shared" ref="AW82" si="2010">IF(I82="","",AW$59+(I82-I$59)*1000)</f>
        <v>-9.8999999463558197</v>
      </c>
      <c r="AX82" s="43">
        <f t="shared" ref="AX82" si="2011">IF(J82="","",AX$59+(J82-J$59)*1000)</f>
        <v>-4.5999999999963848</v>
      </c>
      <c r="AY82" s="43"/>
      <c r="AZ82" s="43"/>
      <c r="BA82" s="43"/>
      <c r="BB82" s="43">
        <f t="shared" ref="BB82" si="2012">IF(N82="","",BB$59+(N82-N$59)*1000)</f>
        <v>-14.700000057928264</v>
      </c>
      <c r="BC82" s="43">
        <f t="shared" ref="BC82" si="2013">IF(O82="","",BC$59+(O82-O$59)*1000)</f>
        <v>-3.8999998942017555</v>
      </c>
      <c r="BD82" s="43">
        <f t="shared" ref="BD82" si="2014">IF(P82="","",BD$59+(P82-P$59)*1000)</f>
        <v>-78.799999999986881</v>
      </c>
      <c r="BE82" s="43"/>
      <c r="BF82" s="43"/>
      <c r="BG82" s="43"/>
      <c r="BH82" s="43">
        <f t="shared" ref="BH82" si="2015">IF(T82="","",BH$59+(T82-T$59)*1000)</f>
        <v>-12.500000186264515</v>
      </c>
      <c r="BI82" s="43">
        <f t="shared" ref="BI82" si="2016">IF(U82="","",BI$59+(U82-U$59)*1000)</f>
        <v>16.899999929592013</v>
      </c>
      <c r="BJ82" s="43">
        <f t="shared" ref="BJ82" si="2017">IF(V82="","",BJ$59+(V82-V$59)*1000)</f>
        <v>0.60000000000570708</v>
      </c>
      <c r="BK82" s="43">
        <f t="shared" ref="BK82" si="2018">IF(W82="","",(W82-W$10)*1000)</f>
        <v>-14.599999994970858</v>
      </c>
      <c r="BL82" s="43">
        <f t="shared" ref="BL82" si="2019">IF(X82="","",(X82-X$10)*1000)</f>
        <v>20.699999993667006</v>
      </c>
      <c r="BM82" s="43">
        <f t="shared" ref="BM82" si="2020">IF(Y82="","",(Y82-Y$10)*1000)</f>
        <v>-10.600000000010823</v>
      </c>
      <c r="BN82" s="40"/>
      <c r="BO82" s="39">
        <v>196.10171474462803</v>
      </c>
      <c r="BP82" s="39">
        <v>-2.5278121801221771</v>
      </c>
      <c r="BQ82" s="39">
        <v>-0.96403714744629099</v>
      </c>
      <c r="BR82" s="39">
        <v>196.01628403046882</v>
      </c>
      <c r="BS82" s="39">
        <v>-2.5582741742358368</v>
      </c>
      <c r="BT82" s="39">
        <v>-3.3582840304688943E-2</v>
      </c>
      <c r="BU82" s="42" t="s">
        <v>77</v>
      </c>
      <c r="BV82" s="42" t="s">
        <v>77</v>
      </c>
      <c r="BW82" s="42" t="s">
        <v>77</v>
      </c>
      <c r="BX82" s="41">
        <v>196.02223489347298</v>
      </c>
      <c r="BY82" s="42">
        <v>0.42102498938480093</v>
      </c>
      <c r="BZ82" s="42">
        <v>2.2942576510652657</v>
      </c>
      <c r="CA82" s="42" t="s">
        <v>77</v>
      </c>
      <c r="CB82" s="42" t="s">
        <v>77</v>
      </c>
      <c r="CC82" s="42" t="s">
        <v>77</v>
      </c>
      <c r="CD82" s="41">
        <v>195.97328172374324</v>
      </c>
      <c r="CE82" s="42">
        <v>2.5505922148388636</v>
      </c>
      <c r="CF82" s="42">
        <v>-2.5252817237443992E-2</v>
      </c>
      <c r="CG82" s="41">
        <v>196.09443207620461</v>
      </c>
      <c r="CH82" s="42">
        <v>2.5259913591102725</v>
      </c>
      <c r="CI82" s="42">
        <v>-1.0004643207620632</v>
      </c>
      <c r="CJ82" s="40"/>
      <c r="CK82" s="43">
        <f t="shared" ref="CK82" si="2021">IF(BO82="","",(BO82-BO$10)*1000)</f>
        <v>-3.0544392373599294</v>
      </c>
      <c r="CL82" s="43">
        <f t="shared" ref="CL82" si="2022">IF(BP82="","",(BP82-BP$10)*1000)</f>
        <v>9.3888446232481826</v>
      </c>
      <c r="CM82" s="43">
        <f t="shared" ref="CM82" si="2023">IF(BQ82="","",(BQ82-BQ$10)*1000)</f>
        <v>5.6305443923747589</v>
      </c>
      <c r="CN82" s="43">
        <f t="shared" ref="CN82" si="2024">IF(BR82="","",CN$59+(BR82-BR$59)*1000)</f>
        <v>-9.141307384936681</v>
      </c>
      <c r="CO82" s="43">
        <f t="shared" ref="CO82" si="2025">IF(BS82="","",CO$59+(BS82-BS$59)*1000)</f>
        <v>6.681351807306779</v>
      </c>
      <c r="CP82" s="43">
        <f t="shared" ref="CP82" si="2026">IF(BT82="","",CP$59+(BT82-BT$59)*1000)</f>
        <v>-4.5075869261630706</v>
      </c>
      <c r="CQ82" s="43"/>
      <c r="CR82" s="43"/>
      <c r="CS82" s="43"/>
      <c r="CT82" s="43">
        <f t="shared" ref="CT82" si="2027">IF(BX82="","",CT$59+(BX82-BX$59)*1000)</f>
        <v>-14.926495865069001</v>
      </c>
      <c r="CU82" s="43">
        <f t="shared" ref="CU82" si="2028">IF(BY82="","",CU$59+(BY82-BY$59)*1000)</f>
        <v>-2.6898769037785044</v>
      </c>
      <c r="CV82" s="43">
        <f t="shared" ref="CV82" si="2029">IF(BZ82="","",CV$59+(BZ82-BZ$59)*1000)</f>
        <v>-78.640735041347824</v>
      </c>
      <c r="CW82" s="43"/>
      <c r="CX82" s="43"/>
      <c r="CY82" s="43"/>
      <c r="CZ82" s="43">
        <f t="shared" ref="CZ82" si="2030">IF(CD82="","",CZ$59+(CD82-CD$59)*1000)</f>
        <v>-4.1414753517301506</v>
      </c>
      <c r="DA82" s="43">
        <f t="shared" ref="DA82" si="2031">IF(CE82="","",DA$59+(CE82-CE$59)*1000)</f>
        <v>-20.575328002010007</v>
      </c>
      <c r="DB82" s="43">
        <f t="shared" ref="DB82" si="2032">IF(CF82="","",DB$59+(CF82-CF$59)*1000)</f>
        <v>0.65441475351290057</v>
      </c>
      <c r="DC82" s="43">
        <f t="shared" ref="DC82" si="2033">IF(CG82="","",(CG82-CG$10)*1000)</f>
        <v>-4.4829673068988996</v>
      </c>
      <c r="DD82" s="43">
        <f t="shared" ref="DD82" si="2034">IF(CH82="","",(CH82-CH$10)*1000)</f>
        <v>-24.930964757019058</v>
      </c>
      <c r="DE82" s="43">
        <f t="shared" ref="DE82" si="2035">IF(CI82="","",(CI82-CI$10)*1000)</f>
        <v>-10.555170326952634</v>
      </c>
    </row>
    <row r="83" spans="1:109" ht="29.25" customHeight="1" x14ac:dyDescent="0.2">
      <c r="A83" s="37">
        <v>44550</v>
      </c>
      <c r="B83" s="29">
        <f t="shared" ref="B83" si="2036">IF(A83="","",A83-excav)</f>
        <v>845</v>
      </c>
      <c r="C83" s="38">
        <v>222.9</v>
      </c>
      <c r="D83" s="38">
        <f t="shared" ref="D83" si="2037">IF(C83="","",+C83-$W$6)</f>
        <v>26.800000000000011</v>
      </c>
      <c r="E83" s="39">
        <v>823244.32979999995</v>
      </c>
      <c r="F83" s="39">
        <v>1091518.7726</v>
      </c>
      <c r="G83" s="39">
        <v>-124.5467</v>
      </c>
      <c r="H83" s="39">
        <v>823244.23930000002</v>
      </c>
      <c r="I83" s="39">
        <v>1091518.7638999999</v>
      </c>
      <c r="J83" s="39">
        <v>-123.6173</v>
      </c>
      <c r="K83" s="39" t="e">
        <v>#N/A</v>
      </c>
      <c r="L83" s="39" t="e">
        <v>#N/A</v>
      </c>
      <c r="M83" s="39" t="e">
        <v>#N/A</v>
      </c>
      <c r="N83" s="39">
        <v>823245.50520000001</v>
      </c>
      <c r="O83" s="39">
        <v>1091516.0663000001</v>
      </c>
      <c r="P83" s="39">
        <v>-121.28870000000001</v>
      </c>
      <c r="Q83" s="39" t="e">
        <v>#N/A</v>
      </c>
      <c r="R83" s="39" t="e">
        <v>#N/A</v>
      </c>
      <c r="S83" s="39" t="e">
        <v>#N/A</v>
      </c>
      <c r="T83" s="39">
        <v>823246.36179999996</v>
      </c>
      <c r="U83" s="39">
        <v>1091514.1170999999</v>
      </c>
      <c r="V83" s="39">
        <v>-123.60939999999999</v>
      </c>
      <c r="W83" s="39">
        <v>823246.46059999999</v>
      </c>
      <c r="X83" s="39">
        <v>1091514.1906000001</v>
      </c>
      <c r="Y83" s="39">
        <v>-124.58320000000001</v>
      </c>
      <c r="Z83" s="39">
        <f t="shared" si="1908"/>
        <v>4.3954736775399326</v>
      </c>
      <c r="AA83" s="39">
        <f t="shared" si="1909"/>
        <v>3.7817888001751165</v>
      </c>
      <c r="AB83" s="39"/>
      <c r="AC83" s="39"/>
      <c r="AD83" s="39">
        <f t="shared" si="1980"/>
        <v>3.149411483194406</v>
      </c>
      <c r="AE83" s="39">
        <f t="shared" si="1981"/>
        <v>3.9095741328004747</v>
      </c>
      <c r="AF83" s="39"/>
      <c r="AG83" s="39">
        <f t="shared" si="1982"/>
        <v>5.1086024409449573</v>
      </c>
      <c r="AH83" s="39">
        <f t="shared" si="1913"/>
        <v>5.0533518470022871</v>
      </c>
      <c r="AI83" s="43">
        <f t="shared" ref="AI83" si="2038">IF(Z83="","",AI$59+(Z83-Z$59)*1000)</f>
        <v>-76.514323236033022</v>
      </c>
      <c r="AJ83" s="43">
        <f t="shared" ref="AJ83" si="2039">IF(AA83="","",AJ$59+(AA83-AA$59)*1000)</f>
        <v>-55.14247053981736</v>
      </c>
      <c r="AK83" s="43"/>
      <c r="AL83" s="43"/>
      <c r="AM83" s="43">
        <f t="shared" ref="AM83" si="2040">IF(AD83="","",AM$59+(AD83-AD$59)*1000)</f>
        <v>-66.724293552060232</v>
      </c>
      <c r="AN83" s="43">
        <f t="shared" ref="AN83" si="2041">IF(AE83="","",AN$59+(AE83-AE$59)*1000)</f>
        <v>-68.10602984820369</v>
      </c>
      <c r="AO83" s="43"/>
      <c r="AP83" s="43">
        <f t="shared" ref="AP83" si="2042">IF(AG83="","",AP$59+(AG83-AG$59)*1000)</f>
        <v>-27.904416030484214</v>
      </c>
      <c r="AQ83" s="43">
        <f t="shared" ref="AQ83" si="2043">IF(AH83="","",AQ$59+(AH83-AH$59)*1000)</f>
        <v>-34.815364445982766</v>
      </c>
      <c r="AR83" s="40"/>
      <c r="AS83" s="43">
        <f t="shared" ref="AS83" si="2044">IF(E83="","",(E83-E$10)*1000)</f>
        <v>-0.60000002849847078</v>
      </c>
      <c r="AT83" s="43">
        <f t="shared" ref="AT83" si="2045">IF(F83="","",(F83-F$10)*1000)</f>
        <v>-11.900000041350722</v>
      </c>
      <c r="AU83" s="43">
        <f t="shared" ref="AU83" si="2046">IF(G83="","",(G83-G$10)*1000)</f>
        <v>4.8000000000030241</v>
      </c>
      <c r="AV83" s="43">
        <f t="shared" ref="AV83" si="2047">IF(H83="","",AV$59+(H83-H$59)*1000)</f>
        <v>-7.4999999487772584</v>
      </c>
      <c r="AW83" s="43">
        <f t="shared" ref="AW83" si="2048">IF(I83="","",AW$59+(I83-I$59)*1000)</f>
        <v>-12.199999997392297</v>
      </c>
      <c r="AX83" s="43">
        <f t="shared" ref="AX83" si="2049">IF(J83="","",AX$59+(J83-J$59)*1000)</f>
        <v>-5.6000000000011596</v>
      </c>
      <c r="AY83" s="43"/>
      <c r="AZ83" s="43"/>
      <c r="BA83" s="43"/>
      <c r="BB83" s="43">
        <f t="shared" ref="BB83" si="2050">IF(N83="","",BB$59+(N83-N$59)*1000)</f>
        <v>-15.400000032968819</v>
      </c>
      <c r="BC83" s="43">
        <f t="shared" ref="BC83" si="2051">IF(O83="","",BC$59+(O83-O$59)*1000)</f>
        <v>-6.1999999452382326</v>
      </c>
      <c r="BD83" s="43">
        <f t="shared" ref="BD83" si="2052">IF(P83="","",BD$59+(P83-P$59)*1000)</f>
        <v>-79.09999999999684</v>
      </c>
      <c r="BE83" s="43"/>
      <c r="BF83" s="43"/>
      <c r="BG83" s="43"/>
      <c r="BH83" s="43">
        <f t="shared" ref="BH83" si="2053">IF(T83="","",BH$59+(T83-T$59)*1000)</f>
        <v>-12.300000176765025</v>
      </c>
      <c r="BI83" s="43">
        <f t="shared" ref="BI83" si="2054">IF(U83="","",BI$59+(U83-U$59)*1000)</f>
        <v>16.099999891594052</v>
      </c>
      <c r="BJ83" s="43">
        <f t="shared" ref="BJ83" si="2055">IF(V83="","",BJ$59+(V83-V$59)*1000)</f>
        <v>-0.39999999998485691</v>
      </c>
      <c r="BK83" s="43">
        <f t="shared" ref="BK83" si="2056">IF(W83="","",(W83-W$10)*1000)</f>
        <v>-15.000000013969839</v>
      </c>
      <c r="BL83" s="43">
        <f t="shared" ref="BL83" si="2057">IF(X83="","",(X83-X$10)*1000)</f>
        <v>19.900000188499689</v>
      </c>
      <c r="BM83" s="43">
        <f t="shared" ref="BM83" si="2058">IF(Y83="","",(Y83-Y$10)*1000)</f>
        <v>-11.400000000008959</v>
      </c>
      <c r="BN83" s="40"/>
      <c r="BO83" s="39">
        <v>196.09919584967253</v>
      </c>
      <c r="BP83" s="39">
        <v>-2.5266697405410827</v>
      </c>
      <c r="BQ83" s="39">
        <v>-0.96481195849672474</v>
      </c>
      <c r="BR83" s="39">
        <v>196.01349934674514</v>
      </c>
      <c r="BS83" s="39">
        <v>-2.5570350064876308</v>
      </c>
      <c r="BT83" s="39">
        <v>-3.4554993467452277E-2</v>
      </c>
      <c r="BU83" s="42" t="s">
        <v>77</v>
      </c>
      <c r="BV83" s="42" t="s">
        <v>77</v>
      </c>
      <c r="BW83" s="42" t="s">
        <v>77</v>
      </c>
      <c r="BX83" s="41">
        <v>196.02062838941637</v>
      </c>
      <c r="BY83" s="42">
        <v>0.42281360474757695</v>
      </c>
      <c r="BZ83" s="42">
        <v>2.2939737161058247</v>
      </c>
      <c r="CA83" s="42" t="s">
        <v>77</v>
      </c>
      <c r="CB83" s="42" t="s">
        <v>77</v>
      </c>
      <c r="CC83" s="42" t="s">
        <v>77</v>
      </c>
      <c r="CD83" s="41">
        <v>195.97312486053758</v>
      </c>
      <c r="CE83" s="42">
        <v>2.5514017789186458</v>
      </c>
      <c r="CF83" s="42">
        <v>-2.6251248605376531E-2</v>
      </c>
      <c r="CG83" s="41">
        <v>196.093731437842</v>
      </c>
      <c r="CH83" s="42">
        <v>2.5265473317609568</v>
      </c>
      <c r="CI83" s="42">
        <v>-1.0012573143784351</v>
      </c>
      <c r="CJ83" s="40"/>
      <c r="CK83" s="43">
        <f t="shared" ref="CK83" si="2059">IF(BO83="","",(BO83-BO$10)*1000)</f>
        <v>-5.5733341928601021</v>
      </c>
      <c r="CL83" s="43">
        <f t="shared" ref="CL83" si="2060">IF(BP83="","",(BP83-BP$10)*1000)</f>
        <v>10.531284204342573</v>
      </c>
      <c r="CM83" s="43">
        <f t="shared" ref="CM83" si="2061">IF(BQ83="","",(BQ83-BQ$10)*1000)</f>
        <v>4.8557333419410043</v>
      </c>
      <c r="CN83" s="43">
        <f t="shared" ref="CN83" si="2062">IF(BR83="","",CN$59+(BR83-BR$59)*1000)</f>
        <v>-11.925991108626022</v>
      </c>
      <c r="CO83" s="43">
        <f t="shared" ref="CO83" si="2063">IF(BS83="","",CO$59+(BS83-BS$59)*1000)</f>
        <v>7.9205195555127617</v>
      </c>
      <c r="CP83" s="43">
        <f t="shared" ref="CP83" si="2064">IF(BT83="","",CP$59+(BT83-BT$59)*1000)</f>
        <v>-5.4797400889264045</v>
      </c>
      <c r="CQ83" s="43"/>
      <c r="CR83" s="43"/>
      <c r="CS83" s="43"/>
      <c r="CT83" s="43">
        <f t="shared" ref="CT83" si="2065">IF(BX83="","",CT$59+(BX83-BX$59)*1000)</f>
        <v>-16.532999921679448</v>
      </c>
      <c r="CU83" s="43">
        <f t="shared" ref="CU83" si="2066">IF(BY83="","",CU$59+(BY83-BY$59)*1000)</f>
        <v>-0.90126154100247935</v>
      </c>
      <c r="CV83" s="43">
        <f t="shared" ref="CV83" si="2067">IF(BZ83="","",CV$59+(BZ83-BZ$59)*1000)</f>
        <v>-78.924670000788836</v>
      </c>
      <c r="CW83" s="43"/>
      <c r="CX83" s="43"/>
      <c r="CY83" s="43"/>
      <c r="CZ83" s="43">
        <f t="shared" ref="CZ83" si="2068">IF(CD83="","",CZ$59+(CD83-CD$59)*1000)</f>
        <v>-4.2983385573904798</v>
      </c>
      <c r="DA83" s="43">
        <f t="shared" ref="DA83" si="2069">IF(CE83="","",DA$59+(CE83-CE$59)*1000)</f>
        <v>-19.76576392222773</v>
      </c>
      <c r="DB83" s="43">
        <f t="shared" ref="DB83" si="2070">IF(CF83="","",DB$59+(CF83-CF$59)*1000)</f>
        <v>-0.34401661441963904</v>
      </c>
      <c r="DC83" s="43">
        <f t="shared" ref="DC83" si="2071">IF(CG83="","",(CG83-CG$10)*1000)</f>
        <v>-5.1836056695151456</v>
      </c>
      <c r="DD83" s="43">
        <f t="shared" ref="DD83" si="2072">IF(CH83="","",(CH83-CH$10)*1000)</f>
        <v>-24.374992106334759</v>
      </c>
      <c r="DE83" s="43">
        <f t="shared" ref="DE83" si="2073">IF(CI83="","",(CI83-CI$10)*1000)</f>
        <v>-11.348163943324607</v>
      </c>
    </row>
    <row r="84" spans="1:109" ht="29.25" customHeight="1" x14ac:dyDescent="0.2">
      <c r="A84" s="37">
        <v>44572</v>
      </c>
      <c r="B84" s="29">
        <f t="shared" ref="B84" si="2074">IF(A84="","",A84-excav)</f>
        <v>867</v>
      </c>
      <c r="C84" s="38">
        <v>222.9</v>
      </c>
      <c r="D84" s="38">
        <f t="shared" ref="D84" si="2075">IF(C84="","",+C84-$W$6)</f>
        <v>26.800000000000011</v>
      </c>
      <c r="E84" s="39">
        <v>823244.33140000002</v>
      </c>
      <c r="F84" s="39">
        <v>1091518.7745000001</v>
      </c>
      <c r="G84" s="39">
        <v>-124.5458</v>
      </c>
      <c r="H84" s="39">
        <v>823244.24129999999</v>
      </c>
      <c r="I84" s="39">
        <v>1091518.7660999999</v>
      </c>
      <c r="J84" s="39">
        <v>-123.6165</v>
      </c>
      <c r="K84" s="39" t="e">
        <v>#N/A</v>
      </c>
      <c r="L84" s="39" t="e">
        <v>#N/A</v>
      </c>
      <c r="M84" s="39" t="e">
        <v>#N/A</v>
      </c>
      <c r="N84" s="39">
        <v>823245.50639999995</v>
      </c>
      <c r="O84" s="39">
        <v>1091516.0682999999</v>
      </c>
      <c r="P84" s="39">
        <v>-121.2881</v>
      </c>
      <c r="Q84" s="39" t="e">
        <v>#N/A</v>
      </c>
      <c r="R84" s="39" t="e">
        <v>#N/A</v>
      </c>
      <c r="S84" s="39" t="e">
        <v>#N/A</v>
      </c>
      <c r="T84" s="39">
        <v>823246.36129999999</v>
      </c>
      <c r="U84" s="39">
        <v>1091514.1181999999</v>
      </c>
      <c r="V84" s="39">
        <v>-123.60850000000001</v>
      </c>
      <c r="W84" s="39">
        <v>823246.46089999995</v>
      </c>
      <c r="X84" s="39">
        <v>1091514.1919</v>
      </c>
      <c r="Y84" s="39">
        <v>-124.5823</v>
      </c>
      <c r="Z84" s="39">
        <f t="shared" si="1908"/>
        <v>4.3950827899537455</v>
      </c>
      <c r="AA84" s="39">
        <f t="shared" si="1909"/>
        <v>3.7815406132571372</v>
      </c>
      <c r="AB84" s="39"/>
      <c r="AC84" s="39"/>
      <c r="AD84" s="39">
        <f t="shared" si="1980"/>
        <v>3.1492856618800897</v>
      </c>
      <c r="AE84" s="39">
        <f t="shared" si="1981"/>
        <v>3.9094374083489893</v>
      </c>
      <c r="AF84" s="39"/>
      <c r="AG84" s="39">
        <f t="shared" si="1982"/>
        <v>5.1085652007007383</v>
      </c>
      <c r="AH84" s="39">
        <f t="shared" si="1913"/>
        <v>5.0533479259218348</v>
      </c>
      <c r="AI84" s="43">
        <f t="shared" ref="AI84" si="2076">IF(Z84="","",AI$59+(Z84-Z$59)*1000)</f>
        <v>-76.905210822220113</v>
      </c>
      <c r="AJ84" s="43">
        <f t="shared" ref="AJ84" si="2077">IF(AA84="","",AJ$59+(AA84-AA$59)*1000)</f>
        <v>-55.390657457796706</v>
      </c>
      <c r="AK84" s="43"/>
      <c r="AL84" s="43"/>
      <c r="AM84" s="43">
        <f t="shared" ref="AM84" si="2078">IF(AD84="","",AM$59+(AD84-AD$59)*1000)</f>
        <v>-66.850114866376487</v>
      </c>
      <c r="AN84" s="43">
        <f t="shared" ref="AN84" si="2079">IF(AE84="","",AN$59+(AE84-AE$59)*1000)</f>
        <v>-68.242754299689068</v>
      </c>
      <c r="AO84" s="43"/>
      <c r="AP84" s="43">
        <f t="shared" ref="AP84" si="2080">IF(AG84="","",AP$59+(AG84-AG$59)*1000)</f>
        <v>-27.941656274703242</v>
      </c>
      <c r="AQ84" s="43">
        <f t="shared" ref="AQ84" si="2081">IF(AH84="","",AQ$59+(AH84-AH$59)*1000)</f>
        <v>-34.819285526435095</v>
      </c>
      <c r="AR84" s="40"/>
      <c r="AS84" s="43">
        <f t="shared" ref="AS84" si="2082">IF(E84="","",(E84-E$10)*1000)</f>
        <v>1.0000000474974513</v>
      </c>
      <c r="AT84" s="43">
        <f t="shared" ref="AT84" si="2083">IF(F84="","",(F84-F$10)*1000)</f>
        <v>-10.000000009313226</v>
      </c>
      <c r="AU84" s="43">
        <f t="shared" ref="AU84" si="2084">IF(G84="","",(G84-G$10)*1000)</f>
        <v>5.7000000000044793</v>
      </c>
      <c r="AV84" s="43">
        <f t="shared" ref="AV84" si="2085">IF(H84="","",AV$59+(H84-H$59)*1000)</f>
        <v>-5.4999999701976776</v>
      </c>
      <c r="AW84" s="43">
        <f t="shared" ref="AW84" si="2086">IF(I84="","",AW$59+(I84-I$59)*1000)</f>
        <v>-10.000000009313226</v>
      </c>
      <c r="AX84" s="43">
        <f t="shared" ref="AX84" si="2087">IF(J84="","",AX$59+(J84-J$59)*1000)</f>
        <v>-4.8000000000030241</v>
      </c>
      <c r="AY84" s="43"/>
      <c r="AZ84" s="43"/>
      <c r="BA84" s="43"/>
      <c r="BB84" s="43">
        <f t="shared" ref="BB84" si="2088">IF(N84="","",BB$59+(N84-N$59)*1000)</f>
        <v>-14.200000092387199</v>
      </c>
      <c r="BC84" s="43">
        <f t="shared" ref="BC84" si="2089">IF(O84="","",BC$59+(O84-O$59)*1000)</f>
        <v>-4.2000000830739737</v>
      </c>
      <c r="BD84" s="43">
        <f t="shared" ref="BD84" si="2090">IF(P84="","",BD$59+(P84-P$59)*1000)</f>
        <v>-78.499999999991132</v>
      </c>
      <c r="BE84" s="43"/>
      <c r="BF84" s="43"/>
      <c r="BG84" s="43"/>
      <c r="BH84" s="43">
        <f t="shared" ref="BH84" si="2091">IF(T84="","",BH$59+(T84-T$59)*1000)</f>
        <v>-12.800000142306089</v>
      </c>
      <c r="BI84" s="43">
        <f t="shared" ref="BI84" si="2092">IF(U84="","",BI$59+(U84-U$59)*1000)</f>
        <v>17.199999885633588</v>
      </c>
      <c r="BJ84" s="43">
        <f t="shared" ref="BJ84" si="2093">IF(V84="","",BJ$59+(V84-V$59)*1000)</f>
        <v>0.50000000000238742</v>
      </c>
      <c r="BK84" s="43">
        <f t="shared" ref="BK84" si="2094">IF(W84="","",(W84-W$10)*1000)</f>
        <v>-14.700000057928264</v>
      </c>
      <c r="BL84" s="43">
        <f t="shared" ref="BL84" si="2095">IF(X84="","",(X84-X$10)*1000)</f>
        <v>21.200000075623393</v>
      </c>
      <c r="BM84" s="43">
        <f t="shared" ref="BM84" si="2096">IF(Y84="","",(Y84-Y$10)*1000)</f>
        <v>-10.500000000007503</v>
      </c>
      <c r="BN84" s="40"/>
      <c r="BO84" s="39">
        <v>196.10144895585273</v>
      </c>
      <c r="BP84" s="39">
        <v>-2.527715452215253</v>
      </c>
      <c r="BQ84" s="39">
        <v>-0.96393448955852534</v>
      </c>
      <c r="BR84" s="39">
        <v>196.01624176524118</v>
      </c>
      <c r="BS84" s="39">
        <v>-2.5581835449738501</v>
      </c>
      <c r="BT84" s="39">
        <v>-3.3782417652417962E-2</v>
      </c>
      <c r="BU84" s="42" t="s">
        <v>77</v>
      </c>
      <c r="BV84" s="42" t="s">
        <v>77</v>
      </c>
      <c r="BW84" s="42" t="s">
        <v>77</v>
      </c>
      <c r="BX84" s="41">
        <v>196.02256124378346</v>
      </c>
      <c r="BY84" s="42">
        <v>0.42150820316119475</v>
      </c>
      <c r="BZ84" s="42">
        <v>2.2945543875621581</v>
      </c>
      <c r="CA84" s="42" t="s">
        <v>77</v>
      </c>
      <c r="CB84" s="42" t="s">
        <v>77</v>
      </c>
      <c r="CC84" s="42" t="s">
        <v>77</v>
      </c>
      <c r="CD84" s="41">
        <v>195.97313663175279</v>
      </c>
      <c r="CE84" s="42">
        <v>2.5501935316795157</v>
      </c>
      <c r="CF84" s="42">
        <v>-2.5351366317536872E-2</v>
      </c>
      <c r="CG84" s="41">
        <v>196.09455277298233</v>
      </c>
      <c r="CH84" s="42">
        <v>2.5254959477837793</v>
      </c>
      <c r="CI84" s="42">
        <v>-1.0003655277298265</v>
      </c>
      <c r="CJ84" s="40"/>
      <c r="CK84" s="43">
        <f t="shared" ref="CK84" si="2097">IF(BO84="","",(BO84-BO$10)*1000)</f>
        <v>-3.3202280126545247</v>
      </c>
      <c r="CL84" s="43">
        <f t="shared" ref="CL84" si="2098">IF(BP84="","",(BP84-BP$10)*1000)</f>
        <v>9.4855725301723481</v>
      </c>
      <c r="CM84" s="43">
        <f t="shared" ref="CM84" si="2099">IF(BQ84="","",(BQ84-BQ$10)*1000)</f>
        <v>5.7332022801404037</v>
      </c>
      <c r="CN84" s="43">
        <f t="shared" ref="CN84" si="2100">IF(BR84="","",CN$59+(BR84-BR$59)*1000)</f>
        <v>-9.183572612585067</v>
      </c>
      <c r="CO84" s="43">
        <f t="shared" ref="CO84" si="2101">IF(BS84="","",CO$59+(BS84-BS$59)*1000)</f>
        <v>6.7719810692934423</v>
      </c>
      <c r="CP84" s="43">
        <f t="shared" ref="CP84" si="2102">IF(BT84="","",CP$59+(BT84-BT$59)*1000)</f>
        <v>-4.7071642738920891</v>
      </c>
      <c r="CQ84" s="43"/>
      <c r="CR84" s="43"/>
      <c r="CS84" s="43"/>
      <c r="CT84" s="43">
        <f t="shared" ref="CT84" si="2103">IF(BX84="","",CT$59+(BX84-BX$59)*1000)</f>
        <v>-14.600145554595656</v>
      </c>
      <c r="CU84" s="43">
        <f t="shared" ref="CU84" si="2104">IF(BY84="","",CU$59+(BY84-BY$59)*1000)</f>
        <v>-2.206663127384684</v>
      </c>
      <c r="CV84" s="43">
        <f t="shared" ref="CV84" si="2105">IF(BZ84="","",CV$59+(BZ84-BZ$59)*1000)</f>
        <v>-78.343998544455388</v>
      </c>
      <c r="CW84" s="43"/>
      <c r="CX84" s="43"/>
      <c r="CY84" s="43"/>
      <c r="CZ84" s="43">
        <f t="shared" ref="CZ84" si="2106">IF(CD84="","",CZ$59+(CD84-CD$59)*1000)</f>
        <v>-4.2865673421772499</v>
      </c>
      <c r="DA84" s="43">
        <f t="shared" ref="DA84" si="2107">IF(CE84="","",DA$59+(CE84-CE$59)*1000)</f>
        <v>-20.974011161357886</v>
      </c>
      <c r="DB84" s="43">
        <f t="shared" ref="DB84" si="2108">IF(CF84="","",DB$59+(CF84-CF$59)*1000)</f>
        <v>0.55586567342002047</v>
      </c>
      <c r="DC84" s="43">
        <f t="shared" ref="DC84" si="2109">IF(CG84="","",(CG84-CG$10)*1000)</f>
        <v>-4.3622705291852526</v>
      </c>
      <c r="DD84" s="43">
        <f t="shared" ref="DD84" si="2110">IF(CH84="","",(CH84-CH$10)*1000)</f>
        <v>-25.426376083512281</v>
      </c>
      <c r="DE84" s="43">
        <f t="shared" ref="DE84" si="2111">IF(CI84="","",(CI84-CI$10)*1000)</f>
        <v>-10.456377294715935</v>
      </c>
    </row>
    <row r="85" spans="1:109" ht="29.25" customHeight="1" x14ac:dyDescent="0.2">
      <c r="A85" s="37">
        <v>44578</v>
      </c>
      <c r="B85" s="29">
        <f t="shared" ref="B85" si="2112">IF(A85="","",A85-excav)</f>
        <v>873</v>
      </c>
      <c r="C85" s="38">
        <v>222.9</v>
      </c>
      <c r="D85" s="38">
        <f t="shared" ref="D85" si="2113">IF(C85="","",+C85-$W$6)</f>
        <v>26.800000000000011</v>
      </c>
      <c r="E85" s="39">
        <v>823244.33140000002</v>
      </c>
      <c r="F85" s="39">
        <v>1091518.7742000001</v>
      </c>
      <c r="G85" s="39">
        <v>-124.5453</v>
      </c>
      <c r="H85" s="39">
        <v>823244.24080000003</v>
      </c>
      <c r="I85" s="39">
        <v>1091518.7657000001</v>
      </c>
      <c r="J85" s="39">
        <v>-123.6161</v>
      </c>
      <c r="K85" s="39" t="e">
        <v>#N/A</v>
      </c>
      <c r="L85" s="39" t="e">
        <v>#N/A</v>
      </c>
      <c r="M85" s="39" t="e">
        <v>#N/A</v>
      </c>
      <c r="N85" s="39">
        <v>823245.50569999998</v>
      </c>
      <c r="O85" s="39">
        <v>1091516.0677</v>
      </c>
      <c r="P85" s="39">
        <v>-121.28789999999999</v>
      </c>
      <c r="Q85" s="39" t="e">
        <v>#N/A</v>
      </c>
      <c r="R85" s="39" t="e">
        <v>#N/A</v>
      </c>
      <c r="S85" s="39" t="e">
        <v>#N/A</v>
      </c>
      <c r="T85" s="39">
        <v>823246.36190000002</v>
      </c>
      <c r="U85" s="39">
        <v>1091514.1181999999</v>
      </c>
      <c r="V85" s="39">
        <v>-123.6082</v>
      </c>
      <c r="W85" s="39">
        <v>823246.46109999996</v>
      </c>
      <c r="X85" s="39">
        <v>1091514.192</v>
      </c>
      <c r="Y85" s="39">
        <v>-124.5819</v>
      </c>
      <c r="Z85" s="39">
        <f t="shared" si="1908"/>
        <v>4.3948580751110127</v>
      </c>
      <c r="AA85" s="39">
        <f t="shared" si="1909"/>
        <v>3.7814932566869146</v>
      </c>
      <c r="AB85" s="39"/>
      <c r="AC85" s="39"/>
      <c r="AD85" s="39">
        <f t="shared" si="1980"/>
        <v>3.149193671477259</v>
      </c>
      <c r="AE85" s="39">
        <f t="shared" si="1981"/>
        <v>3.9091528046192647</v>
      </c>
      <c r="AF85" s="39"/>
      <c r="AG85" s="39">
        <f t="shared" si="1982"/>
        <v>5.1086577368006223</v>
      </c>
      <c r="AH85" s="39">
        <f t="shared" si="1913"/>
        <v>5.0530702043692965</v>
      </c>
      <c r="AI85" s="43">
        <f t="shared" ref="AI85" si="2114">IF(Z85="","",AI$59+(Z85-Z$59)*1000)</f>
        <v>-77.129925664952907</v>
      </c>
      <c r="AJ85" s="43">
        <f t="shared" ref="AJ85" si="2115">IF(AA85="","",AJ$59+(AA85-AA$59)*1000)</f>
        <v>-55.438014028019296</v>
      </c>
      <c r="AK85" s="43"/>
      <c r="AL85" s="43"/>
      <c r="AM85" s="43">
        <f t="shared" ref="AM85" si="2116">IF(AD85="","",AM$59+(AD85-AD$59)*1000)</f>
        <v>-66.94210526920719</v>
      </c>
      <c r="AN85" s="43">
        <f t="shared" ref="AN85" si="2117">IF(AE85="","",AN$59+(AE85-AE$59)*1000)</f>
        <v>-68.527358029413676</v>
      </c>
      <c r="AO85" s="43"/>
      <c r="AP85" s="43">
        <f t="shared" ref="AP85" si="2118">IF(AG85="","",AP$59+(AG85-AG$59)*1000)</f>
        <v>-27.84912017481922</v>
      </c>
      <c r="AQ85" s="43">
        <f t="shared" ref="AQ85" si="2119">IF(AH85="","",AQ$59+(AH85-AH$59)*1000)</f>
        <v>-35.097007078973341</v>
      </c>
      <c r="AR85" s="40"/>
      <c r="AS85" s="43">
        <f t="shared" ref="AS85" si="2120">IF(E85="","",(E85-E$10)*1000)</f>
        <v>1.0000000474974513</v>
      </c>
      <c r="AT85" s="43">
        <f t="shared" ref="AT85" si="2121">IF(F85="","",(F85-F$10)*1000)</f>
        <v>-10.2999999653548</v>
      </c>
      <c r="AU85" s="43">
        <f t="shared" ref="AU85" si="2122">IF(G85="","",(G85-G$10)*1000)</f>
        <v>6.2000000000068667</v>
      </c>
      <c r="AV85" s="43">
        <f t="shared" ref="AV85" si="2123">IF(H85="","",AV$59+(H85-H$59)*1000)</f>
        <v>-5.9999999357387424</v>
      </c>
      <c r="AW85" s="43">
        <f t="shared" ref="AW85" si="2124">IF(I85="","",AW$59+(I85-I$59)*1000)</f>
        <v>-10.399999795481563</v>
      </c>
      <c r="AX85" s="43">
        <f t="shared" ref="AX85" si="2125">IF(J85="","",AX$59+(J85-J$59)*1000)</f>
        <v>-4.4000000000039563</v>
      </c>
      <c r="AY85" s="43"/>
      <c r="AZ85" s="43"/>
      <c r="BA85" s="43"/>
      <c r="BB85" s="43">
        <f t="shared" ref="BB85" si="2126">IF(N85="","",BB$59+(N85-N$59)*1000)</f>
        <v>-14.900000067427754</v>
      </c>
      <c r="BC85" s="43">
        <f t="shared" ref="BC85" si="2127">IF(O85="","",BC$59+(O85-O$59)*1000)</f>
        <v>-4.7999999951571226</v>
      </c>
      <c r="BD85" s="43">
        <f t="shared" ref="BD85" si="2128">IF(P85="","",BD$59+(P85-P$59)*1000)</f>
        <v>-78.299999999984493</v>
      </c>
      <c r="BE85" s="43"/>
      <c r="BF85" s="43"/>
      <c r="BG85" s="43"/>
      <c r="BH85" s="43">
        <f t="shared" ref="BH85" si="2129">IF(T85="","",BH$59+(T85-T$59)*1000)</f>
        <v>-12.200000113807619</v>
      </c>
      <c r="BI85" s="43">
        <f t="shared" ref="BI85" si="2130">IF(U85="","",BI$59+(U85-U$59)*1000)</f>
        <v>17.199999885633588</v>
      </c>
      <c r="BJ85" s="43">
        <f t="shared" ref="BJ85" si="2131">IF(V85="","",BJ$59+(V85-V$59)*1000)</f>
        <v>0.80000000001234639</v>
      </c>
      <c r="BK85" s="43">
        <f t="shared" ref="BK85" si="2132">IF(W85="","",(W85-W$10)*1000)</f>
        <v>-14.500000048428774</v>
      </c>
      <c r="BL85" s="43">
        <f t="shared" ref="BL85" si="2133">IF(X85="","",(X85-X$10)*1000)</f>
        <v>21.300000138580799</v>
      </c>
      <c r="BM85" s="43">
        <f t="shared" ref="BM85" si="2134">IF(Y85="","",(Y85-Y$10)*1000)</f>
        <v>-10.100000000008436</v>
      </c>
      <c r="BN85" s="40"/>
      <c r="BO85" s="39">
        <v>196.1013221602683</v>
      </c>
      <c r="BP85" s="39">
        <v>-2.527443564640349</v>
      </c>
      <c r="BQ85" s="39">
        <v>-0.96343322160268485</v>
      </c>
      <c r="BR85" s="39">
        <v>196.01561955853418</v>
      </c>
      <c r="BS85" s="39">
        <v>-2.558032354338482</v>
      </c>
      <c r="BT85" s="39">
        <v>-3.3376195585347546E-2</v>
      </c>
      <c r="BU85" s="42" t="s">
        <v>77</v>
      </c>
      <c r="BV85" s="42" t="s">
        <v>77</v>
      </c>
      <c r="BW85" s="42" t="s">
        <v>77</v>
      </c>
      <c r="BX85" s="41">
        <v>196.02167324820277</v>
      </c>
      <c r="BY85" s="42">
        <v>0.42175612191452194</v>
      </c>
      <c r="BZ85" s="42">
        <v>2.294763267517979</v>
      </c>
      <c r="CA85" s="42" t="s">
        <v>77</v>
      </c>
      <c r="CB85" s="42" t="s">
        <v>77</v>
      </c>
      <c r="CC85" s="42" t="s">
        <v>77</v>
      </c>
      <c r="CD85" s="41">
        <v>195.97368040700812</v>
      </c>
      <c r="CE85" s="42">
        <v>2.5504471228976282</v>
      </c>
      <c r="CF85" s="42">
        <v>-2.50568040700756E-2</v>
      </c>
      <c r="CG85" s="41">
        <v>196.09477629662837</v>
      </c>
      <c r="CH85" s="42">
        <v>2.5254898489278421</v>
      </c>
      <c r="CI85" s="42">
        <v>-0.99996776296629264</v>
      </c>
      <c r="CJ85" s="40"/>
      <c r="CK85" s="43">
        <f t="shared" ref="CK85" si="2135">IF(BO85="","",(BO85-BO$10)*1000)</f>
        <v>-3.4470235970900376</v>
      </c>
      <c r="CL85" s="43">
        <f t="shared" ref="CL85" si="2136">IF(BP85="","",(BP85-BP$10)*1000)</f>
        <v>9.7574601050762766</v>
      </c>
      <c r="CM85" s="43">
        <f t="shared" ref="CM85" si="2137">IF(BQ85="","",(BQ85-BQ$10)*1000)</f>
        <v>6.2344702359808934</v>
      </c>
      <c r="CN85" s="43">
        <f t="shared" ref="CN85" si="2138">IF(BR85="","",CN$59+(BR85-BR$59)*1000)</f>
        <v>-9.8057793195778231</v>
      </c>
      <c r="CO85" s="43">
        <f t="shared" ref="CO85" si="2139">IF(BS85="","",CO$59+(BS85-BS$59)*1000)</f>
        <v>6.9231717046616126</v>
      </c>
      <c r="CP85" s="43">
        <f t="shared" ref="CP85" si="2140">IF(BT85="","",CP$59+(BT85-BT$59)*1000)</f>
        <v>-4.3009422068216727</v>
      </c>
      <c r="CQ85" s="43"/>
      <c r="CR85" s="43"/>
      <c r="CS85" s="43"/>
      <c r="CT85" s="43">
        <f t="shared" ref="CT85" si="2141">IF(BX85="","",CT$59+(BX85-BX$59)*1000)</f>
        <v>-15.488141135278966</v>
      </c>
      <c r="CU85" s="43">
        <f t="shared" ref="CU85" si="2142">IF(BY85="","",CU$59+(BY85-BY$59)*1000)</f>
        <v>-1.9587443740574917</v>
      </c>
      <c r="CV85" s="43">
        <f t="shared" ref="CV85" si="2143">IF(BZ85="","",CV$59+(BZ85-BZ$59)*1000)</f>
        <v>-78.135118588634526</v>
      </c>
      <c r="CW85" s="43"/>
      <c r="CX85" s="43"/>
      <c r="CY85" s="43"/>
      <c r="CZ85" s="43">
        <f t="shared" ref="CZ85" si="2144">IF(CD85="","",CZ$59+(CD85-CD$59)*1000)</f>
        <v>-3.7427920868537967</v>
      </c>
      <c r="DA85" s="43">
        <f t="shared" ref="DA85" si="2145">IF(CE85="","",DA$59+(CE85-CE$59)*1000)</f>
        <v>-20.720419943245361</v>
      </c>
      <c r="DB85" s="43">
        <f t="shared" ref="DB85" si="2146">IF(CF85="","",DB$59+(CF85-CF$59)*1000)</f>
        <v>0.85042792088129215</v>
      </c>
      <c r="DC85" s="43">
        <f t="shared" ref="DC85" si="2147">IF(CG85="","",(CG85-CG$10)*1000)</f>
        <v>-4.1387468831430851</v>
      </c>
      <c r="DD85" s="43">
        <f t="shared" ref="DD85" si="2148">IF(CH85="","",(CH85-CH$10)*1000)</f>
        <v>-25.432474939449445</v>
      </c>
      <c r="DE85" s="43">
        <f t="shared" ref="DE85" si="2149">IF(CI85="","",(CI85-CI$10)*1000)</f>
        <v>-10.058612531182121</v>
      </c>
    </row>
    <row r="86" spans="1:109" ht="29.25" customHeight="1" x14ac:dyDescent="0.2">
      <c r="A86" s="37">
        <v>44595</v>
      </c>
      <c r="B86" s="29">
        <f t="shared" ref="B86" si="2150">IF(A86="","",A86-excav)</f>
        <v>890</v>
      </c>
      <c r="C86" s="38">
        <v>222.9</v>
      </c>
      <c r="D86" s="38">
        <f t="shared" ref="D86" si="2151">IF(C86="","",+C86-$W$6)</f>
        <v>26.800000000000011</v>
      </c>
      <c r="E86" s="39" t="e">
        <v>#N/A</v>
      </c>
      <c r="F86" s="39" t="e">
        <v>#N/A</v>
      </c>
      <c r="G86" s="39" t="e">
        <v>#N/A</v>
      </c>
      <c r="H86" s="39">
        <v>823244.2415</v>
      </c>
      <c r="I86" s="39">
        <v>1091518.7653999999</v>
      </c>
      <c r="J86" s="39">
        <v>-123.6157</v>
      </c>
      <c r="K86" s="39" t="e">
        <v>#N/A</v>
      </c>
      <c r="L86" s="39" t="e">
        <v>#N/A</v>
      </c>
      <c r="M86" s="39" t="e">
        <v>#N/A</v>
      </c>
      <c r="N86" s="39">
        <v>823245.50589999999</v>
      </c>
      <c r="O86" s="39">
        <v>1091516.0678999999</v>
      </c>
      <c r="P86" s="39">
        <v>-121.28789999999999</v>
      </c>
      <c r="Q86" s="39" t="e">
        <v>#N/A</v>
      </c>
      <c r="R86" s="39" t="e">
        <v>#N/A</v>
      </c>
      <c r="S86" s="39" t="e">
        <v>#N/A</v>
      </c>
      <c r="T86" s="39">
        <v>823246.36170000001</v>
      </c>
      <c r="U86" s="39">
        <v>1091514.1179</v>
      </c>
      <c r="V86" s="39">
        <v>-123.60760000000001</v>
      </c>
      <c r="W86" s="39" t="e">
        <v>#N/A</v>
      </c>
      <c r="X86" s="39" t="e">
        <v>#N/A</v>
      </c>
      <c r="Y86" s="39" t="e">
        <v>#N/A</v>
      </c>
      <c r="Z86" s="39" t="e">
        <f t="shared" si="1908"/>
        <v>#N/A</v>
      </c>
      <c r="AA86" s="39">
        <f t="shared" si="1909"/>
        <v>3.7807230062533743</v>
      </c>
      <c r="AB86" s="39"/>
      <c r="AC86" s="39"/>
      <c r="AD86" s="39">
        <f t="shared" si="1980"/>
        <v>3.1489524813581422</v>
      </c>
      <c r="AE86" s="39" t="e">
        <f t="shared" si="1981"/>
        <v>#N/A</v>
      </c>
      <c r="AF86" s="39"/>
      <c r="AG86" s="39">
        <f t="shared" si="1982"/>
        <v>5.1082844380157875</v>
      </c>
      <c r="AH86" s="39" t="e">
        <f t="shared" si="1913"/>
        <v>#N/A</v>
      </c>
      <c r="AI86" s="43" t="e">
        <f t="shared" ref="AI86" si="2152">IF(Z86="","",AI$59+(Z86-Z$59)*1000)</f>
        <v>#N/A</v>
      </c>
      <c r="AJ86" s="43">
        <f t="shared" ref="AJ86" si="2153">IF(AA86="","",AJ$59+(AA86-AA$59)*1000)</f>
        <v>-56.20826446155958</v>
      </c>
      <c r="AK86" s="43"/>
      <c r="AL86" s="43"/>
      <c r="AM86" s="43">
        <f t="shared" ref="AM86" si="2154">IF(AD86="","",AM$59+(AD86-AD$59)*1000)</f>
        <v>-67.183295388324012</v>
      </c>
      <c r="AN86" s="43" t="e">
        <f t="shared" ref="AN86" si="2155">IF(AE86="","",AN$59+(AE86-AE$59)*1000)</f>
        <v>#N/A</v>
      </c>
      <c r="AO86" s="43"/>
      <c r="AP86" s="43">
        <f t="shared" ref="AP86" si="2156">IF(AG86="","",AP$59+(AG86-AG$59)*1000)</f>
        <v>-28.22241895965405</v>
      </c>
      <c r="AQ86" s="43" t="e">
        <f t="shared" ref="AQ86" si="2157">IF(AH86="","",AQ$59+(AH86-AH$59)*1000)</f>
        <v>#N/A</v>
      </c>
      <c r="AR86" s="40"/>
      <c r="AS86" s="43" t="e">
        <f t="shared" ref="AS86" si="2158">IF(E86="","",(E86-E$10)*1000)</f>
        <v>#N/A</v>
      </c>
      <c r="AT86" s="43" t="e">
        <f t="shared" ref="AT86" si="2159">IF(F86="","",(F86-F$10)*1000)</f>
        <v>#N/A</v>
      </c>
      <c r="AU86" s="43" t="e">
        <f t="shared" ref="AU86" si="2160">IF(G86="","",(G86-G$10)*1000)</f>
        <v>#N/A</v>
      </c>
      <c r="AV86" s="43">
        <f t="shared" ref="AV86" si="2161">IF(H86="","",AV$59+(H86-H$59)*1000)</f>
        <v>-5.2999999606981874</v>
      </c>
      <c r="AW86" s="43">
        <f t="shared" ref="AW86" si="2162">IF(I86="","",AW$59+(I86-I$59)*1000)</f>
        <v>-10.699999984353781</v>
      </c>
      <c r="AX86" s="43">
        <f t="shared" ref="AX86" si="2163">IF(J86="","",AX$59+(J86-J$59)*1000)</f>
        <v>-4.0000000000048885</v>
      </c>
      <c r="AY86" s="43"/>
      <c r="AZ86" s="43"/>
      <c r="BA86" s="43"/>
      <c r="BB86" s="43">
        <f t="shared" ref="BB86" si="2164">IF(N86="","",BB$59+(N86-N$59)*1000)</f>
        <v>-14.700000057928264</v>
      </c>
      <c r="BC86" s="43">
        <f t="shared" ref="BC86" si="2165">IF(O86="","",BC$59+(O86-O$59)*1000)</f>
        <v>-4.6000001020729542</v>
      </c>
      <c r="BD86" s="43">
        <f t="shared" ref="BD86" si="2166">IF(P86="","",BD$59+(P86-P$59)*1000)</f>
        <v>-78.299999999984493</v>
      </c>
      <c r="BE86" s="43"/>
      <c r="BF86" s="43"/>
      <c r="BG86" s="43"/>
      <c r="BH86" s="43">
        <f t="shared" ref="BH86" si="2167">IF(T86="","",BH$59+(T86-T$59)*1000)</f>
        <v>-12.400000123307109</v>
      </c>
      <c r="BI86" s="43">
        <f t="shared" ref="BI86" si="2168">IF(U86="","",BI$59+(U86-U$59)*1000)</f>
        <v>16.899999929592013</v>
      </c>
      <c r="BJ86" s="43">
        <f t="shared" ref="BJ86" si="2169">IF(V86="","",BJ$59+(V86-V$59)*1000)</f>
        <v>1.4000000000038426</v>
      </c>
      <c r="BK86" s="43" t="e">
        <f t="shared" ref="BK86" si="2170">IF(W86="","",(W86-W$10)*1000)</f>
        <v>#N/A</v>
      </c>
      <c r="BL86" s="43" t="e">
        <f t="shared" ref="BL86" si="2171">IF(X86="","",(X86-X$10)*1000)</f>
        <v>#N/A</v>
      </c>
      <c r="BM86" s="43" t="e">
        <f t="shared" ref="BM86" si="2172">IF(Y86="","",(Y86-Y$10)*1000)</f>
        <v>#N/A</v>
      </c>
      <c r="BN86" s="40"/>
      <c r="BO86" s="39" t="e">
        <v>#VALUE!</v>
      </c>
      <c r="BP86" s="39" t="s">
        <v>77</v>
      </c>
      <c r="BQ86" s="39" t="s">
        <v>77</v>
      </c>
      <c r="BR86" s="39">
        <v>196.01612716726308</v>
      </c>
      <c r="BS86" s="39">
        <v>-2.5574646101560283</v>
      </c>
      <c r="BT86" s="39">
        <v>-3.2981271672639423E-2</v>
      </c>
      <c r="BU86" s="42" t="s">
        <v>77</v>
      </c>
      <c r="BV86" s="42" t="s">
        <v>77</v>
      </c>
      <c r="BW86" s="42" t="s">
        <v>77</v>
      </c>
      <c r="BX86" s="41">
        <v>196.02193903697804</v>
      </c>
      <c r="BY86" s="42">
        <v>0.42165939400762398</v>
      </c>
      <c r="BZ86" s="42">
        <v>2.2947606096302167</v>
      </c>
      <c r="CA86" s="42" t="s">
        <v>77</v>
      </c>
      <c r="CB86" s="42" t="s">
        <v>77</v>
      </c>
      <c r="CC86" s="42" t="s">
        <v>77</v>
      </c>
      <c r="CD86" s="41">
        <v>195.97337235300523</v>
      </c>
      <c r="CE86" s="42">
        <v>2.5506344800664782</v>
      </c>
      <c r="CF86" s="42">
        <v>-2.4453723530058369E-2</v>
      </c>
      <c r="CG86" s="41" t="e">
        <v>#VALUE!</v>
      </c>
      <c r="CH86" s="42" t="s">
        <v>77</v>
      </c>
      <c r="CI86" s="42" t="s">
        <v>77</v>
      </c>
      <c r="CJ86" s="40"/>
      <c r="CK86" s="43" t="e">
        <f t="shared" ref="CK86" si="2173">IF(BO86="","",(BO86-BO$10)*1000)</f>
        <v>#VALUE!</v>
      </c>
      <c r="CL86" s="43" t="e">
        <f t="shared" ref="CL86" si="2174">IF(BP86="","",(BP86-BP$10)*1000)</f>
        <v>#VALUE!</v>
      </c>
      <c r="CM86" s="43" t="e">
        <f t="shared" ref="CM86" si="2175">IF(BQ86="","",(BQ86-BQ$10)*1000)</f>
        <v>#VALUE!</v>
      </c>
      <c r="CN86" s="43">
        <f t="shared" ref="CN86" si="2176">IF(BR86="","",CN$59+(BR86-BR$59)*1000)</f>
        <v>-9.2981705906822754</v>
      </c>
      <c r="CO86" s="43">
        <f t="shared" ref="CO86" si="2177">IF(BS86="","",CO$59+(BS86-BS$59)*1000)</f>
        <v>7.490915887115257</v>
      </c>
      <c r="CP86" s="43">
        <f t="shared" ref="CP86" si="2178">IF(BT86="","",CP$59+(BT86-BT$59)*1000)</f>
        <v>-3.9060182941135499</v>
      </c>
      <c r="CQ86" s="43"/>
      <c r="CR86" s="43"/>
      <c r="CS86" s="43"/>
      <c r="CT86" s="43">
        <f t="shared" ref="CT86" si="2179">IF(BX86="","",CT$59+(BX86-BX$59)*1000)</f>
        <v>-15.222352360012792</v>
      </c>
      <c r="CU86" s="43">
        <f t="shared" ref="CU86" si="2180">IF(BY86="","",CU$59+(BY86-BY$59)*1000)</f>
        <v>-2.0554722809554562</v>
      </c>
      <c r="CV86" s="43">
        <f t="shared" ref="CV86" si="2181">IF(BZ86="","",CV$59+(BZ86-BZ$59)*1000)</f>
        <v>-78.137776476396851</v>
      </c>
      <c r="CW86" s="43"/>
      <c r="CX86" s="43"/>
      <c r="CY86" s="43"/>
      <c r="CZ86" s="43">
        <f t="shared" ref="CZ86" si="2182">IF(CD86="","",CZ$59+(CD86-CD$59)*1000)</f>
        <v>-4.0508460897399345</v>
      </c>
      <c r="DA86" s="43">
        <f t="shared" ref="DA86" si="2183">IF(CE86="","",DA$59+(CE86-CE$59)*1000)</f>
        <v>-20.533062774395372</v>
      </c>
      <c r="DB86" s="43">
        <f t="shared" ref="DB86" si="2184">IF(CF86="","",DB$59+(CF86-CF$59)*1000)</f>
        <v>1.4535084608985234</v>
      </c>
      <c r="DC86" s="43" t="e">
        <f t="shared" ref="DC86" si="2185">IF(CG86="","",(CG86-CG$10)*1000)</f>
        <v>#VALUE!</v>
      </c>
      <c r="DD86" s="43" t="e">
        <f t="shared" ref="DD86" si="2186">IF(CH86="","",(CH86-CH$10)*1000)</f>
        <v>#VALUE!</v>
      </c>
      <c r="DE86" s="43" t="e">
        <f t="shared" ref="DE86" si="2187">IF(CI86="","",(CI86-CI$10)*1000)</f>
        <v>#VALUE!</v>
      </c>
    </row>
    <row r="87" spans="1:109" ht="29.25" customHeight="1" x14ac:dyDescent="0.2">
      <c r="A87" s="37">
        <v>44613</v>
      </c>
      <c r="B87" s="29">
        <f t="shared" ref="B87" si="2188">IF(A87="","",A87-excav)</f>
        <v>908</v>
      </c>
      <c r="C87" s="38">
        <v>222.9</v>
      </c>
      <c r="D87" s="38">
        <f t="shared" ref="D87" si="2189">IF(C87="","",+C87-$W$6)</f>
        <v>26.800000000000011</v>
      </c>
      <c r="E87" s="39">
        <v>823244.33149999997</v>
      </c>
      <c r="F87" s="39">
        <v>1091518.774</v>
      </c>
      <c r="G87" s="39">
        <v>-124.54559999999999</v>
      </c>
      <c r="H87" s="39">
        <v>823244.24109999998</v>
      </c>
      <c r="I87" s="39">
        <v>1091518.7655</v>
      </c>
      <c r="J87" s="39">
        <v>-123.61620000000001</v>
      </c>
      <c r="K87" s="39" t="e">
        <v>#N/A</v>
      </c>
      <c r="L87" s="39" t="e">
        <v>#N/A</v>
      </c>
      <c r="M87" s="39" t="e">
        <v>#N/A</v>
      </c>
      <c r="N87" s="39">
        <v>823245.5061</v>
      </c>
      <c r="O87" s="39">
        <v>1091516.0678999999</v>
      </c>
      <c r="P87" s="39">
        <v>-121.2885</v>
      </c>
      <c r="Q87" s="39" t="e">
        <v>#N/A</v>
      </c>
      <c r="R87" s="39" t="e">
        <v>#N/A</v>
      </c>
      <c r="S87" s="39" t="e">
        <v>#N/A</v>
      </c>
      <c r="T87" s="39">
        <v>823246.36120000004</v>
      </c>
      <c r="U87" s="39">
        <v>1091514.1179</v>
      </c>
      <c r="V87" s="39">
        <v>-123.60850000000001</v>
      </c>
      <c r="W87" s="39">
        <v>823246.46100000001</v>
      </c>
      <c r="X87" s="39">
        <v>1091514.192</v>
      </c>
      <c r="Y87" s="39">
        <v>-124.58199999999999</v>
      </c>
      <c r="Z87" s="39">
        <f t="shared" si="1908"/>
        <v>4.3944695675855696</v>
      </c>
      <c r="AA87" s="39">
        <f t="shared" si="1909"/>
        <v>3.7809334892887621</v>
      </c>
      <c r="AB87" s="39"/>
      <c r="AC87" s="39"/>
      <c r="AD87" s="39">
        <f t="shared" si="1980"/>
        <v>3.1489833295675353</v>
      </c>
      <c r="AE87" s="39">
        <f t="shared" si="1981"/>
        <v>3.9087052932559714</v>
      </c>
      <c r="AF87" s="39"/>
      <c r="AG87" s="39">
        <f t="shared" si="1982"/>
        <v>5.1083332957517698</v>
      </c>
      <c r="AH87" s="39">
        <f t="shared" si="1913"/>
        <v>5.0528031041775456</v>
      </c>
      <c r="AI87" s="43">
        <f t="shared" ref="AI87" si="2190">IF(Z87="","",AI$59+(Z87-Z$59)*1000)</f>
        <v>-77.518433190395967</v>
      </c>
      <c r="AJ87" s="43">
        <f t="shared" ref="AJ87" si="2191">IF(AA87="","",AJ$59+(AA87-AA$59)*1000)</f>
        <v>-55.997781426171848</v>
      </c>
      <c r="AK87" s="43"/>
      <c r="AL87" s="43"/>
      <c r="AM87" s="43">
        <f t="shared" ref="AM87" si="2192">IF(AD87="","",AM$59+(AD87-AD$59)*1000)</f>
        <v>-67.152447178930885</v>
      </c>
      <c r="AN87" s="43">
        <f t="shared" ref="AN87" si="2193">IF(AE87="","",AN$59+(AE87-AE$59)*1000)</f>
        <v>-68.974869392707035</v>
      </c>
      <c r="AO87" s="43"/>
      <c r="AP87" s="43">
        <f t="shared" ref="AP87" si="2194">IF(AG87="","",AP$59+(AG87-AG$59)*1000)</f>
        <v>-28.173561223671761</v>
      </c>
      <c r="AQ87" s="43">
        <f t="shared" ref="AQ87" si="2195">IF(AH87="","",AQ$59+(AH87-AH$59)*1000)</f>
        <v>-35.364107270724254</v>
      </c>
      <c r="AR87" s="40"/>
      <c r="AS87" s="43">
        <f t="shared" ref="AS87" si="2196">IF(E87="","",(E87-E$10)*1000)</f>
        <v>1.0999999940395355</v>
      </c>
      <c r="AT87" s="43">
        <f t="shared" ref="AT87" si="2197">IF(F87="","",(F87-F$10)*1000)</f>
        <v>-10.500000091269612</v>
      </c>
      <c r="AU87" s="43">
        <f t="shared" ref="AU87" si="2198">IF(G87="","",(G87-G$10)*1000)</f>
        <v>5.9000000000111186</v>
      </c>
      <c r="AV87" s="43">
        <f t="shared" ref="AV87" si="2199">IF(H87="","",AV$59+(H87-H$59)*1000)</f>
        <v>-5.6999999796971679</v>
      </c>
      <c r="AW87" s="43">
        <f t="shared" ref="AW87" si="2200">IF(I87="","",AW$59+(I87-I$59)*1000)</f>
        <v>-10.599999921396375</v>
      </c>
      <c r="AX87" s="43">
        <f t="shared" ref="AX87" si="2201">IF(J87="","",AX$59+(J87-J$59)*1000)</f>
        <v>-4.500000000007276</v>
      </c>
      <c r="AY87" s="43"/>
      <c r="AZ87" s="43"/>
      <c r="BA87" s="43"/>
      <c r="BB87" s="43">
        <f t="shared" ref="BB87" si="2202">IF(N87="","",BB$59+(N87-N$59)*1000)</f>
        <v>-14.500000048428774</v>
      </c>
      <c r="BC87" s="43">
        <f t="shared" ref="BC87" si="2203">IF(O87="","",BC$59+(O87-O$59)*1000)</f>
        <v>-4.6000001020729542</v>
      </c>
      <c r="BD87" s="43">
        <f t="shared" ref="BD87" si="2204">IF(P87="","",BD$59+(P87-P$59)*1000)</f>
        <v>-78.8999999999902</v>
      </c>
      <c r="BE87" s="43"/>
      <c r="BF87" s="43"/>
      <c r="BG87" s="43"/>
      <c r="BH87" s="43">
        <f t="shared" ref="BH87" si="2205">IF(T87="","",BH$59+(T87-T$59)*1000)</f>
        <v>-12.900000088848174</v>
      </c>
      <c r="BI87" s="43">
        <f t="shared" ref="BI87" si="2206">IF(U87="","",BI$59+(U87-U$59)*1000)</f>
        <v>16.899999929592013</v>
      </c>
      <c r="BJ87" s="43">
        <f t="shared" ref="BJ87" si="2207">IF(V87="","",BJ$59+(V87-V$59)*1000)</f>
        <v>0.50000000000238742</v>
      </c>
      <c r="BK87" s="43">
        <f t="shared" ref="BK87" si="2208">IF(W87="","",(W87-W$10)*1000)</f>
        <v>-14.599999994970858</v>
      </c>
      <c r="BL87" s="43">
        <f t="shared" ref="BL87" si="2209">IF(X87="","",(X87-X$10)*1000)</f>
        <v>21.300000138580799</v>
      </c>
      <c r="BM87" s="43">
        <f t="shared" ref="BM87" si="2210">IF(Y87="","",(Y87-Y$10)*1000)</f>
        <v>-10.199999999997544</v>
      </c>
      <c r="BN87" s="40"/>
      <c r="BO87" s="39">
        <v>196.10132825896955</v>
      </c>
      <c r="BP87" s="39">
        <v>-2.5272200409379781</v>
      </c>
      <c r="BQ87" s="39">
        <v>-0.96373328258968627</v>
      </c>
      <c r="BR87" s="39">
        <v>196.01580691565385</v>
      </c>
      <c r="BS87" s="39">
        <v>-2.5577243002300638</v>
      </c>
      <c r="BT87" s="39">
        <v>-3.3478069156544166E-2</v>
      </c>
      <c r="BU87" s="42" t="s">
        <v>77</v>
      </c>
      <c r="BV87" s="42" t="s">
        <v>77</v>
      </c>
      <c r="BW87" s="42" t="s">
        <v>77</v>
      </c>
      <c r="BX87" s="41">
        <v>196.02212029539652</v>
      </c>
      <c r="BY87" s="42">
        <v>0.42174392441363234</v>
      </c>
      <c r="BZ87" s="42">
        <v>2.2941587970460375</v>
      </c>
      <c r="CA87" s="42" t="s">
        <v>77</v>
      </c>
      <c r="CB87" s="42" t="s">
        <v>77</v>
      </c>
      <c r="CC87" s="42" t="s">
        <v>77</v>
      </c>
      <c r="CD87" s="41">
        <v>195.9729192070119</v>
      </c>
      <c r="CE87" s="42">
        <v>2.5504231540760101</v>
      </c>
      <c r="CF87" s="42">
        <v>-2.534919207012365E-2</v>
      </c>
      <c r="CG87" s="41">
        <v>196.09468566747191</v>
      </c>
      <c r="CH87" s="42">
        <v>2.5254475837494557</v>
      </c>
      <c r="CI87" s="42">
        <v>-1.0000668566747208</v>
      </c>
      <c r="CJ87" s="40"/>
      <c r="CK87" s="43">
        <f t="shared" ref="CK87" si="2211">IF(BO87="","",(BO87-BO$10)*1000)</f>
        <v>-3.4409248958411354</v>
      </c>
      <c r="CL87" s="43">
        <f t="shared" ref="CL87" si="2212">IF(BP87="","",(BP87-BP$10)*1000)</f>
        <v>9.9809838074471635</v>
      </c>
      <c r="CM87" s="43">
        <f t="shared" ref="CM87" si="2213">IF(BQ87="","",(BQ87-BQ$10)*1000)</f>
        <v>5.9344092489794775</v>
      </c>
      <c r="CN87" s="43">
        <f t="shared" ref="CN87" si="2214">IF(BR87="","",CN$59+(BR87-BR$59)*1000)</f>
        <v>-9.6184221999067177</v>
      </c>
      <c r="CO87" s="43">
        <f t="shared" ref="CO87" si="2215">IF(BS87="","",CO$59+(BS87-BS$59)*1000)</f>
        <v>7.231225813079778</v>
      </c>
      <c r="CP87" s="43">
        <f t="shared" ref="CP87" si="2216">IF(BT87="","",CP$59+(BT87-BT$59)*1000)</f>
        <v>-4.4028157780182928</v>
      </c>
      <c r="CQ87" s="43"/>
      <c r="CR87" s="43"/>
      <c r="CS87" s="43"/>
      <c r="CT87" s="43">
        <f t="shared" ref="CT87" si="2217">IF(BX87="","",CT$59+(BX87-BX$59)*1000)</f>
        <v>-15.041093941533745</v>
      </c>
      <c r="CU87" s="43">
        <f t="shared" ref="CU87" si="2218">IF(BY87="","",CU$59+(BY87-BY$59)*1000)</f>
        <v>-1.9709418749470908</v>
      </c>
      <c r="CV87" s="43">
        <f t="shared" ref="CV87" si="2219">IF(BZ87="","",CV$59+(BZ87-BZ$59)*1000)</f>
        <v>-78.73958906057598</v>
      </c>
      <c r="CW87" s="43"/>
      <c r="CX87" s="43"/>
      <c r="CY87" s="43"/>
      <c r="CZ87" s="43">
        <f t="shared" ref="CZ87" si="2220">IF(CD87="","",CZ$59+(CD87-CD$59)*1000)</f>
        <v>-4.5039920830731717</v>
      </c>
      <c r="DA87" s="43">
        <f t="shared" ref="DA87" si="2221">IF(CE87="","",DA$59+(CE87-CE$59)*1000)</f>
        <v>-20.744388764863508</v>
      </c>
      <c r="DB87" s="43">
        <f t="shared" ref="DB87" si="2222">IF(CF87="","",DB$59+(CF87-CF$59)*1000)</f>
        <v>0.55803992083324294</v>
      </c>
      <c r="DC87" s="43">
        <f t="shared" ref="DC87" si="2223">IF(CG87="","",(CG87-CG$10)*1000)</f>
        <v>-4.2293760396034941</v>
      </c>
      <c r="DD87" s="43">
        <f t="shared" ref="DD87" si="2224">IF(CH87="","",(CH87-CH$10)*1000)</f>
        <v>-25.474740117835903</v>
      </c>
      <c r="DE87" s="43">
        <f t="shared" ref="DE87" si="2225">IF(CI87="","",(CI87-CI$10)*1000)</f>
        <v>-10.15770623961032</v>
      </c>
    </row>
    <row r="88" spans="1:109" ht="29.25" customHeight="1" x14ac:dyDescent="0.2">
      <c r="A88" s="37">
        <v>44635</v>
      </c>
      <c r="B88" s="29">
        <f t="shared" ref="B88" si="2226">IF(A88="","",A88-excav)</f>
        <v>930</v>
      </c>
      <c r="C88" s="38">
        <v>222.9</v>
      </c>
      <c r="D88" s="38">
        <f t="shared" ref="D88" si="2227">IF(C88="","",+C88-$W$6)</f>
        <v>26.800000000000011</v>
      </c>
      <c r="E88" s="39">
        <v>823244.33219999995</v>
      </c>
      <c r="F88" s="39">
        <v>1091518.7727999999</v>
      </c>
      <c r="G88" s="39">
        <v>-124.5454</v>
      </c>
      <c r="H88" s="39">
        <v>823244.24159999995</v>
      </c>
      <c r="I88" s="39">
        <v>1091518.7642000001</v>
      </c>
      <c r="J88" s="39">
        <v>-123.616</v>
      </c>
      <c r="K88" s="39" t="e">
        <v>#N/A</v>
      </c>
      <c r="L88" s="39" t="e">
        <v>#N/A</v>
      </c>
      <c r="M88" s="39" t="e">
        <v>#N/A</v>
      </c>
      <c r="N88" s="39">
        <v>823245.50650000002</v>
      </c>
      <c r="O88" s="39">
        <v>1091516.0663999999</v>
      </c>
      <c r="P88" s="39">
        <v>-121.28789999999999</v>
      </c>
      <c r="Q88" s="39" t="e">
        <v>#N/A</v>
      </c>
      <c r="R88" s="39" t="e">
        <v>#N/A</v>
      </c>
      <c r="S88" s="39" t="e">
        <v>#N/A</v>
      </c>
      <c r="T88" s="39">
        <v>823246.36129999999</v>
      </c>
      <c r="U88" s="39">
        <v>1091514.1170000001</v>
      </c>
      <c r="V88" s="39">
        <v>-123.6082</v>
      </c>
      <c r="W88" s="39">
        <v>823246.4608</v>
      </c>
      <c r="X88" s="39">
        <v>1091514.1909</v>
      </c>
      <c r="Y88" s="39">
        <v>-124.5817</v>
      </c>
      <c r="Z88" s="39">
        <f t="shared" si="1908"/>
        <v>4.3948706124641621</v>
      </c>
      <c r="AA88" s="39">
        <f t="shared" si="1909"/>
        <v>3.7812889946736337</v>
      </c>
      <c r="AB88" s="39"/>
      <c r="AC88" s="39"/>
      <c r="AD88" s="39">
        <f t="shared" si="1980"/>
        <v>3.1487514174995441</v>
      </c>
      <c r="AE88" s="39">
        <f t="shared" si="1981"/>
        <v>3.9086196002427442</v>
      </c>
      <c r="AF88" s="39"/>
      <c r="AG88" s="39">
        <f t="shared" si="1982"/>
        <v>5.1078035171910185</v>
      </c>
      <c r="AH88" s="39">
        <f t="shared" si="1913"/>
        <v>5.0523324572988138</v>
      </c>
      <c r="AI88" s="43">
        <f t="shared" ref="AI88" si="2228">IF(Z88="","",AI$59+(Z88-Z$59)*1000)</f>
        <v>-77.117388311803467</v>
      </c>
      <c r="AJ88" s="43">
        <f t="shared" ref="AJ88" si="2229">IF(AA88="","",AJ$59+(AA88-AA$59)*1000)</f>
        <v>-55.642276041300235</v>
      </c>
      <c r="AK88" s="43"/>
      <c r="AL88" s="43"/>
      <c r="AM88" s="43">
        <f t="shared" ref="AM88" si="2230">IF(AD88="","",AM$59+(AD88-AD$59)*1000)</f>
        <v>-67.384359246922102</v>
      </c>
      <c r="AN88" s="43">
        <f t="shared" ref="AN88" si="2231">IF(AE88="","",AN$59+(AE88-AE$59)*1000)</f>
        <v>-69.060562405934164</v>
      </c>
      <c r="AO88" s="43"/>
      <c r="AP88" s="43">
        <f t="shared" ref="AP88" si="2232">IF(AG88="","",AP$59+(AG88-AG$59)*1000)</f>
        <v>-28.703339784422965</v>
      </c>
      <c r="AQ88" s="43">
        <f t="shared" ref="AQ88" si="2233">IF(AH88="","",AQ$59+(AH88-AH$59)*1000)</f>
        <v>-35.834754149456138</v>
      </c>
      <c r="AR88" s="40"/>
      <c r="AS88" s="43">
        <f t="shared" ref="AS88" si="2234">IF(E88="","",(E88-E$10)*1000)</f>
        <v>1.7999999690800905</v>
      </c>
      <c r="AT88" s="43">
        <f t="shared" ref="AT88" si="2235">IF(F88="","",(F88-F$10)*1000)</f>
        <v>-11.700000148266554</v>
      </c>
      <c r="AU88" s="43">
        <f t="shared" ref="AU88" si="2236">IF(G88="","",(G88-G$10)*1000)</f>
        <v>6.100000000003547</v>
      </c>
      <c r="AV88" s="43">
        <f t="shared" ref="AV88" si="2237">IF(H88="","",AV$59+(H88-H$59)*1000)</f>
        <v>-5.2000000141561031</v>
      </c>
      <c r="AW88" s="43">
        <f t="shared" ref="AW88" si="2238">IF(I88="","",AW$59+(I88-I$59)*1000)</f>
        <v>-11.899999808520079</v>
      </c>
      <c r="AX88" s="43">
        <f t="shared" ref="AX88" si="2239">IF(J88="","",AX$59+(J88-J$59)*1000)</f>
        <v>-4.3000000000006366</v>
      </c>
      <c r="AY88" s="43"/>
      <c r="AZ88" s="43"/>
      <c r="BA88" s="43"/>
      <c r="BB88" s="43">
        <f t="shared" ref="BB88" si="2240">IF(N88="","",BB$59+(N88-N$59)*1000)</f>
        <v>-14.100000029429793</v>
      </c>
      <c r="BC88" s="43">
        <f t="shared" ref="BC88" si="2241">IF(O88="","",BC$59+(O88-O$59)*1000)</f>
        <v>-6.1000001151114702</v>
      </c>
      <c r="BD88" s="43">
        <f t="shared" ref="BD88" si="2242">IF(P88="","",BD$59+(P88-P$59)*1000)</f>
        <v>-78.299999999984493</v>
      </c>
      <c r="BE88" s="43"/>
      <c r="BF88" s="43"/>
      <c r="BG88" s="43"/>
      <c r="BH88" s="43">
        <f t="shared" ref="BH88" si="2243">IF(T88="","",BH$59+(T88-T$59)*1000)</f>
        <v>-12.800000142306089</v>
      </c>
      <c r="BI88" s="43">
        <f t="shared" ref="BI88" si="2244">IF(U88="","",BI$59+(U88-U$59)*1000)</f>
        <v>16.00000006146729</v>
      </c>
      <c r="BJ88" s="43">
        <f t="shared" ref="BJ88" si="2245">IF(V88="","",BJ$59+(V88-V$59)*1000)</f>
        <v>0.80000000001234639</v>
      </c>
      <c r="BK88" s="43">
        <f t="shared" ref="BK88" si="2246">IF(W88="","",(W88-W$10)*1000)</f>
        <v>-14.800000004470348</v>
      </c>
      <c r="BL88" s="43">
        <f t="shared" ref="BL88" si="2247">IF(X88="","",(X88-X$10)*1000)</f>
        <v>20.200000144541264</v>
      </c>
      <c r="BM88" s="43">
        <f t="shared" ref="BM88" si="2248">IF(Y88="","",(Y88-Y$10)*1000)</f>
        <v>-9.9000000000017963</v>
      </c>
      <c r="BN88" s="40"/>
      <c r="BO88" s="39">
        <v>196.10145548094513</v>
      </c>
      <c r="BP88" s="39">
        <v>-2.5258366340308278</v>
      </c>
      <c r="BQ88" s="39">
        <v>-0.96353455480945627</v>
      </c>
      <c r="BR88" s="39">
        <v>196.01571061408177</v>
      </c>
      <c r="BS88" s="39">
        <v>-2.5563347946779702</v>
      </c>
      <c r="BT88" s="39">
        <v>-3.3277106140815249E-2</v>
      </c>
      <c r="BU88" s="42" t="s">
        <v>77</v>
      </c>
      <c r="BV88" s="42" t="s">
        <v>77</v>
      </c>
      <c r="BW88" s="42" t="s">
        <v>77</v>
      </c>
      <c r="BX88" s="41">
        <v>196.02184883421273</v>
      </c>
      <c r="BY88" s="42">
        <v>0.42327242331124965</v>
      </c>
      <c r="BZ88" s="42">
        <v>2.2947615116578817</v>
      </c>
      <c r="CA88" s="42" t="s">
        <v>77</v>
      </c>
      <c r="CB88" s="42" t="s">
        <v>77</v>
      </c>
      <c r="CC88" s="42" t="s">
        <v>77</v>
      </c>
      <c r="CD88" s="41">
        <v>195.972629449415</v>
      </c>
      <c r="CE88" s="42">
        <v>2.5512810819791314</v>
      </c>
      <c r="CF88" s="42">
        <v>-2.5046294494146082E-2</v>
      </c>
      <c r="CG88" s="41">
        <v>196.09403949184488</v>
      </c>
      <c r="CH88" s="42">
        <v>2.5263599745920469</v>
      </c>
      <c r="CI88" s="42">
        <v>-0.9997603949184537</v>
      </c>
      <c r="CJ88" s="40"/>
      <c r="CK88" s="43">
        <f t="shared" ref="CK88" si="2249">IF(BO88="","",(BO88-BO$10)*1000)</f>
        <v>-3.3137029202521262</v>
      </c>
      <c r="CL88" s="43">
        <f t="shared" ref="CL88" si="2250">IF(BP88="","",(BP88-BP$10)*1000)</f>
        <v>11.364390714597494</v>
      </c>
      <c r="CM88" s="43">
        <f t="shared" ref="CM88" si="2251">IF(BQ88="","",(BQ88-BQ$10)*1000)</f>
        <v>6.1331370292094789</v>
      </c>
      <c r="CN88" s="43">
        <f t="shared" ref="CN88" si="2252">IF(BR88="","",CN$59+(BR88-BR$59)*1000)</f>
        <v>-9.7147237719923396</v>
      </c>
      <c r="CO88" s="43">
        <f t="shared" ref="CO88" si="2253">IF(BS88="","",CO$59+(BS88-BS$59)*1000)</f>
        <v>8.6207313651733841</v>
      </c>
      <c r="CP88" s="43">
        <f t="shared" ref="CP88" si="2254">IF(BT88="","",CP$59+(BT88-BT$59)*1000)</f>
        <v>-4.2018527622893762</v>
      </c>
      <c r="CQ88" s="43"/>
      <c r="CR88" s="43"/>
      <c r="CS88" s="43"/>
      <c r="CT88" s="43">
        <f t="shared" ref="CT88" si="2255">IF(BX88="","",CT$59+(BX88-BX$59)*1000)</f>
        <v>-15.312555125319705</v>
      </c>
      <c r="CU88" s="43">
        <f t="shared" ref="CU88" si="2256">IF(BY88="","",CU$59+(BY88-BY$59)*1000)</f>
        <v>-0.44244297732978777</v>
      </c>
      <c r="CV88" s="43">
        <f t="shared" ref="CV88" si="2257">IF(BZ88="","",CV$59+(BZ88-BZ$59)*1000)</f>
        <v>-78.136874448731845</v>
      </c>
      <c r="CW88" s="43"/>
      <c r="CX88" s="43"/>
      <c r="CY88" s="43"/>
      <c r="CZ88" s="43">
        <f t="shared" ref="CZ88" si="2258">IF(CD88="","",CZ$59+(CD88-CD$59)*1000)</f>
        <v>-4.7937496799761448</v>
      </c>
      <c r="DA88" s="43">
        <f t="shared" ref="DA88" si="2259">IF(CE88="","",DA$59+(CE88-CE$59)*1000)</f>
        <v>-19.886460861742172</v>
      </c>
      <c r="DB88" s="43">
        <f t="shared" ref="DB88" si="2260">IF(CF88="","",DB$59+(CF88-CF$59)*1000)</f>
        <v>0.86093749681081033</v>
      </c>
      <c r="DC88" s="43">
        <f t="shared" ref="DC88" si="2261">IF(CG88="","",(CG88-CG$10)*1000)</f>
        <v>-4.8755516666290077</v>
      </c>
      <c r="DD88" s="43">
        <f t="shared" ref="DD88" si="2262">IF(CH88="","",(CH88-CH$10)*1000)</f>
        <v>-24.562349275244699</v>
      </c>
      <c r="DE88" s="43">
        <f t="shared" ref="DE88" si="2263">IF(CI88="","",(CI88-CI$10)*1000)</f>
        <v>-9.85124448334318</v>
      </c>
    </row>
    <row r="89" spans="1:109" ht="29.25" customHeight="1" x14ac:dyDescent="0.2">
      <c r="A89" s="37">
        <v>44648</v>
      </c>
      <c r="B89" s="29">
        <f t="shared" ref="B89" si="2264">IF(A89="","",A89-excav)</f>
        <v>943</v>
      </c>
      <c r="C89" s="38">
        <v>222.9</v>
      </c>
      <c r="D89" s="38">
        <f t="shared" ref="D89" si="2265">IF(C89="","",+C89-$W$6)</f>
        <v>26.800000000000011</v>
      </c>
      <c r="E89" s="39">
        <v>823244.33070000005</v>
      </c>
      <c r="F89" s="39">
        <v>1091518.7737</v>
      </c>
      <c r="G89" s="39">
        <v>-124.5455</v>
      </c>
      <c r="H89" s="39">
        <v>823244.2402</v>
      </c>
      <c r="I89" s="39">
        <v>1091518.7652</v>
      </c>
      <c r="J89" s="39">
        <v>-123.6165</v>
      </c>
      <c r="K89" s="39" t="e">
        <v>#N/A</v>
      </c>
      <c r="L89" s="39" t="e">
        <v>#N/A</v>
      </c>
      <c r="M89" s="39" t="e">
        <v>#N/A</v>
      </c>
      <c r="N89" s="39">
        <v>823245.50549999997</v>
      </c>
      <c r="O89" s="39">
        <v>1091516.0678000001</v>
      </c>
      <c r="P89" s="39">
        <v>-121.2885</v>
      </c>
      <c r="Q89" s="39" t="e">
        <v>#N/A</v>
      </c>
      <c r="R89" s="39" t="e">
        <v>#N/A</v>
      </c>
      <c r="S89" s="39" t="e">
        <v>#N/A</v>
      </c>
      <c r="T89" s="39">
        <v>823246.36060000001</v>
      </c>
      <c r="U89" s="39">
        <v>1091514.1181000001</v>
      </c>
      <c r="V89" s="39">
        <v>-123.6084</v>
      </c>
      <c r="W89" s="39">
        <v>823246.45959999994</v>
      </c>
      <c r="X89" s="39">
        <v>1091514.1921000001</v>
      </c>
      <c r="Y89" s="39">
        <v>-124.58199999999999</v>
      </c>
      <c r="Z89" s="39">
        <f t="shared" si="1908"/>
        <v>4.3943257559611038</v>
      </c>
      <c r="AA89" s="39">
        <f t="shared" si="1909"/>
        <v>3.7810758851991748</v>
      </c>
      <c r="AB89" s="39"/>
      <c r="AC89" s="39"/>
      <c r="AD89" s="39">
        <f t="shared" si="1980"/>
        <v>3.1487238859680384</v>
      </c>
      <c r="AE89" s="39">
        <f t="shared" si="1981"/>
        <v>3.9084139430024374</v>
      </c>
      <c r="AF89" s="39"/>
      <c r="AG89" s="39">
        <f t="shared" si="1982"/>
        <v>5.1080035414570739</v>
      </c>
      <c r="AH89" s="39">
        <f t="shared" si="1913"/>
        <v>5.0521882406334715</v>
      </c>
      <c r="AI89" s="43">
        <f t="shared" ref="AI89" si="2266">IF(Z89="","",AI$59+(Z89-Z$59)*1000)</f>
        <v>-77.662244814861822</v>
      </c>
      <c r="AJ89" s="43">
        <f t="shared" ref="AJ89" si="2267">IF(AA89="","",AJ$59+(AA89-AA$59)*1000)</f>
        <v>-55.855385515759082</v>
      </c>
      <c r="AK89" s="43"/>
      <c r="AL89" s="43"/>
      <c r="AM89" s="43">
        <f t="shared" ref="AM89" si="2268">IF(AD89="","",AM$59+(AD89-AD$59)*1000)</f>
        <v>-67.411890778427804</v>
      </c>
      <c r="AN89" s="43">
        <f t="shared" ref="AN89" si="2269">IF(AE89="","",AN$59+(AE89-AE$59)*1000)</f>
        <v>-69.266219646241026</v>
      </c>
      <c r="AO89" s="43"/>
      <c r="AP89" s="43">
        <f t="shared" ref="AP89" si="2270">IF(AG89="","",AP$59+(AG89-AG$59)*1000)</f>
        <v>-28.5033155183676</v>
      </c>
      <c r="AQ89" s="43">
        <f t="shared" ref="AQ89" si="2271">IF(AH89="","",AQ$59+(AH89-AH$59)*1000)</f>
        <v>-35.978970814798394</v>
      </c>
      <c r="AR89" s="40"/>
      <c r="AS89" s="43">
        <f t="shared" ref="AS89" si="2272">IF(E89="","",(E89-E$10)*1000)</f>
        <v>0.30000007245689631</v>
      </c>
      <c r="AT89" s="43">
        <f t="shared" ref="AT89" si="2273">IF(F89="","",(F89-F$10)*1000)</f>
        <v>-10.800000047311187</v>
      </c>
      <c r="AU89" s="43">
        <f t="shared" ref="AU89" si="2274">IF(G89="","",(G89-G$10)*1000)</f>
        <v>6.0000000000002274</v>
      </c>
      <c r="AV89" s="43">
        <f t="shared" ref="AV89" si="2275">IF(H89="","",AV$59+(H89-H$59)*1000)</f>
        <v>-6.5999999642372131</v>
      </c>
      <c r="AW89" s="43">
        <f t="shared" ref="AW89" si="2276">IF(I89="","",AW$59+(I89-I$59)*1000)</f>
        <v>-10.899999877437949</v>
      </c>
      <c r="AX89" s="43">
        <f t="shared" ref="AX89" si="2277">IF(J89="","",AX$59+(J89-J$59)*1000)</f>
        <v>-4.8000000000030241</v>
      </c>
      <c r="AY89" s="43"/>
      <c r="AZ89" s="43"/>
      <c r="BA89" s="43"/>
      <c r="BB89" s="43">
        <f t="shared" ref="BB89" si="2278">IF(N89="","",BB$59+(N89-N$59)*1000)</f>
        <v>-15.100000076927245</v>
      </c>
      <c r="BC89" s="43">
        <f t="shared" ref="BC89" si="2279">IF(O89="","",BC$59+(O89-O$59)*1000)</f>
        <v>-4.6999999321997166</v>
      </c>
      <c r="BD89" s="43">
        <f t="shared" ref="BD89" si="2280">IF(P89="","",BD$59+(P89-P$59)*1000)</f>
        <v>-78.8999999999902</v>
      </c>
      <c r="BE89" s="43"/>
      <c r="BF89" s="43"/>
      <c r="BG89" s="43"/>
      <c r="BH89" s="43">
        <f t="shared" ref="BH89" si="2281">IF(T89="","",BH$59+(T89-T$59)*1000)</f>
        <v>-13.500000117346644</v>
      </c>
      <c r="BI89" s="43">
        <f t="shared" ref="BI89" si="2282">IF(U89="","",BI$59+(U89-U$59)*1000)</f>
        <v>17.100000055506825</v>
      </c>
      <c r="BJ89" s="43">
        <f t="shared" ref="BJ89" si="2283">IF(V89="","",BJ$59+(V89-V$59)*1000)</f>
        <v>0.60000000000570708</v>
      </c>
      <c r="BK89" s="43">
        <f t="shared" ref="BK89" si="2284">IF(W89="","",(W89-W$10)*1000)</f>
        <v>-16.00000006146729</v>
      </c>
      <c r="BL89" s="43">
        <f t="shared" ref="BL89" si="2285">IF(X89="","",(X89-X$10)*1000)</f>
        <v>21.400000201538205</v>
      </c>
      <c r="BM89" s="43">
        <f t="shared" ref="BM89" si="2286">IF(Y89="","",(Y89-Y$10)*1000)</f>
        <v>-10.199999999997544</v>
      </c>
      <c r="BN89" s="40"/>
      <c r="BO89" s="39">
        <v>196.10047642981684</v>
      </c>
      <c r="BP89" s="39">
        <v>-2.5272862749379961</v>
      </c>
      <c r="BQ89" s="39">
        <v>-0.96362476429817434</v>
      </c>
      <c r="BR89" s="39">
        <v>196.01486445723916</v>
      </c>
      <c r="BS89" s="39">
        <v>-2.557832799457699</v>
      </c>
      <c r="BT89" s="39">
        <v>-3.3768644572390372E-2</v>
      </c>
      <c r="BU89" s="42" t="e">
        <v>#VALUE!</v>
      </c>
      <c r="BV89" s="42" t="s">
        <v>77</v>
      </c>
      <c r="BW89" s="42" t="s">
        <v>77</v>
      </c>
      <c r="BX89" s="41">
        <v>196.02153425501194</v>
      </c>
      <c r="BY89" s="42">
        <v>0.42158096224650909</v>
      </c>
      <c r="BZ89" s="42">
        <v>2.2941646574498833</v>
      </c>
      <c r="CA89" s="42" t="e">
        <v>#VALUE!</v>
      </c>
      <c r="CB89" s="42" t="s">
        <v>77</v>
      </c>
      <c r="CC89" s="42" t="s">
        <v>77</v>
      </c>
      <c r="CD89" s="41">
        <v>195.97245996221181</v>
      </c>
      <c r="CE89" s="42">
        <v>2.5499883043339402</v>
      </c>
      <c r="CF89" s="42">
        <v>-2.5244599622126884E-2</v>
      </c>
      <c r="CG89" s="41">
        <v>196.09345912377046</v>
      </c>
      <c r="CH89" s="42">
        <v>2.5247652416452389</v>
      </c>
      <c r="CI89" s="42">
        <v>-1.0000545912376992</v>
      </c>
      <c r="CJ89" s="40"/>
      <c r="CK89" s="43">
        <f t="shared" ref="CK89" si="2287">IF(BO89="","",(BO89-BO$10)*1000)</f>
        <v>-4.292754048549341</v>
      </c>
      <c r="CL89" s="43">
        <f t="shared" ref="CL89" si="2288">IF(BP89="","",(BP89-BP$10)*1000)</f>
        <v>9.9147498074292351</v>
      </c>
      <c r="CM89" s="43">
        <f t="shared" ref="CM89" si="2289">IF(BQ89="","",(BQ89-BQ$10)*1000)</f>
        <v>6.0429275404914051</v>
      </c>
      <c r="CN89" s="43">
        <f t="shared" ref="CN89" si="2290">IF(BR89="","",CN$59+(BR89-BR$59)*1000)</f>
        <v>-10.560880614605139</v>
      </c>
      <c r="CO89" s="43">
        <f t="shared" ref="CO89" si="2291">IF(BS89="","",CO$59+(BS89-BS$59)*1000)</f>
        <v>7.1227265854445498</v>
      </c>
      <c r="CP89" s="43">
        <f t="shared" ref="CP89" si="2292">IF(BT89="","",CP$59+(BT89-BT$59)*1000)</f>
        <v>-4.6933911938644988</v>
      </c>
      <c r="CQ89" s="43"/>
      <c r="CR89" s="43"/>
      <c r="CS89" s="43"/>
      <c r="CT89" s="43">
        <f t="shared" ref="CT89" si="2293">IF(BX89="","",CT$59+(BX89-BX$59)*1000)</f>
        <v>-15.627134326109626</v>
      </c>
      <c r="CU89" s="43">
        <f t="shared" ref="CU89" si="2294">IF(BY89="","",CU$59+(BY89-BY$59)*1000)</f>
        <v>-2.1339040420703395</v>
      </c>
      <c r="CV89" s="43">
        <f t="shared" ref="CV89" si="2295">IF(BZ89="","",CV$59+(BZ89-BZ$59)*1000)</f>
        <v>-78.733728656730221</v>
      </c>
      <c r="CW89" s="43"/>
      <c r="CX89" s="43"/>
      <c r="CY89" s="43"/>
      <c r="CZ89" s="43">
        <f t="shared" ref="CZ89" si="2296">IF(CD89="","",CZ$59+(CD89-CD$59)*1000)</f>
        <v>-4.9632368831566964</v>
      </c>
      <c r="DA89" s="43">
        <f t="shared" ref="DA89" si="2297">IF(CE89="","",DA$59+(CE89-CE$59)*1000)</f>
        <v>-21.179238506933373</v>
      </c>
      <c r="DB89" s="43">
        <f t="shared" ref="DB89" si="2298">IF(CF89="","",DB$59+(CF89-CF$59)*1000)</f>
        <v>0.6626323688300082</v>
      </c>
      <c r="DC89" s="43">
        <f t="shared" ref="DC89" si="2299">IF(CG89="","",(CG89-CG$10)*1000)</f>
        <v>-5.4559197410526394</v>
      </c>
      <c r="DD89" s="43">
        <f t="shared" ref="DD89" si="2300">IF(CH89="","",(CH89-CH$10)*1000)</f>
        <v>-26.157082222052708</v>
      </c>
      <c r="DE89" s="43">
        <f t="shared" ref="DE89" si="2301">IF(CI89="","",(CI89-CI$10)*1000)</f>
        <v>-10.145440802588723</v>
      </c>
    </row>
    <row r="90" spans="1:109" ht="29.25" customHeight="1" x14ac:dyDescent="0.2">
      <c r="A90" s="37">
        <v>44678</v>
      </c>
      <c r="B90" s="29">
        <f t="shared" ref="B90" si="2302">IF(A90="","",A90-excav)</f>
        <v>973</v>
      </c>
      <c r="C90" s="38">
        <v>222.9</v>
      </c>
      <c r="D90" s="38">
        <f t="shared" ref="D90" si="2303">IF(C90="","",+C90-$W$6)</f>
        <v>26.800000000000011</v>
      </c>
      <c r="E90" s="39">
        <v>823244.33109999995</v>
      </c>
      <c r="F90" s="39">
        <v>1091518.7738999999</v>
      </c>
      <c r="G90" s="39">
        <v>-124.54519999999999</v>
      </c>
      <c r="H90" s="39">
        <v>823244.24069999997</v>
      </c>
      <c r="I90" s="39">
        <v>1091518.7655</v>
      </c>
      <c r="J90" s="39">
        <v>-123.61579999999999</v>
      </c>
      <c r="K90" s="39" t="e">
        <v>#N/A</v>
      </c>
      <c r="L90" s="39" t="e">
        <v>#N/A</v>
      </c>
      <c r="M90" s="39" t="e">
        <v>#N/A</v>
      </c>
      <c r="N90" s="39">
        <v>823245.50560000003</v>
      </c>
      <c r="O90" s="39">
        <v>1091516.0678999999</v>
      </c>
      <c r="P90" s="39">
        <v>-121.2882</v>
      </c>
      <c r="Q90" s="39" t="e">
        <v>#N/A</v>
      </c>
      <c r="R90" s="39" t="e">
        <v>#N/A</v>
      </c>
      <c r="S90" s="39" t="e">
        <v>#N/A</v>
      </c>
      <c r="T90" s="39">
        <v>823246.36040000001</v>
      </c>
      <c r="U90" s="39">
        <v>1091514.1181999999</v>
      </c>
      <c r="V90" s="39">
        <v>-123.6079</v>
      </c>
      <c r="W90" s="39">
        <v>823246.45970000001</v>
      </c>
      <c r="X90" s="39">
        <v>1091514.192</v>
      </c>
      <c r="Y90" s="39">
        <v>-124.58150000000001</v>
      </c>
      <c r="Z90" s="39">
        <f t="shared" si="1908"/>
        <v>4.3943071410884009</v>
      </c>
      <c r="AA90" s="39">
        <f t="shared" si="1909"/>
        <v>3.7808384692499684</v>
      </c>
      <c r="AB90" s="39"/>
      <c r="AC90" s="39"/>
      <c r="AD90" s="39">
        <f t="shared" si="1980"/>
        <v>3.1484950722435214</v>
      </c>
      <c r="AE90" s="39">
        <f t="shared" si="1981"/>
        <v>3.9083414013433848</v>
      </c>
      <c r="AF90" s="39"/>
      <c r="AG90" s="39">
        <f t="shared" si="1982"/>
        <v>5.1078946534569507</v>
      </c>
      <c r="AH90" s="39">
        <f t="shared" si="1913"/>
        <v>5.0523324572988138</v>
      </c>
      <c r="AI90" s="43">
        <f t="shared" ref="AI90" si="2304">IF(Z90="","",AI$59+(Z90-Z$59)*1000)</f>
        <v>-77.680859687564663</v>
      </c>
      <c r="AJ90" s="43">
        <f t="shared" ref="AJ90" si="2305">IF(AA90="","",AJ$59+(AA90-AA$59)*1000)</f>
        <v>-56.09280146496554</v>
      </c>
      <c r="AK90" s="43"/>
      <c r="AL90" s="43"/>
      <c r="AM90" s="43">
        <f t="shared" ref="AM90" si="2306">IF(AD90="","",AM$59+(AD90-AD$59)*1000)</f>
        <v>-67.6407045029448</v>
      </c>
      <c r="AN90" s="43">
        <f t="shared" ref="AN90" si="2307">IF(AE90="","",AN$59+(AE90-AE$59)*1000)</f>
        <v>-69.338761305293588</v>
      </c>
      <c r="AO90" s="43"/>
      <c r="AP90" s="43">
        <f t="shared" ref="AP90" si="2308">IF(AG90="","",AP$59+(AG90-AG$59)*1000)</f>
        <v>-28.612203518490809</v>
      </c>
      <c r="AQ90" s="43">
        <f t="shared" ref="AQ90" si="2309">IF(AH90="","",AQ$59+(AH90-AH$59)*1000)</f>
        <v>-35.834754149456138</v>
      </c>
      <c r="AR90" s="40"/>
      <c r="AS90" s="43">
        <f t="shared" ref="AS90" si="2310">IF(E90="","",(E90-E$10)*1000)</f>
        <v>0.699999975040555</v>
      </c>
      <c r="AT90" s="43">
        <f t="shared" ref="AT90" si="2311">IF(F90="","",(F90-F$10)*1000)</f>
        <v>-10.600000154227018</v>
      </c>
      <c r="AU90" s="43">
        <f t="shared" ref="AU90" si="2312">IF(G90="","",(G90-G$10)*1000)</f>
        <v>6.3000000000101863</v>
      </c>
      <c r="AV90" s="43">
        <f t="shared" ref="AV90" si="2313">IF(H90="","",AV$59+(H90-H$59)*1000)</f>
        <v>-6.0999999986961484</v>
      </c>
      <c r="AW90" s="43">
        <f t="shared" ref="AW90" si="2314">IF(I90="","",AW$59+(I90-I$59)*1000)</f>
        <v>-10.599999921396375</v>
      </c>
      <c r="AX90" s="43">
        <f t="shared" ref="AX90" si="2315">IF(J90="","",AX$59+(J90-J$59)*1000)</f>
        <v>-4.0999999999939973</v>
      </c>
      <c r="AY90" s="43"/>
      <c r="AZ90" s="43"/>
      <c r="BA90" s="43"/>
      <c r="BB90" s="43">
        <f t="shared" ref="BB90" si="2316">IF(N90="","",BB$59+(N90-N$59)*1000)</f>
        <v>-15.000000013969839</v>
      </c>
      <c r="BC90" s="43">
        <f t="shared" ref="BC90" si="2317">IF(O90="","",BC$59+(O90-O$59)*1000)</f>
        <v>-4.6000001020729542</v>
      </c>
      <c r="BD90" s="43">
        <f t="shared" ref="BD90" si="2318">IF(P90="","",BD$59+(P90-P$59)*1000)</f>
        <v>-78.599999999994452</v>
      </c>
      <c r="BE90" s="43"/>
      <c r="BF90" s="43"/>
      <c r="BG90" s="43"/>
      <c r="BH90" s="43">
        <f t="shared" ref="BH90" si="2319">IF(T90="","",BH$59+(T90-T$59)*1000)</f>
        <v>-13.700000126846135</v>
      </c>
      <c r="BI90" s="43">
        <f t="shared" ref="BI90" si="2320">IF(U90="","",BI$59+(U90-U$59)*1000)</f>
        <v>17.199999885633588</v>
      </c>
      <c r="BJ90" s="43">
        <f t="shared" ref="BJ90" si="2321">IF(V90="","",BJ$59+(V90-V$59)*1000)</f>
        <v>1.1000000000080945</v>
      </c>
      <c r="BK90" s="43">
        <f t="shared" ref="BK90" si="2322">IF(W90="","",(W90-W$10)*1000)</f>
        <v>-15.899999998509884</v>
      </c>
      <c r="BL90" s="43">
        <f t="shared" ref="BL90" si="2323">IF(X90="","",(X90-X$10)*1000)</f>
        <v>21.300000138580799</v>
      </c>
      <c r="BM90" s="43">
        <f t="shared" ref="BM90" si="2324">IF(Y90="","",(Y90-Y$10)*1000)</f>
        <v>-9.7000000000093678</v>
      </c>
      <c r="BN90" s="40"/>
      <c r="BO90" s="39">
        <v>196.10092347690505</v>
      </c>
      <c r="BP90" s="39">
        <v>-2.5272984724880891</v>
      </c>
      <c r="BQ90" s="39">
        <v>-0.96332923476904853</v>
      </c>
      <c r="BR90" s="39">
        <v>196.01544439881695</v>
      </c>
      <c r="BS90" s="39">
        <v>-2.5578933610421322</v>
      </c>
      <c r="BT90" s="39">
        <v>-3.3074443988169833E-2</v>
      </c>
      <c r="BU90" s="42" t="e">
        <v>#VALUE!</v>
      </c>
      <c r="BV90" s="42" t="s">
        <v>77</v>
      </c>
      <c r="BW90" s="42" t="s">
        <v>77</v>
      </c>
      <c r="BX90" s="41">
        <v>196.02166714940313</v>
      </c>
      <c r="BY90" s="42">
        <v>0.42153259842316093</v>
      </c>
      <c r="BZ90" s="42">
        <v>2.2944633285059552</v>
      </c>
      <c r="CA90" s="42" t="e">
        <v>#VALUE!</v>
      </c>
      <c r="CB90" s="42" t="s">
        <v>77</v>
      </c>
      <c r="CC90" s="42" t="s">
        <v>77</v>
      </c>
      <c r="CD90" s="41">
        <v>195.97232096892259</v>
      </c>
      <c r="CE90" s="42">
        <v>2.5498131448769765</v>
      </c>
      <c r="CF90" s="42">
        <v>-2.4743209689233936E-2</v>
      </c>
      <c r="CG90" s="41">
        <v>196.0935074878048</v>
      </c>
      <c r="CH90" s="42">
        <v>2.5248981361348051</v>
      </c>
      <c r="CI90" s="42">
        <v>-0.99955507487806017</v>
      </c>
      <c r="CJ90" s="40"/>
      <c r="CK90" s="43">
        <f t="shared" ref="CK90" si="2325">IF(BO90="","",(BO90-BO$10)*1000)</f>
        <v>-3.8457069603339278</v>
      </c>
      <c r="CL90" s="43">
        <f t="shared" ref="CL90" si="2326">IF(BP90="","",(BP90-BP$10)*1000)</f>
        <v>9.9025522573361613</v>
      </c>
      <c r="CM90" s="43">
        <f t="shared" ref="CM90" si="2327">IF(BQ90="","",(BQ90-BQ$10)*1000)</f>
        <v>6.3384570696172204</v>
      </c>
      <c r="CN90" s="43">
        <f t="shared" ref="CN90" si="2328">IF(BR90="","",CN$59+(BR90-BR$59)*1000)</f>
        <v>-9.9809390368079676</v>
      </c>
      <c r="CO90" s="43">
        <f t="shared" ref="CO90" si="2329">IF(BS90="","",CO$59+(BS90-BS$59)*1000)</f>
        <v>7.0621650010114223</v>
      </c>
      <c r="CP90" s="43">
        <f t="shared" ref="CP90" si="2330">IF(BT90="","",CP$59+(BT90-BT$59)*1000)</f>
        <v>-3.9991906096439598</v>
      </c>
      <c r="CQ90" s="43"/>
      <c r="CR90" s="43"/>
      <c r="CS90" s="43"/>
      <c r="CT90" s="43">
        <f t="shared" ref="CT90" si="2331">IF(BX90="","",CT$59+(BX90-BX$59)*1000)</f>
        <v>-15.494239934923826</v>
      </c>
      <c r="CU90" s="43">
        <f t="shared" ref="CU90" si="2332">IF(BY90="","",CU$59+(BY90-BY$59)*1000)</f>
        <v>-2.1822678654185026</v>
      </c>
      <c r="CV90" s="43">
        <f t="shared" ref="CV90" si="2333">IF(BZ90="","",CV$59+(BZ90-BZ$59)*1000)</f>
        <v>-78.435057600658268</v>
      </c>
      <c r="CW90" s="43"/>
      <c r="CX90" s="43"/>
      <c r="CY90" s="43"/>
      <c r="CZ90" s="43">
        <f t="shared" ref="CZ90" si="2334">IF(CD90="","",CZ$59+(CD90-CD$59)*1000)</f>
        <v>-5.1022301723833152</v>
      </c>
      <c r="DA90" s="43">
        <f t="shared" ref="DA90" si="2335">IF(CE90="","",DA$59+(CE90-CE$59)*1000)</f>
        <v>-21.354397963897043</v>
      </c>
      <c r="DB90" s="43">
        <f t="shared" ref="DB90" si="2336">IF(CF90="","",DB$59+(CF90-CF$59)*1000)</f>
        <v>1.1640223017229563</v>
      </c>
      <c r="DC90" s="43">
        <f t="shared" ref="DC90" si="2337">IF(CG90="","",(CG90-CG$10)*1000)</f>
        <v>-5.4075557067108093</v>
      </c>
      <c r="DD90" s="43">
        <f t="shared" ref="DD90" si="2338">IF(CH90="","",(CH90-CH$10)*1000)</f>
        <v>-26.024187732486492</v>
      </c>
      <c r="DE90" s="43">
        <f t="shared" ref="DE90" si="2339">IF(CI90="","",(CI90-CI$10)*1000)</f>
        <v>-9.6459244429496493</v>
      </c>
    </row>
    <row r="91" spans="1:109" ht="29.25" customHeight="1" x14ac:dyDescent="0.2">
      <c r="A91" s="37">
        <v>44711</v>
      </c>
      <c r="B91" s="29">
        <f t="shared" ref="B91" si="2340">IF(A91="","",A91-excav)</f>
        <v>1006</v>
      </c>
      <c r="C91" s="38">
        <v>222.9</v>
      </c>
      <c r="D91" s="38">
        <f t="shared" ref="D91" si="2341">IF(C91="","",+C91-$W$6)</f>
        <v>26.800000000000011</v>
      </c>
      <c r="E91" s="39">
        <v>823244.33239999996</v>
      </c>
      <c r="F91" s="39">
        <v>1091518.7744</v>
      </c>
      <c r="G91" s="39">
        <v>-124.5453</v>
      </c>
      <c r="H91" s="39">
        <v>823244.24159999995</v>
      </c>
      <c r="I91" s="39">
        <v>1091518.7656</v>
      </c>
      <c r="J91" s="39">
        <v>-123.61620000000001</v>
      </c>
      <c r="K91" s="39" t="e">
        <v>#N/A</v>
      </c>
      <c r="L91" s="39" t="e">
        <v>#N/A</v>
      </c>
      <c r="M91" s="39" t="e">
        <v>#N/A</v>
      </c>
      <c r="N91" s="39">
        <v>823245.50820000004</v>
      </c>
      <c r="O91" s="39">
        <v>1091516.0660999999</v>
      </c>
      <c r="P91" s="39">
        <v>-121.28870000000001</v>
      </c>
      <c r="Q91" s="39" t="e">
        <v>#N/A</v>
      </c>
      <c r="R91" s="39" t="e">
        <v>#N/A</v>
      </c>
      <c r="S91" s="39" t="e">
        <v>#N/A</v>
      </c>
      <c r="T91" s="39">
        <v>823246.36199999996</v>
      </c>
      <c r="U91" s="39">
        <v>1091514.1181999999</v>
      </c>
      <c r="V91" s="39">
        <v>-123.6084</v>
      </c>
      <c r="W91" s="39">
        <v>823246.46109999996</v>
      </c>
      <c r="X91" s="39">
        <v>1091514.1921000001</v>
      </c>
      <c r="Y91" s="39">
        <v>-124.5817</v>
      </c>
      <c r="Z91" s="39">
        <f t="shared" si="1908"/>
        <v>4.3957750272853504</v>
      </c>
      <c r="AA91" s="39">
        <f t="shared" si="1909"/>
        <v>3.7827016880519491</v>
      </c>
      <c r="AB91" s="39"/>
      <c r="AC91" s="39"/>
      <c r="AD91" s="39">
        <f t="shared" si="1980"/>
        <v>3.1471092990204759</v>
      </c>
      <c r="AE91" s="39">
        <f t="shared" si="1981"/>
        <v>3.9068841049136038</v>
      </c>
      <c r="AF91" s="39"/>
      <c r="AG91" s="39">
        <f t="shared" si="1982"/>
        <v>5.108276006765248</v>
      </c>
      <c r="AH91" s="39">
        <f t="shared" si="1913"/>
        <v>5.0527380635672685</v>
      </c>
      <c r="AI91" s="43">
        <f t="shared" ref="AI91" si="2342">IF(Z91="","",AI$59+(Z91-Z$59)*1000)</f>
        <v>-76.21297349061517</v>
      </c>
      <c r="AJ91" s="43">
        <f t="shared" ref="AJ91" si="2343">IF(AA91="","",AJ$59+(AA91-AA$59)*1000)</f>
        <v>-54.229582662984839</v>
      </c>
      <c r="AK91" s="43"/>
      <c r="AL91" s="43"/>
      <c r="AM91" s="43">
        <f t="shared" ref="AM91" si="2344">IF(AD91="","",AM$59+(AD91-AD$59)*1000)</f>
        <v>-69.026477725990361</v>
      </c>
      <c r="AN91" s="43">
        <f t="shared" ref="AN91" si="2345">IF(AE91="","",AN$59+(AE91-AE$59)*1000)</f>
        <v>-70.796057735074584</v>
      </c>
      <c r="AO91" s="43"/>
      <c r="AP91" s="43">
        <f t="shared" ref="AP91" si="2346">IF(AG91="","",AP$59+(AG91-AG$59)*1000)</f>
        <v>-28.230850210193559</v>
      </c>
      <c r="AQ91" s="43">
        <f t="shared" ref="AQ91" si="2347">IF(AH91="","",AQ$59+(AH91-AH$59)*1000)</f>
        <v>-35.429147881001377</v>
      </c>
      <c r="AR91" s="40"/>
      <c r="AS91" s="43">
        <f t="shared" ref="AS91" si="2348">IF(E91="","",(E91-E$10)*1000)</f>
        <v>1.9999999785795808</v>
      </c>
      <c r="AT91" s="43">
        <f t="shared" ref="AT91" si="2349">IF(F91="","",(F91-F$10)*1000)</f>
        <v>-10.100000072270632</v>
      </c>
      <c r="AU91" s="43">
        <f t="shared" ref="AU91" si="2350">IF(G91="","",(G91-G$10)*1000)</f>
        <v>6.2000000000068667</v>
      </c>
      <c r="AV91" s="43">
        <f t="shared" ref="AV91" si="2351">IF(H91="","",AV$59+(H91-H$59)*1000)</f>
        <v>-5.2000000141561031</v>
      </c>
      <c r="AW91" s="43">
        <f t="shared" ref="AW91" si="2352">IF(I91="","",AW$59+(I91-I$59)*1000)</f>
        <v>-10.499999858438969</v>
      </c>
      <c r="AX91" s="43">
        <f t="shared" ref="AX91" si="2353">IF(J91="","",AX$59+(J91-J$59)*1000)</f>
        <v>-4.500000000007276</v>
      </c>
      <c r="AY91" s="43"/>
      <c r="AZ91" s="43"/>
      <c r="BA91" s="43"/>
      <c r="BB91" s="43">
        <f t="shared" ref="BB91" si="2354">IF(N91="","",BB$59+(N91-N$59)*1000)</f>
        <v>-12.400000006891787</v>
      </c>
      <c r="BC91" s="43">
        <f t="shared" ref="BC91" si="2355">IF(O91="","",BC$59+(O91-O$59)*1000)</f>
        <v>-6.4000000711530447</v>
      </c>
      <c r="BD91" s="43">
        <f t="shared" ref="BD91" si="2356">IF(P91="","",BD$59+(P91-P$59)*1000)</f>
        <v>-79.09999999999684</v>
      </c>
      <c r="BE91" s="43"/>
      <c r="BF91" s="43"/>
      <c r="BG91" s="43"/>
      <c r="BH91" s="43">
        <f t="shared" ref="BH91" si="2357">IF(T91="","",BH$59+(T91-T$59)*1000)</f>
        <v>-12.100000167265534</v>
      </c>
      <c r="BI91" s="43">
        <f t="shared" ref="BI91" si="2358">IF(U91="","",BI$59+(U91-U$59)*1000)</f>
        <v>17.199999885633588</v>
      </c>
      <c r="BJ91" s="43">
        <f t="shared" ref="BJ91" si="2359">IF(V91="","",BJ$59+(V91-V$59)*1000)</f>
        <v>0.60000000000570708</v>
      </c>
      <c r="BK91" s="43">
        <f t="shared" ref="BK91" si="2360">IF(W91="","",(W91-W$10)*1000)</f>
        <v>-14.500000048428774</v>
      </c>
      <c r="BL91" s="43">
        <f t="shared" ref="BL91" si="2361">IF(X91="","",(X91-X$10)*1000)</f>
        <v>21.400000201538205</v>
      </c>
      <c r="BM91" s="43">
        <f t="shared" ref="BM91" si="2362">IF(Y91="","",(Y91-Y$10)*1000)</f>
        <v>-9.9000000000017963</v>
      </c>
      <c r="BN91" s="40"/>
      <c r="BO91" s="39">
        <v>196.10231298261183</v>
      </c>
      <c r="BP91" s="39">
        <v>-2.527202170972318</v>
      </c>
      <c r="BQ91" s="39">
        <v>-0.96344312982611768</v>
      </c>
      <c r="BR91" s="39">
        <v>196.01630232687481</v>
      </c>
      <c r="BS91" s="39">
        <v>-2.5576036035015739</v>
      </c>
      <c r="BT91" s="39">
        <v>-3.3483023268757961E-2</v>
      </c>
      <c r="BU91" s="42" t="e">
        <v>#VALUE!</v>
      </c>
      <c r="BV91" s="42" t="s">
        <v>77</v>
      </c>
      <c r="BW91" s="42" t="s">
        <v>77</v>
      </c>
      <c r="BX91" s="41">
        <v>196.02262735132001</v>
      </c>
      <c r="BY91" s="42">
        <v>0.42426281931285437</v>
      </c>
      <c r="BZ91" s="42">
        <v>2.2939473726486739</v>
      </c>
      <c r="CA91" s="42" t="e">
        <v>#VALUE!</v>
      </c>
      <c r="CB91" s="42" t="s">
        <v>77</v>
      </c>
      <c r="CC91" s="42" t="s">
        <v>77</v>
      </c>
      <c r="CD91" s="41">
        <v>195.97377103616461</v>
      </c>
      <c r="CE91" s="42">
        <v>2.5504893880760302</v>
      </c>
      <c r="CF91" s="42">
        <v>-2.5257710361657359E-2</v>
      </c>
      <c r="CG91" s="41">
        <v>196.09481856185602</v>
      </c>
      <c r="CH91" s="42">
        <v>2.5253992196658701</v>
      </c>
      <c r="CI91" s="42">
        <v>-0.99976818561856362</v>
      </c>
      <c r="CJ91" s="40"/>
      <c r="CK91" s="43">
        <f t="shared" ref="CK91" si="2363">IF(BO91="","",(BO91-BO$10)*1000)</f>
        <v>-2.4562012535511712</v>
      </c>
      <c r="CL91" s="43">
        <f t="shared" ref="CL91" si="2364">IF(BP91="","",(BP91-BP$10)*1000)</f>
        <v>9.9988537731072746</v>
      </c>
      <c r="CM91" s="43">
        <f t="shared" ref="CM91" si="2365">IF(BQ91="","",(BQ91-BQ$10)*1000)</f>
        <v>6.2245620125480627</v>
      </c>
      <c r="CN91" s="43">
        <f t="shared" ref="CN91" si="2366">IF(BR91="","",CN$59+(BR91-BR$59)*1000)</f>
        <v>-9.1230109789535163</v>
      </c>
      <c r="CO91" s="43">
        <f t="shared" ref="CO91" si="2367">IF(BS91="","",CO$59+(BS91-BS$59)*1000)</f>
        <v>7.3519225415696887</v>
      </c>
      <c r="CP91" s="43">
        <f t="shared" ref="CP91" si="2368">IF(BT91="","",CP$59+(BT91-BT$59)*1000)</f>
        <v>-4.4077698902320881</v>
      </c>
      <c r="CQ91" s="43"/>
      <c r="CR91" s="43"/>
      <c r="CS91" s="43"/>
      <c r="CT91" s="43">
        <f t="shared" ref="CT91" si="2369">IF(BX91="","",CT$59+(BX91-BX$59)*1000)</f>
        <v>-14.534038018041429</v>
      </c>
      <c r="CU91" s="43">
        <f t="shared" ref="CU91" si="2370">IF(BY91="","",CU$59+(BY91-BY$59)*1000)</f>
        <v>0.54795302427493309</v>
      </c>
      <c r="CV91" s="43">
        <f t="shared" ref="CV91" si="2371">IF(BZ91="","",CV$59+(BZ91-BZ$59)*1000)</f>
        <v>-78.951013457939638</v>
      </c>
      <c r="CW91" s="43"/>
      <c r="CX91" s="43"/>
      <c r="CY91" s="43"/>
      <c r="CZ91" s="43">
        <f t="shared" ref="CZ91" si="2372">IF(CD91="","",CZ$59+(CD91-CD$59)*1000)</f>
        <v>-3.6521629303649661</v>
      </c>
      <c r="DA91" s="43">
        <f t="shared" ref="DA91" si="2373">IF(CE91="","",DA$59+(CE91-CE$59)*1000)</f>
        <v>-20.678154764843359</v>
      </c>
      <c r="DB91" s="43">
        <f t="shared" ref="DB91" si="2374">IF(CF91="","",DB$59+(CF91-CF$59)*1000)</f>
        <v>0.64952162929953294</v>
      </c>
      <c r="DC91" s="43">
        <f t="shared" ref="DC91" si="2375">IF(CG91="","",(CG91-CG$10)*1000)</f>
        <v>-4.0964816554946992</v>
      </c>
      <c r="DD91" s="43">
        <f t="shared" ref="DD91" si="2376">IF(CH91="","",(CH91-CH$10)*1000)</f>
        <v>-25.523104201421454</v>
      </c>
      <c r="DE91" s="43">
        <f t="shared" ref="DE91" si="2377">IF(CI91="","",(CI91-CI$10)*1000)</f>
        <v>-9.859035183453102</v>
      </c>
    </row>
    <row r="92" spans="1:109" ht="29.25" customHeight="1" x14ac:dyDescent="0.2">
      <c r="A92" s="37">
        <v>44740</v>
      </c>
      <c r="B92" s="29">
        <f t="shared" ref="B92" si="2378">IF(A92="","",A92-excav)</f>
        <v>1035</v>
      </c>
      <c r="C92" s="38">
        <v>222.9</v>
      </c>
      <c r="D92" s="38">
        <f t="shared" ref="D92" si="2379">IF(C92="","",+C92-$W$6)</f>
        <v>26.800000000000011</v>
      </c>
      <c r="E92" s="39">
        <v>823244.33270000003</v>
      </c>
      <c r="F92" s="39">
        <v>1091518.7738999999</v>
      </c>
      <c r="G92" s="39">
        <v>-124.54519999999999</v>
      </c>
      <c r="H92" s="39">
        <v>823244.24140000006</v>
      </c>
      <c r="I92" s="39">
        <v>1091518.7649000001</v>
      </c>
      <c r="J92" s="39">
        <v>-123.6161</v>
      </c>
      <c r="K92" s="39" t="e">
        <v>#N/A</v>
      </c>
      <c r="L92" s="39" t="e">
        <v>#N/A</v>
      </c>
      <c r="M92" s="39" t="e">
        <v>#N/A</v>
      </c>
      <c r="N92" s="39">
        <v>823245.50589999999</v>
      </c>
      <c r="O92" s="39">
        <v>1091516.0648000001</v>
      </c>
      <c r="P92" s="39">
        <v>-121.2886</v>
      </c>
      <c r="Q92" s="39">
        <v>823245.97089999996</v>
      </c>
      <c r="R92" s="39">
        <v>1091515.1773999999</v>
      </c>
      <c r="S92" s="39">
        <v>-121.3108</v>
      </c>
      <c r="T92" s="39">
        <v>823246.36159999995</v>
      </c>
      <c r="U92" s="39">
        <v>1091514.118</v>
      </c>
      <c r="V92" s="39">
        <v>-123.60809999999999</v>
      </c>
      <c r="W92" s="39">
        <v>823246.46100000001</v>
      </c>
      <c r="X92" s="39">
        <v>1091514.1917999999</v>
      </c>
      <c r="Y92" s="39">
        <v>-124.58150000000001</v>
      </c>
      <c r="Z92" s="39">
        <f t="shared" si="1908"/>
        <v>4.3955732969841108</v>
      </c>
      <c r="AA92" s="39">
        <f t="shared" si="1909"/>
        <v>3.782427330421112</v>
      </c>
      <c r="AB92" s="39"/>
      <c r="AC92" s="39"/>
      <c r="AD92" s="39">
        <f t="shared" si="1980"/>
        <v>3.1467972575396095</v>
      </c>
      <c r="AE92" s="39">
        <f t="shared" si="1981"/>
        <v>3.9068574865941241</v>
      </c>
      <c r="AF92" s="39"/>
      <c r="AG92" s="39">
        <f t="shared" si="1982"/>
        <v>5.1077384085324642</v>
      </c>
      <c r="AH92" s="39">
        <f t="shared" si="1913"/>
        <v>5.0523874544536342</v>
      </c>
      <c r="AI92" s="43">
        <f t="shared" ref="AI92" si="2380">IF(Z92="","",AI$59+(Z92-Z$59)*1000)</f>
        <v>-76.414703791854777</v>
      </c>
      <c r="AJ92" s="43">
        <f t="shared" ref="AJ92" si="2381">IF(AA92="","",AJ$59+(AA92-AA$59)*1000)</f>
        <v>-54.503940293821884</v>
      </c>
      <c r="AK92" s="43"/>
      <c r="AL92" s="43"/>
      <c r="AM92" s="43">
        <f t="shared" ref="AM92" si="2382">IF(AD92="","",AM$59+(AD92-AD$59)*1000)</f>
        <v>-69.338519206856745</v>
      </c>
      <c r="AN92" s="43">
        <f t="shared" ref="AN92" si="2383">IF(AE92="","",AN$59+(AE92-AE$59)*1000)</f>
        <v>-70.822676054554279</v>
      </c>
      <c r="AO92" s="43"/>
      <c r="AP92" s="43">
        <f t="shared" ref="AP92" si="2384">IF(AG92="","",AP$59+(AG92-AG$59)*1000)</f>
        <v>-28.768448442977324</v>
      </c>
      <c r="AQ92" s="43">
        <f t="shared" ref="AQ92" si="2385">IF(AH92="","",AQ$59+(AH92-AH$59)*1000)</f>
        <v>-35.779756994635648</v>
      </c>
      <c r="AR92" s="40"/>
      <c r="AS92" s="43">
        <f t="shared" ref="AS92" si="2386">IF(E92="","",(E92-E$10)*1000)</f>
        <v>2.3000000510364771</v>
      </c>
      <c r="AT92" s="43">
        <f t="shared" ref="AT92" si="2387">IF(F92="","",(F92-F$10)*1000)</f>
        <v>-10.600000154227018</v>
      </c>
      <c r="AU92" s="43">
        <f t="shared" ref="AU92" si="2388">IF(G92="","",(G92-G$10)*1000)</f>
        <v>6.3000000000101863</v>
      </c>
      <c r="AV92" s="43">
        <f t="shared" ref="AV92" si="2389">IF(H92="","",AV$59+(H92-H$59)*1000)</f>
        <v>-5.3999999072402716</v>
      </c>
      <c r="AW92" s="43">
        <f t="shared" ref="AW92" si="2390">IF(I92="","",AW$59+(I92-I$59)*1000)</f>
        <v>-11.199999833479524</v>
      </c>
      <c r="AX92" s="43">
        <f t="shared" ref="AX92" si="2391">IF(J92="","",AX$59+(J92-J$59)*1000)</f>
        <v>-4.4000000000039563</v>
      </c>
      <c r="AY92" s="43"/>
      <c r="AZ92" s="43"/>
      <c r="BA92" s="43"/>
      <c r="BB92" s="43">
        <f t="shared" ref="BB92" si="2392">IF(N92="","",BB$59+(N92-N$59)*1000)</f>
        <v>-14.700000057928264</v>
      </c>
      <c r="BC92" s="43">
        <f t="shared" ref="BC92" si="2393">IF(O92="","",BC$59+(O92-O$59)*1000)</f>
        <v>-7.6999999582767487</v>
      </c>
      <c r="BD92" s="43">
        <f t="shared" ref="BD92" si="2394">IF(P92="","",BD$59+(P92-P$59)*1000)</f>
        <v>-78.99999999999352</v>
      </c>
      <c r="BE92" s="43"/>
      <c r="BF92" s="43"/>
      <c r="BG92" s="43"/>
      <c r="BH92" s="43">
        <f t="shared" ref="BH92" si="2395">IF(T92="","",BH$59+(T92-T$59)*1000)</f>
        <v>-12.500000186264515</v>
      </c>
      <c r="BI92" s="43">
        <f t="shared" ref="BI92" si="2396">IF(U92="","",BI$59+(U92-U$59)*1000)</f>
        <v>16.999999992549419</v>
      </c>
      <c r="BJ92" s="43">
        <f t="shared" ref="BJ92" si="2397">IF(V92="","",BJ$59+(V92-V$59)*1000)</f>
        <v>0.90000000001566605</v>
      </c>
      <c r="BK92" s="43">
        <f t="shared" ref="BK92" si="2398">IF(W92="","",(W92-W$10)*1000)</f>
        <v>-14.599999994970858</v>
      </c>
      <c r="BL92" s="43">
        <f t="shared" ref="BL92" si="2399">IF(X92="","",(X92-X$10)*1000)</f>
        <v>21.100000012665987</v>
      </c>
      <c r="BM92" s="43">
        <f t="shared" ref="BM92" si="2400">IF(Y92="","",(Y92-Y$10)*1000)</f>
        <v>-9.7000000000093678</v>
      </c>
      <c r="BN92" s="40"/>
      <c r="BO92" s="39">
        <v>196.10237354425254</v>
      </c>
      <c r="BP92" s="39">
        <v>-2.5266222292398166</v>
      </c>
      <c r="BQ92" s="39">
        <v>-0.96334373544252117</v>
      </c>
      <c r="BR92" s="39">
        <v>196.01582521216537</v>
      </c>
      <c r="BS92" s="39">
        <v>-2.5570537294465723</v>
      </c>
      <c r="BT92" s="39">
        <v>-3.3378252121664787E-2</v>
      </c>
      <c r="BU92" s="42" t="e">
        <v>#VALUE!</v>
      </c>
      <c r="BV92" s="42" t="s">
        <v>77</v>
      </c>
      <c r="BW92" s="42" t="s">
        <v>77</v>
      </c>
      <c r="BX92" s="41">
        <v>196.02162881580799</v>
      </c>
      <c r="BY92" s="42">
        <v>0.42446889922965375</v>
      </c>
      <c r="BZ92" s="42">
        <v>2.2940737118419179</v>
      </c>
      <c r="CA92" s="42">
        <v>196.06699322482859</v>
      </c>
      <c r="CB92" s="42">
        <v>1.4252456484423401</v>
      </c>
      <c r="CC92" s="42">
        <v>2.2714100677517166</v>
      </c>
      <c r="CD92" s="41">
        <v>195.97332398897089</v>
      </c>
      <c r="CE92" s="42">
        <v>2.5505015855769004</v>
      </c>
      <c r="CF92" s="42">
        <v>-2.4953239889711654E-2</v>
      </c>
      <c r="CG92" s="41">
        <v>196.09460113701667</v>
      </c>
      <c r="CH92" s="42">
        <v>2.5256288422733904</v>
      </c>
      <c r="CI92" s="42">
        <v>-0.99956601137017742</v>
      </c>
      <c r="CJ92" s="40"/>
      <c r="CK92" s="43">
        <f t="shared" ref="CK92" si="2401">IF(BO92="","",(BO92-BO$10)*1000)</f>
        <v>-2.395639612842615</v>
      </c>
      <c r="CL92" s="43">
        <f t="shared" ref="CL92" si="2402">IF(BP92="","",(BP92-BP$10)*1000)</f>
        <v>10.578795505608696</v>
      </c>
      <c r="CM92" s="43">
        <f t="shared" ref="CM92" si="2403">IF(BQ92="","",(BQ92-BQ$10)*1000)</f>
        <v>6.323956396144581</v>
      </c>
      <c r="CN92" s="43">
        <f t="shared" ref="CN92" si="2404">IF(BR92="","",CN$59+(BR92-BR$59)*1000)</f>
        <v>-9.6001256883937458</v>
      </c>
      <c r="CO92" s="43">
        <f t="shared" ref="CO92" si="2405">IF(BS92="","",CO$59+(BS92-BS$59)*1000)</f>
        <v>7.9017965965713088</v>
      </c>
      <c r="CP92" s="43">
        <f t="shared" ref="CP92" si="2406">IF(BT92="","",CP$59+(BT92-BT$59)*1000)</f>
        <v>-4.3029987431389136</v>
      </c>
      <c r="CQ92" s="43"/>
      <c r="CR92" s="43"/>
      <c r="CS92" s="43"/>
      <c r="CT92" s="43">
        <f t="shared" ref="CT92" si="2407">IF(BX92="","",CT$59+(BX92-BX$59)*1000)</f>
        <v>-15.532573530066429</v>
      </c>
      <c r="CU92" s="43">
        <f t="shared" ref="CU92" si="2408">IF(BY92="","",CU$59+(BY92-BY$59)*1000)</f>
        <v>0.7540329410743174</v>
      </c>
      <c r="CV92" s="43">
        <f t="shared" ref="CV92" si="2409">IF(BZ92="","",CV$59+(BZ92-BZ$59)*1000)</f>
        <v>-78.824674264695631</v>
      </c>
      <c r="CW92" s="43"/>
      <c r="CX92" s="43"/>
      <c r="CY92" s="43"/>
      <c r="CZ92" s="43">
        <f t="shared" ref="CZ92" si="2410">IF(CD92="","",CZ$59+(CD92-CD$59)*1000)</f>
        <v>-4.0992101240817647</v>
      </c>
      <c r="DA92" s="43">
        <f t="shared" ref="DA92" si="2411">IF(CE92="","",DA$59+(CE92-CE$59)*1000)</f>
        <v>-20.665957263973134</v>
      </c>
      <c r="DB92" s="43">
        <f t="shared" ref="DB92" si="2412">IF(CF92="","",DB$59+(CF92-CF$59)*1000)</f>
        <v>0.95399210124523859</v>
      </c>
      <c r="DC92" s="43">
        <f t="shared" ref="DC92" si="2413">IF(CG92="","",(CG92-CG$10)*1000)</f>
        <v>-4.3139064948434225</v>
      </c>
      <c r="DD92" s="43">
        <f t="shared" ref="DD92" si="2414">IF(CH92="","",(CH92-CH$10)*1000)</f>
        <v>-25.293481593901213</v>
      </c>
      <c r="DE92" s="43">
        <f t="shared" ref="DE92" si="2415">IF(CI92="","",(CI92-CI$10)*1000)</f>
        <v>-9.6568609350669021</v>
      </c>
    </row>
    <row r="93" spans="1:109" ht="29.25" customHeight="1" x14ac:dyDescent="0.2">
      <c r="A93" s="37">
        <v>44767</v>
      </c>
      <c r="B93" s="29">
        <f t="shared" ref="B93" si="2416">IF(A93="","",A93-excav)</f>
        <v>1062</v>
      </c>
      <c r="C93" s="38">
        <v>222.9</v>
      </c>
      <c r="D93" s="38">
        <f t="shared" ref="D93" si="2417">IF(C93="","",+C93-$W$6)</f>
        <v>26.800000000000011</v>
      </c>
      <c r="E93" s="39">
        <v>823244.33200000005</v>
      </c>
      <c r="F93" s="39">
        <v>1091518.7741</v>
      </c>
      <c r="G93" s="39">
        <v>-124.54430000000001</v>
      </c>
      <c r="H93" s="39">
        <v>823244.24069999997</v>
      </c>
      <c r="I93" s="39">
        <v>1091518.7651</v>
      </c>
      <c r="J93" s="39">
        <v>-123.6152</v>
      </c>
      <c r="K93" s="39" t="e">
        <v>#N/A</v>
      </c>
      <c r="L93" s="39" t="e">
        <v>#N/A</v>
      </c>
      <c r="M93" s="39" t="e">
        <v>#N/A</v>
      </c>
      <c r="N93" s="39">
        <v>823245.50580000004</v>
      </c>
      <c r="O93" s="39">
        <v>1091516.0655</v>
      </c>
      <c r="P93" s="39">
        <v>-121.2881</v>
      </c>
      <c r="Q93" s="39" t="e">
        <v>#N/A</v>
      </c>
      <c r="R93" s="39" t="e">
        <v>#N/A</v>
      </c>
      <c r="S93" s="39" t="e">
        <v>#N/A</v>
      </c>
      <c r="T93" s="39">
        <v>823246.36100000003</v>
      </c>
      <c r="U93" s="39">
        <v>1091514.1185999999</v>
      </c>
      <c r="V93" s="39">
        <v>-123.6074</v>
      </c>
      <c r="W93" s="39">
        <v>823246.45990000002</v>
      </c>
      <c r="X93" s="39">
        <v>1091514.1927</v>
      </c>
      <c r="Y93" s="39">
        <v>-124.58069999999999</v>
      </c>
      <c r="Z93" s="39">
        <f t="shared" si="1908"/>
        <v>4.3951289901485451</v>
      </c>
      <c r="AA93" s="39">
        <f t="shared" si="1909"/>
        <v>3.7820249311500644</v>
      </c>
      <c r="AB93" s="39"/>
      <c r="AC93" s="39"/>
      <c r="AD93" s="39">
        <f t="shared" si="1980"/>
        <v>3.1465757801716734</v>
      </c>
      <c r="AE93" s="39">
        <f t="shared" si="1981"/>
        <v>3.9062643804527792</v>
      </c>
      <c r="AF93" s="39"/>
      <c r="AG93" s="39">
        <f t="shared" si="1982"/>
        <v>5.1074157046966304</v>
      </c>
      <c r="AH93" s="39">
        <f t="shared" si="1913"/>
        <v>5.0515848335020888</v>
      </c>
      <c r="AI93" s="43">
        <f t="shared" ref="AI93" si="2418">IF(Z93="","",AI$59+(Z93-Z$59)*1000)</f>
        <v>-76.859010627420503</v>
      </c>
      <c r="AJ93" s="43">
        <f t="shared" ref="AJ93" si="2419">IF(AA93="","",AJ$59+(AA93-AA$59)*1000)</f>
        <v>-54.906339564869455</v>
      </c>
      <c r="AK93" s="43"/>
      <c r="AL93" s="43"/>
      <c r="AM93" s="43">
        <f t="shared" ref="AM93" si="2420">IF(AD93="","",AM$59+(AD93-AD$59)*1000)</f>
        <v>-69.559996574792848</v>
      </c>
      <c r="AN93" s="43">
        <f t="shared" ref="AN93" si="2421">IF(AE93="","",AN$59+(AE93-AE$59)*1000)</f>
        <v>-71.415782195899169</v>
      </c>
      <c r="AO93" s="43"/>
      <c r="AP93" s="43">
        <f t="shared" ref="AP93" si="2422">IF(AG93="","",AP$59+(AG93-AG$59)*1000)</f>
        <v>-29.091152278811094</v>
      </c>
      <c r="AQ93" s="43">
        <f t="shared" ref="AQ93" si="2423">IF(AH93="","",AQ$59+(AH93-AH$59)*1000)</f>
        <v>-36.582377946181133</v>
      </c>
      <c r="AR93" s="40"/>
      <c r="AS93" s="43">
        <f t="shared" ref="AS93" si="2424">IF(E93="","",(E93-E$10)*1000)</f>
        <v>1.6000000759959221</v>
      </c>
      <c r="AT93" s="43">
        <f t="shared" ref="AT93" si="2425">IF(F93="","",(F93-F$10)*1000)</f>
        <v>-10.400000028312206</v>
      </c>
      <c r="AU93" s="43">
        <f t="shared" ref="AU93" si="2426">IF(G93="","",(G93-G$10)*1000)</f>
        <v>7.1999999999974307</v>
      </c>
      <c r="AV93" s="43">
        <f t="shared" ref="AV93" si="2427">IF(H93="","",AV$59+(H93-H$59)*1000)</f>
        <v>-6.0999999986961484</v>
      </c>
      <c r="AW93" s="43">
        <f t="shared" ref="AW93" si="2428">IF(I93="","",AW$59+(I93-I$59)*1000)</f>
        <v>-10.999999940395355</v>
      </c>
      <c r="AX93" s="43">
        <f t="shared" ref="AX93" si="2429">IF(J93="","",AX$59+(J93-J$59)*1000)</f>
        <v>-3.5000000000025011</v>
      </c>
      <c r="AY93" s="43"/>
      <c r="AZ93" s="43"/>
      <c r="BA93" s="43"/>
      <c r="BB93" s="43">
        <f t="shared" ref="BB93" si="2430">IF(N93="","",BB$59+(N93-N$59)*1000)</f>
        <v>-14.800000004470348</v>
      </c>
      <c r="BC93" s="43">
        <f t="shared" ref="BC93" si="2431">IF(O93="","",BC$59+(O93-O$59)*1000)</f>
        <v>-6.9999999832361937</v>
      </c>
      <c r="BD93" s="43">
        <f t="shared" ref="BD93" si="2432">IF(P93="","",BD$59+(P93-P$59)*1000)</f>
        <v>-78.499999999991132</v>
      </c>
      <c r="BE93" s="43"/>
      <c r="BF93" s="43"/>
      <c r="BG93" s="43"/>
      <c r="BH93" s="43">
        <f t="shared" ref="BH93" si="2433">IF(T93="","",BH$59+(T93-T$59)*1000)</f>
        <v>-13.100000098347664</v>
      </c>
      <c r="BI93" s="43">
        <f t="shared" ref="BI93" si="2434">IF(U93="","",BI$59+(U93-U$59)*1000)</f>
        <v>17.599999904632568</v>
      </c>
      <c r="BJ93" s="43">
        <f t="shared" ref="BJ93" si="2435">IF(V93="","",BJ$59+(V93-V$59)*1000)</f>
        <v>1.6000000000104819</v>
      </c>
      <c r="BK93" s="43">
        <f t="shared" ref="BK93" si="2436">IF(W93="","",(W93-W$10)*1000)</f>
        <v>-15.699999989010394</v>
      </c>
      <c r="BL93" s="43">
        <f t="shared" ref="BL93" si="2437">IF(X93="","",(X93-X$10)*1000)</f>
        <v>22.000000113621354</v>
      </c>
      <c r="BM93" s="43">
        <f t="shared" ref="BM93" si="2438">IF(Y93="","",(Y93-Y$10)*1000)</f>
        <v>-8.8999999999970214</v>
      </c>
      <c r="BN93" s="40"/>
      <c r="BO93" s="39">
        <v>196.101823670296</v>
      </c>
      <c r="BP93" s="39">
        <v>-2.527099344160268</v>
      </c>
      <c r="BQ93" s="39">
        <v>-0.96243823670296536</v>
      </c>
      <c r="BR93" s="39">
        <v>196.01527533800487</v>
      </c>
      <c r="BS93" s="39">
        <v>-2.5575308442052407</v>
      </c>
      <c r="BT93" s="39">
        <v>-3.2472753380048403E-2</v>
      </c>
      <c r="BU93" s="42" t="e">
        <v>#VALUE!</v>
      </c>
      <c r="BV93" s="42" t="s">
        <v>77</v>
      </c>
      <c r="BW93" s="42" t="s">
        <v>77</v>
      </c>
      <c r="BX93" s="41">
        <v>196.02083404304759</v>
      </c>
      <c r="BY93" s="42">
        <v>0.42379222963946889</v>
      </c>
      <c r="BZ93" s="42">
        <v>2.2945716595695274</v>
      </c>
      <c r="CA93" s="42" t="e">
        <v>#VALUE!</v>
      </c>
      <c r="CB93" s="42" t="s">
        <v>77</v>
      </c>
      <c r="CC93" s="42" t="s">
        <v>77</v>
      </c>
      <c r="CD93" s="41">
        <v>195.97303380498997</v>
      </c>
      <c r="CE93" s="42">
        <v>2.5497042192581918</v>
      </c>
      <c r="CF93" s="42">
        <v>-2.4250338049895959E-2</v>
      </c>
      <c r="CG93" s="41">
        <v>196.09398460261977</v>
      </c>
      <c r="CH93" s="42">
        <v>2.5243482621290525</v>
      </c>
      <c r="CI93" s="42">
        <v>-0.99875984602618928</v>
      </c>
      <c r="CJ93" s="40"/>
      <c r="CK93" s="43">
        <f t="shared" ref="CK93" si="2439">IF(BO93="","",(BO93-BO$10)*1000)</f>
        <v>-2.9455135693865486</v>
      </c>
      <c r="CL93" s="43">
        <f t="shared" ref="CL93" si="2440">IF(BP93="","",(BP93-BP$10)*1000)</f>
        <v>10.101680585157258</v>
      </c>
      <c r="CM93" s="43">
        <f t="shared" ref="CM93" si="2441">IF(BQ93="","",(BQ93-BQ$10)*1000)</f>
        <v>7.2294551357003911</v>
      </c>
      <c r="CN93" s="43">
        <f t="shared" ref="CN93" si="2442">IF(BR93="","",CN$59+(BR93-BR$59)*1000)</f>
        <v>-10.149999848891866</v>
      </c>
      <c r="CO93" s="43">
        <f t="shared" ref="CO93" si="2443">IF(BS93="","",CO$59+(BS93-BS$59)*1000)</f>
        <v>7.4246818379029023</v>
      </c>
      <c r="CP93" s="43">
        <f t="shared" ref="CP93" si="2444">IF(BT93="","",CP$59+(BT93-BT$59)*1000)</f>
        <v>-3.3975000015225296</v>
      </c>
      <c r="CQ93" s="43"/>
      <c r="CR93" s="43"/>
      <c r="CS93" s="43"/>
      <c r="CT93" s="43">
        <f t="shared" ref="CT93" si="2445">IF(BX93="","",CT$59+(BX93-BX$59)*1000)</f>
        <v>-16.327346290466949</v>
      </c>
      <c r="CU93" s="43">
        <f t="shared" ref="CU93" si="2446">IF(BY93="","",CU$59+(BY93-BY$59)*1000)</f>
        <v>7.7363350889453342E-2</v>
      </c>
      <c r="CV93" s="43">
        <f t="shared" ref="CV93" si="2447">IF(BZ93="","",CV$59+(BZ93-BZ$59)*1000)</f>
        <v>-78.326726537086159</v>
      </c>
      <c r="CW93" s="43"/>
      <c r="CX93" s="43"/>
      <c r="CY93" s="43"/>
      <c r="CZ93" s="43">
        <f t="shared" ref="CZ93" si="2448">IF(CD93="","",CZ$59+(CD93-CD$59)*1000)</f>
        <v>-4.389394105004385</v>
      </c>
      <c r="DA93" s="43">
        <f t="shared" ref="DA93" si="2449">IF(CE93="","",DA$59+(CE93-CE$59)*1000)</f>
        <v>-21.46332358268177</v>
      </c>
      <c r="DB93" s="43">
        <f t="shared" ref="DB93" si="2450">IF(CF93="","",DB$59+(CF93-CF$59)*1000)</f>
        <v>1.6568939410609336</v>
      </c>
      <c r="DC93" s="43">
        <f t="shared" ref="DC93" si="2451">IF(CG93="","",(CG93-CG$10)*1000)</f>
        <v>-4.9304408917407727</v>
      </c>
      <c r="DD93" s="43">
        <f t="shared" ref="DD93" si="2452">IF(CH93="","",(CH93-CH$10)*1000)</f>
        <v>-26.574061738239063</v>
      </c>
      <c r="DE93" s="43">
        <f t="shared" ref="DE93" si="2453">IF(CI93="","",(CI93-CI$10)*1000)</f>
        <v>-8.850695591078761</v>
      </c>
    </row>
    <row r="94" spans="1:109" ht="29.25" customHeight="1" x14ac:dyDescent="0.2">
      <c r="A94" s="37">
        <v>44902</v>
      </c>
      <c r="B94" s="29">
        <f t="shared" ref="B94" si="2454">IF(A94="","",A94-excav)</f>
        <v>1197</v>
      </c>
      <c r="C94" s="38">
        <v>222.9</v>
      </c>
      <c r="D94" s="38">
        <f t="shared" ref="D94" si="2455">IF(C94="","",+C94-$W$6)</f>
        <v>26.800000000000011</v>
      </c>
      <c r="E94" s="39">
        <v>823244.33239999996</v>
      </c>
      <c r="F94" s="39">
        <v>1091518.774</v>
      </c>
      <c r="G94" s="39">
        <v>-124.54400000000001</v>
      </c>
      <c r="H94" s="39">
        <v>823244.2415</v>
      </c>
      <c r="I94" s="39">
        <v>1091518.7653000001</v>
      </c>
      <c r="J94" s="39">
        <v>-123.6152</v>
      </c>
      <c r="K94" s="39" t="e">
        <v>#N/A</v>
      </c>
      <c r="L94" s="39" t="e">
        <v>#N/A</v>
      </c>
      <c r="M94" s="39" t="e">
        <v>#N/A</v>
      </c>
      <c r="N94" s="39">
        <v>823245.50650000002</v>
      </c>
      <c r="O94" s="39">
        <v>1091516.0656999999</v>
      </c>
      <c r="P94" s="39">
        <v>-121.28960000000001</v>
      </c>
      <c r="Q94" s="39">
        <v>823245.96950000001</v>
      </c>
      <c r="R94" s="39">
        <v>1091515.1772</v>
      </c>
      <c r="S94" s="39">
        <v>-121.3117</v>
      </c>
      <c r="T94" s="39">
        <v>823246.36069999996</v>
      </c>
      <c r="U94" s="39">
        <v>1091514.1189999999</v>
      </c>
      <c r="V94" s="39">
        <v>-123.60740000000001</v>
      </c>
      <c r="W94" s="39">
        <v>823246.4595</v>
      </c>
      <c r="X94" s="39">
        <v>1091514.1942</v>
      </c>
      <c r="Y94" s="39">
        <v>-124.58030000000001</v>
      </c>
      <c r="Z94" s="39">
        <f t="shared" si="1908"/>
        <v>4.3936908244040547</v>
      </c>
      <c r="AA94" s="39">
        <f t="shared" si="1909"/>
        <v>3.781068700901693</v>
      </c>
      <c r="AB94" s="39"/>
      <c r="AC94" s="39"/>
      <c r="AD94" s="39">
        <f t="shared" si="1980"/>
        <v>3.145074779681972</v>
      </c>
      <c r="AE94" s="39">
        <f t="shared" si="1981"/>
        <v>3.9037709640239635</v>
      </c>
      <c r="AF94" s="39"/>
      <c r="AG94" s="39">
        <f t="shared" si="1982"/>
        <v>5.1067771804834985</v>
      </c>
      <c r="AH94" s="39">
        <f t="shared" si="1913"/>
        <v>5.0497960493178162</v>
      </c>
      <c r="AI94" s="43">
        <f t="shared" ref="AI94" si="2456">IF(Z94="","",AI$59+(Z94-Z$59)*1000)</f>
        <v>-78.297176371910908</v>
      </c>
      <c r="AJ94" s="43">
        <f t="shared" ref="AJ94" si="2457">IF(AA94="","",AJ$59+(AA94-AA$59)*1000)</f>
        <v>-55.862569813240896</v>
      </c>
      <c r="AK94" s="43"/>
      <c r="AL94" s="43"/>
      <c r="AM94" s="43">
        <f t="shared" ref="AM94" si="2458">IF(AD94="","",AM$59+(AD94-AD$59)*1000)</f>
        <v>-71.060997064494202</v>
      </c>
      <c r="AN94" s="43">
        <f t="shared" ref="AN94" si="2459">IF(AE94="","",AN$59+(AE94-AE$59)*1000)</f>
        <v>-73.909198624714904</v>
      </c>
      <c r="AO94" s="43"/>
      <c r="AP94" s="43">
        <f t="shared" ref="AP94" si="2460">IF(AG94="","",AP$59+(AG94-AG$59)*1000)</f>
        <v>-29.729676491943025</v>
      </c>
      <c r="AQ94" s="43">
        <f t="shared" ref="AQ94" si="2461">IF(AH94="","",AQ$59+(AH94-AH$59)*1000)</f>
        <v>-38.371162130453662</v>
      </c>
      <c r="AR94" s="40"/>
      <c r="AS94" s="43">
        <f t="shared" ref="AS94" si="2462">IF(E94="","",(E94-E$10)*1000)</f>
        <v>1.9999999785795808</v>
      </c>
      <c r="AT94" s="43">
        <f t="shared" ref="AT94" si="2463">IF(F94="","",(F94-F$10)*1000)</f>
        <v>-10.500000091269612</v>
      </c>
      <c r="AU94" s="43">
        <f t="shared" ref="AU94" si="2464">IF(G94="","",(G94-G$10)*1000)</f>
        <v>7.4999999999931788</v>
      </c>
      <c r="AV94" s="43">
        <f t="shared" ref="AV94" si="2465">IF(H94="","",AV$59+(H94-H$59)*1000)</f>
        <v>-5.2999999606981874</v>
      </c>
      <c r="AW94" s="43">
        <f t="shared" ref="AW94" si="2466">IF(I94="","",AW$59+(I94-I$59)*1000)</f>
        <v>-10.799999814480543</v>
      </c>
      <c r="AX94" s="43">
        <f t="shared" ref="AX94" si="2467">IF(J94="","",AX$59+(J94-J$59)*1000)</f>
        <v>-3.5000000000025011</v>
      </c>
      <c r="AY94" s="43"/>
      <c r="AZ94" s="43"/>
      <c r="BA94" s="43"/>
      <c r="BB94" s="43">
        <f t="shared" ref="BB94" si="2468">IF(N94="","",BB$59+(N94-N$59)*1000)</f>
        <v>-14.100000029429793</v>
      </c>
      <c r="BC94" s="43">
        <f t="shared" ref="BC94" si="2469">IF(O94="","",BC$59+(O94-O$59)*1000)</f>
        <v>-6.8000000901520252</v>
      </c>
      <c r="BD94" s="43">
        <f t="shared" ref="BD94" si="2470">IF(P94="","",BD$59+(P94-P$59)*1000)</f>
        <v>-79.999999999998295</v>
      </c>
      <c r="BE94" s="43"/>
      <c r="BF94" s="43"/>
      <c r="BG94" s="43"/>
      <c r="BH94" s="43">
        <f t="shared" ref="BH94" si="2471">IF(T94="","",BH$59+(T94-T$59)*1000)</f>
        <v>-13.40000017080456</v>
      </c>
      <c r="BI94" s="43">
        <f t="shared" ref="BI94" si="2472">IF(U94="","",BI$59+(U94-U$59)*1000)</f>
        <v>17.999999923631549</v>
      </c>
      <c r="BJ94" s="43">
        <f t="shared" ref="BJ94" si="2473">IF(V94="","",BJ$59+(V94-V$59)*1000)</f>
        <v>1.5999999999962711</v>
      </c>
      <c r="BK94" s="43">
        <f t="shared" ref="BK94" si="2474">IF(W94="","",(W94-W$10)*1000)</f>
        <v>-16.100000008009374</v>
      </c>
      <c r="BL94" s="43">
        <f t="shared" ref="BL94" si="2475">IF(X94="","",(X94-X$10)*1000)</f>
        <v>23.50000012665987</v>
      </c>
      <c r="BM94" s="43">
        <f t="shared" ref="BM94" si="2476">IF(Y94="","",(Y94-Y$10)*1000)</f>
        <v>-8.5000000000121645</v>
      </c>
      <c r="BN94" s="40"/>
      <c r="BO94" s="39">
        <v>196.10214392179975</v>
      </c>
      <c r="BP94" s="39">
        <v>-2.5268396541354519</v>
      </c>
      <c r="BQ94" s="39">
        <v>-0.96214143921801565</v>
      </c>
      <c r="BR94" s="39">
        <v>196.01608490213388</v>
      </c>
      <c r="BS94" s="39">
        <v>-2.5573739811050684</v>
      </c>
      <c r="BT94" s="39">
        <v>-3.2480849021339964E-2</v>
      </c>
      <c r="BU94" s="42" t="e">
        <v>#VALUE!</v>
      </c>
      <c r="BV94" s="42" t="s">
        <v>77</v>
      </c>
      <c r="BW94" s="42" t="s">
        <v>77</v>
      </c>
      <c r="BX94" s="41">
        <v>196.02155297781619</v>
      </c>
      <c r="BY94" s="42">
        <v>0.423906827723042</v>
      </c>
      <c r="BZ94" s="42">
        <v>2.2930644702218217</v>
      </c>
      <c r="CA94" s="42">
        <v>196.06563988564821</v>
      </c>
      <c r="CB94" s="42">
        <v>1.4248351939622386</v>
      </c>
      <c r="CC94" s="42">
        <v>2.270523601143509</v>
      </c>
      <c r="CD94" s="41">
        <v>195.97293097812161</v>
      </c>
      <c r="CE94" s="42">
        <v>2.5492149067876331</v>
      </c>
      <c r="CF94" s="42">
        <v>-2.4249309781225747E-2</v>
      </c>
      <c r="CG94" s="41">
        <v>196.09425606380353</v>
      </c>
      <c r="CH94" s="42">
        <v>2.5228197632314271</v>
      </c>
      <c r="CI94" s="42">
        <v>-0.99836256063804285</v>
      </c>
      <c r="CJ94" s="40"/>
      <c r="CK94" s="43">
        <f t="shared" ref="CK94" si="2477">IF(BO94="","",(BO94-BO$10)*1000)</f>
        <v>-2.62526206563507</v>
      </c>
      <c r="CL94" s="43">
        <f t="shared" ref="CL94" si="2478">IF(BP94="","",(BP94-BP$10)*1000)</f>
        <v>10.361370609973442</v>
      </c>
      <c r="CM94" s="43">
        <f t="shared" ref="CM94" si="2479">IF(BQ94="","",(BQ94-BQ$10)*1000)</f>
        <v>7.5262526206500979</v>
      </c>
      <c r="CN94" s="43">
        <f t="shared" ref="CN94" si="2480">IF(BR94="","",CN$59+(BR94-BR$59)*1000)</f>
        <v>-9.3404357198778598</v>
      </c>
      <c r="CO94" s="43">
        <f t="shared" ref="CO94" si="2481">IF(BS94="","",CO$59+(BS94-BS$59)*1000)</f>
        <v>7.5815449380751687</v>
      </c>
      <c r="CP94" s="43">
        <f t="shared" ref="CP94" si="2482">IF(BT94="","",CP$59+(BT94-BT$59)*1000)</f>
        <v>-3.4055956428140908</v>
      </c>
      <c r="CQ94" s="43"/>
      <c r="CR94" s="43"/>
      <c r="CS94" s="43"/>
      <c r="CT94" s="43">
        <f t="shared" ref="CT94" si="2483">IF(BX94="","",CT$59+(BX94-BX$59)*1000)</f>
        <v>-15.608411521867538</v>
      </c>
      <c r="CU94" s="43">
        <f t="shared" ref="CU94" si="2484">IF(BY94="","",CU$59+(BY94-BY$59)*1000)</f>
        <v>0.19196143446256753</v>
      </c>
      <c r="CV94" s="43">
        <f t="shared" ref="CV94" si="2485">IF(BZ94="","",CV$59+(BZ94-BZ$59)*1000)</f>
        <v>-79.833915884791821</v>
      </c>
      <c r="CW94" s="43"/>
      <c r="CX94" s="43"/>
      <c r="CY94" s="43"/>
      <c r="CZ94" s="43">
        <f t="shared" ref="CZ94" si="2486">IF(CD94="","",CZ$59+(CD94-CD$59)*1000)</f>
        <v>-4.4922209733613272</v>
      </c>
      <c r="DA94" s="43">
        <f t="shared" ref="DA94" si="2487">IF(CE94="","",DA$59+(CE94-CE$59)*1000)</f>
        <v>-21.952636053240493</v>
      </c>
      <c r="DB94" s="43">
        <f t="shared" ref="DB94" si="2488">IF(CF94="","",DB$59+(CF94-CF$59)*1000)</f>
        <v>1.6579222097311448</v>
      </c>
      <c r="DC94" s="43">
        <f t="shared" ref="DC94" si="2489">IF(CG94="","",(CG94-CG$10)*1000)</f>
        <v>-4.6589797079832351</v>
      </c>
      <c r="DD94" s="43">
        <f t="shared" ref="DD94" si="2490">IF(CH94="","",(CH94-CH$10)*1000)</f>
        <v>-28.102560635864471</v>
      </c>
      <c r="DE94" s="43">
        <f t="shared" ref="DE94" si="2491">IF(CI94="","",(CI94-CI$10)*1000)</f>
        <v>-8.4534102029323321</v>
      </c>
    </row>
    <row r="95" spans="1:109" ht="29.25" customHeight="1" x14ac:dyDescent="0.2">
      <c r="A95" s="37">
        <v>44915</v>
      </c>
      <c r="B95" s="29">
        <f t="shared" ref="B95" si="2492">IF(A95="","",A95-excav)</f>
        <v>1210</v>
      </c>
      <c r="C95" s="38">
        <v>222.9</v>
      </c>
      <c r="D95" s="38">
        <f t="shared" ref="D95" si="2493">IF(C95="","",+C95-$W$6)</f>
        <v>26.800000000000011</v>
      </c>
      <c r="E95" s="39">
        <v>823244.33299999998</v>
      </c>
      <c r="F95" s="39">
        <v>1091518.7737</v>
      </c>
      <c r="G95" s="39">
        <v>-124.5446</v>
      </c>
      <c r="H95" s="39">
        <v>823244.24219999998</v>
      </c>
      <c r="I95" s="39">
        <v>1091518.7653000001</v>
      </c>
      <c r="J95" s="39">
        <v>-123.6159</v>
      </c>
      <c r="K95" s="39" t="e">
        <v>#N/A</v>
      </c>
      <c r="L95" s="39" t="e">
        <v>#N/A</v>
      </c>
      <c r="M95" s="39" t="e">
        <v>#N/A</v>
      </c>
      <c r="N95" s="39">
        <v>823245.50670000003</v>
      </c>
      <c r="O95" s="39">
        <v>1091516.0655</v>
      </c>
      <c r="P95" s="39">
        <v>-121.29040000000001</v>
      </c>
      <c r="Q95" s="39" t="e">
        <v>#N/A</v>
      </c>
      <c r="R95" s="39" t="e">
        <v>#N/A</v>
      </c>
      <c r="S95" s="39" t="e">
        <v>#N/A</v>
      </c>
      <c r="T95" s="39">
        <v>823246.3615</v>
      </c>
      <c r="U95" s="39">
        <v>1091514.1191</v>
      </c>
      <c r="V95" s="39">
        <v>-123.6082</v>
      </c>
      <c r="W95" s="39">
        <v>823246.45979999995</v>
      </c>
      <c r="X95" s="39">
        <v>1091514.1942</v>
      </c>
      <c r="Y95" s="39">
        <v>-124.58110000000001</v>
      </c>
      <c r="Z95" s="39">
        <f t="shared" si="1908"/>
        <v>4.3933741668638557</v>
      </c>
      <c r="AA95" s="39">
        <f t="shared" si="1909"/>
        <v>3.7809827479702016</v>
      </c>
      <c r="AB95" s="39"/>
      <c r="AC95" s="39"/>
      <c r="AD95" s="39">
        <f t="shared" si="1980"/>
        <v>3.1450521203966293</v>
      </c>
      <c r="AE95" s="39">
        <f t="shared" si="1981"/>
        <v>3.9036995004552884</v>
      </c>
      <c r="AF95" s="39"/>
      <c r="AG95" s="39">
        <f t="shared" si="1982"/>
        <v>5.1067275451886776</v>
      </c>
      <c r="AH95" s="39">
        <f t="shared" si="1913"/>
        <v>5.0493990473917032</v>
      </c>
      <c r="AI95" s="43">
        <f t="shared" ref="AI95" si="2494">IF(Z95="","",AI$59+(Z95-Z$59)*1000)</f>
        <v>-78.61383391210984</v>
      </c>
      <c r="AJ95" s="43">
        <f t="shared" ref="AJ95" si="2495">IF(AA95="","",AJ$59+(AA95-AA$59)*1000)</f>
        <v>-55.94852274473228</v>
      </c>
      <c r="AK95" s="43"/>
      <c r="AL95" s="43"/>
      <c r="AM95" s="43">
        <f t="shared" ref="AM95" si="2496">IF(AD95="","",AM$59+(AD95-AD$59)*1000)</f>
        <v>-71.083656349836929</v>
      </c>
      <c r="AN95" s="43">
        <f t="shared" ref="AN95" si="2497">IF(AE95="","",AN$59+(AE95-AE$59)*1000)</f>
        <v>-73.98066219339006</v>
      </c>
      <c r="AO95" s="43"/>
      <c r="AP95" s="43">
        <f t="shared" ref="AP95" si="2498">IF(AG95="","",AP$59+(AG95-AG$59)*1000)</f>
        <v>-29.779311786763962</v>
      </c>
      <c r="AQ95" s="43">
        <f t="shared" ref="AQ95" si="2499">IF(AH95="","",AQ$59+(AH95-AH$59)*1000)</f>
        <v>-38.76816405656669</v>
      </c>
      <c r="AR95" s="40"/>
      <c r="AS95" s="43">
        <f t="shared" ref="AS95" si="2500">IF(E95="","",(E95-E$10)*1000)</f>
        <v>2.6000000070780516</v>
      </c>
      <c r="AT95" s="43">
        <f t="shared" ref="AT95" si="2501">IF(F95="","",(F95-F$10)*1000)</f>
        <v>-10.800000047311187</v>
      </c>
      <c r="AU95" s="43">
        <f t="shared" ref="AU95" si="2502">IF(G95="","",(G95-G$10)*1000)</f>
        <v>6.9000000000016826</v>
      </c>
      <c r="AV95" s="43">
        <f t="shared" ref="AV95" si="2503">IF(H95="","",AV$59+(H95-H$59)*1000)</f>
        <v>-4.5999999856576324</v>
      </c>
      <c r="AW95" s="43">
        <f t="shared" ref="AW95" si="2504">IF(I95="","",AW$59+(I95-I$59)*1000)</f>
        <v>-10.799999814480543</v>
      </c>
      <c r="AX95" s="43">
        <f t="shared" ref="AX95" si="2505">IF(J95="","",AX$59+(J95-J$59)*1000)</f>
        <v>-4.199999999997317</v>
      </c>
      <c r="AY95" s="43"/>
      <c r="AZ95" s="43"/>
      <c r="BA95" s="43"/>
      <c r="BB95" s="43">
        <f t="shared" ref="BB95" si="2506">IF(N95="","",BB$59+(N95-N$59)*1000)</f>
        <v>-13.900000019930303</v>
      </c>
      <c r="BC95" s="43">
        <f t="shared" ref="BC95" si="2507">IF(O95="","",BC$59+(O95-O$59)*1000)</f>
        <v>-6.9999999832361937</v>
      </c>
      <c r="BD95" s="43">
        <f t="shared" ref="BD95" si="2508">IF(P95="","",BD$59+(P95-P$59)*1000)</f>
        <v>-80.79999999999643</v>
      </c>
      <c r="BE95" s="43"/>
      <c r="BF95" s="43"/>
      <c r="BG95" s="43"/>
      <c r="BH95" s="43">
        <f t="shared" ref="BH95" si="2509">IF(T95="","",BH$59+(T95-T$59)*1000)</f>
        <v>-12.600000132806599</v>
      </c>
      <c r="BI95" s="43">
        <f t="shared" ref="BI95" si="2510">IF(U95="","",BI$59+(U95-U$59)*1000)</f>
        <v>18.099999986588955</v>
      </c>
      <c r="BJ95" s="43">
        <f t="shared" ref="BJ95" si="2511">IF(V95="","",BJ$59+(V95-V$59)*1000)</f>
        <v>0.80000000001234639</v>
      </c>
      <c r="BK95" s="43">
        <f t="shared" ref="BK95" si="2512">IF(W95="","",(W95-W$10)*1000)</f>
        <v>-15.8000000519678</v>
      </c>
      <c r="BL95" s="43">
        <f t="shared" ref="BL95" si="2513">IF(X95="","",(X95-X$10)*1000)</f>
        <v>23.50000012665987</v>
      </c>
      <c r="BM95" s="43">
        <f t="shared" ref="BM95" si="2514">IF(Y95="","",(Y95-Y$10)*1000)</f>
        <v>-9.3000000000103</v>
      </c>
      <c r="BN95" s="40"/>
      <c r="BO95" s="39">
        <v>196.10256090147064</v>
      </c>
      <c r="BP95" s="39">
        <v>-2.5263141753424252</v>
      </c>
      <c r="BQ95" s="39">
        <v>-0.96274560901471773</v>
      </c>
      <c r="BR95" s="39">
        <v>196.01671930654567</v>
      </c>
      <c r="BS95" s="39">
        <v>-2.5570781247085468</v>
      </c>
      <c r="BT95" s="39">
        <v>-3.3187193065458587E-2</v>
      </c>
      <c r="BU95" s="42" t="e">
        <v>#VALUE!</v>
      </c>
      <c r="BV95" s="42" t="s">
        <v>77</v>
      </c>
      <c r="BW95" s="42" t="s">
        <v>77</v>
      </c>
      <c r="BX95" s="41">
        <v>196.02164970587782</v>
      </c>
      <c r="BY95" s="42">
        <v>0.42417261644202064</v>
      </c>
      <c r="BZ95" s="42">
        <v>2.2922635029412106</v>
      </c>
      <c r="CA95" s="42" t="e">
        <v>#VALUE!</v>
      </c>
      <c r="CB95" s="42" t="s">
        <v>77</v>
      </c>
      <c r="CC95" s="42" t="s">
        <v>77</v>
      </c>
      <c r="CD95" s="41">
        <v>195.97369827702298</v>
      </c>
      <c r="CE95" s="42">
        <v>2.5494623991498062</v>
      </c>
      <c r="CF95" s="42">
        <v>-2.5056982770223613E-2</v>
      </c>
      <c r="CG95" s="41">
        <v>196.09452795137844</v>
      </c>
      <c r="CH95" s="42">
        <v>2.5229465588158759</v>
      </c>
      <c r="CI95" s="42">
        <v>-0.99916527951378953</v>
      </c>
      <c r="CJ95" s="40"/>
      <c r="CK95" s="43">
        <f t="shared" ref="CK95" si="2515">IF(BO95="","",(BO95-BO$10)*1000)</f>
        <v>-2.2082823947471297</v>
      </c>
      <c r="CL95" s="43">
        <f t="shared" ref="CL95" si="2516">IF(BP95="","",(BP95-BP$10)*1000)</f>
        <v>10.88684940300011</v>
      </c>
      <c r="CM95" s="43">
        <f t="shared" ref="CM95" si="2517">IF(BQ95="","",(BQ95-BQ$10)*1000)</f>
        <v>6.922082823948017</v>
      </c>
      <c r="CN95" s="43">
        <f t="shared" ref="CN95" si="2518">IF(BR95="","",CN$59+(BR95-BR$59)*1000)</f>
        <v>-8.7060313080939977</v>
      </c>
      <c r="CO95" s="43">
        <f t="shared" ref="CO95" si="2519">IF(BS95="","",CO$59+(BS95-BS$59)*1000)</f>
        <v>7.8774013345968008</v>
      </c>
      <c r="CP95" s="43">
        <f t="shared" ref="CP95" si="2520">IF(BT95="","",CP$59+(BT95-BT$59)*1000)</f>
        <v>-4.1119396869327138</v>
      </c>
      <c r="CQ95" s="43"/>
      <c r="CR95" s="43"/>
      <c r="CS95" s="43"/>
      <c r="CT95" s="43">
        <f t="shared" ref="CT95" si="2521">IF(BX95="","",CT$59+(BX95-BX$59)*1000)</f>
        <v>-15.511683460232462</v>
      </c>
      <c r="CU95" s="43">
        <f t="shared" ref="CU95" si="2522">IF(BY95="","",CU$59+(BY95-BY$59)*1000)</f>
        <v>0.45775015344121095</v>
      </c>
      <c r="CV95" s="43">
        <f t="shared" ref="CV95" si="2523">IF(BZ95="","",CV$59+(BZ95-BZ$59)*1000)</f>
        <v>-80.634883165402897</v>
      </c>
      <c r="CW95" s="43"/>
      <c r="CX95" s="43"/>
      <c r="CY95" s="43"/>
      <c r="CZ95" s="43">
        <f t="shared" ref="CZ95" si="2524">IF(CD95="","",CZ$59+(CD95-CD$59)*1000)</f>
        <v>-3.7249220719957066</v>
      </c>
      <c r="DA95" s="43">
        <f t="shared" ref="DA95" si="2525">IF(CE95="","",DA$59+(CE95-CE$59)*1000)</f>
        <v>-21.705143691067352</v>
      </c>
      <c r="DB95" s="43">
        <f t="shared" ref="DB95" si="2526">IF(CF95="","",DB$59+(CF95-CF$59)*1000)</f>
        <v>0.85024922073327969</v>
      </c>
      <c r="DC95" s="43">
        <f t="shared" ref="DC95" si="2527">IF(CG95="","",(CG95-CG$10)*1000)</f>
        <v>-4.3870921330722012</v>
      </c>
      <c r="DD95" s="43">
        <f t="shared" ref="DD95" si="2528">IF(CH95="","",(CH95-CH$10)*1000)</f>
        <v>-27.975765051415635</v>
      </c>
      <c r="DE95" s="43">
        <f t="shared" ref="DE95" si="2529">IF(CI95="","",(CI95-CI$10)*1000)</f>
        <v>-9.2561290786790096</v>
      </c>
    </row>
    <row r="96" spans="1:109" ht="29.25" customHeight="1" x14ac:dyDescent="0.2">
      <c r="A96" s="37">
        <v>44930</v>
      </c>
      <c r="B96" s="29">
        <f t="shared" ref="B96" si="2530">IF(A96="","",A96-excav)</f>
        <v>1225</v>
      </c>
      <c r="C96" s="38">
        <v>222.9</v>
      </c>
      <c r="D96" s="38">
        <f t="shared" ref="D96" si="2531">IF(C96="","",+C96-$W$6)</f>
        <v>26.800000000000011</v>
      </c>
      <c r="E96" s="39">
        <v>823244.33270000003</v>
      </c>
      <c r="F96" s="39">
        <v>1091518.7737</v>
      </c>
      <c r="G96" s="39">
        <v>-124.5449</v>
      </c>
      <c r="H96" s="39">
        <v>823244.24199999997</v>
      </c>
      <c r="I96" s="39">
        <v>1091518.7653000001</v>
      </c>
      <c r="J96" s="39">
        <v>-123.61620000000001</v>
      </c>
      <c r="K96" s="39" t="e">
        <v>#N/A</v>
      </c>
      <c r="L96" s="39" t="e">
        <v>#N/A</v>
      </c>
      <c r="M96" s="39" t="e">
        <v>#N/A</v>
      </c>
      <c r="N96" s="39">
        <v>823245.50639999995</v>
      </c>
      <c r="O96" s="39">
        <v>1091516.0655</v>
      </c>
      <c r="P96" s="39">
        <v>-121.2908</v>
      </c>
      <c r="Q96" s="39">
        <v>823245.97</v>
      </c>
      <c r="R96" s="39">
        <v>1091515.1773000001</v>
      </c>
      <c r="S96" s="39">
        <v>-121.313</v>
      </c>
      <c r="T96" s="39">
        <v>823246.36049999995</v>
      </c>
      <c r="U96" s="39">
        <v>1091514.1188999999</v>
      </c>
      <c r="V96" s="39">
        <v>-123.6086</v>
      </c>
      <c r="W96" s="39">
        <v>823246.4595</v>
      </c>
      <c r="X96" s="39">
        <v>1091514.1943000001</v>
      </c>
      <c r="Y96" s="39">
        <v>-124.5812</v>
      </c>
      <c r="Z96" s="39">
        <f t="shared" si="1908"/>
        <v>4.3933000967146993</v>
      </c>
      <c r="AA96" s="39">
        <f t="shared" si="1909"/>
        <v>3.7808878005422395</v>
      </c>
      <c r="AB96" s="39"/>
      <c r="AC96" s="39"/>
      <c r="AD96" s="39">
        <f t="shared" si="1980"/>
        <v>3.1449857250143798</v>
      </c>
      <c r="AE96" s="39">
        <f t="shared" si="1981"/>
        <v>3.9033986742121409</v>
      </c>
      <c r="AF96" s="39"/>
      <c r="AG96" s="39">
        <f t="shared" si="1982"/>
        <v>5.1065774224815081</v>
      </c>
      <c r="AH96" s="39">
        <f t="shared" si="1913"/>
        <v>5.0493069117675571</v>
      </c>
      <c r="AI96" s="43">
        <f t="shared" ref="AI96" si="2532">IF(Z96="","",AI$59+(Z96-Z$59)*1000)</f>
        <v>-78.687904061266238</v>
      </c>
      <c r="AJ96" s="43">
        <f t="shared" ref="AJ96" si="2533">IF(AA96="","",AJ$59+(AA96-AA$59)*1000)</f>
        <v>-56.043470172694398</v>
      </c>
      <c r="AK96" s="43"/>
      <c r="AL96" s="43"/>
      <c r="AM96" s="43">
        <f t="shared" ref="AM96" si="2534">IF(AD96="","",AM$59+(AD96-AD$59)*1000)</f>
        <v>-71.150051732086439</v>
      </c>
      <c r="AN96" s="43">
        <f t="shared" ref="AN96" si="2535">IF(AE96="","",AN$59+(AE96-AE$59)*1000)</f>
        <v>-74.281488436537472</v>
      </c>
      <c r="AO96" s="43"/>
      <c r="AP96" s="43">
        <f t="shared" ref="AP96" si="2536">IF(AG96="","",AP$59+(AG96-AG$59)*1000)</f>
        <v>-29.929434493933371</v>
      </c>
      <c r="AQ96" s="43">
        <f t="shared" ref="AQ96" si="2537">IF(AH96="","",AQ$59+(AH96-AH$59)*1000)</f>
        <v>-38.860299680712806</v>
      </c>
      <c r="AR96" s="40"/>
      <c r="AS96" s="43">
        <f t="shared" ref="AS96" si="2538">IF(E96="","",(E96-E$10)*1000)</f>
        <v>2.3000000510364771</v>
      </c>
      <c r="AT96" s="43">
        <f t="shared" ref="AT96" si="2539">IF(F96="","",(F96-F$10)*1000)</f>
        <v>-10.800000047311187</v>
      </c>
      <c r="AU96" s="43">
        <f t="shared" ref="AU96" si="2540">IF(G96="","",(G96-G$10)*1000)</f>
        <v>6.6000000000059345</v>
      </c>
      <c r="AV96" s="43">
        <f t="shared" ref="AV96" si="2541">IF(H96="","",AV$59+(H96-H$59)*1000)</f>
        <v>-4.7999999951571226</v>
      </c>
      <c r="AW96" s="43">
        <f t="shared" ref="AW96" si="2542">IF(I96="","",AW$59+(I96-I$59)*1000)</f>
        <v>-10.799999814480543</v>
      </c>
      <c r="AX96" s="43">
        <f t="shared" ref="AX96" si="2543">IF(J96="","",AX$59+(J96-J$59)*1000)</f>
        <v>-4.500000000007276</v>
      </c>
      <c r="AY96" s="43"/>
      <c r="AZ96" s="43"/>
      <c r="BA96" s="43"/>
      <c r="BB96" s="43">
        <f t="shared" ref="BB96" si="2544">IF(N96="","",BB$59+(N96-N$59)*1000)</f>
        <v>-14.200000092387199</v>
      </c>
      <c r="BC96" s="43">
        <f t="shared" ref="BC96" si="2545">IF(O96="","",BC$59+(O96-O$59)*1000)</f>
        <v>-6.9999999832361937</v>
      </c>
      <c r="BD96" s="43">
        <f t="shared" ref="BD96" si="2546">IF(P96="","",BD$59+(P96-P$59)*1000)</f>
        <v>-81.199999999995498</v>
      </c>
      <c r="BE96" s="43"/>
      <c r="BF96" s="43"/>
      <c r="BG96" s="43"/>
      <c r="BH96" s="43">
        <f t="shared" ref="BH96" si="2547">IF(T96="","",BH$59+(T96-T$59)*1000)</f>
        <v>-13.60000018030405</v>
      </c>
      <c r="BI96" s="43">
        <f t="shared" ref="BI96" si="2548">IF(U96="","",BI$59+(U96-U$59)*1000)</f>
        <v>17.899999860674143</v>
      </c>
      <c r="BJ96" s="43">
        <f t="shared" ref="BJ96" si="2549">IF(V96="","",BJ$59+(V96-V$59)*1000)</f>
        <v>0.40000000001327862</v>
      </c>
      <c r="BK96" s="43">
        <f t="shared" ref="BK96" si="2550">IF(W96="","",(W96-W$10)*1000)</f>
        <v>-16.100000008009374</v>
      </c>
      <c r="BL96" s="43">
        <f t="shared" ref="BL96" si="2551">IF(X96="","",(X96-X$10)*1000)</f>
        <v>23.600000189617276</v>
      </c>
      <c r="BM96" s="43">
        <f t="shared" ref="BM96" si="2552">IF(Y96="","",(Y96-Y$10)*1000)</f>
        <v>-9.3999999999994088</v>
      </c>
      <c r="BN96" s="40"/>
      <c r="BO96" s="39">
        <v>196.1022890138957</v>
      </c>
      <c r="BP96" s="39">
        <v>-2.5264409709268714</v>
      </c>
      <c r="BQ96" s="39">
        <v>-0.96304289013896494</v>
      </c>
      <c r="BR96" s="39">
        <v>196.01653804812727</v>
      </c>
      <c r="BS96" s="39">
        <v>-2.5571626551145781</v>
      </c>
      <c r="BT96" s="39">
        <v>-3.3485380481280913E-2</v>
      </c>
      <c r="BU96" s="42" t="e">
        <v>#VALUE!</v>
      </c>
      <c r="BV96" s="42" t="s">
        <v>77</v>
      </c>
      <c r="BW96" s="42" t="s">
        <v>77</v>
      </c>
      <c r="BX96" s="41">
        <v>196.02137781819741</v>
      </c>
      <c r="BY96" s="42">
        <v>0.42404582080836883</v>
      </c>
      <c r="BZ96" s="42">
        <v>2.2918662218180117</v>
      </c>
      <c r="CA96" s="42">
        <v>196.06613529686919</v>
      </c>
      <c r="CB96" s="42">
        <v>1.4249558906907429</v>
      </c>
      <c r="CC96" s="42">
        <v>2.2692186470313089</v>
      </c>
      <c r="CD96" s="41">
        <v>195.97270745447557</v>
      </c>
      <c r="CE96" s="42">
        <v>2.549221005643596</v>
      </c>
      <c r="CF96" s="42">
        <v>-2.5447074544757697E-2</v>
      </c>
      <c r="CG96" s="41">
        <v>196.09429832903115</v>
      </c>
      <c r="CH96" s="42">
        <v>2.5227291339694693</v>
      </c>
      <c r="CI96" s="42">
        <v>-0.99926298329030772</v>
      </c>
      <c r="CJ96" s="40"/>
      <c r="CK96" s="43">
        <f t="shared" ref="CK96" si="2553">IF(BO96="","",(BO96-BO$10)*1000)</f>
        <v>-2.4801699696865853</v>
      </c>
      <c r="CL96" s="43">
        <f t="shared" ref="CL96" si="2554">IF(BP96="","",(BP96-BP$10)*1000)</f>
        <v>10.760053818553938</v>
      </c>
      <c r="CM96" s="43">
        <f t="shared" ref="CM96" si="2555">IF(BQ96="","",(BQ96-BQ$10)*1000)</f>
        <v>6.6248016997008108</v>
      </c>
      <c r="CN96" s="43">
        <f t="shared" ref="CN96" si="2556">IF(BR96="","",CN$59+(BR96-BR$59)*1000)</f>
        <v>-8.8872897264877793</v>
      </c>
      <c r="CO96" s="43">
        <f t="shared" ref="CO96" si="2557">IF(BS96="","",CO$59+(BS96-BS$59)*1000)</f>
        <v>7.7928709285655096</v>
      </c>
      <c r="CP96" s="43">
        <f t="shared" ref="CP96" si="2558">IF(BT96="","",CP$59+(BT96-BT$59)*1000)</f>
        <v>-4.4101271027550402</v>
      </c>
      <c r="CQ96" s="43"/>
      <c r="CR96" s="43"/>
      <c r="CS96" s="43"/>
      <c r="CT96" s="43">
        <f t="shared" ref="CT96" si="2559">IF(BX96="","",CT$59+(BX96-BX$59)*1000)</f>
        <v>-15.783571140644881</v>
      </c>
      <c r="CU96" s="43">
        <f t="shared" ref="CU96" si="2560">IF(BY96="","",CU$59+(BY96-BY$59)*1000)</f>
        <v>0.33095451978940038</v>
      </c>
      <c r="CV96" s="43">
        <f t="shared" ref="CV96" si="2561">IF(BZ96="","",CV$59+(BZ96-BZ$59)*1000)</f>
        <v>-81.03216428860182</v>
      </c>
      <c r="CW96" s="43"/>
      <c r="CX96" s="43"/>
      <c r="CY96" s="43"/>
      <c r="CZ96" s="43">
        <f t="shared" ref="CZ96" si="2562">IF(CD96="","",CZ$59+(CD96-CD$59)*1000)</f>
        <v>-4.7157446194034947</v>
      </c>
      <c r="DA96" s="43">
        <f t="shared" ref="DA96" si="2563">IF(CE96="","",DA$59+(CE96-CE$59)*1000)</f>
        <v>-21.946537197277571</v>
      </c>
      <c r="DB96" s="43">
        <f t="shared" ref="DB96" si="2564">IF(CF96="","",DB$59+(CF96-CF$59)*1000)</f>
        <v>0.46015744619919507</v>
      </c>
      <c r="DC96" s="43">
        <f t="shared" ref="DC96" si="2565">IF(CG96="","",(CG96-CG$10)*1000)</f>
        <v>-4.6167144803632709</v>
      </c>
      <c r="DD96" s="43">
        <f t="shared" ref="DD96" si="2566">IF(CH96="","",(CH96-CH$10)*1000)</f>
        <v>-28.193189897822268</v>
      </c>
      <c r="DE96" s="43">
        <f t="shared" ref="DE96" si="2567">IF(CI96="","",(CI96-CI$10)*1000)</f>
        <v>-9.3538328551971972</v>
      </c>
    </row>
    <row r="97" spans="1:109" ht="29.25" customHeight="1" x14ac:dyDescent="0.2">
      <c r="A97" s="37">
        <v>44945</v>
      </c>
      <c r="B97" s="29">
        <f t="shared" ref="B97" si="2568">IF(A97="","",A97-excav)</f>
        <v>1240</v>
      </c>
      <c r="C97" s="38">
        <v>222.9</v>
      </c>
      <c r="D97" s="38">
        <f t="shared" ref="D97" si="2569">IF(C97="","",+C97-$W$6)</f>
        <v>26.800000000000011</v>
      </c>
      <c r="E97" s="39">
        <v>823244.33259999997</v>
      </c>
      <c r="F97" s="39">
        <v>1091518.7737</v>
      </c>
      <c r="G97" s="39">
        <v>-124.5454</v>
      </c>
      <c r="H97" s="39">
        <v>823244.24210000003</v>
      </c>
      <c r="I97" s="39">
        <v>1091518.7653999999</v>
      </c>
      <c r="J97" s="39">
        <v>-123.61669999999999</v>
      </c>
      <c r="K97" s="39" t="e">
        <v>#N/A</v>
      </c>
      <c r="L97" s="39" t="e">
        <v>#N/A</v>
      </c>
      <c r="M97" s="39" t="e">
        <v>#N/A</v>
      </c>
      <c r="N97" s="39">
        <v>823245.50619999995</v>
      </c>
      <c r="O97" s="39">
        <v>1091516.0655</v>
      </c>
      <c r="P97" s="39">
        <v>-121.2915</v>
      </c>
      <c r="Q97" s="39" t="e">
        <v>#N/A</v>
      </c>
      <c r="R97" s="39" t="e">
        <v>#N/A</v>
      </c>
      <c r="S97" s="39" t="e">
        <v>#N/A</v>
      </c>
      <c r="T97" s="39">
        <v>823246.36069999996</v>
      </c>
      <c r="U97" s="39">
        <v>1091514.1192000001</v>
      </c>
      <c r="V97" s="39">
        <v>-123.60899999999999</v>
      </c>
      <c r="W97" s="39">
        <v>823246.4595</v>
      </c>
      <c r="X97" s="39">
        <v>1091514.1946</v>
      </c>
      <c r="Y97" s="39">
        <v>-124.58150000000001</v>
      </c>
      <c r="Z97" s="39">
        <f t="shared" si="1908"/>
        <v>4.3931252440510873</v>
      </c>
      <c r="AA97" s="39">
        <f t="shared" si="1909"/>
        <v>3.7807358885789228</v>
      </c>
      <c r="AB97" s="39"/>
      <c r="AC97" s="39"/>
      <c r="AD97" s="39">
        <f t="shared" si="1980"/>
        <v>3.1446876140312288</v>
      </c>
      <c r="AE97" s="39">
        <f t="shared" si="1981"/>
        <v>3.9029665256089308</v>
      </c>
      <c r="AF97" s="39"/>
      <c r="AG97" s="39">
        <f t="shared" si="1982"/>
        <v>5.1064370835483404</v>
      </c>
      <c r="AH97" s="39">
        <f t="shared" si="1913"/>
        <v>5.0490755223004982</v>
      </c>
      <c r="AI97" s="43">
        <f t="shared" ref="AI97" si="2570">IF(Z97="","",AI$59+(Z97-Z$59)*1000)</f>
        <v>-78.862756724878295</v>
      </c>
      <c r="AJ97" s="43">
        <f t="shared" ref="AJ97" si="2571">IF(AA97="","",AJ$59+(AA97-AA$59)*1000)</f>
        <v>-56.195382136011055</v>
      </c>
      <c r="AK97" s="43"/>
      <c r="AL97" s="43"/>
      <c r="AM97" s="43">
        <f t="shared" ref="AM97" si="2572">IF(AD97="","",AM$59+(AD97-AD$59)*1000)</f>
        <v>-71.448162715237459</v>
      </c>
      <c r="AN97" s="43">
        <f t="shared" ref="AN97" si="2573">IF(AE97="","",AN$59+(AE97-AE$59)*1000)</f>
        <v>-74.713637039747653</v>
      </c>
      <c r="AO97" s="43"/>
      <c r="AP97" s="43">
        <f t="shared" ref="AP97" si="2574">IF(AG97="","",AP$59+(AG97-AG$59)*1000)</f>
        <v>-30.069773427101154</v>
      </c>
      <c r="AQ97" s="43">
        <f t="shared" ref="AQ97" si="2575">IF(AH97="","",AQ$59+(AH97-AH$59)*1000)</f>
        <v>-39.091689147771724</v>
      </c>
      <c r="AR97" s="40"/>
      <c r="AS97" s="43">
        <f t="shared" ref="AS97" si="2576">IF(E97="","",(E97-E$10)*1000)</f>
        <v>2.199999988079071</v>
      </c>
      <c r="AT97" s="43">
        <f t="shared" ref="AT97" si="2577">IF(F97="","",(F97-F$10)*1000)</f>
        <v>-10.800000047311187</v>
      </c>
      <c r="AU97" s="43">
        <f t="shared" ref="AU97" si="2578">IF(G97="","",(G97-G$10)*1000)</f>
        <v>6.100000000003547</v>
      </c>
      <c r="AV97" s="43">
        <f t="shared" ref="AV97" si="2579">IF(H97="","",AV$59+(H97-H$59)*1000)</f>
        <v>-4.6999999321997166</v>
      </c>
      <c r="AW97" s="43">
        <f t="shared" ref="AW97" si="2580">IF(I97="","",AW$59+(I97-I$59)*1000)</f>
        <v>-10.699999984353781</v>
      </c>
      <c r="AX97" s="43">
        <f t="shared" ref="AX97" si="2581">IF(J97="","",AX$59+(J97-J$59)*1000)</f>
        <v>-4.9999999999954525</v>
      </c>
      <c r="AY97" s="43"/>
      <c r="AZ97" s="43"/>
      <c r="BA97" s="43"/>
      <c r="BB97" s="43">
        <f t="shared" ref="BB97" si="2582">IF(N97="","",BB$59+(N97-N$59)*1000)</f>
        <v>-14.40000010188669</v>
      </c>
      <c r="BC97" s="43">
        <f t="shared" ref="BC97" si="2583">IF(O97="","",BC$59+(O97-O$59)*1000)</f>
        <v>-6.9999999832361937</v>
      </c>
      <c r="BD97" s="43">
        <f t="shared" ref="BD97" si="2584">IF(P97="","",BD$59+(P97-P$59)*1000)</f>
        <v>-81.899999999990314</v>
      </c>
      <c r="BE97" s="43"/>
      <c r="BF97" s="43"/>
      <c r="BG97" s="43"/>
      <c r="BH97" s="43">
        <f t="shared" ref="BH97" si="2585">IF(T97="","",BH$59+(T97-T$59)*1000)</f>
        <v>-13.40000017080456</v>
      </c>
      <c r="BI97" s="43">
        <f t="shared" ref="BI97" si="2586">IF(U97="","",BI$59+(U97-U$59)*1000)</f>
        <v>18.200000049546361</v>
      </c>
      <c r="BJ97" s="43">
        <f t="shared" ref="BJ97" si="2587">IF(V97="","",BJ$59+(V97-V$59)*1000)</f>
        <v>1.4210854715202004E-11</v>
      </c>
      <c r="BK97" s="43">
        <f t="shared" ref="BK97" si="2588">IF(W97="","",(W97-W$10)*1000)</f>
        <v>-16.100000008009374</v>
      </c>
      <c r="BL97" s="43">
        <f t="shared" ref="BL97" si="2589">IF(X97="","",(X97-X$10)*1000)</f>
        <v>23.900000145658851</v>
      </c>
      <c r="BM97" s="43">
        <f t="shared" ref="BM97" si="2590">IF(Y97="","",(Y97-Y$10)*1000)</f>
        <v>-9.7000000000093678</v>
      </c>
      <c r="BN97" s="40"/>
      <c r="BO97" s="39">
        <v>196.10219838463374</v>
      </c>
      <c r="BP97" s="39">
        <v>-2.526483236154494</v>
      </c>
      <c r="BQ97" s="39">
        <v>-0.9635419838463406</v>
      </c>
      <c r="BR97" s="39">
        <v>196.01667094251843</v>
      </c>
      <c r="BS97" s="39">
        <v>-2.5572110189379358</v>
      </c>
      <c r="BT97" s="39">
        <v>-3.3986709425178674E-2</v>
      </c>
      <c r="BU97" s="42" t="e">
        <v>#VALUE!</v>
      </c>
      <c r="BV97" s="42" t="s">
        <v>77</v>
      </c>
      <c r="BW97" s="42" t="s">
        <v>77</v>
      </c>
      <c r="BX97" s="41">
        <v>196.02119655977896</v>
      </c>
      <c r="BY97" s="42">
        <v>0.42396129040232688</v>
      </c>
      <c r="BZ97" s="42">
        <v>2.2911680344022045</v>
      </c>
      <c r="CA97" s="42" t="e">
        <v>#VALUE!</v>
      </c>
      <c r="CB97" s="42" t="s">
        <v>77</v>
      </c>
      <c r="CC97" s="42" t="s">
        <v>77</v>
      </c>
      <c r="CD97" s="41">
        <v>195.97301550857688</v>
      </c>
      <c r="CE97" s="42">
        <v>2.5490336482636873</v>
      </c>
      <c r="CF97" s="42">
        <v>-2.5850155085763049E-2</v>
      </c>
      <c r="CG97" s="41">
        <v>196.09442512461558</v>
      </c>
      <c r="CH97" s="42">
        <v>2.5224572463945587</v>
      </c>
      <c r="CI97" s="42">
        <v>-0.99956425124616999</v>
      </c>
      <c r="CJ97" s="40"/>
      <c r="CK97" s="43">
        <f t="shared" ref="CK97" si="2591">IF(BO97="","",(BO97-BO$10)*1000)</f>
        <v>-2.5707992316483796</v>
      </c>
      <c r="CL97" s="43">
        <f t="shared" ref="CL97" si="2592">IF(BP97="","",(BP97-BP$10)*1000)</f>
        <v>10.71778859093131</v>
      </c>
      <c r="CM97" s="43">
        <f t="shared" ref="CM97" si="2593">IF(BQ97="","",(BQ97-BQ$10)*1000)</f>
        <v>6.1257079923251467</v>
      </c>
      <c r="CN97" s="43">
        <f t="shared" ref="CN97" si="2594">IF(BR97="","",CN$59+(BR97-BR$59)*1000)</f>
        <v>-8.7543953353304005</v>
      </c>
      <c r="CO97" s="43">
        <f t="shared" ref="CO97" si="2595">IF(BS97="","",CO$59+(BS97-BS$59)*1000)</f>
        <v>7.7445071052077985</v>
      </c>
      <c r="CP97" s="43">
        <f t="shared" ref="CP97" si="2596">IF(BT97="","",CP$59+(BT97-BT$59)*1000)</f>
        <v>-4.911456046652801</v>
      </c>
      <c r="CQ97" s="43"/>
      <c r="CR97" s="43"/>
      <c r="CS97" s="43"/>
      <c r="CT97" s="43">
        <f t="shared" ref="CT97" si="2597">IF(BX97="","",CT$59+(BX97-BX$59)*1000)</f>
        <v>-15.964829559095506</v>
      </c>
      <c r="CU97" s="43">
        <f t="shared" ref="CU97" si="2598">IF(BY97="","",CU$59+(BY97-BY$59)*1000)</f>
        <v>0.24642411374745099</v>
      </c>
      <c r="CV97" s="43">
        <f t="shared" ref="CV97" si="2599">IF(BZ97="","",CV$59+(BZ97-BZ$59)*1000)</f>
        <v>-81.730351704409003</v>
      </c>
      <c r="CW97" s="43"/>
      <c r="CX97" s="43"/>
      <c r="CY97" s="43"/>
      <c r="CZ97" s="43">
        <f t="shared" ref="CZ97" si="2600">IF(CD97="","",CZ$59+(CD97-CD$59)*1000)</f>
        <v>-4.4076905180929771</v>
      </c>
      <c r="DA97" s="43">
        <f t="shared" ref="DA97" si="2601">IF(CE97="","",DA$59+(CE97-CE$59)*1000)</f>
        <v>-22.133894577186286</v>
      </c>
      <c r="DB97" s="43">
        <f t="shared" ref="DB97" si="2602">IF(CF97="","",DB$59+(CF97-CF$59)*1000)</f>
        <v>5.7076905193843341E-2</v>
      </c>
      <c r="DC97" s="43">
        <f t="shared" ref="DC97" si="2603">IF(CG97="","",(CG97-CG$10)*1000)</f>
        <v>-4.4899188959277581</v>
      </c>
      <c r="DD97" s="43">
        <f t="shared" ref="DD97" si="2604">IF(CH97="","",(CH97-CH$10)*1000)</f>
        <v>-28.465077472732858</v>
      </c>
      <c r="DE97" s="43">
        <f t="shared" ref="DE97" si="2605">IF(CI97="","",(CI97-CI$10)*1000)</f>
        <v>-9.6551008110594694</v>
      </c>
    </row>
    <row r="98" spans="1:109" ht="29.25" customHeight="1" x14ac:dyDescent="0.2">
      <c r="A98" s="37">
        <v>44957</v>
      </c>
      <c r="B98" s="29">
        <f t="shared" ref="B98" si="2606">IF(A98="","",A98-excav)</f>
        <v>1252</v>
      </c>
      <c r="C98" s="38">
        <v>222.9</v>
      </c>
      <c r="D98" s="38">
        <f t="shared" ref="D98" si="2607">IF(C98="","",+C98-$W$6)</f>
        <v>26.800000000000011</v>
      </c>
      <c r="E98" s="39">
        <v>823244.33259999997</v>
      </c>
      <c r="F98" s="39">
        <v>1091518.7738000001</v>
      </c>
      <c r="G98" s="39">
        <v>-124.5454</v>
      </c>
      <c r="H98" s="39">
        <v>823244.2415</v>
      </c>
      <c r="I98" s="39">
        <v>1091518.7651</v>
      </c>
      <c r="J98" s="39">
        <v>-123.6165</v>
      </c>
      <c r="K98" s="39" t="e">
        <v>#N/A</v>
      </c>
      <c r="L98" s="39" t="e">
        <v>#N/A</v>
      </c>
      <c r="M98" s="39" t="e">
        <v>#N/A</v>
      </c>
      <c r="N98" s="39">
        <v>823245.50650000002</v>
      </c>
      <c r="O98" s="39">
        <v>1091516.0654</v>
      </c>
      <c r="P98" s="39">
        <v>-121.2912</v>
      </c>
      <c r="Q98" s="39" t="e">
        <v>#N/A</v>
      </c>
      <c r="R98" s="39" t="e">
        <v>#N/A</v>
      </c>
      <c r="S98" s="39" t="e">
        <v>#N/A</v>
      </c>
      <c r="T98" s="39">
        <v>823246.36029999994</v>
      </c>
      <c r="U98" s="39">
        <v>1091514.1185999999</v>
      </c>
      <c r="V98" s="39">
        <v>-123.60890000000001</v>
      </c>
      <c r="W98" s="39">
        <v>823246.4595</v>
      </c>
      <c r="X98" s="39">
        <v>1091514.1942</v>
      </c>
      <c r="Y98" s="39">
        <v>-124.58159999999999</v>
      </c>
      <c r="Z98" s="39">
        <f t="shared" si="1908"/>
        <v>4.3935508886060548</v>
      </c>
      <c r="AA98" s="39">
        <f t="shared" si="1909"/>
        <v>3.7809555908554726</v>
      </c>
      <c r="AB98" s="39"/>
      <c r="AC98" s="39"/>
      <c r="AD98" s="39">
        <f t="shared" si="1980"/>
        <v>3.1449543669192277</v>
      </c>
      <c r="AE98" s="39">
        <f t="shared" si="1981"/>
        <v>3.9033742582182787</v>
      </c>
      <c r="AF98" s="39"/>
      <c r="AG98" s="39">
        <f t="shared" si="1982"/>
        <v>5.1067928732261114</v>
      </c>
      <c r="AH98" s="39">
        <f t="shared" si="1913"/>
        <v>5.0495297019271685</v>
      </c>
      <c r="AI98" s="43">
        <f t="shared" ref="AI98" si="2608">IF(Z98="","",AI$59+(Z98-Z$59)*1000)</f>
        <v>-78.437112169910776</v>
      </c>
      <c r="AJ98" s="43">
        <f t="shared" ref="AJ98" si="2609">IF(AA98="","",AJ$59+(AA98-AA$59)*1000)</f>
        <v>-55.97567985946128</v>
      </c>
      <c r="AK98" s="43"/>
      <c r="AL98" s="43"/>
      <c r="AM98" s="43">
        <f t="shared" ref="AM98" si="2610">IF(AD98="","",AM$59+(AD98-AD$59)*1000)</f>
        <v>-71.181409827238525</v>
      </c>
      <c r="AN98" s="43">
        <f t="shared" ref="AN98" si="2611">IF(AE98="","",AN$59+(AE98-AE$59)*1000)</f>
        <v>-74.30590443039975</v>
      </c>
      <c r="AO98" s="43"/>
      <c r="AP98" s="43">
        <f t="shared" ref="AP98" si="2612">IF(AG98="","",AP$59+(AG98-AG$59)*1000)</f>
        <v>-29.713983749330097</v>
      </c>
      <c r="AQ98" s="43">
        <f t="shared" ref="AQ98" si="2613">IF(AH98="","",AQ$59+(AH98-AH$59)*1000)</f>
        <v>-38.637509521101343</v>
      </c>
      <c r="AR98" s="40"/>
      <c r="AS98" s="43">
        <f t="shared" ref="AS98" si="2614">IF(E98="","",(E98-E$10)*1000)</f>
        <v>2.199999988079071</v>
      </c>
      <c r="AT98" s="43">
        <f t="shared" ref="AT98" si="2615">IF(F98="","",(F98-F$10)*1000)</f>
        <v>-10.699999984353781</v>
      </c>
      <c r="AU98" s="43">
        <f t="shared" ref="AU98" si="2616">IF(G98="","",(G98-G$10)*1000)</f>
        <v>6.100000000003547</v>
      </c>
      <c r="AV98" s="43">
        <f t="shared" ref="AV98" si="2617">IF(H98="","",AV$59+(H98-H$59)*1000)</f>
        <v>-5.2999999606981874</v>
      </c>
      <c r="AW98" s="43">
        <f t="shared" ref="AW98" si="2618">IF(I98="","",AW$59+(I98-I$59)*1000)</f>
        <v>-10.999999940395355</v>
      </c>
      <c r="AX98" s="43">
        <f t="shared" ref="AX98" si="2619">IF(J98="","",AX$59+(J98-J$59)*1000)</f>
        <v>-4.8000000000030241</v>
      </c>
      <c r="AY98" s="43"/>
      <c r="AZ98" s="43"/>
      <c r="BA98" s="43"/>
      <c r="BB98" s="43">
        <f t="shared" ref="BB98" si="2620">IF(N98="","",BB$59+(N98-N$59)*1000)</f>
        <v>-14.100000029429793</v>
      </c>
      <c r="BC98" s="43">
        <f t="shared" ref="BC98" si="2621">IF(O98="","",BC$59+(O98-O$59)*1000)</f>
        <v>-7.1000000461935997</v>
      </c>
      <c r="BD98" s="43">
        <f t="shared" ref="BD98" si="2622">IF(P98="","",BD$59+(P98-P$59)*1000)</f>
        <v>-81.599999999994566</v>
      </c>
      <c r="BE98" s="43"/>
      <c r="BF98" s="43"/>
      <c r="BG98" s="43"/>
      <c r="BH98" s="43">
        <f t="shared" ref="BH98" si="2623">IF(T98="","",BH$59+(T98-T$59)*1000)</f>
        <v>-13.800000189803541</v>
      </c>
      <c r="BI98" s="43">
        <f t="shared" ref="BI98" si="2624">IF(U98="","",BI$59+(U98-U$59)*1000)</f>
        <v>17.599999904632568</v>
      </c>
      <c r="BJ98" s="43">
        <f t="shared" ref="BJ98" si="2625">IF(V98="","",BJ$59+(V98-V$59)*1000)</f>
        <v>0.10000000000331966</v>
      </c>
      <c r="BK98" s="43">
        <f t="shared" ref="BK98" si="2626">IF(W98="","",(W98-W$10)*1000)</f>
        <v>-16.100000008009374</v>
      </c>
      <c r="BL98" s="43">
        <f t="shared" ref="BL98" si="2627">IF(X98="","",(X98-X$10)*1000)</f>
        <v>23.50000012665987</v>
      </c>
      <c r="BM98" s="43">
        <f t="shared" ref="BM98" si="2628">IF(Y98="","",(Y98-Y$10)*1000)</f>
        <v>-9.7999999999984766</v>
      </c>
      <c r="BN98" s="40"/>
      <c r="BO98" s="39">
        <v>196.10224064986139</v>
      </c>
      <c r="BP98" s="39">
        <v>-2.5265738654164589</v>
      </c>
      <c r="BQ98" s="39">
        <v>-0.96354240649861822</v>
      </c>
      <c r="BR98" s="39">
        <v>196.01600037167864</v>
      </c>
      <c r="BS98" s="39">
        <v>-2.5571927225811293</v>
      </c>
      <c r="BT98" s="39">
        <v>-3.3780003716785245E-2</v>
      </c>
      <c r="BU98" s="42" t="e">
        <v>#VALUE!</v>
      </c>
      <c r="BV98" s="42" t="s">
        <v>77</v>
      </c>
      <c r="BW98" s="42" t="s">
        <v>77</v>
      </c>
      <c r="BX98" s="41">
        <v>196.02142618223175</v>
      </c>
      <c r="BY98" s="42">
        <v>0.42417871529796769</v>
      </c>
      <c r="BZ98" s="42">
        <v>2.2914657381776777</v>
      </c>
      <c r="CA98" s="42" t="e">
        <v>#VALUE!</v>
      </c>
      <c r="CB98" s="42" t="s">
        <v>77</v>
      </c>
      <c r="CC98" s="42" t="s">
        <v>77</v>
      </c>
      <c r="CD98" s="41">
        <v>195.97239940047268</v>
      </c>
      <c r="CE98" s="42">
        <v>2.5494083628124549</v>
      </c>
      <c r="CF98" s="42">
        <v>-2.5743994004741921E-2</v>
      </c>
      <c r="CG98" s="41">
        <v>196.09425606380353</v>
      </c>
      <c r="CH98" s="42">
        <v>2.5228197632314271</v>
      </c>
      <c r="CI98" s="42">
        <v>-0.99966256063802916</v>
      </c>
      <c r="CJ98" s="40"/>
      <c r="CK98" s="43">
        <f t="shared" ref="CK98" si="2629">IF(BO98="","",(BO98-BO$10)*1000)</f>
        <v>-2.5285340039999937</v>
      </c>
      <c r="CL98" s="43">
        <f t="shared" ref="CL98" si="2630">IF(BP98="","",(BP98-BP$10)*1000)</f>
        <v>10.627159328966407</v>
      </c>
      <c r="CM98" s="43">
        <f t="shared" ref="CM98" si="2631">IF(BQ98="","",(BQ98-BQ$10)*1000)</f>
        <v>6.125285340047526</v>
      </c>
      <c r="CN98" s="43">
        <f t="shared" ref="CN98" si="2632">IF(BR98="","",CN$59+(BR98-BR$59)*1000)</f>
        <v>-9.4249661751177882</v>
      </c>
      <c r="CO98" s="43">
        <f t="shared" ref="CO98" si="2633">IF(BS98="","",CO$59+(BS98-BS$59)*1000)</f>
        <v>7.7628034620143005</v>
      </c>
      <c r="CP98" s="43">
        <f t="shared" ref="CP98" si="2634">IF(BT98="","",CP$59+(BT98-BT$59)*1000)</f>
        <v>-4.7047503382593723</v>
      </c>
      <c r="CQ98" s="43"/>
      <c r="CR98" s="43"/>
      <c r="CS98" s="43"/>
      <c r="CT98" s="43">
        <f t="shared" ref="CT98" si="2635">IF(BX98="","",CT$59+(BX98-BX$59)*1000)</f>
        <v>-15.735207106303051</v>
      </c>
      <c r="CU98" s="43">
        <f t="shared" ref="CU98" si="2636">IF(BY98="","",CU$59+(BY98-BY$59)*1000)</f>
        <v>0.46384900938825635</v>
      </c>
      <c r="CV98" s="43">
        <f t="shared" ref="CV98" si="2637">IF(BZ98="","",CV$59+(BZ98-BZ$59)*1000)</f>
        <v>-81.432647928935779</v>
      </c>
      <c r="CW98" s="43"/>
      <c r="CX98" s="43"/>
      <c r="CY98" s="43"/>
      <c r="CZ98" s="43">
        <f t="shared" ref="CZ98" si="2638">IF(CD98="","",CZ$59+(CD98-CD$59)*1000)</f>
        <v>-5.0237986222896325</v>
      </c>
      <c r="DA98" s="43">
        <f t="shared" ref="DA98" si="2639">IF(CE98="","",DA$59+(CE98-CE$59)*1000)</f>
        <v>-21.759180028418701</v>
      </c>
      <c r="DB98" s="43">
        <f t="shared" ref="DB98" si="2640">IF(CF98="","",DB$59+(CF98-CF$59)*1000)</f>
        <v>0.1632379862149711</v>
      </c>
      <c r="DC98" s="43">
        <f t="shared" ref="DC98" si="2641">IF(CG98="","",(CG98-CG$10)*1000)</f>
        <v>-4.6589797079832351</v>
      </c>
      <c r="DD98" s="43">
        <f t="shared" ref="DD98" si="2642">IF(CH98="","",(CH98-CH$10)*1000)</f>
        <v>-28.102560635864471</v>
      </c>
      <c r="DE98" s="43">
        <f t="shared" ref="DE98" si="2643">IF(CI98="","",(CI98-CI$10)*1000)</f>
        <v>-9.7534102029186442</v>
      </c>
    </row>
    <row r="99" spans="1:109" ht="29.25" customHeight="1" x14ac:dyDescent="0.2">
      <c r="A99" s="37">
        <v>44988</v>
      </c>
      <c r="B99" s="29">
        <f t="shared" ref="B99" si="2644">IF(A99="","",A99-excav)</f>
        <v>1283</v>
      </c>
      <c r="C99" s="38">
        <v>222.9</v>
      </c>
      <c r="D99" s="38">
        <f t="shared" ref="D99" si="2645">IF(C99="","",+C99-$W$6)</f>
        <v>26.800000000000011</v>
      </c>
      <c r="E99" s="39">
        <v>823244.33319999999</v>
      </c>
      <c r="F99" s="39">
        <v>1091518.7738999999</v>
      </c>
      <c r="G99" s="39">
        <v>-124.5449</v>
      </c>
      <c r="H99" s="39">
        <v>823244.24199999997</v>
      </c>
      <c r="I99" s="39">
        <v>1091518.7651</v>
      </c>
      <c r="J99" s="39">
        <v>-123.6161</v>
      </c>
      <c r="K99" s="39" t="e">
        <v>#N/A</v>
      </c>
      <c r="L99" s="39" t="e">
        <v>#N/A</v>
      </c>
      <c r="M99" s="39" t="e">
        <v>#N/A</v>
      </c>
      <c r="N99" s="39">
        <v>823245.50690000004</v>
      </c>
      <c r="O99" s="39">
        <v>1091516.0649999999</v>
      </c>
      <c r="P99" s="39">
        <v>-121.2907</v>
      </c>
      <c r="Q99" s="39" t="e">
        <v>#N/A</v>
      </c>
      <c r="R99" s="39" t="e">
        <v>#N/A</v>
      </c>
      <c r="S99" s="39" t="e">
        <v>#N/A</v>
      </c>
      <c r="T99" s="39">
        <v>823246.36129999999</v>
      </c>
      <c r="U99" s="39">
        <v>1091514.1181000001</v>
      </c>
      <c r="V99" s="39">
        <v>-123.6083</v>
      </c>
      <c r="W99" s="39">
        <v>823246.45959999994</v>
      </c>
      <c r="X99" s="39">
        <v>1091514.1938</v>
      </c>
      <c r="Y99" s="39">
        <v>-124.581</v>
      </c>
      <c r="Z99" s="39">
        <f t="shared" si="1908"/>
        <v>4.3938057012038492</v>
      </c>
      <c r="AA99" s="39">
        <f t="shared" si="1909"/>
        <v>3.7812692551918468</v>
      </c>
      <c r="AB99" s="39"/>
      <c r="AC99" s="39"/>
      <c r="AD99" s="39">
        <f t="shared" si="1980"/>
        <v>3.1451055195957203</v>
      </c>
      <c r="AE99" s="39">
        <f t="shared" si="1981"/>
        <v>3.903216727211432</v>
      </c>
      <c r="AF99" s="39"/>
      <c r="AG99" s="39">
        <f t="shared" si="1982"/>
        <v>5.107455563093831</v>
      </c>
      <c r="AH99" s="39">
        <f t="shared" si="1913"/>
        <v>5.049771893750659</v>
      </c>
      <c r="AI99" s="43">
        <f t="shared" ref="AI99" si="2646">IF(Z99="","",AI$59+(Z99-Z$59)*1000)</f>
        <v>-78.18229957211642</v>
      </c>
      <c r="AJ99" s="43">
        <f t="shared" ref="AJ99" si="2647">IF(AA99="","",AJ$59+(AA99-AA$59)*1000)</f>
        <v>-55.662015523087142</v>
      </c>
      <c r="AK99" s="43"/>
      <c r="AL99" s="43"/>
      <c r="AM99" s="43">
        <f t="shared" ref="AM99" si="2648">IF(AD99="","",AM$59+(AD99-AD$59)*1000)</f>
        <v>-71.030257150745967</v>
      </c>
      <c r="AN99" s="43">
        <f t="shared" ref="AN99" si="2649">IF(AE99="","",AN$59+(AE99-AE$59)*1000)</f>
        <v>-74.463435437246432</v>
      </c>
      <c r="AO99" s="43"/>
      <c r="AP99" s="43">
        <f t="shared" ref="AP99" si="2650">IF(AG99="","",AP$59+(AG99-AG$59)*1000)</f>
        <v>-29.05129388161054</v>
      </c>
      <c r="AQ99" s="43">
        <f t="shared" ref="AQ99" si="2651">IF(AH99="","",AQ$59+(AH99-AH$59)*1000)</f>
        <v>-38.395317697610842</v>
      </c>
      <c r="AR99" s="40"/>
      <c r="AS99" s="43">
        <f t="shared" ref="AS99" si="2652">IF(E99="","",(E99-E$10)*1000)</f>
        <v>2.8000000165775418</v>
      </c>
      <c r="AT99" s="43">
        <f t="shared" ref="AT99" si="2653">IF(F99="","",(F99-F$10)*1000)</f>
        <v>-10.600000154227018</v>
      </c>
      <c r="AU99" s="43">
        <f t="shared" ref="AU99" si="2654">IF(G99="","",(G99-G$10)*1000)</f>
        <v>6.6000000000059345</v>
      </c>
      <c r="AV99" s="43">
        <f t="shared" ref="AV99" si="2655">IF(H99="","",AV$59+(H99-H$59)*1000)</f>
        <v>-4.7999999951571226</v>
      </c>
      <c r="AW99" s="43">
        <f t="shared" ref="AW99" si="2656">IF(I99="","",AW$59+(I99-I$59)*1000)</f>
        <v>-10.999999940395355</v>
      </c>
      <c r="AX99" s="43">
        <f t="shared" ref="AX99" si="2657">IF(J99="","",AX$59+(J99-J$59)*1000)</f>
        <v>-4.4000000000039563</v>
      </c>
      <c r="AY99" s="43"/>
      <c r="AZ99" s="43"/>
      <c r="BA99" s="43"/>
      <c r="BB99" s="43">
        <f t="shared" ref="BB99" si="2658">IF(N99="","",BB$59+(N99-N$59)*1000)</f>
        <v>-13.700000010430813</v>
      </c>
      <c r="BC99" s="43">
        <f t="shared" ref="BC99" si="2659">IF(O99="","",BC$59+(O99-O$59)*1000)</f>
        <v>-7.5000000651925802</v>
      </c>
      <c r="BD99" s="43">
        <f t="shared" ref="BD99" si="2660">IF(P99="","",BD$59+(P99-P$59)*1000)</f>
        <v>-81.099999999992178</v>
      </c>
      <c r="BE99" s="43"/>
      <c r="BF99" s="43"/>
      <c r="BG99" s="43"/>
      <c r="BH99" s="43">
        <f t="shared" ref="BH99" si="2661">IF(T99="","",BH$59+(T99-T$59)*1000)</f>
        <v>-12.800000142306089</v>
      </c>
      <c r="BI99" s="43">
        <f t="shared" ref="BI99" si="2662">IF(U99="","",BI$59+(U99-U$59)*1000)</f>
        <v>17.100000055506825</v>
      </c>
      <c r="BJ99" s="43">
        <f t="shared" ref="BJ99" si="2663">IF(V99="","",BJ$59+(V99-V$59)*1000)</f>
        <v>0.70000000000902673</v>
      </c>
      <c r="BK99" s="43">
        <f t="shared" ref="BK99" si="2664">IF(W99="","",(W99-W$10)*1000)</f>
        <v>-16.00000006146729</v>
      </c>
      <c r="BL99" s="43">
        <f t="shared" ref="BL99" si="2665">IF(X99="","",(X99-X$10)*1000)</f>
        <v>23.10000010766089</v>
      </c>
      <c r="BM99" s="43">
        <f t="shared" ref="BM99" si="2666">IF(Y99="","",(Y99-Y$10)*1000)</f>
        <v>-9.2000000000069804</v>
      </c>
      <c r="BN99" s="40"/>
      <c r="BO99" s="39">
        <v>196.10282669024591</v>
      </c>
      <c r="BP99" s="39">
        <v>-2.5264109032493356</v>
      </c>
      <c r="BQ99" s="39">
        <v>-0.96304826690246159</v>
      </c>
      <c r="BR99" s="39">
        <v>196.01645351767201</v>
      </c>
      <c r="BS99" s="39">
        <v>-2.5569813965906132</v>
      </c>
      <c r="BT99" s="39">
        <v>-3.3384535176722352E-2</v>
      </c>
      <c r="BU99" s="42" t="e">
        <v>#VALUE!</v>
      </c>
      <c r="BV99" s="42" t="s">
        <v>77</v>
      </c>
      <c r="BW99" s="42" t="s">
        <v>77</v>
      </c>
      <c r="BX99" s="41">
        <v>196.02161963825657</v>
      </c>
      <c r="BY99" s="42">
        <v>0.42471029294691315</v>
      </c>
      <c r="BZ99" s="42">
        <v>2.2919638036174348</v>
      </c>
      <c r="CA99" s="42" t="e">
        <v>#VALUE!</v>
      </c>
      <c r="CB99" s="42" t="s">
        <v>77</v>
      </c>
      <c r="CC99" s="42" t="s">
        <v>77</v>
      </c>
      <c r="CD99" s="41">
        <v>195.9730943666236</v>
      </c>
      <c r="CE99" s="42">
        <v>2.5502841607304814</v>
      </c>
      <c r="CF99" s="42">
        <v>-2.5150943666233161E-2</v>
      </c>
      <c r="CG99" s="41">
        <v>196.09417763214793</v>
      </c>
      <c r="CH99" s="42">
        <v>2.5232245452467255</v>
      </c>
      <c r="CI99" s="42">
        <v>-0.99906177632148285</v>
      </c>
      <c r="CJ99" s="40"/>
      <c r="CK99" s="43">
        <f t="shared" ref="CK99" si="2667">IF(BO99="","",(BO99-BO$10)*1000)</f>
        <v>-1.9424936194809561</v>
      </c>
      <c r="CL99" s="43">
        <f t="shared" ref="CL99" si="2668">IF(BP99="","",(BP99-BP$10)*1000)</f>
        <v>10.790121496089711</v>
      </c>
      <c r="CM99" s="43">
        <f t="shared" ref="CM99" si="2669">IF(BQ99="","",(BQ99-BQ$10)*1000)</f>
        <v>6.6194249362041546</v>
      </c>
      <c r="CN99" s="43">
        <f t="shared" ref="CN99" si="2670">IF(BR99="","",CN$59+(BR99-BR$59)*1000)</f>
        <v>-8.9718201817561294</v>
      </c>
      <c r="CO99" s="43">
        <f t="shared" ref="CO99" si="2671">IF(BS99="","",CO$59+(BS99-BS$59)*1000)</f>
        <v>7.9741294525303985</v>
      </c>
      <c r="CP99" s="43">
        <f t="shared" ref="CP99" si="2672">IF(BT99="","",CP$59+(BT99-BT$59)*1000)</f>
        <v>-4.3092817981964791</v>
      </c>
      <c r="CQ99" s="43"/>
      <c r="CR99" s="43"/>
      <c r="CS99" s="43"/>
      <c r="CT99" s="43">
        <f t="shared" ref="CT99" si="2673">IF(BX99="","",CT$59+(BX99-BX$59)*1000)</f>
        <v>-15.5417510814857</v>
      </c>
      <c r="CU99" s="43">
        <f t="shared" ref="CU99" si="2674">IF(BY99="","",CU$59+(BY99-BY$59)*1000)</f>
        <v>0.99542665833371458</v>
      </c>
      <c r="CV99" s="43">
        <f t="shared" ref="CV99" si="2675">IF(BZ99="","",CV$59+(BZ99-BZ$59)*1000)</f>
        <v>-80.934582489178723</v>
      </c>
      <c r="CW99" s="43"/>
      <c r="CX99" s="43"/>
      <c r="CY99" s="43"/>
      <c r="CZ99" s="43">
        <f t="shared" ref="CZ99" si="2676">IF(CD99="","",CZ$59+(CD99-CD$59)*1000)</f>
        <v>-4.3288324713728343</v>
      </c>
      <c r="DA99" s="43">
        <f t="shared" ref="DA99" si="2677">IF(CE99="","",DA$59+(CE99-CE$59)*1000)</f>
        <v>-20.883382110392201</v>
      </c>
      <c r="DB99" s="43">
        <f t="shared" ref="DB99" si="2678">IF(CF99="","",DB$59+(CF99-CF$59)*1000)</f>
        <v>0.75628832472373153</v>
      </c>
      <c r="DC99" s="43">
        <f t="shared" ref="DC99" si="2679">IF(CG99="","",(CG99-CG$10)*1000)</f>
        <v>-4.7374113635783033</v>
      </c>
      <c r="DD99" s="43">
        <f t="shared" ref="DD99" si="2680">IF(CH99="","",(CH99-CH$10)*1000)</f>
        <v>-27.697778620566105</v>
      </c>
      <c r="DE99" s="43">
        <f t="shared" ref="DE99" si="2681">IF(CI99="","",(CI99-CI$10)*1000)</f>
        <v>-9.1526258863723342</v>
      </c>
    </row>
    <row r="100" spans="1:109" ht="29.25" customHeight="1" x14ac:dyDescent="0.2">
      <c r="A100" s="37">
        <v>45013</v>
      </c>
      <c r="B100" s="29">
        <f t="shared" ref="B100" si="2682">IF(A100="","",A100-excav)</f>
        <v>1308</v>
      </c>
      <c r="C100" s="38">
        <v>222.9</v>
      </c>
      <c r="D100" s="38">
        <f t="shared" ref="D100" si="2683">IF(C100="","",+C100-$W$6)</f>
        <v>26.800000000000011</v>
      </c>
      <c r="E100" s="39">
        <v>823244.3334</v>
      </c>
      <c r="F100" s="39">
        <v>1091518.7741</v>
      </c>
      <c r="G100" s="39">
        <v>-124.545</v>
      </c>
      <c r="H100" s="39">
        <v>823244.24210000003</v>
      </c>
      <c r="I100" s="39">
        <v>1091518.7655</v>
      </c>
      <c r="J100" s="39">
        <v>-123.6165</v>
      </c>
      <c r="K100" s="39" t="e">
        <v>#N/A</v>
      </c>
      <c r="L100" s="39" t="e">
        <v>#N/A</v>
      </c>
      <c r="M100" s="39" t="e">
        <v>#N/A</v>
      </c>
      <c r="N100" s="39">
        <v>823245.50679999997</v>
      </c>
      <c r="O100" s="39">
        <v>1091516.0656000001</v>
      </c>
      <c r="P100" s="39">
        <v>-121.2916</v>
      </c>
      <c r="Q100" s="39" t="e">
        <v>#N/A</v>
      </c>
      <c r="R100" s="39" t="e">
        <v>#N/A</v>
      </c>
      <c r="S100" s="39" t="e">
        <v>#N/A</v>
      </c>
      <c r="T100" s="39">
        <v>823246.36080000002</v>
      </c>
      <c r="U100" s="39">
        <v>1091514.1189999999</v>
      </c>
      <c r="V100" s="39">
        <v>-123.6087</v>
      </c>
      <c r="W100" s="39">
        <v>823246.45920000004</v>
      </c>
      <c r="X100" s="39">
        <v>1091514.1945</v>
      </c>
      <c r="Y100" s="39">
        <v>-124.5813</v>
      </c>
      <c r="Z100" s="39">
        <f t="shared" si="1908"/>
        <v>4.392886450804129</v>
      </c>
      <c r="AA100" s="39">
        <f t="shared" si="1909"/>
        <v>3.7807520560413184</v>
      </c>
      <c r="AB100" s="39"/>
      <c r="AC100" s="39"/>
      <c r="AD100" s="39">
        <f t="shared" si="1980"/>
        <v>3.1444427122521339</v>
      </c>
      <c r="AE100" s="39">
        <f t="shared" si="1981"/>
        <v>3.9025897889125281</v>
      </c>
      <c r="AF100" s="39"/>
      <c r="AG100" s="39">
        <f t="shared" si="1982"/>
        <v>5.106751685784177</v>
      </c>
      <c r="AH100" s="39">
        <f t="shared" si="1913"/>
        <v>5.0490671901520532</v>
      </c>
      <c r="AI100" s="43">
        <f t="shared" ref="AI100" si="2684">IF(Z100="","",AI$59+(Z100-Z$59)*1000)</f>
        <v>-79.10154997183659</v>
      </c>
      <c r="AJ100" s="43">
        <f t="shared" ref="AJ100" si="2685">IF(AA100="","",AJ$59+(AA100-AA$59)*1000)</f>
        <v>-56.179214673615533</v>
      </c>
      <c r="AK100" s="43"/>
      <c r="AL100" s="43"/>
      <c r="AM100" s="43">
        <f t="shared" ref="AM100" si="2686">IF(AD100="","",AM$59+(AD100-AD$59)*1000)</f>
        <v>-71.693064494332333</v>
      </c>
      <c r="AN100" s="43">
        <f t="shared" ref="AN100" si="2687">IF(AE100="","",AN$59+(AE100-AE$59)*1000)</f>
        <v>-75.090373736150354</v>
      </c>
      <c r="AO100" s="43"/>
      <c r="AP100" s="43">
        <f t="shared" ref="AP100" si="2688">IF(AG100="","",AP$59+(AG100-AG$59)*1000)</f>
        <v>-29.755171191264473</v>
      </c>
      <c r="AQ100" s="43">
        <f t="shared" ref="AQ100" si="2689">IF(AH100="","",AQ$59+(AH100-AH$59)*1000)</f>
        <v>-39.100021296216703</v>
      </c>
      <c r="AR100" s="40"/>
      <c r="AS100" s="43">
        <f t="shared" ref="AS100" si="2690">IF(E100="","",(E100-E$10)*1000)</f>
        <v>3.0000000260770321</v>
      </c>
      <c r="AT100" s="43">
        <f t="shared" ref="AT100" si="2691">IF(F100="","",(F100-F$10)*1000)</f>
        <v>-10.400000028312206</v>
      </c>
      <c r="AU100" s="43">
        <f t="shared" ref="AU100" si="2692">IF(G100="","",(G100-G$10)*1000)</f>
        <v>6.5000000000026148</v>
      </c>
      <c r="AV100" s="43">
        <f t="shared" ref="AV100" si="2693">IF(H100="","",AV$59+(H100-H$59)*1000)</f>
        <v>-4.6999999321997166</v>
      </c>
      <c r="AW100" s="43">
        <f t="shared" ref="AW100" si="2694">IF(I100="","",AW$59+(I100-I$59)*1000)</f>
        <v>-10.599999921396375</v>
      </c>
      <c r="AX100" s="43">
        <f t="shared" ref="AX100" si="2695">IF(J100="","",AX$59+(J100-J$59)*1000)</f>
        <v>-4.8000000000030241</v>
      </c>
      <c r="AY100" s="43"/>
      <c r="AZ100" s="43"/>
      <c r="BA100" s="43"/>
      <c r="BB100" s="43">
        <f t="shared" ref="BB100" si="2696">IF(N100="","",BB$59+(N100-N$59)*1000)</f>
        <v>-13.800000073388219</v>
      </c>
      <c r="BC100" s="43">
        <f t="shared" ref="BC100" si="2697">IF(O100="","",BC$59+(O100-O$59)*1000)</f>
        <v>-6.8999999202787876</v>
      </c>
      <c r="BD100" s="43">
        <f t="shared" ref="BD100" si="2698">IF(P100="","",BD$59+(P100-P$59)*1000)</f>
        <v>-81.999999999993634</v>
      </c>
      <c r="BE100" s="43"/>
      <c r="BF100" s="43"/>
      <c r="BG100" s="43"/>
      <c r="BH100" s="43">
        <f t="shared" ref="BH100" si="2699">IF(T100="","",BH$59+(T100-T$59)*1000)</f>
        <v>-13.300000107847154</v>
      </c>
      <c r="BI100" s="43">
        <f t="shared" ref="BI100" si="2700">IF(U100="","",BI$59+(U100-U$59)*1000)</f>
        <v>17.999999923631549</v>
      </c>
      <c r="BJ100" s="43">
        <f t="shared" ref="BJ100" si="2701">IF(V100="","",BJ$59+(V100-V$59)*1000)</f>
        <v>0.30000000000995897</v>
      </c>
      <c r="BK100" s="43">
        <f t="shared" ref="BK100" si="2702">IF(W100="","",(W100-W$10)*1000)</f>
        <v>-16.399999964050949</v>
      </c>
      <c r="BL100" s="43">
        <f t="shared" ref="BL100" si="2703">IF(X100="","",(X100-X$10)*1000)</f>
        <v>23.800000082701445</v>
      </c>
      <c r="BM100" s="43">
        <f t="shared" ref="BM100" si="2704">IF(Y100="","",(Y100-Y$10)*1000)</f>
        <v>-9.5000000000027285</v>
      </c>
      <c r="BN100" s="40"/>
      <c r="BO100" s="39">
        <v>196.10309247911957</v>
      </c>
      <c r="BP100" s="39">
        <v>-2.5265076313672421</v>
      </c>
      <c r="BQ100" s="39">
        <v>-0.96315092479120779</v>
      </c>
      <c r="BR100" s="39">
        <v>196.01671320774602</v>
      </c>
      <c r="BS100" s="39">
        <v>-2.5573016481998931</v>
      </c>
      <c r="BT100" s="39">
        <v>-3.3787132077463866E-2</v>
      </c>
      <c r="BU100" s="42" t="e">
        <v>#VALUE!</v>
      </c>
      <c r="BV100" s="42" t="s">
        <v>77</v>
      </c>
      <c r="BW100" s="42" t="s">
        <v>77</v>
      </c>
      <c r="BX100" s="41">
        <v>196.02178260026193</v>
      </c>
      <c r="BY100" s="42">
        <v>0.42412425235844653</v>
      </c>
      <c r="BZ100" s="42">
        <v>2.2910621739973749</v>
      </c>
      <c r="CA100" s="42" t="e">
        <v>#VALUE!</v>
      </c>
      <c r="CB100" s="42" t="s">
        <v>77</v>
      </c>
      <c r="CC100" s="42" t="s">
        <v>77</v>
      </c>
      <c r="CD100" s="41">
        <v>195.97302160738357</v>
      </c>
      <c r="CE100" s="42">
        <v>2.5492571720152855</v>
      </c>
      <c r="CF100" s="42">
        <v>-2.5550216073838783E-2</v>
      </c>
      <c r="CG100" s="41">
        <v>196.09411097181308</v>
      </c>
      <c r="CH100" s="42">
        <v>2.5224210800720881</v>
      </c>
      <c r="CI100" s="42">
        <v>-0.99936110971813719</v>
      </c>
      <c r="CJ100" s="40"/>
      <c r="CK100" s="43">
        <f t="shared" ref="CK100" si="2705">IF(BO100="","",(BO100-BO$10)*1000)</f>
        <v>-1.6767047458188244</v>
      </c>
      <c r="CL100" s="43">
        <f t="shared" ref="CL100" si="2706">IF(BP100="","",(BP100-BP$10)*1000)</f>
        <v>10.693393378183202</v>
      </c>
      <c r="CM100" s="43">
        <f t="shared" ref="CM100" si="2707">IF(BQ100="","",(BQ100-BQ$10)*1000)</f>
        <v>6.5167670474579609</v>
      </c>
      <c r="CN100" s="43">
        <f t="shared" ref="CN100" si="2708">IF(BR100="","",CN$59+(BR100-BR$59)*1000)</f>
        <v>-8.712130107738858</v>
      </c>
      <c r="CO100" s="43">
        <f t="shared" ref="CO100" si="2709">IF(BS100="","",CO$59+(BS100-BS$59)*1000)</f>
        <v>7.6538778432504451</v>
      </c>
      <c r="CP100" s="43">
        <f t="shared" ref="CP100" si="2710">IF(BT100="","",CP$59+(BT100-BT$59)*1000)</f>
        <v>-4.7118786989379933</v>
      </c>
      <c r="CQ100" s="43"/>
      <c r="CR100" s="43"/>
      <c r="CS100" s="43"/>
      <c r="CT100" s="43">
        <f t="shared" ref="CT100" si="2711">IF(BX100="","",CT$59+(BX100-BX$59)*1000)</f>
        <v>-15.378789076123667</v>
      </c>
      <c r="CU100" s="43">
        <f t="shared" ref="CU100" si="2712">IF(BY100="","",CU$59+(BY100-BY$59)*1000)</f>
        <v>0.40938606986709591</v>
      </c>
      <c r="CV100" s="43">
        <f t="shared" ref="CV100" si="2713">IF(BZ100="","",CV$59+(BZ100-BZ$59)*1000)</f>
        <v>-81.83621210923863</v>
      </c>
      <c r="CW100" s="43"/>
      <c r="CX100" s="43"/>
      <c r="CY100" s="43"/>
      <c r="CZ100" s="43">
        <f t="shared" ref="CZ100" si="2714">IF(CD100="","",CZ$59+(CD100-CD$59)*1000)</f>
        <v>-4.4015917113995329</v>
      </c>
      <c r="DA100" s="43">
        <f t="shared" ref="DA100" si="2715">IF(CE100="","",DA$59+(CE100-CE$59)*1000)</f>
        <v>-21.91037082558811</v>
      </c>
      <c r="DB100" s="43">
        <f t="shared" ref="DB100" si="2716">IF(CF100="","",DB$59+(CF100-CF$59)*1000)</f>
        <v>0.35701591711810954</v>
      </c>
      <c r="DC100" s="43">
        <f t="shared" ref="DC100" si="2717">IF(CG100="","",(CG100-CG$10)*1000)</f>
        <v>-4.8040716984303344</v>
      </c>
      <c r="DD100" s="43">
        <f t="shared" ref="DD100" si="2718">IF(CH100="","",(CH100-CH$10)*1000)</f>
        <v>-28.501243795203468</v>
      </c>
      <c r="DE100" s="43">
        <f t="shared" ref="DE100" si="2719">IF(CI100="","",(CI100-CI$10)*1000)</f>
        <v>-9.4519592830266674</v>
      </c>
    </row>
    <row r="101" spans="1:109" ht="29.25" customHeight="1" x14ac:dyDescent="0.2">
      <c r="A101" s="37">
        <v>45331</v>
      </c>
      <c r="B101" s="29">
        <f t="shared" ref="B101" si="2720">IF(A101="","",A101-excav)</f>
        <v>1626</v>
      </c>
      <c r="C101" s="38">
        <v>222.9</v>
      </c>
      <c r="D101" s="38">
        <f t="shared" ref="D101" si="2721">IF(C101="","",+C101-$W$6)</f>
        <v>26.800000000000011</v>
      </c>
      <c r="E101" s="39">
        <v>823244.33364999993</v>
      </c>
      <c r="F101" s="39">
        <v>1091518.77315</v>
      </c>
      <c r="G101" s="39">
        <v>-124.5444</v>
      </c>
      <c r="H101" s="39">
        <v>823244.24314999999</v>
      </c>
      <c r="I101" s="39">
        <v>1091518.7651499999</v>
      </c>
      <c r="J101" s="39">
        <v>-123.6157</v>
      </c>
      <c r="K101" s="39" t="e">
        <v>#N/A</v>
      </c>
      <c r="L101" s="39" t="e">
        <v>#N/A</v>
      </c>
      <c r="M101" s="39" t="e">
        <v>#N/A</v>
      </c>
      <c r="N101" s="39">
        <v>823245.50809999998</v>
      </c>
      <c r="O101" s="39">
        <v>1091516.0651</v>
      </c>
      <c r="P101" s="39">
        <v>-121.2924</v>
      </c>
      <c r="Q101" s="39" t="e">
        <v>#N/A</v>
      </c>
      <c r="R101" s="39" t="e">
        <v>#N/A</v>
      </c>
      <c r="S101" s="39" t="e">
        <v>#N/A</v>
      </c>
      <c r="T101" s="39" t="e">
        <v>#N/A</v>
      </c>
      <c r="U101" s="39" t="e">
        <v>#N/A</v>
      </c>
      <c r="V101" s="39" t="e">
        <v>#N/A</v>
      </c>
      <c r="W101" s="39">
        <v>823246.46270000003</v>
      </c>
      <c r="X101" s="39">
        <v>1091514.1932999999</v>
      </c>
      <c r="Y101" s="39">
        <v>-124.58110000000001</v>
      </c>
      <c r="Z101" s="39">
        <f t="shared" si="1908"/>
        <v>4.3918528669800736</v>
      </c>
      <c r="AA101" s="39">
        <f t="shared" si="1909"/>
        <v>3.7799591789125966</v>
      </c>
      <c r="AB101" s="39"/>
      <c r="AC101" s="39"/>
      <c r="AD101" s="39" t="e">
        <f t="shared" si="1980"/>
        <v>#N/A</v>
      </c>
      <c r="AE101" s="39">
        <f t="shared" si="1981"/>
        <v>3.9026201570750692</v>
      </c>
      <c r="AF101" s="39"/>
      <c r="AG101" s="39" t="e">
        <f t="shared" si="1982"/>
        <v>#N/A</v>
      </c>
      <c r="AH101" s="39">
        <f t="shared" si="1913"/>
        <v>5.0506659775054521</v>
      </c>
      <c r="AI101" s="43">
        <f t="shared" ref="AI101" si="2722">IF(Z101="","",AI$59+(Z101-Z$59)*1000)</f>
        <v>-80.135133795891988</v>
      </c>
      <c r="AJ101" s="43">
        <f t="shared" ref="AJ101" si="2723">IF(AA101="","",AJ$59+(AA101-AA$59)*1000)</f>
        <v>-56.972091802337317</v>
      </c>
      <c r="AK101" s="43"/>
      <c r="AL101" s="43"/>
      <c r="AM101" s="43" t="e">
        <f t="shared" ref="AM101" si="2724">IF(AD101="","",AM$59+(AD101-AD$59)*1000)</f>
        <v>#N/A</v>
      </c>
      <c r="AN101" s="43">
        <f t="shared" ref="AN101" si="2725">IF(AE101="","",AN$59+(AE101-AE$59)*1000)</f>
        <v>-75.06000557360926</v>
      </c>
      <c r="AO101" s="43"/>
      <c r="AP101" s="43" t="e">
        <f t="shared" ref="AP101" si="2726">IF(AG101="","",AP$59+(AG101-AG$59)*1000)</f>
        <v>#N/A</v>
      </c>
      <c r="AQ101" s="43">
        <f t="shared" ref="AQ101" si="2727">IF(AH101="","",AQ$59+(AH101-AH$59)*1000)</f>
        <v>-37.501233942817791</v>
      </c>
      <c r="AR101" s="40"/>
      <c r="AS101" s="43">
        <f t="shared" ref="AS101" si="2728">IF(E101="","",(E101-E$10)*1000)</f>
        <v>3.2499999506399035</v>
      </c>
      <c r="AT101" s="43">
        <f t="shared" ref="AT101" si="2729">IF(F101="","",(F101-F$10)*1000)</f>
        <v>-11.350000044330955</v>
      </c>
      <c r="AU101" s="43">
        <f t="shared" ref="AU101" si="2730">IF(G101="","",(G101-G$10)*1000)</f>
        <v>7.1000000000083219</v>
      </c>
      <c r="AV101" s="43">
        <f t="shared" ref="AV101" si="2731">IF(H101="","",AV$59+(H101-H$59)*1000)</f>
        <v>-3.6499999696388841</v>
      </c>
      <c r="AW101" s="43">
        <f t="shared" ref="AW101" si="2732">IF(I101="","",AW$59+(I101-I$59)*1000)</f>
        <v>-10.950000025331974</v>
      </c>
      <c r="AX101" s="43">
        <f t="shared" ref="AX101" si="2733">IF(J101="","",AX$59+(J101-J$59)*1000)</f>
        <v>-4.0000000000048885</v>
      </c>
      <c r="AY101" s="43"/>
      <c r="AZ101" s="43"/>
      <c r="BA101" s="43"/>
      <c r="BB101" s="43">
        <f t="shared" ref="BB101" si="2734">IF(N101="","",BB$59+(N101-N$59)*1000)</f>
        <v>-12.500000069849193</v>
      </c>
      <c r="BC101" s="43">
        <f t="shared" ref="BC101" si="2735">IF(O101="","",BC$59+(O101-O$59)*1000)</f>
        <v>-7.4000000022351742</v>
      </c>
      <c r="BD101" s="43">
        <f t="shared" ref="BD101" si="2736">IF(P101="","",BD$59+(P101-P$59)*1000)</f>
        <v>-82.799999999991769</v>
      </c>
      <c r="BE101" s="43"/>
      <c r="BF101" s="43"/>
      <c r="BG101" s="43"/>
      <c r="BH101" s="43" t="e">
        <f t="shared" ref="BH101" si="2737">IF(T101="","",BH$59+(T101-T$59)*1000)</f>
        <v>#N/A</v>
      </c>
      <c r="BI101" s="43" t="e">
        <f t="shared" ref="BI101" si="2738">IF(U101="","",BI$59+(U101-U$59)*1000)</f>
        <v>#N/A</v>
      </c>
      <c r="BJ101" s="43" t="e">
        <f t="shared" ref="BJ101" si="2739">IF(V101="","",BJ$59+(V101-V$59)*1000)</f>
        <v>#N/A</v>
      </c>
      <c r="BK101" s="43">
        <f t="shared" ref="BK101" si="2740">IF(W101="","",(W101-W$10)*1000)</f>
        <v>-12.899999972432852</v>
      </c>
      <c r="BL101" s="43">
        <f t="shared" ref="BL101" si="2741">IF(X101="","",(X101-X$10)*1000)</f>
        <v>22.600000025704503</v>
      </c>
      <c r="BM101" s="43">
        <f t="shared" ref="BM101" si="2742">IF(Y101="","",(Y101-Y$10)*1000)</f>
        <v>-9.3000000000103</v>
      </c>
      <c r="BN101" s="40"/>
      <c r="BO101" s="39">
        <v>196.10291753264713</v>
      </c>
      <c r="BP101" s="39">
        <v>-2.5255409909353879</v>
      </c>
      <c r="BQ101" s="39">
        <v>-0.96254917532647255</v>
      </c>
      <c r="BR101" s="39">
        <v>196.01751688611628</v>
      </c>
      <c r="BS101" s="39">
        <v>-2.5565406612937203</v>
      </c>
      <c r="BT101" s="39">
        <v>-3.2995168861162938E-2</v>
      </c>
      <c r="BU101" s="42" t="e">
        <v>#VALUE!</v>
      </c>
      <c r="BV101" s="42" t="s">
        <v>77</v>
      </c>
      <c r="BW101" s="42" t="s">
        <v>77</v>
      </c>
      <c r="BX101" s="41">
        <v>196.02274945388933</v>
      </c>
      <c r="BY101" s="42">
        <v>0.42512684607192486</v>
      </c>
      <c r="BZ101" s="42">
        <v>2.2902525054610976</v>
      </c>
      <c r="CA101" s="42" t="e">
        <v>#VALUE!</v>
      </c>
      <c r="CB101" s="42" t="s">
        <v>77</v>
      </c>
      <c r="CC101" s="42" t="s">
        <v>77</v>
      </c>
      <c r="CD101" s="42" t="e">
        <v>#VALUE!</v>
      </c>
      <c r="CE101" s="42" t="s">
        <v>77</v>
      </c>
      <c r="CF101" s="42" t="s">
        <v>77</v>
      </c>
      <c r="CG101" s="41">
        <v>196.09677581154131</v>
      </c>
      <c r="CH101" s="42">
        <v>2.5249879126145141</v>
      </c>
      <c r="CI101" s="42">
        <v>-0.99918775811542559</v>
      </c>
      <c r="CJ101" s="40"/>
      <c r="CK101" s="43">
        <f t="shared" ref="CK101" si="2743">IF(BO101="","",(BO101-BO$10)*1000)</f>
        <v>-1.8516512182600309</v>
      </c>
      <c r="CL101" s="43">
        <f t="shared" ref="CL101" si="2744">IF(BP101="","",(BP101-BP$10)*1000)</f>
        <v>11.66003381003744</v>
      </c>
      <c r="CM101" s="43">
        <f t="shared" ref="CM101" si="2745">IF(BQ101="","",(BQ101-BQ$10)*1000)</f>
        <v>7.1185165121931959</v>
      </c>
      <c r="CN101" s="43">
        <f t="shared" ref="CN101" si="2746">IF(BR101="","",CN$59+(BR101-BR$59)*1000)</f>
        <v>-7.9084517374781171</v>
      </c>
      <c r="CO101" s="43">
        <f t="shared" ref="CO101" si="2747">IF(BS101="","",CO$59+(BS101-BS$59)*1000)</f>
        <v>8.4148647494233231</v>
      </c>
      <c r="CP101" s="43">
        <f t="shared" ref="CP101" si="2748">IF(BT101="","",CP$59+(BT101-BT$59)*1000)</f>
        <v>-3.919915482637065</v>
      </c>
      <c r="CQ101" s="43"/>
      <c r="CR101" s="43"/>
      <c r="CS101" s="43"/>
      <c r="CT101" s="43">
        <f t="shared" ref="CT101" si="2749">IF(BX101="","",CT$59+(BX101-BX$59)*1000)</f>
        <v>-14.411935448720214</v>
      </c>
      <c r="CU101" s="43">
        <f t="shared" ref="CU101" si="2750">IF(BY101="","",CU$59+(BY101-BY$59)*1000)</f>
        <v>1.411979783345424</v>
      </c>
      <c r="CV101" s="43">
        <f t="shared" ref="CV101" si="2751">IF(BZ101="","",CV$59+(BZ101-BZ$59)*1000)</f>
        <v>-82.645880645515916</v>
      </c>
      <c r="CW101" s="43"/>
      <c r="CX101" s="43"/>
      <c r="CY101" s="43"/>
      <c r="CZ101" s="43" t="e">
        <f t="shared" ref="CZ101" si="2752">IF(CD101="","",CZ$59+(CD101-CD$59)*1000)</f>
        <v>#VALUE!</v>
      </c>
      <c r="DA101" s="43" t="e">
        <f t="shared" ref="DA101" si="2753">IF(CE101="","",DA$59+(CE101-CE$59)*1000)</f>
        <v>#VALUE!</v>
      </c>
      <c r="DB101" s="43" t="e">
        <f t="shared" ref="DB101" si="2754">IF(CF101="","",DB$59+(CF101-CF$59)*1000)</f>
        <v>#VALUE!</v>
      </c>
      <c r="DC101" s="43">
        <f t="shared" ref="DC101" si="2755">IF(CG101="","",(CG101-CG$10)*1000)</f>
        <v>-2.1392319702044915</v>
      </c>
      <c r="DD101" s="43">
        <f t="shared" ref="DD101" si="2756">IF(CH101="","",(CH101-CH$10)*1000)</f>
        <v>-25.934411252777512</v>
      </c>
      <c r="DE101" s="43">
        <f t="shared" ref="DE101" si="2757">IF(CI101="","",(CI101-CI$10)*1000)</f>
        <v>-9.2786076803150763</v>
      </c>
    </row>
  </sheetData>
  <mergeCells count="34">
    <mergeCell ref="F1:W1"/>
    <mergeCell ref="CG8:CI8"/>
    <mergeCell ref="CQ8:CS8"/>
    <mergeCell ref="AS8:AU8"/>
    <mergeCell ref="BB8:BD8"/>
    <mergeCell ref="BK8:BM8"/>
    <mergeCell ref="BX8:BZ8"/>
    <mergeCell ref="AI8:AQ8"/>
    <mergeCell ref="E8:G8"/>
    <mergeCell ref="N8:P8"/>
    <mergeCell ref="W8:Y8"/>
    <mergeCell ref="K8:M8"/>
    <mergeCell ref="Q8:S8"/>
    <mergeCell ref="H8:J8"/>
    <mergeCell ref="T8:V8"/>
    <mergeCell ref="AV8:AX8"/>
    <mergeCell ref="A8:A9"/>
    <mergeCell ref="AY8:BA8"/>
    <mergeCell ref="BE8:BG8"/>
    <mergeCell ref="BU8:BW8"/>
    <mergeCell ref="BO8:BQ8"/>
    <mergeCell ref="B8:B9"/>
    <mergeCell ref="C8:C9"/>
    <mergeCell ref="D8:D9"/>
    <mergeCell ref="BH8:BJ8"/>
    <mergeCell ref="BR8:BT8"/>
    <mergeCell ref="CW8:CY8"/>
    <mergeCell ref="CA8:CC8"/>
    <mergeCell ref="CK8:CM8"/>
    <mergeCell ref="CT8:CV8"/>
    <mergeCell ref="DC8:DE8"/>
    <mergeCell ref="CD8:CF8"/>
    <mergeCell ref="CN8:CP8"/>
    <mergeCell ref="CZ8:DB8"/>
  </mergeCells>
  <phoneticPr fontId="0" type="noConversion"/>
  <pageMargins left="0.55118110236220474" right="0.19685039370078741" top="0.47244094488188981" bottom="0.27559055118110237" header="0" footer="0"/>
  <pageSetup paperSize="9" scale="24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Z101"/>
  <sheetViews>
    <sheetView zoomScale="85" zoomScaleNormal="85" workbookViewId="0">
      <pane ySplit="9" topLeftCell="A93" activePane="bottomLeft" state="frozenSplit"/>
      <selection activeCell="C7" sqref="C7"/>
      <selection pane="bottomLeft" activeCell="F113" sqref="F113"/>
    </sheetView>
  </sheetViews>
  <sheetFormatPr baseColWidth="10" defaultColWidth="11.42578125" defaultRowHeight="12.75" x14ac:dyDescent="0.2"/>
  <cols>
    <col min="1" max="1" width="7.140625" style="2" customWidth="1"/>
    <col min="2" max="2" width="10.42578125" style="18" bestFit="1" customWidth="1"/>
    <col min="3" max="3" width="9.28515625" style="2" customWidth="1"/>
    <col min="4" max="13" width="8.42578125" style="2" customWidth="1"/>
    <col min="14" max="14" width="9.85546875" style="2" bestFit="1" customWidth="1"/>
    <col min="15" max="16" width="8.42578125" style="2" customWidth="1"/>
    <col min="17" max="17" width="7.140625" style="2" customWidth="1"/>
    <col min="18" max="26" width="8.42578125" style="12" customWidth="1"/>
    <col min="27" max="16384" width="11.42578125" style="2"/>
  </cols>
  <sheetData>
    <row r="1" spans="1:26" ht="15.75" x14ac:dyDescent="0.2">
      <c r="U1" s="119" t="s">
        <v>9</v>
      </c>
      <c r="V1" s="119"/>
      <c r="W1" s="119"/>
      <c r="X1" s="119"/>
      <c r="Y1" s="119"/>
      <c r="Z1" s="119"/>
    </row>
    <row r="2" spans="1:26" ht="15.75" x14ac:dyDescent="0.2">
      <c r="U2" s="119" t="s">
        <v>54</v>
      </c>
      <c r="V2" s="119"/>
      <c r="W2" s="119"/>
      <c r="X2" s="119"/>
      <c r="Y2" s="119"/>
      <c r="Z2" s="119"/>
    </row>
    <row r="3" spans="1:26" ht="15" customHeight="1" x14ac:dyDescent="0.2">
      <c r="U3" s="9"/>
      <c r="V3" s="9"/>
      <c r="W3" s="9"/>
      <c r="X3" s="9"/>
      <c r="Y3" s="9"/>
    </row>
    <row r="4" spans="1:26" ht="15" customHeight="1" x14ac:dyDescent="0.2">
      <c r="J4" s="27"/>
      <c r="K4" s="27"/>
      <c r="L4" s="27"/>
      <c r="M4" s="27"/>
      <c r="N4" s="27"/>
      <c r="O4" s="27"/>
      <c r="U4" s="28"/>
      <c r="V4" s="28"/>
      <c r="W4" s="28"/>
      <c r="X4" s="28"/>
      <c r="Y4" s="28"/>
      <c r="Z4" s="28"/>
    </row>
    <row r="5" spans="1:26" ht="20.25" x14ac:dyDescent="0.2">
      <c r="A5" s="120" t="str">
        <f>"GALERIE GVA3 - CONVERGENCE  INTER CINTRE 79-80  (PM "&amp;'Résultats observations'!W6&amp;")"</f>
        <v>GALERIE GVA3 - CONVERGENCE  INTER CINTRE 79-80  (PM 196.1)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spans="1:26" ht="15" customHeight="1" x14ac:dyDescent="0.2">
      <c r="J6" s="27"/>
      <c r="K6" s="27"/>
      <c r="L6" s="27"/>
      <c r="M6" s="27"/>
      <c r="N6" s="27"/>
      <c r="O6" s="27"/>
      <c r="U6" s="28"/>
      <c r="V6" s="28"/>
      <c r="W6" s="28"/>
      <c r="X6" s="28"/>
      <c r="Y6" s="28"/>
      <c r="Z6" s="28"/>
    </row>
    <row r="7" spans="1:26" ht="15" customHeight="1" thickBot="1" x14ac:dyDescent="0.25">
      <c r="J7" s="27"/>
      <c r="K7" s="27"/>
      <c r="L7" s="27"/>
      <c r="M7" s="27"/>
      <c r="N7" s="27"/>
      <c r="O7" s="27"/>
      <c r="U7" s="28"/>
      <c r="V7" s="28"/>
      <c r="W7" s="28"/>
      <c r="X7" s="28"/>
      <c r="Y7" s="28"/>
      <c r="Z7" s="28"/>
    </row>
    <row r="8" spans="1:26" ht="16.5" thickBot="1" x14ac:dyDescent="0.25">
      <c r="A8" s="7"/>
      <c r="B8" s="19"/>
      <c r="C8" s="20"/>
      <c r="D8" s="116" t="s">
        <v>49</v>
      </c>
      <c r="E8" s="117"/>
      <c r="F8" s="117"/>
      <c r="G8" s="117"/>
      <c r="H8" s="117"/>
      <c r="I8" s="117"/>
      <c r="J8" s="117"/>
      <c r="K8" s="117"/>
      <c r="L8" s="118"/>
      <c r="M8" s="6"/>
      <c r="R8" s="116" t="s">
        <v>50</v>
      </c>
      <c r="S8" s="117"/>
      <c r="T8" s="117"/>
      <c r="U8" s="117"/>
      <c r="V8" s="117"/>
      <c r="W8" s="117"/>
      <c r="X8" s="117"/>
      <c r="Y8" s="117"/>
      <c r="Z8" s="118"/>
    </row>
    <row r="9" spans="1:26" ht="35.25" customHeight="1" x14ac:dyDescent="0.2">
      <c r="A9" s="52" t="s">
        <v>10</v>
      </c>
      <c r="B9" s="57" t="s">
        <v>11</v>
      </c>
      <c r="C9" s="52" t="s">
        <v>43</v>
      </c>
      <c r="D9" s="56" t="s">
        <v>16</v>
      </c>
      <c r="E9" s="62" t="s">
        <v>51</v>
      </c>
      <c r="F9" s="56" t="s">
        <v>19</v>
      </c>
      <c r="G9" s="56" t="s">
        <v>20</v>
      </c>
      <c r="H9" s="62" t="s">
        <v>52</v>
      </c>
      <c r="I9" s="56" t="s">
        <v>17</v>
      </c>
      <c r="J9" s="56" t="s">
        <v>21</v>
      </c>
      <c r="K9" s="62" t="s">
        <v>53</v>
      </c>
      <c r="L9" s="56" t="s">
        <v>18</v>
      </c>
      <c r="R9" s="56" t="s">
        <v>16</v>
      </c>
      <c r="S9" s="62" t="s">
        <v>51</v>
      </c>
      <c r="T9" s="56" t="s">
        <v>19</v>
      </c>
      <c r="U9" s="56" t="s">
        <v>20</v>
      </c>
      <c r="V9" s="62" t="s">
        <v>52</v>
      </c>
      <c r="W9" s="56" t="s">
        <v>17</v>
      </c>
      <c r="X9" s="56" t="s">
        <v>21</v>
      </c>
      <c r="Y9" s="62" t="s">
        <v>53</v>
      </c>
      <c r="Z9" s="56" t="s">
        <v>18</v>
      </c>
    </row>
    <row r="10" spans="1:26" ht="20.100000000000001" customHeight="1" x14ac:dyDescent="0.2">
      <c r="A10" s="53">
        <f t="shared" ref="A10:A77" si="0">jours</f>
        <v>0</v>
      </c>
      <c r="B10" s="54">
        <f t="shared" ref="B10:B77" si="1">date</f>
        <v>43705</v>
      </c>
      <c r="C10" s="55">
        <f>'Résultats observations'!D10</f>
        <v>1.0999999999999943</v>
      </c>
      <c r="D10" s="50">
        <f t="shared" ref="D10:D77" si="2">Ecart_BG</f>
        <v>0</v>
      </c>
      <c r="E10" s="50">
        <f t="shared" ref="E10:E47" si="3">Ecart_IG</f>
        <v>0</v>
      </c>
      <c r="F10" s="50">
        <f t="shared" ref="F10:F56" si="4">Ecart_HG</f>
        <v>0</v>
      </c>
      <c r="G10" s="50">
        <f t="shared" ref="G10:G57" si="5">Ecart_HD</f>
        <v>0</v>
      </c>
      <c r="H10" s="50">
        <f t="shared" ref="H10:H77" si="6">Ecart_ID</f>
        <v>0</v>
      </c>
      <c r="I10" s="50">
        <f t="shared" ref="I10:I73" si="7">Ecart_BD</f>
        <v>0</v>
      </c>
      <c r="J10" s="50">
        <f t="shared" ref="J10:J56" si="8">Ecart_LH</f>
        <v>0</v>
      </c>
      <c r="K10" s="50">
        <f t="shared" ref="K10:K47" si="9">Ecart_LI</f>
        <v>0</v>
      </c>
      <c r="L10" s="50">
        <f t="shared" ref="L10:L73" si="10">Ecart_LB</f>
        <v>0</v>
      </c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20.100000000000001" customHeight="1" x14ac:dyDescent="0.2">
      <c r="A11" s="53">
        <f t="shared" si="0"/>
        <v>1</v>
      </c>
      <c r="B11" s="54">
        <f t="shared" si="1"/>
        <v>43706</v>
      </c>
      <c r="C11" s="55">
        <f>'Résultats observations'!D11</f>
        <v>2.2000000000000171</v>
      </c>
      <c r="D11" s="50">
        <f t="shared" si="2"/>
        <v>-1.2353958704158785</v>
      </c>
      <c r="E11" s="50">
        <f t="shared" si="3"/>
        <v>3.1730076710743127</v>
      </c>
      <c r="F11" s="50">
        <f t="shared" si="4"/>
        <v>-0.73517134493883418</v>
      </c>
      <c r="G11" s="50">
        <f t="shared" si="5"/>
        <v>4.1653275497655073E-2</v>
      </c>
      <c r="H11" s="50">
        <f t="shared" si="6"/>
        <v>-0.60444604370735178</v>
      </c>
      <c r="I11" s="50">
        <f t="shared" si="7"/>
        <v>-1.1924402284559932</v>
      </c>
      <c r="J11" s="50">
        <f t="shared" si="8"/>
        <v>-0.31668428425879469</v>
      </c>
      <c r="K11" s="50">
        <f t="shared" si="9"/>
        <v>1.7508081577526369</v>
      </c>
      <c r="L11" s="50">
        <f t="shared" si="10"/>
        <v>-0.95323530687352331</v>
      </c>
      <c r="R11" s="51">
        <f t="shared" ref="R11:S11" si="11">IF(AND(D11&lt;&gt;"",D10&lt;&gt;""),(D11-D10)/($B11-$B10),"")</f>
        <v>-1.2353958704158785</v>
      </c>
      <c r="S11" s="51">
        <f t="shared" si="11"/>
        <v>3.1730076710743127</v>
      </c>
      <c r="T11" s="51">
        <f t="shared" ref="T11:Z11" si="12">IF(AND(F11&lt;&gt;"",F10&lt;&gt;""),(F11-F10)/($B11-$B10),"")</f>
        <v>-0.73517134493883418</v>
      </c>
      <c r="U11" s="51">
        <f t="shared" si="12"/>
        <v>4.1653275497655073E-2</v>
      </c>
      <c r="V11" s="51">
        <f t="shared" si="12"/>
        <v>-0.60444604370735178</v>
      </c>
      <c r="W11" s="51">
        <f t="shared" si="12"/>
        <v>-1.1924402284559932</v>
      </c>
      <c r="X11" s="51">
        <f t="shared" si="12"/>
        <v>-0.31668428425879469</v>
      </c>
      <c r="Y11" s="51">
        <f t="shared" si="12"/>
        <v>1.7508081577526369</v>
      </c>
      <c r="Z11" s="51">
        <f t="shared" si="12"/>
        <v>-0.95323530687352331</v>
      </c>
    </row>
    <row r="12" spans="1:26" ht="20.100000000000001" customHeight="1" x14ac:dyDescent="0.2">
      <c r="A12" s="53">
        <f t="shared" si="0"/>
        <v>2</v>
      </c>
      <c r="B12" s="54">
        <f t="shared" si="1"/>
        <v>43707</v>
      </c>
      <c r="C12" s="55">
        <f>'Résultats observations'!D12</f>
        <v>2.9000000000000057</v>
      </c>
      <c r="D12" s="50">
        <f t="shared" si="2"/>
        <v>-5.280985580840003</v>
      </c>
      <c r="E12" s="50">
        <f t="shared" si="3"/>
        <v>0.11689441591133942</v>
      </c>
      <c r="F12" s="50">
        <f t="shared" si="4"/>
        <v>-2.8421862517569174</v>
      </c>
      <c r="G12" s="50">
        <f t="shared" si="5"/>
        <v>-0.66302310079291438</v>
      </c>
      <c r="H12" s="50">
        <f t="shared" si="6"/>
        <v>-4.0546230713842668</v>
      </c>
      <c r="I12" s="50">
        <f t="shared" si="7"/>
        <v>-4.8426483356998062</v>
      </c>
      <c r="J12" s="50">
        <f t="shared" si="8"/>
        <v>-2.0795139895724013</v>
      </c>
      <c r="K12" s="50">
        <f t="shared" si="9"/>
        <v>-1.3429684605252845</v>
      </c>
      <c r="L12" s="50">
        <f t="shared" si="10"/>
        <v>-3.7228396590771595</v>
      </c>
      <c r="R12" s="51">
        <f t="shared" ref="R12" si="13">IF(AND(D12&lt;&gt;"",D11&lt;&gt;""),(D12-D11)/($B12-$B11),"")</f>
        <v>-4.0455897104241245</v>
      </c>
      <c r="S12" s="51">
        <f t="shared" ref="S12" si="14">IF(AND(E12&lt;&gt;"",E11&lt;&gt;""),(E12-E11)/($B12-$B11),"")</f>
        <v>-3.0561132551629733</v>
      </c>
      <c r="T12" s="51">
        <f t="shared" ref="T12" si="15">IF(AND(F12&lt;&gt;"",F11&lt;&gt;""),(F12-F11)/($B12-$B11),"")</f>
        <v>-2.1070149068180832</v>
      </c>
      <c r="U12" s="51">
        <f t="shared" ref="U12" si="16">IF(AND(G12&lt;&gt;"",G11&lt;&gt;""),(G12-G11)/($B12-$B11),"")</f>
        <v>-0.70467637629056945</v>
      </c>
      <c r="V12" s="51">
        <f t="shared" ref="V12" si="17">IF(AND(H12&lt;&gt;"",H11&lt;&gt;""),(H12-H11)/($B12-$B11),"")</f>
        <v>-3.450177027676915</v>
      </c>
      <c r="W12" s="51">
        <f t="shared" ref="W12" si="18">IF(AND(I12&lt;&gt;"",I11&lt;&gt;""),(I12-I11)/($B12-$B11),"")</f>
        <v>-3.6502081072438131</v>
      </c>
      <c r="X12" s="51">
        <f t="shared" ref="X12" si="19">IF(AND(J12&lt;&gt;"",J11&lt;&gt;""),(J12-J11)/($B12-$B11),"")</f>
        <v>-1.7628297053136066</v>
      </c>
      <c r="Y12" s="51">
        <f t="shared" ref="Y12" si="20">IF(AND(K12&lt;&gt;"",K11&lt;&gt;""),(K12-K11)/($B12-$B11),"")</f>
        <v>-3.0937766182779214</v>
      </c>
      <c r="Z12" s="51">
        <f t="shared" ref="Z12" si="21">IF(AND(L12&lt;&gt;"",L11&lt;&gt;""),(L12-L11)/($B12-$B11),"")</f>
        <v>-2.7696043522036362</v>
      </c>
    </row>
    <row r="13" spans="1:26" ht="20.100000000000001" customHeight="1" x14ac:dyDescent="0.2">
      <c r="A13" s="53">
        <f t="shared" si="0"/>
        <v>5</v>
      </c>
      <c r="B13" s="54">
        <f t="shared" si="1"/>
        <v>43710</v>
      </c>
      <c r="C13" s="55">
        <f>'Résultats observations'!D13</f>
        <v>3.3000000000000114</v>
      </c>
      <c r="D13" s="50">
        <f t="shared" si="2"/>
        <v>-8.2069311147430213</v>
      </c>
      <c r="E13" s="50">
        <f t="shared" si="3"/>
        <v>-2.0897311557450671</v>
      </c>
      <c r="F13" s="50">
        <f t="shared" si="4"/>
        <v>-5.7376901386936296</v>
      </c>
      <c r="G13" s="50">
        <f t="shared" si="5"/>
        <v>-0.75558407330245103</v>
      </c>
      <c r="H13" s="50">
        <f t="shared" si="6"/>
        <v>-6.3430850054690957</v>
      </c>
      <c r="I13" s="50">
        <f t="shared" si="7"/>
        <v>-7.7764205334709402</v>
      </c>
      <c r="J13" s="50">
        <f t="shared" si="8"/>
        <v>-3.8837639746285291</v>
      </c>
      <c r="K13" s="50">
        <f t="shared" si="9"/>
        <v>-2.2716549076413628</v>
      </c>
      <c r="L13" s="50">
        <f t="shared" si="10"/>
        <v>-5.027346276220257</v>
      </c>
      <c r="R13" s="51">
        <f t="shared" ref="R13:R16" si="22">IF(AND(D13&lt;&gt;"",D12&lt;&gt;""),(D13-D12)/($B13-$B12),"")</f>
        <v>-0.97531517796767275</v>
      </c>
      <c r="S13" s="51">
        <f t="shared" ref="S13:S16" si="23">IF(AND(E13&lt;&gt;"",E12&lt;&gt;""),(E13-E12)/($B13-$B12),"")</f>
        <v>-0.73554185721880216</v>
      </c>
      <c r="T13" s="51">
        <f t="shared" ref="T13:T16" si="24">IF(AND(F13&lt;&gt;"",F12&lt;&gt;""),(F13-F12)/($B13-$B12),"")</f>
        <v>-0.96516796231223745</v>
      </c>
      <c r="U13" s="51">
        <f t="shared" ref="U13:U16" si="25">IF(AND(G13&lt;&gt;"",G12&lt;&gt;""),(G13-G12)/($B13-$B12),"")</f>
        <v>-3.0853657503178884E-2</v>
      </c>
      <c r="V13" s="51">
        <f t="shared" ref="V13:V16" si="26">IF(AND(H13&lt;&gt;"",H12&lt;&gt;""),(H13-H12)/($B13-$B12),"")</f>
        <v>-0.76282064469494293</v>
      </c>
      <c r="W13" s="51">
        <f t="shared" ref="W13:W16" si="27">IF(AND(I13&lt;&gt;"",I12&lt;&gt;""),(I13-I12)/($B13-$B12),"")</f>
        <v>-0.97792406592371128</v>
      </c>
      <c r="X13" s="51">
        <f t="shared" ref="X13:X16" si="28">IF(AND(J13&lt;&gt;"",J12&lt;&gt;""),(J13-J12)/($B13-$B12),"")</f>
        <v>-0.60141666168537589</v>
      </c>
      <c r="Y13" s="51">
        <f t="shared" ref="Y13:Y16" si="29">IF(AND(K13&lt;&gt;"",K12&lt;&gt;""),(K13-K12)/($B13-$B12),"")</f>
        <v>-0.30956214903869278</v>
      </c>
      <c r="Z13" s="51">
        <f t="shared" ref="Z13:Z16" si="30">IF(AND(L13&lt;&gt;"",L12&lt;&gt;""),(L13-L12)/($B13-$B12),"")</f>
        <v>-0.43483553904769917</v>
      </c>
    </row>
    <row r="14" spans="1:26" ht="20.100000000000001" customHeight="1" x14ac:dyDescent="0.2">
      <c r="A14" s="53">
        <f t="shared" si="0"/>
        <v>6</v>
      </c>
      <c r="B14" s="54">
        <f t="shared" si="1"/>
        <v>43711</v>
      </c>
      <c r="C14" s="55">
        <f>'Résultats observations'!D14</f>
        <v>4.5</v>
      </c>
      <c r="D14" s="50">
        <f t="shared" si="2"/>
        <v>-10.038942701527276</v>
      </c>
      <c r="E14" s="50">
        <f t="shared" si="3"/>
        <v>-3.6160879544677726</v>
      </c>
      <c r="F14" s="50">
        <f t="shared" si="4"/>
        <v>-6.8771751951341997</v>
      </c>
      <c r="G14" s="50">
        <f t="shared" si="5"/>
        <v>-0.84906071351054102</v>
      </c>
      <c r="H14" s="50">
        <f t="shared" si="6"/>
        <v>-7.6902396596323364</v>
      </c>
      <c r="I14" s="50">
        <f t="shared" si="7"/>
        <v>-8.9474572762346938</v>
      </c>
      <c r="J14" s="50">
        <f t="shared" si="8"/>
        <v>-4.4163916293555872</v>
      </c>
      <c r="K14" s="50">
        <f t="shared" si="9"/>
        <v>-2.9080044065414867</v>
      </c>
      <c r="L14" s="50">
        <f t="shared" si="10"/>
        <v>-5.8349967404662806</v>
      </c>
      <c r="R14" s="51">
        <f t="shared" si="22"/>
        <v>-1.8320115867842546</v>
      </c>
      <c r="S14" s="51">
        <f t="shared" si="23"/>
        <v>-1.5263567987227056</v>
      </c>
      <c r="T14" s="51">
        <f t="shared" si="24"/>
        <v>-1.1394850564405701</v>
      </c>
      <c r="U14" s="51">
        <f t="shared" si="25"/>
        <v>-9.3476640208089989E-2</v>
      </c>
      <c r="V14" s="51">
        <f t="shared" si="26"/>
        <v>-1.3471546541632407</v>
      </c>
      <c r="W14" s="51">
        <f t="shared" si="27"/>
        <v>-1.1710367427637536</v>
      </c>
      <c r="X14" s="51">
        <f t="shared" si="28"/>
        <v>-0.53262765472705809</v>
      </c>
      <c r="Y14" s="51">
        <f t="shared" si="29"/>
        <v>-0.63634949890012393</v>
      </c>
      <c r="Z14" s="51">
        <f t="shared" si="30"/>
        <v>-0.8076504642460236</v>
      </c>
    </row>
    <row r="15" spans="1:26" ht="20.100000000000001" customHeight="1" x14ac:dyDescent="0.2">
      <c r="A15" s="53">
        <f t="shared" si="0"/>
        <v>7</v>
      </c>
      <c r="B15" s="54">
        <f t="shared" si="1"/>
        <v>43712</v>
      </c>
      <c r="C15" s="55">
        <f>'Résultats observations'!D15</f>
        <v>4.5</v>
      </c>
      <c r="D15" s="50">
        <f t="shared" si="2"/>
        <v>-12.07730862313916</v>
      </c>
      <c r="E15" s="50">
        <f t="shared" si="3"/>
        <v>-5.1237718503402974</v>
      </c>
      <c r="F15" s="50">
        <f t="shared" si="4"/>
        <v>-7.9585990679951202</v>
      </c>
      <c r="G15" s="50">
        <f t="shared" si="5"/>
        <v>-1.3538773858832176</v>
      </c>
      <c r="H15" s="50">
        <f t="shared" si="6"/>
        <v>-9.3612732490448991</v>
      </c>
      <c r="I15" s="50">
        <f t="shared" si="7"/>
        <v>-11.246417428187883</v>
      </c>
      <c r="J15" s="50">
        <f t="shared" si="8"/>
        <v>-5.5464418967239304</v>
      </c>
      <c r="K15" s="50">
        <f t="shared" si="9"/>
        <v>-4.4750957537118552</v>
      </c>
      <c r="L15" s="50">
        <f t="shared" si="10"/>
        <v>-7.5098171215826071</v>
      </c>
      <c r="R15" s="51">
        <f t="shared" si="22"/>
        <v>-2.0383659216118843</v>
      </c>
      <c r="S15" s="51">
        <f t="shared" si="23"/>
        <v>-1.5076838958725247</v>
      </c>
      <c r="T15" s="51">
        <f t="shared" si="24"/>
        <v>-1.0814238728609205</v>
      </c>
      <c r="U15" s="51">
        <f t="shared" si="25"/>
        <v>-0.50481667237267658</v>
      </c>
      <c r="V15" s="51">
        <f t="shared" si="26"/>
        <v>-1.6710335894125627</v>
      </c>
      <c r="W15" s="51">
        <f t="shared" si="27"/>
        <v>-2.2989601519531888</v>
      </c>
      <c r="X15" s="51">
        <f t="shared" si="28"/>
        <v>-1.1300502673683432</v>
      </c>
      <c r="Y15" s="51">
        <f t="shared" si="29"/>
        <v>-1.5670913471703685</v>
      </c>
      <c r="Z15" s="51">
        <f t="shared" si="30"/>
        <v>-1.6748203811163265</v>
      </c>
    </row>
    <row r="16" spans="1:26" ht="20.100000000000001" customHeight="1" x14ac:dyDescent="0.2">
      <c r="A16" s="53">
        <f t="shared" si="0"/>
        <v>8</v>
      </c>
      <c r="B16" s="54">
        <f t="shared" si="1"/>
        <v>43713</v>
      </c>
      <c r="C16" s="55">
        <f>'Résultats observations'!D16</f>
        <v>4.5</v>
      </c>
      <c r="D16" s="50">
        <f t="shared" si="2"/>
        <v>-12.091752469550521</v>
      </c>
      <c r="E16" s="50">
        <f t="shared" si="3"/>
        <v>-5.3216855289432985</v>
      </c>
      <c r="F16" s="50">
        <f t="shared" si="4"/>
        <v>-8.1591464943171488</v>
      </c>
      <c r="G16" s="50">
        <f t="shared" si="5"/>
        <v>-1.0472110617179009</v>
      </c>
      <c r="H16" s="50">
        <f t="shared" si="6"/>
        <v>-9.4283562643884267</v>
      </c>
      <c r="I16" s="50">
        <f t="shared" si="7"/>
        <v>-11.244472304047015</v>
      </c>
      <c r="J16" s="50">
        <f t="shared" si="8"/>
        <v>-5.1849994864991977</v>
      </c>
      <c r="K16" s="50">
        <f t="shared" si="9"/>
        <v>-4.2871922684444286</v>
      </c>
      <c r="L16" s="50">
        <f t="shared" si="10"/>
        <v>-7.0853947536013706</v>
      </c>
      <c r="R16" s="51">
        <f t="shared" si="22"/>
        <v>-1.4443846411360539E-2</v>
      </c>
      <c r="S16" s="51">
        <f t="shared" si="23"/>
        <v>-0.19791367860300113</v>
      </c>
      <c r="T16" s="51">
        <f t="shared" si="24"/>
        <v>-0.2005474263220286</v>
      </c>
      <c r="U16" s="51">
        <f t="shared" si="25"/>
        <v>0.30666632416531669</v>
      </c>
      <c r="V16" s="51">
        <f t="shared" si="26"/>
        <v>-6.7083015343527563E-2</v>
      </c>
      <c r="W16" s="51">
        <f t="shared" si="27"/>
        <v>1.9451241408674491E-3</v>
      </c>
      <c r="X16" s="51">
        <f t="shared" si="28"/>
        <v>0.36144241022473267</v>
      </c>
      <c r="Y16" s="51">
        <f t="shared" si="29"/>
        <v>0.18790348526742662</v>
      </c>
      <c r="Z16" s="51">
        <f t="shared" si="30"/>
        <v>0.42442236798123645</v>
      </c>
    </row>
    <row r="17" spans="1:26" ht="20.100000000000001" customHeight="1" x14ac:dyDescent="0.2">
      <c r="A17" s="53">
        <f t="shared" si="0"/>
        <v>13</v>
      </c>
      <c r="B17" s="54">
        <f t="shared" si="1"/>
        <v>43718</v>
      </c>
      <c r="C17" s="55">
        <f>'Résultats observations'!D17</f>
        <v>6.4800000000000182</v>
      </c>
      <c r="D17" s="50">
        <f t="shared" si="2"/>
        <v>-17.748514811093408</v>
      </c>
      <c r="E17" s="50">
        <f t="shared" si="3"/>
        <v>-9.5191723899326064</v>
      </c>
      <c r="F17" s="50">
        <f t="shared" si="4"/>
        <v>-11.204980885885618</v>
      </c>
      <c r="G17" s="50">
        <f t="shared" si="5"/>
        <v>-2.1396156273623124</v>
      </c>
      <c r="H17" s="50">
        <f t="shared" si="6"/>
        <v>-14.514323949959884</v>
      </c>
      <c r="I17" s="50">
        <f t="shared" si="7"/>
        <v>-17.198765880749534</v>
      </c>
      <c r="J17" s="50">
        <f t="shared" si="8"/>
        <v>-7.7203864499484354</v>
      </c>
      <c r="K17" s="50">
        <f t="shared" si="9"/>
        <v>-7.4171537777880658</v>
      </c>
      <c r="L17" s="50">
        <f t="shared" si="10"/>
        <v>-10.667139516309376</v>
      </c>
      <c r="R17" s="51">
        <f t="shared" ref="R17" si="31">IF(AND(D17&lt;&gt;"",D16&lt;&gt;""),(D17-D16)/($B17-$B16),"")</f>
        <v>-1.1313524683085774</v>
      </c>
      <c r="S17" s="51">
        <f t="shared" ref="S17" si="32">IF(AND(E17&lt;&gt;"",E16&lt;&gt;""),(E17-E16)/($B17-$B16),"")</f>
        <v>-0.83949737219786158</v>
      </c>
      <c r="T17" s="51">
        <f t="shared" ref="T17" si="33">IF(AND(F17&lt;&gt;"",F16&lt;&gt;""),(F17-F16)/($B17-$B16),"")</f>
        <v>-0.60916687831369387</v>
      </c>
      <c r="U17" s="51">
        <f t="shared" ref="U17" si="34">IF(AND(G17&lt;&gt;"",G16&lt;&gt;""),(G17-G16)/($B17-$B16),"")</f>
        <v>-0.21848091312888229</v>
      </c>
      <c r="V17" s="51">
        <f t="shared" ref="V17" si="35">IF(AND(H17&lt;&gt;"",H16&lt;&gt;""),(H17-H16)/($B17-$B16),"")</f>
        <v>-1.0171935371142915</v>
      </c>
      <c r="W17" s="51">
        <f t="shared" ref="W17" si="36">IF(AND(I17&lt;&gt;"",I16&lt;&gt;""),(I17-I16)/($B17-$B16),"")</f>
        <v>-1.1908587153405037</v>
      </c>
      <c r="X17" s="51">
        <f t="shared" ref="X17" si="37">IF(AND(J17&lt;&gt;"",J16&lt;&gt;""),(J17-J16)/($B17-$B16),"")</f>
        <v>-0.50707739268984753</v>
      </c>
      <c r="Y17" s="51">
        <f t="shared" ref="Y17" si="38">IF(AND(K17&lt;&gt;"",K16&lt;&gt;""),(K17-K16)/($B17-$B16),"")</f>
        <v>-0.62599230186872745</v>
      </c>
      <c r="Z17" s="51">
        <f t="shared" ref="Z17" si="39">IF(AND(L17&lt;&gt;"",L16&lt;&gt;""),(L17-L16)/($B17-$B16),"")</f>
        <v>-0.71634895254160114</v>
      </c>
    </row>
    <row r="18" spans="1:26" ht="20.100000000000001" customHeight="1" x14ac:dyDescent="0.2">
      <c r="A18" s="53">
        <f t="shared" si="0"/>
        <v>15</v>
      </c>
      <c r="B18" s="54">
        <f t="shared" si="1"/>
        <v>43720</v>
      </c>
      <c r="C18" s="55">
        <f>'Résultats observations'!D18</f>
        <v>7.5</v>
      </c>
      <c r="D18" s="50">
        <f t="shared" si="2"/>
        <v>-20.796429088326462</v>
      </c>
      <c r="E18" s="50">
        <f t="shared" si="3"/>
        <v>-12.095145933888496</v>
      </c>
      <c r="F18" s="50">
        <f t="shared" si="4"/>
        <v>-13.750787815181909</v>
      </c>
      <c r="G18" s="50">
        <f t="shared" si="5"/>
        <v>-2.5525980304501594</v>
      </c>
      <c r="H18" s="50">
        <f t="shared" si="6"/>
        <v>-17.026116896288634</v>
      </c>
      <c r="I18" s="50">
        <f t="shared" si="7"/>
        <v>-20.544771164505704</v>
      </c>
      <c r="J18" s="50">
        <f t="shared" si="8"/>
        <v>-10.285124458923267</v>
      </c>
      <c r="K18" s="50">
        <f t="shared" si="9"/>
        <v>-8.7618253984800276</v>
      </c>
      <c r="L18" s="50">
        <f t="shared" si="10"/>
        <v>-12.352625628685665</v>
      </c>
      <c r="R18" s="51">
        <f t="shared" ref="R18:R23" si="40">IF(AND(D18&lt;&gt;"",D17&lt;&gt;""),(D18-D17)/($B18-$B17),"")</f>
        <v>-1.5239571386165274</v>
      </c>
      <c r="S18" s="51">
        <f t="shared" ref="S18:S23" si="41">IF(AND(E18&lt;&gt;"",E17&lt;&gt;""),(E18-E17)/($B18-$B17),"")</f>
        <v>-1.2879867719779448</v>
      </c>
      <c r="T18" s="51">
        <f t="shared" ref="T18:T23" si="42">IF(AND(F18&lt;&gt;"",F17&lt;&gt;""),(F18-F17)/($B18-$B17),"")</f>
        <v>-1.2729034646481452</v>
      </c>
      <c r="U18" s="51">
        <f t="shared" ref="U18:U23" si="43">IF(AND(G18&lt;&gt;"",G17&lt;&gt;""),(G18-G17)/($B18-$B17),"")</f>
        <v>-0.20649120154392353</v>
      </c>
      <c r="V18" s="51">
        <f t="shared" ref="V18:V23" si="44">IF(AND(H18&lt;&gt;"",H17&lt;&gt;""),(H18-H17)/($B18-$B17),"")</f>
        <v>-1.2558964731643751</v>
      </c>
      <c r="W18" s="51">
        <f t="shared" ref="W18:W23" si="45">IF(AND(I18&lt;&gt;"",I17&lt;&gt;""),(I18-I17)/($B18-$B17),"")</f>
        <v>-1.6730026418780852</v>
      </c>
      <c r="X18" s="51">
        <f t="shared" ref="X18:X23" si="46">IF(AND(J18&lt;&gt;"",J17&lt;&gt;""),(J18-J17)/($B18-$B17),"")</f>
        <v>-1.2823690044874159</v>
      </c>
      <c r="Y18" s="51">
        <f t="shared" ref="Y18:Y23" si="47">IF(AND(K18&lt;&gt;"",K17&lt;&gt;""),(K18-K17)/($B18-$B17),"")</f>
        <v>-0.67233581034598089</v>
      </c>
      <c r="Z18" s="51">
        <f t="shared" ref="Z18:Z23" si="48">IF(AND(L18&lt;&gt;"",L17&lt;&gt;""),(L18-L17)/($B18-$B17),"")</f>
        <v>-0.84274305618814438</v>
      </c>
    </row>
    <row r="19" spans="1:26" ht="20.100000000000001" customHeight="1" x14ac:dyDescent="0.2">
      <c r="A19" s="53">
        <f t="shared" si="0"/>
        <v>19</v>
      </c>
      <c r="B19" s="54">
        <f t="shared" si="1"/>
        <v>43724</v>
      </c>
      <c r="C19" s="55">
        <f>'Résultats observations'!D19</f>
        <v>7.5</v>
      </c>
      <c r="D19" s="50">
        <f t="shared" si="2"/>
        <v>-25.060483937102696</v>
      </c>
      <c r="E19" s="50">
        <f t="shared" si="3"/>
        <v>-15.442252953071556</v>
      </c>
      <c r="F19" s="50">
        <f t="shared" si="4"/>
        <v>-16.737918195617763</v>
      </c>
      <c r="G19" s="50">
        <f t="shared" si="5"/>
        <v>-2.6931309243509727</v>
      </c>
      <c r="H19" s="50">
        <f t="shared" si="6"/>
        <v>-20.305454079857288</v>
      </c>
      <c r="I19" s="50">
        <f t="shared" si="7"/>
        <v>-24.643655506169537</v>
      </c>
      <c r="J19" s="50">
        <f t="shared" si="8"/>
        <v>-12.001256662858228</v>
      </c>
      <c r="K19" s="50">
        <f t="shared" si="9"/>
        <v>-10.543634543576097</v>
      </c>
      <c r="L19" s="50">
        <f t="shared" si="10"/>
        <v>-14.59969838541042</v>
      </c>
      <c r="R19" s="51">
        <f t="shared" si="40"/>
        <v>-1.0660137121940583</v>
      </c>
      <c r="S19" s="51">
        <f t="shared" si="41"/>
        <v>-0.83677675479576497</v>
      </c>
      <c r="T19" s="51">
        <f t="shared" si="42"/>
        <v>-0.7467825951089635</v>
      </c>
      <c r="U19" s="51">
        <f t="shared" si="43"/>
        <v>-3.5133223475203312E-2</v>
      </c>
      <c r="V19" s="51">
        <f t="shared" si="44"/>
        <v>-0.81983429589216339</v>
      </c>
      <c r="W19" s="51">
        <f t="shared" si="45"/>
        <v>-1.0247210854159583</v>
      </c>
      <c r="X19" s="51">
        <f t="shared" si="46"/>
        <v>-0.42903305098374034</v>
      </c>
      <c r="Y19" s="51">
        <f t="shared" si="47"/>
        <v>-0.44545228627401734</v>
      </c>
      <c r="Z19" s="51">
        <f t="shared" si="48"/>
        <v>-0.56176818918118876</v>
      </c>
    </row>
    <row r="20" spans="1:26" ht="20.100000000000001" customHeight="1" x14ac:dyDescent="0.2">
      <c r="A20" s="53">
        <f t="shared" si="0"/>
        <v>22</v>
      </c>
      <c r="B20" s="54">
        <f t="shared" si="1"/>
        <v>43727</v>
      </c>
      <c r="C20" s="55">
        <f>'Résultats observations'!D20</f>
        <v>10.219999999999999</v>
      </c>
      <c r="D20" s="50">
        <f t="shared" si="2"/>
        <v>-27.916512740020494</v>
      </c>
      <c r="E20" s="50">
        <f t="shared" si="3"/>
        <v>-17.783791678586791</v>
      </c>
      <c r="F20" s="50">
        <f t="shared" si="4"/>
        <v>-18.210377764124264</v>
      </c>
      <c r="G20" s="50">
        <f t="shared" si="5"/>
        <v>-3.2641505954831285</v>
      </c>
      <c r="H20" s="50">
        <f t="shared" si="6"/>
        <v>-23.115252582893486</v>
      </c>
      <c r="I20" s="50">
        <f t="shared" si="7"/>
        <v>-27.997854197468364</v>
      </c>
      <c r="J20" s="50">
        <f t="shared" si="8"/>
        <v>-13.169715953422312</v>
      </c>
      <c r="K20" s="50">
        <f t="shared" si="9"/>
        <v>-12.067669643400336</v>
      </c>
      <c r="L20" s="50">
        <f t="shared" si="10"/>
        <v>-15.948026671035009</v>
      </c>
      <c r="R20" s="51">
        <f t="shared" si="40"/>
        <v>-0.95200960097259946</v>
      </c>
      <c r="S20" s="51">
        <f t="shared" si="41"/>
        <v>-0.78051290850507848</v>
      </c>
      <c r="T20" s="51">
        <f t="shared" si="42"/>
        <v>-0.49081985616883372</v>
      </c>
      <c r="U20" s="51">
        <f t="shared" si="43"/>
        <v>-0.19033989037738527</v>
      </c>
      <c r="V20" s="51">
        <f t="shared" si="44"/>
        <v>-0.93659950101206613</v>
      </c>
      <c r="W20" s="51">
        <f t="shared" si="45"/>
        <v>-1.1180662304329421</v>
      </c>
      <c r="X20" s="51">
        <f t="shared" si="46"/>
        <v>-0.38948643018802781</v>
      </c>
      <c r="Y20" s="51">
        <f t="shared" si="47"/>
        <v>-0.50801169994141304</v>
      </c>
      <c r="Z20" s="51">
        <f t="shared" si="48"/>
        <v>-0.44944276187486309</v>
      </c>
    </row>
    <row r="21" spans="1:26" ht="20.100000000000001" customHeight="1" x14ac:dyDescent="0.2">
      <c r="A21" s="53">
        <f t="shared" si="0"/>
        <v>26</v>
      </c>
      <c r="B21" s="54">
        <f t="shared" si="1"/>
        <v>43731</v>
      </c>
      <c r="C21" s="55">
        <f>'Résultats observations'!D21</f>
        <v>10.219999999999999</v>
      </c>
      <c r="D21" s="50">
        <f t="shared" si="2"/>
        <v>-30.207526231491144</v>
      </c>
      <c r="E21" s="50">
        <f t="shared" si="3"/>
        <v>-19.560388758663283</v>
      </c>
      <c r="F21" s="50">
        <f t="shared" si="4"/>
        <v>-19.584260648960239</v>
      </c>
      <c r="G21" s="50">
        <f t="shared" si="5"/>
        <v>-3.3540245550043313</v>
      </c>
      <c r="H21" s="50">
        <f t="shared" si="6"/>
        <v>-25.255826105919699</v>
      </c>
      <c r="I21" s="50">
        <f t="shared" si="7"/>
        <v>-30.30568479346929</v>
      </c>
      <c r="J21" s="50">
        <f t="shared" si="8"/>
        <v>-13.770258020612935</v>
      </c>
      <c r="K21" s="50">
        <f t="shared" si="9"/>
        <v>-12.56216930019427</v>
      </c>
      <c r="L21" s="50">
        <f t="shared" si="10"/>
        <v>-16.322193182006117</v>
      </c>
      <c r="R21" s="51">
        <f t="shared" si="40"/>
        <v>-0.57275337286766259</v>
      </c>
      <c r="S21" s="51">
        <f t="shared" si="41"/>
        <v>-0.44414927001912297</v>
      </c>
      <c r="T21" s="51">
        <f t="shared" si="42"/>
        <v>-0.3434707212089938</v>
      </c>
      <c r="U21" s="51">
        <f t="shared" si="43"/>
        <v>-2.2468489880300702E-2</v>
      </c>
      <c r="V21" s="51">
        <f t="shared" si="44"/>
        <v>-0.5351433807565531</v>
      </c>
      <c r="W21" s="51">
        <f t="shared" si="45"/>
        <v>-0.5769576490002315</v>
      </c>
      <c r="X21" s="51">
        <f t="shared" si="46"/>
        <v>-0.15013551679765591</v>
      </c>
      <c r="Y21" s="51">
        <f t="shared" si="47"/>
        <v>-0.12362491419848354</v>
      </c>
      <c r="Z21" s="51">
        <f t="shared" si="48"/>
        <v>-9.3541627742776967E-2</v>
      </c>
    </row>
    <row r="22" spans="1:26" ht="20.100000000000001" customHeight="1" x14ac:dyDescent="0.2">
      <c r="A22" s="53">
        <f t="shared" si="0"/>
        <v>29</v>
      </c>
      <c r="B22" s="54">
        <f t="shared" si="1"/>
        <v>43734</v>
      </c>
      <c r="C22" s="55">
        <f>'Résultats observations'!D22</f>
        <v>10.219999999999999</v>
      </c>
      <c r="D22" s="50">
        <f t="shared" si="2"/>
        <v>-31.504109920015289</v>
      </c>
      <c r="E22" s="50">
        <f t="shared" si="3"/>
        <v>-20.564518432303558</v>
      </c>
      <c r="F22" s="50">
        <f t="shared" si="4"/>
        <v>-20.086643673495885</v>
      </c>
      <c r="G22" s="50">
        <f t="shared" si="5"/>
        <v>-3.4890575442454441</v>
      </c>
      <c r="H22" s="50">
        <f t="shared" si="6"/>
        <v>-26.461362997951099</v>
      </c>
      <c r="I22" s="50">
        <f t="shared" si="7"/>
        <v>-31.785089398894684</v>
      </c>
      <c r="J22" s="50">
        <f t="shared" si="8"/>
        <v>-14.095531249014748</v>
      </c>
      <c r="K22" s="50">
        <f t="shared" si="9"/>
        <v>-13.111443703563097</v>
      </c>
      <c r="L22" s="50">
        <f t="shared" si="10"/>
        <v>-17.005864258432979</v>
      </c>
      <c r="R22" s="51">
        <f t="shared" si="40"/>
        <v>-0.43219456284138147</v>
      </c>
      <c r="S22" s="51">
        <f t="shared" si="41"/>
        <v>-0.33470989121342498</v>
      </c>
      <c r="T22" s="51">
        <f t="shared" si="42"/>
        <v>-0.16746100817854881</v>
      </c>
      <c r="U22" s="51">
        <f t="shared" si="43"/>
        <v>-4.5010996413704284E-2</v>
      </c>
      <c r="V22" s="51">
        <f t="shared" si="44"/>
        <v>-0.40184563067713341</v>
      </c>
      <c r="W22" s="51">
        <f t="shared" si="45"/>
        <v>-0.49313486847513133</v>
      </c>
      <c r="X22" s="51">
        <f t="shared" si="46"/>
        <v>-0.10842440946727076</v>
      </c>
      <c r="Y22" s="51">
        <f t="shared" si="47"/>
        <v>-0.18309146778960894</v>
      </c>
      <c r="Z22" s="51">
        <f t="shared" si="48"/>
        <v>-0.22789035880895389</v>
      </c>
    </row>
    <row r="23" spans="1:26" ht="20.100000000000001" customHeight="1" x14ac:dyDescent="0.2">
      <c r="A23" s="53">
        <f t="shared" si="0"/>
        <v>33</v>
      </c>
      <c r="B23" s="54">
        <f t="shared" si="1"/>
        <v>43738</v>
      </c>
      <c r="C23" s="55">
        <f>'Résultats observations'!D23</f>
        <v>10.219999999999999</v>
      </c>
      <c r="D23" s="50">
        <f t="shared" si="2"/>
        <v>-32.605304469280227</v>
      </c>
      <c r="E23" s="50">
        <f t="shared" si="3"/>
        <v>-21.351772153768156</v>
      </c>
      <c r="F23" s="50">
        <f t="shared" si="4"/>
        <v>-20.790807723091831</v>
      </c>
      <c r="G23" s="50">
        <f t="shared" si="5"/>
        <v>-3.3392102471341278</v>
      </c>
      <c r="H23" s="50">
        <f t="shared" si="6"/>
        <v>-27.297956558945735</v>
      </c>
      <c r="I23" s="50">
        <f t="shared" si="7"/>
        <v>-32.80211152609791</v>
      </c>
      <c r="J23" s="50">
        <f t="shared" si="8"/>
        <v>-14.280499900574561</v>
      </c>
      <c r="K23" s="50">
        <f t="shared" si="9"/>
        <v>-13.237730406396864</v>
      </c>
      <c r="L23" s="50">
        <f t="shared" si="10"/>
        <v>-17.265198915079161</v>
      </c>
      <c r="R23" s="51">
        <f t="shared" si="40"/>
        <v>-0.27529863731623472</v>
      </c>
      <c r="S23" s="51">
        <f t="shared" si="41"/>
        <v>-0.19681343036614951</v>
      </c>
      <c r="T23" s="51">
        <f t="shared" si="42"/>
        <v>-0.1760410123989864</v>
      </c>
      <c r="U23" s="51">
        <f t="shared" si="43"/>
        <v>3.746182427782907E-2</v>
      </c>
      <c r="V23" s="51">
        <f t="shared" si="44"/>
        <v>-0.20914839024865906</v>
      </c>
      <c r="W23" s="51">
        <f t="shared" si="45"/>
        <v>-0.25425553180080662</v>
      </c>
      <c r="X23" s="51">
        <f t="shared" si="46"/>
        <v>-4.624216288995342E-2</v>
      </c>
      <c r="Y23" s="51">
        <f t="shared" si="47"/>
        <v>-3.157167570844166E-2</v>
      </c>
      <c r="Z23" s="51">
        <f t="shared" si="48"/>
        <v>-6.4833664161545457E-2</v>
      </c>
    </row>
    <row r="24" spans="1:26" ht="20.100000000000001" customHeight="1" x14ac:dyDescent="0.2">
      <c r="A24" s="53">
        <f t="shared" si="0"/>
        <v>36</v>
      </c>
      <c r="B24" s="54">
        <f t="shared" si="1"/>
        <v>43741</v>
      </c>
      <c r="C24" s="55">
        <f>'Résultats observations'!D24</f>
        <v>11.099999999999994</v>
      </c>
      <c r="D24" s="50">
        <f t="shared" si="2"/>
        <v>-33.373017032623409</v>
      </c>
      <c r="E24" s="50">
        <f t="shared" si="3"/>
        <v>-21.79654917754581</v>
      </c>
      <c r="F24" s="50">
        <f t="shared" si="4"/>
        <v>-20.961005223810059</v>
      </c>
      <c r="G24" s="50">
        <f t="shared" si="5"/>
        <v>-3.7393970452328507</v>
      </c>
      <c r="H24" s="50">
        <f t="shared" si="6"/>
        <v>-28.166296935651758</v>
      </c>
      <c r="I24" s="50">
        <f t="shared" si="7"/>
        <v>-33.796109997505042</v>
      </c>
      <c r="J24" s="50">
        <f t="shared" si="8"/>
        <v>-14.671726957743214</v>
      </c>
      <c r="K24" s="50">
        <f t="shared" si="9"/>
        <v>-13.739164096256751</v>
      </c>
      <c r="L24" s="50">
        <f t="shared" si="10"/>
        <v>-17.869972662609257</v>
      </c>
      <c r="R24" s="51">
        <f t="shared" ref="R24" si="49">IF(AND(D24&lt;&gt;"",D23&lt;&gt;""),(D24-D23)/($B24-$B23),"")</f>
        <v>-0.25590418778106044</v>
      </c>
      <c r="S24" s="51">
        <f t="shared" ref="S24" si="50">IF(AND(E24&lt;&gt;"",E23&lt;&gt;""),(E24-E23)/($B24-$B23),"")</f>
        <v>-0.14825900792588462</v>
      </c>
      <c r="T24" s="51">
        <f t="shared" ref="T24" si="51">IF(AND(F24&lt;&gt;"",F23&lt;&gt;""),(F24-F23)/($B24-$B23),"")</f>
        <v>-5.6732500239409234E-2</v>
      </c>
      <c r="U24" s="51">
        <f t="shared" ref="U24" si="52">IF(AND(G24&lt;&gt;"",G23&lt;&gt;""),(G24-G23)/($B24-$B23),"")</f>
        <v>-0.13339559936624093</v>
      </c>
      <c r="V24" s="51">
        <f t="shared" ref="V24" si="53">IF(AND(H24&lt;&gt;"",H23&lt;&gt;""),(H24-H23)/($B24-$B23),"")</f>
        <v>-0.28944679223534092</v>
      </c>
      <c r="W24" s="51">
        <f t="shared" ref="W24" si="54">IF(AND(I24&lt;&gt;"",I23&lt;&gt;""),(I24-I23)/($B24-$B23),"")</f>
        <v>-0.33133282380237716</v>
      </c>
      <c r="X24" s="51">
        <f t="shared" ref="X24" si="55">IF(AND(J24&lt;&gt;"",J23&lt;&gt;""),(J24-J23)/($B24-$B23),"")</f>
        <v>-0.13040901905621757</v>
      </c>
      <c r="Y24" s="51">
        <f t="shared" ref="Y24" si="56">IF(AND(K24&lt;&gt;"",K23&lt;&gt;""),(K24-K23)/($B24-$B23),"")</f>
        <v>-0.16714456328662899</v>
      </c>
      <c r="Z24" s="51">
        <f t="shared" ref="Z24" si="57">IF(AND(L24&lt;&gt;"",L23&lt;&gt;""),(L24-L23)/($B24-$B23),"")</f>
        <v>-0.20159124917669877</v>
      </c>
    </row>
    <row r="25" spans="1:26" ht="20.100000000000001" customHeight="1" x14ac:dyDescent="0.2">
      <c r="A25" s="53">
        <f t="shared" si="0"/>
        <v>41</v>
      </c>
      <c r="B25" s="54">
        <f t="shared" si="1"/>
        <v>43746</v>
      </c>
      <c r="C25" s="55">
        <f>'Résultats observations'!D25</f>
        <v>12.200000000000017</v>
      </c>
      <c r="D25" s="50">
        <f t="shared" si="2"/>
        <v>-34.542244900148233</v>
      </c>
      <c r="E25" s="50">
        <f t="shared" si="3"/>
        <v>-23.011526368449609</v>
      </c>
      <c r="F25" s="50">
        <f t="shared" si="4"/>
        <v>-21.794825425303088</v>
      </c>
      <c r="G25" s="50">
        <f t="shared" si="5"/>
        <v>-3.3586791094197821</v>
      </c>
      <c r="H25" s="50">
        <f t="shared" si="6"/>
        <v>-29.485815781046032</v>
      </c>
      <c r="I25" s="50">
        <f t="shared" si="7"/>
        <v>-35.394185463315964</v>
      </c>
      <c r="J25" s="50">
        <f t="shared" si="8"/>
        <v>-14.534592655745193</v>
      </c>
      <c r="K25" s="50">
        <f t="shared" si="9"/>
        <v>-13.815202534757987</v>
      </c>
      <c r="L25" s="50">
        <f t="shared" si="10"/>
        <v>-17.501542931377401</v>
      </c>
      <c r="R25" s="51">
        <f t="shared" ref="R25" si="58">IF(AND(D25&lt;&gt;"",D24&lt;&gt;""),(D25-D24)/($B25-$B24),"")</f>
        <v>-0.23384557350496493</v>
      </c>
      <c r="S25" s="51">
        <f t="shared" ref="S25" si="59">IF(AND(E25&lt;&gt;"",E24&lt;&gt;""),(E25-E24)/($B25-$B24),"")</f>
        <v>-0.24299543818075975</v>
      </c>
      <c r="T25" s="51">
        <f t="shared" ref="T25" si="60">IF(AND(F25&lt;&gt;"",F24&lt;&gt;""),(F25-F24)/($B25-$B24),"")</f>
        <v>-0.16676404029860592</v>
      </c>
      <c r="U25" s="51">
        <f t="shared" ref="U25" si="61">IF(AND(G25&lt;&gt;"",G24&lt;&gt;""),(G25-G24)/($B25-$B24),"")</f>
        <v>7.6143587162613713E-2</v>
      </c>
      <c r="V25" s="51">
        <f t="shared" ref="V25" si="62">IF(AND(H25&lt;&gt;"",H24&lt;&gt;""),(H25-H24)/($B25-$B24),"")</f>
        <v>-0.26390376907885482</v>
      </c>
      <c r="W25" s="51">
        <f t="shared" ref="W25" si="63">IF(AND(I25&lt;&gt;"",I24&lt;&gt;""),(I25-I24)/($B25-$B24),"")</f>
        <v>-0.31961509316218439</v>
      </c>
      <c r="X25" s="51">
        <f t="shared" ref="X25" si="64">IF(AND(J25&lt;&gt;"",J24&lt;&gt;""),(J25-J24)/($B25-$B24),"")</f>
        <v>2.742686039960418E-2</v>
      </c>
      <c r="Y25" s="51">
        <f t="shared" ref="Y25" si="65">IF(AND(K25&lt;&gt;"",K24&lt;&gt;""),(K25-K24)/($B25-$B24),"")</f>
        <v>-1.5207687700247163E-2</v>
      </c>
      <c r="Z25" s="51">
        <f t="shared" ref="Z25" si="66">IF(AND(L25&lt;&gt;"",L24&lt;&gt;""),(L25-L24)/($B25-$B24),"")</f>
        <v>7.3685946246371259E-2</v>
      </c>
    </row>
    <row r="26" spans="1:26" ht="20.100000000000001" customHeight="1" x14ac:dyDescent="0.2">
      <c r="A26" s="53">
        <f t="shared" si="0"/>
        <v>43</v>
      </c>
      <c r="B26" s="54">
        <f t="shared" si="1"/>
        <v>43748</v>
      </c>
      <c r="C26" s="55">
        <f>'Résultats observations'!D26</f>
        <v>14.200000000000017</v>
      </c>
      <c r="D26" s="50">
        <f t="shared" si="2"/>
        <v>-35.634609987579502</v>
      </c>
      <c r="E26" s="50">
        <f t="shared" si="3"/>
        <v>-23.933050487953356</v>
      </c>
      <c r="F26" s="50">
        <f t="shared" si="4"/>
        <v>-22.653568321167494</v>
      </c>
      <c r="G26" s="50">
        <f t="shared" si="5"/>
        <v>-3.3020459747017394</v>
      </c>
      <c r="H26" s="50">
        <f t="shared" si="6"/>
        <v>-30.02303123232819</v>
      </c>
      <c r="I26" s="50">
        <f t="shared" si="7"/>
        <v>-35.740551032318102</v>
      </c>
      <c r="J26" s="50">
        <f t="shared" si="8"/>
        <v>-15.073651624450513</v>
      </c>
      <c r="K26" s="50">
        <f t="shared" si="9"/>
        <v>-13.947060612574447</v>
      </c>
      <c r="L26" s="50">
        <f t="shared" si="10"/>
        <v>-17.541319987919302</v>
      </c>
      <c r="R26" s="51">
        <f t="shared" ref="R26" si="67">IF(AND(D26&lt;&gt;"",D25&lt;&gt;""),(D26-D25)/($B26-$B25),"")</f>
        <v>-0.54618254371563424</v>
      </c>
      <c r="S26" s="51">
        <f t="shared" ref="S26" si="68">IF(AND(E26&lt;&gt;"",E25&lt;&gt;""),(E26-E25)/($B26-$B25),"")</f>
        <v>-0.46076205975187357</v>
      </c>
      <c r="T26" s="51">
        <f t="shared" ref="T26" si="69">IF(AND(F26&lt;&gt;"",F25&lt;&gt;""),(F26-F25)/($B26-$B25),"")</f>
        <v>-0.42937144793220305</v>
      </c>
      <c r="U26" s="51">
        <f t="shared" ref="U26" si="70">IF(AND(G26&lt;&gt;"",G25&lt;&gt;""),(G26-G25)/($B26-$B25),"")</f>
        <v>2.8316567359021327E-2</v>
      </c>
      <c r="V26" s="51">
        <f t="shared" ref="V26" si="71">IF(AND(H26&lt;&gt;"",H25&lt;&gt;""),(H26-H25)/($B26-$B25),"")</f>
        <v>-0.26860772564107904</v>
      </c>
      <c r="W26" s="51">
        <f t="shared" ref="W26" si="72">IF(AND(I26&lt;&gt;"",I25&lt;&gt;""),(I26-I25)/($B26-$B25),"")</f>
        <v>-0.17318278450106916</v>
      </c>
      <c r="X26" s="51">
        <f t="shared" ref="X26" si="73">IF(AND(J26&lt;&gt;"",J25&lt;&gt;""),(J26-J25)/($B26-$B25),"")</f>
        <v>-0.26952948435265967</v>
      </c>
      <c r="Y26" s="51">
        <f t="shared" ref="Y26" si="74">IF(AND(K26&lt;&gt;"",K25&lt;&gt;""),(K26-K25)/($B26-$B25),"")</f>
        <v>-6.5929038908230098E-2</v>
      </c>
      <c r="Z26" s="51">
        <f t="shared" ref="Z26" si="75">IF(AND(L26&lt;&gt;"",L25&lt;&gt;""),(L26-L25)/($B26-$B25),"")</f>
        <v>-1.9888528270950445E-2</v>
      </c>
    </row>
    <row r="27" spans="1:26" ht="20.100000000000001" customHeight="1" x14ac:dyDescent="0.2">
      <c r="A27" s="53">
        <f t="shared" si="0"/>
        <v>51</v>
      </c>
      <c r="B27" s="54">
        <f t="shared" si="1"/>
        <v>43756</v>
      </c>
      <c r="C27" s="55">
        <f>'Résultats observations'!D27</f>
        <v>17.400000000000006</v>
      </c>
      <c r="D27" s="50">
        <f t="shared" si="2"/>
        <v>-40.421937409259812</v>
      </c>
      <c r="E27" s="50">
        <f t="shared" si="3"/>
        <v>-27.758763338264991</v>
      </c>
      <c r="F27" s="50">
        <f t="shared" si="4"/>
        <v>-24.976254270256515</v>
      </c>
      <c r="G27" s="50">
        <f t="shared" si="5"/>
        <v>-4.1822059254672528</v>
      </c>
      <c r="H27" s="50">
        <f t="shared" si="6"/>
        <v>-34.379226288616223</v>
      </c>
      <c r="I27" s="50">
        <f t="shared" si="7"/>
        <v>-41.184339935593783</v>
      </c>
      <c r="J27" s="50">
        <f t="shared" si="8"/>
        <v>-17.040196055300605</v>
      </c>
      <c r="K27" s="50">
        <f t="shared" si="9"/>
        <v>-16.983237876220691</v>
      </c>
      <c r="L27" s="50">
        <f t="shared" si="10"/>
        <v>-20.822315834539751</v>
      </c>
      <c r="R27" s="51">
        <f t="shared" ref="R27:R30" si="76">IF(AND(D27&lt;&gt;"",D26&lt;&gt;""),(D27-D26)/($B27-$B26),"")</f>
        <v>-0.59841592771003871</v>
      </c>
      <c r="S27" s="51">
        <f t="shared" ref="S27:S30" si="77">IF(AND(E27&lt;&gt;"",E26&lt;&gt;""),(E27-E26)/($B27-$B26),"")</f>
        <v>-0.47821410628895444</v>
      </c>
      <c r="T27" s="51">
        <f t="shared" ref="T27:T30" si="78">IF(AND(F27&lt;&gt;"",F26&lt;&gt;""),(F27-F26)/($B27-$B26),"")</f>
        <v>-0.29033574363612757</v>
      </c>
      <c r="U27" s="51">
        <f t="shared" ref="U27:U30" si="79">IF(AND(G27&lt;&gt;"",G26&lt;&gt;""),(G27-G26)/($B27-$B26),"")</f>
        <v>-0.11001999384568917</v>
      </c>
      <c r="V27" s="51">
        <f t="shared" ref="V27:V30" si="80">IF(AND(H27&lt;&gt;"",H26&lt;&gt;""),(H27-H26)/($B27-$B26),"")</f>
        <v>-0.54452438203600417</v>
      </c>
      <c r="W27" s="51">
        <f t="shared" ref="W27:W30" si="81">IF(AND(I27&lt;&gt;"",I26&lt;&gt;""),(I27-I26)/($B27-$B26),"")</f>
        <v>-0.68047361290946018</v>
      </c>
      <c r="X27" s="51">
        <f t="shared" ref="X27:X30" si="82">IF(AND(J27&lt;&gt;"",J26&lt;&gt;""),(J27-J26)/($B27-$B26),"")</f>
        <v>-0.24581805385626154</v>
      </c>
      <c r="Y27" s="51">
        <f t="shared" ref="Y27:Y30" si="83">IF(AND(K27&lt;&gt;"",K26&lt;&gt;""),(K27-K26)/($B27-$B26),"")</f>
        <v>-0.37952215795578059</v>
      </c>
      <c r="Z27" s="51">
        <f t="shared" ref="Z27:Z30" si="84">IF(AND(L27&lt;&gt;"",L26&lt;&gt;""),(L27-L26)/($B27-$B26),"")</f>
        <v>-0.41012448082755615</v>
      </c>
    </row>
    <row r="28" spans="1:26" ht="20.100000000000001" customHeight="1" x14ac:dyDescent="0.2">
      <c r="A28" s="53">
        <f t="shared" si="0"/>
        <v>55</v>
      </c>
      <c r="B28" s="54">
        <f t="shared" si="1"/>
        <v>43760</v>
      </c>
      <c r="C28" s="55">
        <f>'Résultats observations'!D28</f>
        <v>17.879999999999995</v>
      </c>
      <c r="D28" s="50">
        <f t="shared" si="2"/>
        <v>-41.889677916183921</v>
      </c>
      <c r="E28" s="50">
        <f t="shared" si="3"/>
        <v>-28.956668958409537</v>
      </c>
      <c r="F28" s="50">
        <f t="shared" si="4"/>
        <v>-25.746057350729323</v>
      </c>
      <c r="G28" s="50">
        <f t="shared" si="5"/>
        <v>-4.0647403377640501</v>
      </c>
      <c r="H28" s="50">
        <f t="shared" si="6"/>
        <v>-35.786358129064496</v>
      </c>
      <c r="I28" s="50">
        <f t="shared" si="7"/>
        <v>-42.613774506522262</v>
      </c>
      <c r="J28" s="50">
        <f t="shared" si="8"/>
        <v>-17.020274070682628</v>
      </c>
      <c r="K28" s="50">
        <f t="shared" si="9"/>
        <v>-16.724647701011897</v>
      </c>
      <c r="L28" s="50">
        <f t="shared" si="10"/>
        <v>-20.562596715092418</v>
      </c>
      <c r="R28" s="51">
        <f t="shared" si="76"/>
        <v>-0.36693512673102724</v>
      </c>
      <c r="S28" s="51">
        <f t="shared" si="77"/>
        <v>-0.29947640503613648</v>
      </c>
      <c r="T28" s="51">
        <f t="shared" si="78"/>
        <v>-0.19245077011820211</v>
      </c>
      <c r="U28" s="51">
        <f t="shared" si="79"/>
        <v>2.9366396925800675E-2</v>
      </c>
      <c r="V28" s="51">
        <f t="shared" si="80"/>
        <v>-0.35178296011206811</v>
      </c>
      <c r="W28" s="51">
        <f t="shared" si="81"/>
        <v>-0.35735864273211959</v>
      </c>
      <c r="X28" s="51">
        <f t="shared" si="82"/>
        <v>4.9804961544941406E-3</v>
      </c>
      <c r="Y28" s="51">
        <f t="shared" si="83"/>
        <v>6.4647543802198726E-2</v>
      </c>
      <c r="Z28" s="51">
        <f t="shared" si="84"/>
        <v>6.4929779861833126E-2</v>
      </c>
    </row>
    <row r="29" spans="1:26" ht="20.100000000000001" customHeight="1" x14ac:dyDescent="0.2">
      <c r="A29" s="53">
        <f t="shared" si="0"/>
        <v>57</v>
      </c>
      <c r="B29" s="54">
        <f t="shared" si="1"/>
        <v>43762</v>
      </c>
      <c r="C29" s="55">
        <f>'Résultats observations'!D29</f>
        <v>18.900000000000006</v>
      </c>
      <c r="D29" s="50">
        <f t="shared" si="2"/>
        <v>-40.884616889491632</v>
      </c>
      <c r="E29" s="50">
        <f t="shared" si="3"/>
        <v>-27.891255208003063</v>
      </c>
      <c r="F29" s="50">
        <f t="shared" si="4"/>
        <v>-25.294101673784208</v>
      </c>
      <c r="G29" s="50">
        <f t="shared" si="5"/>
        <v>-4.1399499588765654</v>
      </c>
      <c r="H29" s="50">
        <f t="shared" si="6"/>
        <v>-35.418659517489019</v>
      </c>
      <c r="I29" s="50">
        <f t="shared" si="7"/>
        <v>-42.084180549833761</v>
      </c>
      <c r="J29" s="50">
        <f t="shared" si="8"/>
        <v>-16.802689789678915</v>
      </c>
      <c r="K29" s="50">
        <f t="shared" si="9"/>
        <v>-15.789112130896399</v>
      </c>
      <c r="L29" s="50">
        <f t="shared" si="10"/>
        <v>-19.4024370073409</v>
      </c>
      <c r="R29" s="51">
        <f t="shared" si="76"/>
        <v>0.5025305133461444</v>
      </c>
      <c r="S29" s="51">
        <f t="shared" si="77"/>
        <v>0.53270687520323712</v>
      </c>
      <c r="T29" s="51">
        <f t="shared" si="78"/>
        <v>0.22597783847255748</v>
      </c>
      <c r="U29" s="51">
        <f t="shared" si="79"/>
        <v>-3.760481055625764E-2</v>
      </c>
      <c r="V29" s="51">
        <f t="shared" si="80"/>
        <v>0.18384930578773861</v>
      </c>
      <c r="W29" s="51">
        <f t="shared" si="81"/>
        <v>0.26479697834425053</v>
      </c>
      <c r="X29" s="51">
        <f t="shared" si="82"/>
        <v>0.10879214050185659</v>
      </c>
      <c r="Y29" s="51">
        <f t="shared" si="83"/>
        <v>0.46776778505774885</v>
      </c>
      <c r="Z29" s="51">
        <f t="shared" si="84"/>
        <v>0.580079853875759</v>
      </c>
    </row>
    <row r="30" spans="1:26" ht="20.100000000000001" customHeight="1" x14ac:dyDescent="0.2">
      <c r="A30" s="53">
        <f t="shared" si="0"/>
        <v>61</v>
      </c>
      <c r="B30" s="54">
        <f t="shared" si="1"/>
        <v>43766</v>
      </c>
      <c r="C30" s="55">
        <f>'Résultats observations'!D30</f>
        <v>19.450000000000017</v>
      </c>
      <c r="D30" s="50">
        <f t="shared" si="2"/>
        <v>-42.437954443132142</v>
      </c>
      <c r="E30" s="50">
        <f t="shared" si="3"/>
        <v>-29.145645634440331</v>
      </c>
      <c r="F30" s="50">
        <f t="shared" si="4"/>
        <v>-25.954012146617078</v>
      </c>
      <c r="G30" s="50">
        <f t="shared" si="5"/>
        <v>-4.089367759035456</v>
      </c>
      <c r="H30" s="50">
        <f t="shared" si="6"/>
        <v>-37.250689832952318</v>
      </c>
      <c r="I30" s="50">
        <f t="shared" si="7"/>
        <v>-43.415724487557483</v>
      </c>
      <c r="J30" s="50">
        <f t="shared" si="8"/>
        <v>-16.930345201680463</v>
      </c>
      <c r="K30" s="50">
        <f t="shared" si="9"/>
        <v>-16.853104679283248</v>
      </c>
      <c r="L30" s="50">
        <f t="shared" si="10"/>
        <v>-19.855826924068509</v>
      </c>
      <c r="R30" s="51">
        <f t="shared" si="76"/>
        <v>-0.38833438841012757</v>
      </c>
      <c r="S30" s="51">
        <f t="shared" si="77"/>
        <v>-0.31359760660931713</v>
      </c>
      <c r="T30" s="51">
        <f t="shared" si="78"/>
        <v>-0.16497761820821744</v>
      </c>
      <c r="U30" s="51">
        <f t="shared" si="79"/>
        <v>1.2645549960277336E-2</v>
      </c>
      <c r="V30" s="51">
        <f t="shared" si="80"/>
        <v>-0.45800757886582488</v>
      </c>
      <c r="W30" s="51">
        <f t="shared" si="81"/>
        <v>-0.33288598443093065</v>
      </c>
      <c r="X30" s="51">
        <f t="shared" si="82"/>
        <v>-3.1913853000387071E-2</v>
      </c>
      <c r="Y30" s="51">
        <f t="shared" si="83"/>
        <v>-0.26599813709671238</v>
      </c>
      <c r="Z30" s="51">
        <f t="shared" si="84"/>
        <v>-0.11334747918190224</v>
      </c>
    </row>
    <row r="31" spans="1:26" ht="20.100000000000001" customHeight="1" x14ac:dyDescent="0.2">
      <c r="A31" s="53">
        <f t="shared" si="0"/>
        <v>64</v>
      </c>
      <c r="B31" s="54">
        <f t="shared" si="1"/>
        <v>43769</v>
      </c>
      <c r="C31" s="55">
        <f>'Résultats observations'!D31</f>
        <v>20.77000000000001</v>
      </c>
      <c r="D31" s="50">
        <f t="shared" si="2"/>
        <v>-43.369646989241062</v>
      </c>
      <c r="E31" s="50">
        <f t="shared" si="3"/>
        <v>-30.236168334160762</v>
      </c>
      <c r="F31" s="50">
        <f t="shared" si="4"/>
        <v>-26.678897832684623</v>
      </c>
      <c r="G31" s="50">
        <f t="shared" si="5"/>
        <v>-4.142869949459671</v>
      </c>
      <c r="H31" s="50">
        <f t="shared" si="6"/>
        <v>-37.75538581547444</v>
      </c>
      <c r="I31" s="50">
        <f t="shared" si="7"/>
        <v>-44.759281583415245</v>
      </c>
      <c r="J31" s="50">
        <f t="shared" si="8"/>
        <v>-17.48583322102526</v>
      </c>
      <c r="K31" s="50">
        <f t="shared" si="9"/>
        <v>-17.132078507846593</v>
      </c>
      <c r="L31" s="50">
        <f t="shared" si="10"/>
        <v>-20.534022230847881</v>
      </c>
      <c r="R31" s="51">
        <f t="shared" ref="R31" si="85">IF(AND(D31&lt;&gt;"",D30&lt;&gt;""),(D31-D30)/($B31-$B30),"")</f>
        <v>-0.31056418203630659</v>
      </c>
      <c r="S31" s="51">
        <f t="shared" ref="S31" si="86">IF(AND(E31&lt;&gt;"",E30&lt;&gt;""),(E31-E30)/($B31-$B30),"")</f>
        <v>-0.36350756657347699</v>
      </c>
      <c r="T31" s="51">
        <f t="shared" ref="T31" si="87">IF(AND(F31&lt;&gt;"",F30&lt;&gt;""),(F31-F30)/($B31-$B30),"")</f>
        <v>-0.24162856202251484</v>
      </c>
      <c r="U31" s="51">
        <f t="shared" ref="U31" si="88">IF(AND(G31&lt;&gt;"",G30&lt;&gt;""),(G31-G30)/($B31-$B30),"")</f>
        <v>-1.7834063474738333E-2</v>
      </c>
      <c r="V31" s="51">
        <f t="shared" ref="V31" si="89">IF(AND(H31&lt;&gt;"",H30&lt;&gt;""),(H31-H30)/($B31-$B30),"")</f>
        <v>-0.16823199417404075</v>
      </c>
      <c r="W31" s="51">
        <f t="shared" ref="W31" si="90">IF(AND(I31&lt;&gt;"",I30&lt;&gt;""),(I31-I30)/($B31-$B30),"")</f>
        <v>-0.44785236528592048</v>
      </c>
      <c r="X31" s="51">
        <f t="shared" ref="X31" si="91">IF(AND(J31&lt;&gt;"",J30&lt;&gt;""),(J31-J30)/($B31-$B30),"")</f>
        <v>-0.18516267311493215</v>
      </c>
      <c r="Y31" s="51">
        <f t="shared" ref="Y31" si="92">IF(AND(K31&lt;&gt;"",K30&lt;&gt;""),(K31-K30)/($B31-$B30),"")</f>
        <v>-9.299127618778158E-2</v>
      </c>
      <c r="Z31" s="51">
        <f t="shared" ref="Z31" si="93">IF(AND(L31&lt;&gt;"",L30&lt;&gt;""),(L31-L30)/($B31-$B30),"")</f>
        <v>-0.22606510225979073</v>
      </c>
    </row>
    <row r="32" spans="1:26" ht="20.100000000000001" customHeight="1" x14ac:dyDescent="0.2">
      <c r="A32" s="53">
        <f t="shared" si="0"/>
        <v>69</v>
      </c>
      <c r="B32" s="54">
        <f t="shared" si="1"/>
        <v>43774</v>
      </c>
      <c r="C32" s="55">
        <f>'Résultats observations'!D32</f>
        <v>21.620000000000005</v>
      </c>
      <c r="D32" s="50">
        <f t="shared" si="2"/>
        <v>-47.394454904741146</v>
      </c>
      <c r="E32" s="50">
        <f t="shared" si="3"/>
        <v>-33.003970789314607</v>
      </c>
      <c r="F32" s="50">
        <f t="shared" si="4"/>
        <v>-28.599792223503062</v>
      </c>
      <c r="G32" s="50">
        <f t="shared" si="5"/>
        <v>-4.5707776523806753</v>
      </c>
      <c r="H32" s="50">
        <f t="shared" si="6"/>
        <v>-40.958226681027995</v>
      </c>
      <c r="I32" s="50">
        <f t="shared" si="7"/>
        <v>-48.556439032473975</v>
      </c>
      <c r="J32" s="50">
        <f t="shared" si="8"/>
        <v>-18.633464270739086</v>
      </c>
      <c r="K32" s="50">
        <f t="shared" si="9"/>
        <v>-19.070858787718414</v>
      </c>
      <c r="L32" s="50">
        <f t="shared" si="10"/>
        <v>-22.852189720436122</v>
      </c>
      <c r="R32" s="51">
        <f t="shared" ref="R32:R39" si="94">IF(AND(D32&lt;&gt;"",D31&lt;&gt;""),(D32-D31)/($B32-$B31),"")</f>
        <v>-0.80496158310001675</v>
      </c>
      <c r="S32" s="51">
        <f t="shared" ref="S32:S38" si="95">IF(AND(E32&lt;&gt;"",E31&lt;&gt;""),(E32-E31)/($B32-$B31),"")</f>
        <v>-0.55356049103076899</v>
      </c>
      <c r="T32" s="51">
        <f t="shared" ref="T32:T39" si="96">IF(AND(F32&lt;&gt;"",F31&lt;&gt;""),(F32-F31)/($B32-$B31),"")</f>
        <v>-0.3841788781636879</v>
      </c>
      <c r="U32" s="51">
        <f t="shared" ref="U32:U39" si="97">IF(AND(G32&lt;&gt;"",G31&lt;&gt;""),(G32-G31)/($B32-$B31),"")</f>
        <v>-8.5581540584200866E-2</v>
      </c>
      <c r="V32" s="51">
        <f t="shared" ref="V32:V39" si="98">IF(AND(H32&lt;&gt;"",H31&lt;&gt;""),(H32-H31)/($B32-$B31),"")</f>
        <v>-0.6405681731107109</v>
      </c>
      <c r="W32" s="51">
        <f t="shared" ref="W32:W39" si="99">IF(AND(I32&lt;&gt;"",I31&lt;&gt;""),(I32-I31)/($B32-$B31),"")</f>
        <v>-0.75943148981174602</v>
      </c>
      <c r="X32" s="51">
        <f t="shared" ref="X32:X39" si="100">IF(AND(J32&lt;&gt;"",J31&lt;&gt;""),(J32-J31)/($B32-$B31),"")</f>
        <v>-0.22952620994276529</v>
      </c>
      <c r="Y32" s="51">
        <f t="shared" ref="Y32:Y40" si="101">IF(AND(K32&lt;&gt;"",K31&lt;&gt;""),(K32-K31)/($B32-$B31),"")</f>
        <v>-0.38775605597436424</v>
      </c>
      <c r="Z32" s="51">
        <f t="shared" ref="Z32:Z39" si="102">IF(AND(L32&lt;&gt;"",L31&lt;&gt;""),(L32-L31)/($B32-$B31),"")</f>
        <v>-0.46363349791764819</v>
      </c>
    </row>
    <row r="33" spans="1:26" ht="20.100000000000001" customHeight="1" x14ac:dyDescent="0.2">
      <c r="A33" s="53">
        <f t="shared" si="0"/>
        <v>71</v>
      </c>
      <c r="B33" s="54">
        <f t="shared" si="1"/>
        <v>43776</v>
      </c>
      <c r="C33" s="55">
        <f>'Résultats observations'!D33</f>
        <v>22.700000000000017</v>
      </c>
      <c r="D33" s="50">
        <f t="shared" si="2"/>
        <v>-47.837926497469319</v>
      </c>
      <c r="E33" s="50">
        <f t="shared" si="3"/>
        <v>-33.426575287932806</v>
      </c>
      <c r="F33" s="50">
        <f t="shared" si="4"/>
        <v>-29.043411731875857</v>
      </c>
      <c r="G33" s="50">
        <f t="shared" si="5"/>
        <v>-4.6415977509473016</v>
      </c>
      <c r="H33" s="50">
        <f t="shared" si="6"/>
        <v>-41.359311546175007</v>
      </c>
      <c r="I33" s="50">
        <f t="shared" si="7"/>
        <v>-49.069114638546019</v>
      </c>
      <c r="J33" s="50">
        <f t="shared" si="8"/>
        <v>-18.967731718713576</v>
      </c>
      <c r="K33" s="50">
        <f t="shared" si="9"/>
        <v>-19.015204770750138</v>
      </c>
      <c r="L33" s="50">
        <f t="shared" si="10"/>
        <v>-22.817248309215721</v>
      </c>
      <c r="R33" s="51">
        <f t="shared" si="94"/>
        <v>-0.22173579636408647</v>
      </c>
      <c r="S33" s="51">
        <f t="shared" si="95"/>
        <v>-0.21130224930909947</v>
      </c>
      <c r="T33" s="51">
        <f t="shared" si="96"/>
        <v>-0.22180975418639726</v>
      </c>
      <c r="U33" s="51">
        <f t="shared" si="97"/>
        <v>-3.541004928331315E-2</v>
      </c>
      <c r="V33" s="51">
        <f t="shared" si="98"/>
        <v>-0.20054243257350635</v>
      </c>
      <c r="W33" s="51">
        <f t="shared" si="99"/>
        <v>-0.25633780303602194</v>
      </c>
      <c r="X33" s="51">
        <f t="shared" si="100"/>
        <v>-0.16713372398724502</v>
      </c>
      <c r="Y33" s="51">
        <f t="shared" si="101"/>
        <v>2.7827008484138105E-2</v>
      </c>
      <c r="Z33" s="51">
        <f t="shared" si="102"/>
        <v>1.747070561020081E-2</v>
      </c>
    </row>
    <row r="34" spans="1:26" ht="20.100000000000001" customHeight="1" x14ac:dyDescent="0.2">
      <c r="A34" s="53">
        <f t="shared" si="0"/>
        <v>77</v>
      </c>
      <c r="B34" s="54">
        <f t="shared" si="1"/>
        <v>43782</v>
      </c>
      <c r="C34" s="55">
        <f>'Résultats observations'!D34</f>
        <v>23.349999999999994</v>
      </c>
      <c r="D34" s="50">
        <f t="shared" si="2"/>
        <v>-48.683728213425148</v>
      </c>
      <c r="E34" s="50">
        <f t="shared" si="3"/>
        <v>-34.044630780552424</v>
      </c>
      <c r="F34" s="50">
        <f t="shared" si="4"/>
        <v>-29.158082001740304</v>
      </c>
      <c r="G34" s="50">
        <f t="shared" si="5"/>
        <v>-4.6631117303357339</v>
      </c>
      <c r="H34" s="50">
        <f t="shared" si="6"/>
        <v>-42.226698318137856</v>
      </c>
      <c r="I34" s="50">
        <f t="shared" si="7"/>
        <v>-50.004376793025607</v>
      </c>
      <c r="J34" s="50">
        <f t="shared" si="8"/>
        <v>-18.775102488063133</v>
      </c>
      <c r="K34" s="50">
        <f t="shared" si="9"/>
        <v>-19.112240704938444</v>
      </c>
      <c r="L34" s="50">
        <f t="shared" si="10"/>
        <v>-22.732046616583013</v>
      </c>
      <c r="R34" s="51">
        <f t="shared" si="94"/>
        <v>-0.14096695265930492</v>
      </c>
      <c r="S34" s="51">
        <f t="shared" si="95"/>
        <v>-0.10300924876993633</v>
      </c>
      <c r="T34" s="51">
        <f t="shared" si="96"/>
        <v>-1.9111711644074585E-2</v>
      </c>
      <c r="U34" s="51">
        <f t="shared" si="97"/>
        <v>-3.5856632314053747E-3</v>
      </c>
      <c r="V34" s="51">
        <f t="shared" si="98"/>
        <v>-0.14456446199380815</v>
      </c>
      <c r="W34" s="51">
        <f t="shared" si="99"/>
        <v>-0.15587702574659801</v>
      </c>
      <c r="X34" s="51">
        <f t="shared" si="100"/>
        <v>3.2104871775073818E-2</v>
      </c>
      <c r="Y34" s="51">
        <f t="shared" si="101"/>
        <v>-1.6172655698050892E-2</v>
      </c>
      <c r="Z34" s="51">
        <f t="shared" si="102"/>
        <v>1.4200282105451359E-2</v>
      </c>
    </row>
    <row r="35" spans="1:26" ht="20.100000000000001" customHeight="1" x14ac:dyDescent="0.2">
      <c r="A35" s="53">
        <f t="shared" si="0"/>
        <v>78</v>
      </c>
      <c r="B35" s="54">
        <f t="shared" si="1"/>
        <v>43783</v>
      </c>
      <c r="C35" s="55">
        <f>'Résultats observations'!D35</f>
        <v>24.400000000000006</v>
      </c>
      <c r="D35" s="50">
        <f t="shared" si="2"/>
        <v>-49.17278645009393</v>
      </c>
      <c r="E35" s="50">
        <f t="shared" si="3"/>
        <v>-34.572266914855817</v>
      </c>
      <c r="F35" s="50">
        <f t="shared" si="4"/>
        <v>-29.564770539434182</v>
      </c>
      <c r="G35" s="50">
        <f t="shared" si="5"/>
        <v>-4.5164484907096458</v>
      </c>
      <c r="H35" s="50">
        <f t="shared" si="6"/>
        <v>-42.492597449354186</v>
      </c>
      <c r="I35" s="50">
        <f t="shared" si="7"/>
        <v>-50.244847093968481</v>
      </c>
      <c r="J35" s="50">
        <f t="shared" si="8"/>
        <v>-18.909316528957554</v>
      </c>
      <c r="K35" s="50">
        <f t="shared" si="9"/>
        <v>-19.555856895993706</v>
      </c>
      <c r="L35" s="50">
        <f t="shared" si="10"/>
        <v>-23.172733718202387</v>
      </c>
      <c r="R35" s="51">
        <f t="shared" si="94"/>
        <v>-0.48905823666878234</v>
      </c>
      <c r="S35" s="51">
        <f t="shared" si="95"/>
        <v>-0.52763613430339262</v>
      </c>
      <c r="T35" s="51">
        <f t="shared" si="96"/>
        <v>-0.40668853769387781</v>
      </c>
      <c r="U35" s="51">
        <f t="shared" si="97"/>
        <v>0.14666323962608807</v>
      </c>
      <c r="V35" s="51">
        <f t="shared" si="98"/>
        <v>-0.26589913121632947</v>
      </c>
      <c r="W35" s="51">
        <f t="shared" si="99"/>
        <v>-0.24047030094287436</v>
      </c>
      <c r="X35" s="51">
        <f t="shared" si="100"/>
        <v>-0.13421404089442035</v>
      </c>
      <c r="Y35" s="51">
        <f t="shared" si="101"/>
        <v>-0.44361619105526273</v>
      </c>
      <c r="Z35" s="51">
        <f t="shared" si="102"/>
        <v>-0.44068710161937474</v>
      </c>
    </row>
    <row r="36" spans="1:26" ht="20.100000000000001" customHeight="1" x14ac:dyDescent="0.2">
      <c r="A36" s="53">
        <f t="shared" si="0"/>
        <v>82</v>
      </c>
      <c r="B36" s="54">
        <f t="shared" si="1"/>
        <v>43787</v>
      </c>
      <c r="C36" s="55">
        <f>'Résultats observations'!D36</f>
        <v>25.599999999999994</v>
      </c>
      <c r="D36" s="50">
        <f t="shared" si="2"/>
        <v>-50.014264607420422</v>
      </c>
      <c r="E36" s="50">
        <f t="shared" si="3"/>
        <v>-35.060766758705952</v>
      </c>
      <c r="F36" s="50">
        <f t="shared" si="4"/>
        <v>-29.861261694680064</v>
      </c>
      <c r="G36" s="50">
        <f t="shared" si="5"/>
        <v>-4.5750100239112523</v>
      </c>
      <c r="H36" s="50">
        <f t="shared" si="6"/>
        <v>-42.994543444408784</v>
      </c>
      <c r="I36" s="50">
        <f t="shared" si="7"/>
        <v>-51.289072184148132</v>
      </c>
      <c r="J36" s="50">
        <f t="shared" si="8"/>
        <v>-18.871741165128242</v>
      </c>
      <c r="K36" s="50">
        <f t="shared" si="9"/>
        <v>-19.19067285581022</v>
      </c>
      <c r="L36" s="50">
        <f t="shared" si="10"/>
        <v>-23.160454505528172</v>
      </c>
      <c r="R36" s="51">
        <f t="shared" si="94"/>
        <v>-0.21036953933162295</v>
      </c>
      <c r="S36" s="51">
        <f t="shared" si="95"/>
        <v>-0.12212496096253389</v>
      </c>
      <c r="T36" s="51">
        <f t="shared" si="96"/>
        <v>-7.4122788811470386E-2</v>
      </c>
      <c r="U36" s="51">
        <f t="shared" si="97"/>
        <v>-1.4640383300401627E-2</v>
      </c>
      <c r="V36" s="51">
        <f t="shared" si="98"/>
        <v>-0.12548649876364948</v>
      </c>
      <c r="W36" s="51">
        <f t="shared" si="99"/>
        <v>-0.26105627254491282</v>
      </c>
      <c r="X36" s="51">
        <f t="shared" si="100"/>
        <v>9.3938409573279813E-3</v>
      </c>
      <c r="Y36" s="51">
        <f t="shared" si="101"/>
        <v>9.1296010045871512E-2</v>
      </c>
      <c r="Z36" s="51">
        <f t="shared" si="102"/>
        <v>3.0698031685538751E-3</v>
      </c>
    </row>
    <row r="37" spans="1:26" ht="20.100000000000001" customHeight="1" x14ac:dyDescent="0.2">
      <c r="A37" s="53">
        <f t="shared" si="0"/>
        <v>85</v>
      </c>
      <c r="B37" s="54">
        <f t="shared" si="1"/>
        <v>43790</v>
      </c>
      <c r="C37" s="55">
        <f>'Résultats observations'!D37</f>
        <v>26.800000000000011</v>
      </c>
      <c r="D37" s="50">
        <f t="shared" si="2"/>
        <v>-50.711094027852788</v>
      </c>
      <c r="E37" s="50">
        <f t="shared" si="3"/>
        <v>-35.628645986692135</v>
      </c>
      <c r="F37" s="50">
        <f t="shared" si="4"/>
        <v>-30.20736120540235</v>
      </c>
      <c r="G37" s="50">
        <f t="shared" si="5"/>
        <v>-4.6387370042459963</v>
      </c>
      <c r="H37" s="50">
        <f t="shared" si="6"/>
        <v>-43.761534598612428</v>
      </c>
      <c r="I37" s="50">
        <f t="shared" si="7"/>
        <v>-52.011703961696298</v>
      </c>
      <c r="J37" s="50">
        <f t="shared" si="8"/>
        <v>-19.1465505778603</v>
      </c>
      <c r="K37" s="50">
        <f t="shared" si="9"/>
        <v>-19.82228148958054</v>
      </c>
      <c r="L37" s="50">
        <f t="shared" si="10"/>
        <v>-23.758946855857666</v>
      </c>
      <c r="R37" s="51">
        <f t="shared" si="94"/>
        <v>-0.23227647347745517</v>
      </c>
      <c r="S37" s="51">
        <f t="shared" si="95"/>
        <v>-0.18929307599539413</v>
      </c>
      <c r="T37" s="51">
        <f t="shared" si="96"/>
        <v>-0.11536650357409546</v>
      </c>
      <c r="U37" s="51">
        <f t="shared" si="97"/>
        <v>-2.1242326778248E-2</v>
      </c>
      <c r="V37" s="51">
        <f t="shared" si="98"/>
        <v>-0.25566371806788152</v>
      </c>
      <c r="W37" s="51">
        <f t="shared" si="99"/>
        <v>-0.24087725918272204</v>
      </c>
      <c r="X37" s="51">
        <f t="shared" si="100"/>
        <v>-9.160313757735257E-2</v>
      </c>
      <c r="Y37" s="51">
        <f t="shared" si="101"/>
        <v>-0.21053621125677324</v>
      </c>
      <c r="Z37" s="51">
        <f t="shared" si="102"/>
        <v>-0.19949745010983122</v>
      </c>
    </row>
    <row r="38" spans="1:26" ht="20.100000000000001" customHeight="1" x14ac:dyDescent="0.2">
      <c r="A38" s="53">
        <f t="shared" si="0"/>
        <v>90</v>
      </c>
      <c r="B38" s="54">
        <f t="shared" si="1"/>
        <v>43795</v>
      </c>
      <c r="C38" s="55">
        <f>'Résultats observations'!D38</f>
        <v>26.800000000000011</v>
      </c>
      <c r="D38" s="50">
        <f t="shared" si="2"/>
        <v>-52.416735868393793</v>
      </c>
      <c r="E38" s="50">
        <f t="shared" si="3"/>
        <v>-36.962837013163167</v>
      </c>
      <c r="F38" s="50">
        <f t="shared" si="4"/>
        <v>-30.945090337177295</v>
      </c>
      <c r="G38" s="50">
        <f t="shared" si="5"/>
        <v>-5.036725919799423</v>
      </c>
      <c r="H38" s="50">
        <f t="shared" si="6"/>
        <v>-44.994044872789019</v>
      </c>
      <c r="I38" s="50">
        <f t="shared" si="7"/>
        <v>-54.018869200541886</v>
      </c>
      <c r="J38" s="50">
        <f t="shared" si="8"/>
        <v>-19.677353398641184</v>
      </c>
      <c r="K38" s="50">
        <f t="shared" si="9"/>
        <v>-19.76661239621702</v>
      </c>
      <c r="L38" s="50">
        <f t="shared" si="10"/>
        <v>-24.193274983573154</v>
      </c>
      <c r="R38" s="51">
        <f t="shared" si="94"/>
        <v>-0.34112836810820113</v>
      </c>
      <c r="S38" s="51">
        <f t="shared" si="95"/>
        <v>-0.26683820529420643</v>
      </c>
      <c r="T38" s="51">
        <f t="shared" si="96"/>
        <v>-0.14754582635498892</v>
      </c>
      <c r="U38" s="51">
        <f t="shared" si="97"/>
        <v>-7.9597783110685327E-2</v>
      </c>
      <c r="V38" s="51">
        <f t="shared" si="98"/>
        <v>-0.24650205483531806</v>
      </c>
      <c r="W38" s="51">
        <f t="shared" si="99"/>
        <v>-0.40143304776911748</v>
      </c>
      <c r="X38" s="51">
        <f t="shared" si="100"/>
        <v>-0.10616056415617692</v>
      </c>
      <c r="Y38" s="51">
        <f t="shared" si="101"/>
        <v>1.113381867270391E-2</v>
      </c>
      <c r="Z38" s="51">
        <f t="shared" si="102"/>
        <v>-8.6865625543097735E-2</v>
      </c>
    </row>
    <row r="39" spans="1:26" ht="20.100000000000001" customHeight="1" x14ac:dyDescent="0.2">
      <c r="A39" s="53">
        <f t="shared" si="0"/>
        <v>92</v>
      </c>
      <c r="B39" s="54">
        <f t="shared" si="1"/>
        <v>43797</v>
      </c>
      <c r="C39" s="55">
        <f>'Résultats observations'!D39</f>
        <v>26.800000000000011</v>
      </c>
      <c r="D39" s="50">
        <f t="shared" si="2"/>
        <v>-57.792018129389611</v>
      </c>
      <c r="E39" s="50"/>
      <c r="F39" s="50">
        <f t="shared" si="4"/>
        <v>-34.234974856629293</v>
      </c>
      <c r="G39" s="50">
        <f t="shared" si="5"/>
        <v>-4.5092956839190013</v>
      </c>
      <c r="H39" s="50">
        <f t="shared" si="6"/>
        <v>-49.754353821067184</v>
      </c>
      <c r="I39" s="50">
        <f t="shared" si="7"/>
        <v>-58.942608418355746</v>
      </c>
      <c r="J39" s="50">
        <f t="shared" si="8"/>
        <v>-20.4918688967064</v>
      </c>
      <c r="K39" s="50"/>
      <c r="L39" s="50">
        <f t="shared" si="10"/>
        <v>-25.57101494812386</v>
      </c>
      <c r="R39" s="51">
        <f t="shared" si="94"/>
        <v>-2.6876411304979086</v>
      </c>
      <c r="S39" s="51"/>
      <c r="T39" s="51">
        <f t="shared" si="96"/>
        <v>-1.6449422597259993</v>
      </c>
      <c r="U39" s="51">
        <f t="shared" si="97"/>
        <v>0.26371511794021085</v>
      </c>
      <c r="V39" s="51">
        <f t="shared" si="98"/>
        <v>-2.3801544741390828</v>
      </c>
      <c r="W39" s="51">
        <f t="shared" si="99"/>
        <v>-2.4618696089069303</v>
      </c>
      <c r="X39" s="51">
        <f t="shared" si="100"/>
        <v>-0.40725774903260792</v>
      </c>
      <c r="Y39" s="51"/>
      <c r="Z39" s="51">
        <f t="shared" si="102"/>
        <v>-0.68886998227535301</v>
      </c>
    </row>
    <row r="40" spans="1:26" ht="20.100000000000001" customHeight="1" x14ac:dyDescent="0.2">
      <c r="A40" s="53">
        <f t="shared" si="0"/>
        <v>93</v>
      </c>
      <c r="B40" s="54">
        <f t="shared" si="1"/>
        <v>43798</v>
      </c>
      <c r="C40" s="55">
        <f>'Résultats observations'!D40</f>
        <v>26.800000000000011</v>
      </c>
      <c r="D40" s="50">
        <f t="shared" si="2"/>
        <v>-58.084684140629506</v>
      </c>
      <c r="E40" s="50">
        <f t="shared" si="3"/>
        <v>-42.10111990218968</v>
      </c>
      <c r="F40" s="50">
        <f t="shared" si="4"/>
        <v>-34.305372426464587</v>
      </c>
      <c r="G40" s="50">
        <f t="shared" si="5"/>
        <v>-4.4341022770941763</v>
      </c>
      <c r="H40" s="50">
        <f t="shared" si="6"/>
        <v>-50.388159636556296</v>
      </c>
      <c r="I40" s="50">
        <f t="shared" si="7"/>
        <v>-59.588254337567648</v>
      </c>
      <c r="J40" s="50">
        <f t="shared" si="8"/>
        <v>-20.001396352905321</v>
      </c>
      <c r="K40" s="50">
        <f t="shared" si="9"/>
        <v>-22.064132733270014</v>
      </c>
      <c r="L40" s="50">
        <f t="shared" si="10"/>
        <v>-24.989847442289381</v>
      </c>
      <c r="R40" s="51">
        <f t="shared" ref="R40:S41" si="103">IF(AND(D40&lt;&gt;"",D39&lt;&gt;""),(D40-D39)/($B40-$B39),"")</f>
        <v>-0.29266601123989489</v>
      </c>
      <c r="S40" s="51" t="str">
        <f t="shared" si="103"/>
        <v/>
      </c>
      <c r="T40" s="51">
        <f t="shared" ref="T40:T41" si="104">IF(AND(F40&lt;&gt;"",F39&lt;&gt;""),(F40-F39)/($B40-$B39),"")</f>
        <v>-7.0397569835293439E-2</v>
      </c>
      <c r="U40" s="51">
        <f t="shared" ref="U40:U41" si="105">IF(AND(G40&lt;&gt;"",G39&lt;&gt;""),(G40-G39)/($B40-$B39),"")</f>
        <v>7.5193406824825004E-2</v>
      </c>
      <c r="V40" s="51">
        <f t="shared" ref="V40:V41" si="106">IF(AND(H40&lt;&gt;"",H39&lt;&gt;""),(H40-H39)/($B40-$B39),"")</f>
        <v>-0.63380581548911152</v>
      </c>
      <c r="W40" s="51">
        <f t="shared" ref="W40:W41" si="107">IF(AND(I40&lt;&gt;"",I39&lt;&gt;""),(I40-I39)/($B40-$B39),"")</f>
        <v>-0.64564591921190129</v>
      </c>
      <c r="X40" s="51">
        <f t="shared" ref="X40:X41" si="108">IF(AND(J40&lt;&gt;"",J39&lt;&gt;""),(J40-J39)/($B40-$B39),"")</f>
        <v>0.4904725438010793</v>
      </c>
      <c r="Y40" s="51" t="str">
        <f t="shared" si="101"/>
        <v/>
      </c>
      <c r="Z40" s="51">
        <f t="shared" ref="Z40:Z41" si="109">IF(AND(L40&lt;&gt;"",L39&lt;&gt;""),(L40-L39)/($B40-$B39),"")</f>
        <v>0.58116750583447896</v>
      </c>
    </row>
    <row r="41" spans="1:26" ht="20.100000000000001" customHeight="1" x14ac:dyDescent="0.2">
      <c r="A41" s="53">
        <f t="shared" si="0"/>
        <v>96</v>
      </c>
      <c r="B41" s="54">
        <f t="shared" si="1"/>
        <v>43801</v>
      </c>
      <c r="C41" s="55">
        <f>'Résultats observations'!D41</f>
        <v>26.800000000000011</v>
      </c>
      <c r="D41" s="50">
        <f t="shared" si="2"/>
        <v>-58.956664580731122</v>
      </c>
      <c r="E41" s="50">
        <f t="shared" si="3"/>
        <v>-42.466318062675427</v>
      </c>
      <c r="F41" s="50">
        <f t="shared" si="4"/>
        <v>-34.621403062808028</v>
      </c>
      <c r="G41" s="50">
        <f t="shared" si="5"/>
        <v>-4.3258776145655986</v>
      </c>
      <c r="H41" s="50">
        <f t="shared" si="6"/>
        <v>-50.953681229632068</v>
      </c>
      <c r="I41" s="50">
        <f t="shared" si="7"/>
        <v>-60.338394887239133</v>
      </c>
      <c r="J41" s="50">
        <f t="shared" si="8"/>
        <v>-19.723745406169613</v>
      </c>
      <c r="K41" s="50">
        <f t="shared" si="9"/>
        <v>-21.075993716896058</v>
      </c>
      <c r="L41" s="50">
        <f t="shared" si="10"/>
        <v>-24.543257243384353</v>
      </c>
      <c r="R41" s="51">
        <f t="shared" si="103"/>
        <v>-0.29066014670053875</v>
      </c>
      <c r="S41" s="51">
        <f t="shared" si="103"/>
        <v>-0.12173272016191561</v>
      </c>
      <c r="T41" s="51">
        <f t="shared" si="104"/>
        <v>-0.10534354544781384</v>
      </c>
      <c r="U41" s="51">
        <f t="shared" si="105"/>
        <v>3.6074887509525887E-2</v>
      </c>
      <c r="V41" s="51">
        <f t="shared" si="106"/>
        <v>-0.18850719769192401</v>
      </c>
      <c r="W41" s="51">
        <f t="shared" si="107"/>
        <v>-0.25004684989049508</v>
      </c>
      <c r="X41" s="51">
        <f t="shared" si="108"/>
        <v>9.2550315578569339E-2</v>
      </c>
      <c r="Y41" s="51">
        <f t="shared" ref="Y41" si="110">IF(AND(K41&lt;&gt;"",K40&lt;&gt;""),(K41-K40)/($B41-$B40),"")</f>
        <v>0.32937967212465225</v>
      </c>
      <c r="Z41" s="51">
        <f t="shared" si="109"/>
        <v>0.14886339963500936</v>
      </c>
    </row>
    <row r="42" spans="1:26" ht="20.100000000000001" customHeight="1" x14ac:dyDescent="0.2">
      <c r="A42" s="53">
        <f t="shared" si="0"/>
        <v>98</v>
      </c>
      <c r="B42" s="54">
        <f t="shared" si="1"/>
        <v>43803</v>
      </c>
      <c r="C42" s="55">
        <f>'Résultats observations'!D42</f>
        <v>26.800000000000011</v>
      </c>
      <c r="D42" s="50">
        <f t="shared" si="2"/>
        <v>-60.202739717451159</v>
      </c>
      <c r="E42" s="50">
        <f t="shared" si="3"/>
        <v>-43.592584382456501</v>
      </c>
      <c r="F42" s="50">
        <f t="shared" si="4"/>
        <v>-35.223104227689817</v>
      </c>
      <c r="G42" s="50">
        <f t="shared" si="5"/>
        <v>-4.8234923987320322</v>
      </c>
      <c r="H42" s="50">
        <f t="shared" si="6"/>
        <v>-52.620990811012014</v>
      </c>
      <c r="I42" s="50">
        <f t="shared" si="7"/>
        <v>-62.321182647631979</v>
      </c>
      <c r="J42" s="50">
        <f t="shared" si="8"/>
        <v>-20.266655841067571</v>
      </c>
      <c r="K42" s="50">
        <f t="shared" si="9"/>
        <v>-21.887810927825768</v>
      </c>
      <c r="L42" s="50">
        <f t="shared" si="10"/>
        <v>-25.598155035986281</v>
      </c>
      <c r="R42" s="51">
        <f t="shared" ref="R42:R48" si="111">IF(AND(D42&lt;&gt;"",D41&lt;&gt;""),(D42-D41)/($B42-$B41),"")</f>
        <v>-0.62303756836001867</v>
      </c>
      <c r="S42" s="51">
        <f t="shared" ref="S42:S48" si="112">IF(AND(E42&lt;&gt;"",E41&lt;&gt;""),(E42-E41)/($B42-$B41),"")</f>
        <v>-0.56313315989053692</v>
      </c>
      <c r="T42" s="51">
        <f t="shared" ref="T42:T48" si="113">IF(AND(F42&lt;&gt;"",F41&lt;&gt;""),(F42-F41)/($B42-$B41),"")</f>
        <v>-0.30085058244089424</v>
      </c>
      <c r="U42" s="51">
        <f t="shared" ref="U42:U48" si="114">IF(AND(G42&lt;&gt;"",G41&lt;&gt;""),(G42-G41)/($B42-$B41),"")</f>
        <v>-0.24880739208321678</v>
      </c>
      <c r="V42" s="51">
        <f t="shared" ref="V42:V48" si="115">IF(AND(H42&lt;&gt;"",H41&lt;&gt;""),(H42-H41)/($B42-$B41),"")</f>
        <v>-0.83365479068997317</v>
      </c>
      <c r="W42" s="51">
        <f t="shared" ref="W42:W48" si="116">IF(AND(I42&lt;&gt;"",I41&lt;&gt;""),(I42-I41)/($B42-$B41),"")</f>
        <v>-0.99139388019642283</v>
      </c>
      <c r="X42" s="51">
        <f t="shared" ref="X42:X48" si="117">IF(AND(J42&lt;&gt;"",J41&lt;&gt;""),(J42-J41)/($B42-$B41),"")</f>
        <v>-0.27145521744897927</v>
      </c>
      <c r="Y42" s="51">
        <f t="shared" ref="Y42:Y48" si="118">IF(AND(K42&lt;&gt;"",K41&lt;&gt;""),(K42-K41)/($B42-$B41),"")</f>
        <v>-0.4059086054648553</v>
      </c>
      <c r="Z42" s="51">
        <f t="shared" ref="Z42:Z48" si="119">IF(AND(L42&lt;&gt;"",L41&lt;&gt;""),(L42-L41)/($B42-$B41),"")</f>
        <v>-0.52744889630096381</v>
      </c>
    </row>
    <row r="43" spans="1:26" ht="20.100000000000001" customHeight="1" x14ac:dyDescent="0.2">
      <c r="A43" s="53">
        <f t="shared" si="0"/>
        <v>103</v>
      </c>
      <c r="B43" s="54">
        <f t="shared" si="1"/>
        <v>43808</v>
      </c>
      <c r="C43" s="55">
        <f>'Résultats observations'!D43</f>
        <v>26.800000000000011</v>
      </c>
      <c r="D43" s="50">
        <f t="shared" si="2"/>
        <v>-62.163716276203651</v>
      </c>
      <c r="E43" s="50">
        <f t="shared" si="3"/>
        <v>-44.432152280544642</v>
      </c>
      <c r="F43" s="50">
        <f t="shared" si="4"/>
        <v>-35.889884451822063</v>
      </c>
      <c r="G43" s="50">
        <f t="shared" si="5"/>
        <v>-4.5679622660117492</v>
      </c>
      <c r="H43" s="50">
        <f t="shared" si="6"/>
        <v>-53.418262367257</v>
      </c>
      <c r="I43" s="50">
        <f t="shared" si="7"/>
        <v>-63.28174333689951</v>
      </c>
      <c r="J43" s="50">
        <f t="shared" si="8"/>
        <v>-20.334228973501123</v>
      </c>
      <c r="K43" s="50">
        <f t="shared" si="9"/>
        <v>-22.12062869834952</v>
      </c>
      <c r="L43" s="50">
        <f t="shared" si="10"/>
        <v>-25.621933615322945</v>
      </c>
      <c r="R43" s="51">
        <f t="shared" si="111"/>
        <v>-0.39219531175049838</v>
      </c>
      <c r="S43" s="51">
        <f t="shared" si="112"/>
        <v>-0.16791357961762826</v>
      </c>
      <c r="T43" s="51">
        <f t="shared" si="113"/>
        <v>-0.13335604482644925</v>
      </c>
      <c r="U43" s="51">
        <f t="shared" si="114"/>
        <v>5.1106026544056604E-2</v>
      </c>
      <c r="V43" s="51">
        <f t="shared" si="115"/>
        <v>-0.15945431124899728</v>
      </c>
      <c r="W43" s="51">
        <f t="shared" si="116"/>
        <v>-0.19211213785350623</v>
      </c>
      <c r="X43" s="51">
        <f t="shared" si="117"/>
        <v>-1.3514626486710313E-2</v>
      </c>
      <c r="Y43" s="51">
        <f t="shared" si="118"/>
        <v>-4.6563554104750438E-2</v>
      </c>
      <c r="Z43" s="51">
        <f t="shared" si="119"/>
        <v>-4.7557158673328104E-3</v>
      </c>
    </row>
    <row r="44" spans="1:26" ht="20.100000000000001" customHeight="1" x14ac:dyDescent="0.2">
      <c r="A44" s="53">
        <f t="shared" si="0"/>
        <v>106</v>
      </c>
      <c r="B44" s="54">
        <f t="shared" si="1"/>
        <v>43811</v>
      </c>
      <c r="C44" s="55">
        <f>'Résultats observations'!D44</f>
        <v>26.800000000000011</v>
      </c>
      <c r="D44" s="50">
        <f t="shared" si="2"/>
        <v>-63.04165617309998</v>
      </c>
      <c r="E44" s="50">
        <f t="shared" si="3"/>
        <v>-45.158765039015059</v>
      </c>
      <c r="F44" s="50">
        <f t="shared" si="4"/>
        <v>-36.294845708968907</v>
      </c>
      <c r="G44" s="50">
        <f t="shared" si="5"/>
        <v>-4.1963077902895662</v>
      </c>
      <c r="H44" s="50">
        <f t="shared" si="6"/>
        <v>-53.752207532860474</v>
      </c>
      <c r="I44" s="50">
        <f t="shared" si="7"/>
        <v>-63.905146498055565</v>
      </c>
      <c r="J44" s="50">
        <f t="shared" si="8"/>
        <v>-20.175027969885573</v>
      </c>
      <c r="K44" s="50">
        <f t="shared" si="9"/>
        <v>-22.209868298289415</v>
      </c>
      <c r="L44" s="50">
        <f t="shared" si="10"/>
        <v>-25.557075344815772</v>
      </c>
      <c r="R44" s="51">
        <f t="shared" si="111"/>
        <v>-0.29264663229877641</v>
      </c>
      <c r="S44" s="51">
        <f t="shared" si="112"/>
        <v>-0.24220425282347216</v>
      </c>
      <c r="T44" s="51">
        <f t="shared" si="113"/>
        <v>-0.1349870857156148</v>
      </c>
      <c r="U44" s="51">
        <f t="shared" si="114"/>
        <v>0.12388482524072764</v>
      </c>
      <c r="V44" s="51">
        <f t="shared" si="115"/>
        <v>-0.11131505520115799</v>
      </c>
      <c r="W44" s="51">
        <f t="shared" si="116"/>
        <v>-0.2078010537186851</v>
      </c>
      <c r="X44" s="51">
        <f t="shared" si="117"/>
        <v>5.3067001205183338E-2</v>
      </c>
      <c r="Y44" s="51">
        <f t="shared" si="118"/>
        <v>-2.9746533313298091E-2</v>
      </c>
      <c r="Z44" s="51">
        <f t="shared" si="119"/>
        <v>2.1619423502391062E-2</v>
      </c>
    </row>
    <row r="45" spans="1:26" ht="20.100000000000001" customHeight="1" x14ac:dyDescent="0.2">
      <c r="A45" s="53">
        <f t="shared" si="0"/>
        <v>110</v>
      </c>
      <c r="B45" s="54">
        <f t="shared" si="1"/>
        <v>43815</v>
      </c>
      <c r="C45" s="55">
        <f>'Résultats observations'!D45</f>
        <v>26.800000000000011</v>
      </c>
      <c r="D45" s="50">
        <f t="shared" si="2"/>
        <v>-63.937508497374118</v>
      </c>
      <c r="E45" s="50">
        <f t="shared" si="3"/>
        <v>-45.730844215348121</v>
      </c>
      <c r="F45" s="50">
        <f t="shared" si="4"/>
        <v>-36.550572809739279</v>
      </c>
      <c r="G45" s="50">
        <f t="shared" si="5"/>
        <v>-4.5121980780076232</v>
      </c>
      <c r="H45" s="50">
        <f t="shared" si="6"/>
        <v>-54.788695549545793</v>
      </c>
      <c r="I45" s="50">
        <f t="shared" si="7"/>
        <v>-65.041511857971017</v>
      </c>
      <c r="J45" s="50">
        <f t="shared" si="8"/>
        <v>-20.037259132791085</v>
      </c>
      <c r="K45" s="50">
        <f t="shared" si="9"/>
        <v>-22.175370483648038</v>
      </c>
      <c r="L45" s="50">
        <f t="shared" si="10"/>
        <v>-25.508127430887484</v>
      </c>
      <c r="R45" s="51">
        <f t="shared" si="111"/>
        <v>-0.22396308106853446</v>
      </c>
      <c r="S45" s="51">
        <f t="shared" si="112"/>
        <v>-0.14301979408326559</v>
      </c>
      <c r="T45" s="51">
        <f t="shared" si="113"/>
        <v>-6.3931775192592966E-2</v>
      </c>
      <c r="U45" s="51">
        <f t="shared" si="114"/>
        <v>-7.8972571929514235E-2</v>
      </c>
      <c r="V45" s="51">
        <f t="shared" si="115"/>
        <v>-0.25912200417132958</v>
      </c>
      <c r="W45" s="51">
        <f t="shared" si="116"/>
        <v>-0.28409133997886293</v>
      </c>
      <c r="X45" s="51">
        <f t="shared" si="117"/>
        <v>3.4442209273621849E-2</v>
      </c>
      <c r="Y45" s="51">
        <f t="shared" si="118"/>
        <v>8.6244536603441446E-3</v>
      </c>
      <c r="Z45" s="51">
        <f t="shared" si="119"/>
        <v>1.2236978482071947E-2</v>
      </c>
    </row>
    <row r="46" spans="1:26" ht="20.100000000000001" customHeight="1" x14ac:dyDescent="0.2">
      <c r="A46" s="53">
        <f t="shared" si="0"/>
        <v>113</v>
      </c>
      <c r="B46" s="54">
        <f t="shared" si="1"/>
        <v>43818</v>
      </c>
      <c r="C46" s="55">
        <f>'Résultats observations'!D46</f>
        <v>26.800000000000011</v>
      </c>
      <c r="D46" s="50">
        <f t="shared" si="2"/>
        <v>-64.520151804138067</v>
      </c>
      <c r="E46" s="50">
        <f t="shared" si="3"/>
        <v>-46.447277508169016</v>
      </c>
      <c r="F46" s="50">
        <f t="shared" si="4"/>
        <v>-36.901843260035875</v>
      </c>
      <c r="G46" s="50">
        <f t="shared" si="5"/>
        <v>-4.9587584295345266</v>
      </c>
      <c r="H46" s="50">
        <f t="shared" si="6"/>
        <v>-55.455358990442072</v>
      </c>
      <c r="I46" s="50">
        <f t="shared" si="7"/>
        <v>-65.931667109418328</v>
      </c>
      <c r="J46" s="50">
        <f t="shared" si="8"/>
        <v>-20.653085070819976</v>
      </c>
      <c r="K46" s="50">
        <f t="shared" si="9"/>
        <v>-22.875948908368748</v>
      </c>
      <c r="L46" s="50">
        <f t="shared" si="10"/>
        <v>-26.038592074032252</v>
      </c>
      <c r="R46" s="51">
        <f t="shared" si="111"/>
        <v>-0.19421443558798282</v>
      </c>
      <c r="S46" s="51">
        <f t="shared" si="112"/>
        <v>-0.23881109760696498</v>
      </c>
      <c r="T46" s="51">
        <f t="shared" si="113"/>
        <v>-0.11709015009886532</v>
      </c>
      <c r="U46" s="51">
        <f t="shared" si="114"/>
        <v>-0.14885345050896781</v>
      </c>
      <c r="V46" s="51">
        <f t="shared" si="115"/>
        <v>-0.22222114696542641</v>
      </c>
      <c r="W46" s="51">
        <f t="shared" si="116"/>
        <v>-0.29671841714910369</v>
      </c>
      <c r="X46" s="51">
        <f t="shared" si="117"/>
        <v>-0.20527531267629703</v>
      </c>
      <c r="Y46" s="51">
        <f t="shared" si="118"/>
        <v>-0.2335261415735701</v>
      </c>
      <c r="Z46" s="51">
        <f t="shared" si="119"/>
        <v>-0.17682154771492264</v>
      </c>
    </row>
    <row r="47" spans="1:26" ht="20.100000000000001" customHeight="1" x14ac:dyDescent="0.2">
      <c r="A47" s="53">
        <f t="shared" si="0"/>
        <v>132</v>
      </c>
      <c r="B47" s="54">
        <f t="shared" si="1"/>
        <v>43837</v>
      </c>
      <c r="C47" s="55">
        <f>'Résultats observations'!D47</f>
        <v>26.800000000000011</v>
      </c>
      <c r="D47" s="50">
        <f t="shared" si="2"/>
        <v>-66.528030184349163</v>
      </c>
      <c r="E47" s="50">
        <f t="shared" si="3"/>
        <v>-47.745563188900775</v>
      </c>
      <c r="F47" s="50">
        <f t="shared" si="4"/>
        <v>-37.983243609302164</v>
      </c>
      <c r="G47" s="50">
        <f t="shared" si="5"/>
        <v>-4.5963911420121573</v>
      </c>
      <c r="H47" s="50">
        <f t="shared" si="6"/>
        <v>-56.950537008779278</v>
      </c>
      <c r="I47" s="50">
        <f t="shared" si="7"/>
        <v>-67.607781340323754</v>
      </c>
      <c r="J47" s="50">
        <f t="shared" si="8"/>
        <v>-20.88392054094923</v>
      </c>
      <c r="K47" s="50">
        <f t="shared" si="9"/>
        <v>-22.800082512114628</v>
      </c>
      <c r="L47" s="50">
        <f t="shared" si="10"/>
        <v>-25.943376046869027</v>
      </c>
      <c r="R47" s="51">
        <f t="shared" si="111"/>
        <v>-0.10567780948479454</v>
      </c>
      <c r="S47" s="51">
        <f t="shared" si="112"/>
        <v>-6.8330825301671519E-2</v>
      </c>
      <c r="T47" s="51">
        <f t="shared" si="113"/>
        <v>-5.6915807856120479E-2</v>
      </c>
      <c r="U47" s="51">
        <f t="shared" si="114"/>
        <v>1.9071962501177334E-2</v>
      </c>
      <c r="V47" s="51">
        <f t="shared" si="115"/>
        <v>-7.869357991248456E-2</v>
      </c>
      <c r="W47" s="51">
        <f t="shared" si="116"/>
        <v>-8.8216538468706654E-2</v>
      </c>
      <c r="X47" s="51">
        <f t="shared" si="117"/>
        <v>-1.2149235269960718E-2</v>
      </c>
      <c r="Y47" s="51">
        <f t="shared" si="118"/>
        <v>3.9929682239010847E-3</v>
      </c>
      <c r="Z47" s="51">
        <f t="shared" si="119"/>
        <v>5.011369850696063E-3</v>
      </c>
    </row>
    <row r="48" spans="1:26" ht="20.100000000000001" customHeight="1" x14ac:dyDescent="0.2">
      <c r="A48" s="53">
        <f t="shared" si="0"/>
        <v>138</v>
      </c>
      <c r="B48" s="54">
        <f t="shared" si="1"/>
        <v>43843</v>
      </c>
      <c r="C48" s="55">
        <f>'Résultats observations'!D48</f>
        <v>26.800000000000011</v>
      </c>
      <c r="D48" s="50">
        <f t="shared" si="2"/>
        <v>-67.299380521508738</v>
      </c>
      <c r="E48" s="50"/>
      <c r="F48" s="50">
        <f t="shared" si="4"/>
        <v>-38.142720602199361</v>
      </c>
      <c r="G48" s="50">
        <f t="shared" si="5"/>
        <v>-4.4059764083344</v>
      </c>
      <c r="H48" s="50">
        <f t="shared" si="6"/>
        <v>-57.581850578976024</v>
      </c>
      <c r="I48" s="50">
        <f t="shared" si="7"/>
        <v>-68.062145981104834</v>
      </c>
      <c r="J48" s="50">
        <f t="shared" si="8"/>
        <v>-20.601028081567829</v>
      </c>
      <c r="K48" s="50"/>
      <c r="L48" s="50">
        <f t="shared" si="10"/>
        <v>-26.081663874392369</v>
      </c>
      <c r="R48" s="51">
        <f t="shared" si="111"/>
        <v>-0.12855838952659582</v>
      </c>
      <c r="S48" s="51" t="str">
        <f t="shared" si="112"/>
        <v/>
      </c>
      <c r="T48" s="51">
        <f t="shared" si="113"/>
        <v>-2.6579498816199514E-2</v>
      </c>
      <c r="U48" s="51">
        <f t="shared" si="114"/>
        <v>3.1735788946292885E-2</v>
      </c>
      <c r="V48" s="51">
        <f t="shared" si="115"/>
        <v>-0.10521892836612423</v>
      </c>
      <c r="W48" s="51">
        <f t="shared" si="116"/>
        <v>-7.5727440130179957E-2</v>
      </c>
      <c r="X48" s="51">
        <f t="shared" si="117"/>
        <v>4.7148743230233471E-2</v>
      </c>
      <c r="Y48" s="51" t="str">
        <f t="shared" si="118"/>
        <v/>
      </c>
      <c r="Z48" s="51">
        <f t="shared" si="119"/>
        <v>-2.3047971253890392E-2</v>
      </c>
    </row>
    <row r="49" spans="1:26" ht="20.100000000000001" customHeight="1" x14ac:dyDescent="0.2">
      <c r="A49" s="53">
        <f t="shared" si="0"/>
        <v>145</v>
      </c>
      <c r="B49" s="54">
        <f t="shared" si="1"/>
        <v>43850</v>
      </c>
      <c r="C49" s="55">
        <f>'Résultats observations'!D49</f>
        <v>26.800000000000011</v>
      </c>
      <c r="D49" s="50">
        <f t="shared" si="2"/>
        <v>-67.573455790600264</v>
      </c>
      <c r="E49" s="50"/>
      <c r="F49" s="50">
        <f t="shared" si="4"/>
        <v>-38.380160215040426</v>
      </c>
      <c r="G49" s="50">
        <f t="shared" si="5"/>
        <v>-4.0818685769770102</v>
      </c>
      <c r="H49" s="50">
        <f t="shared" si="6"/>
        <v>-57.478939439907784</v>
      </c>
      <c r="I49" s="50">
        <f t="shared" si="7"/>
        <v>-68.214268076610011</v>
      </c>
      <c r="J49" s="50">
        <f t="shared" si="8"/>
        <v>-20.527607117629021</v>
      </c>
      <c r="K49" s="50"/>
      <c r="L49" s="50">
        <f t="shared" si="10"/>
        <v>-25.941574467430506</v>
      </c>
      <c r="R49" s="51">
        <f t="shared" ref="R49:R51" si="120">IF(AND(D49&lt;&gt;"",D48&lt;&gt;""),(D49-D48)/($B49-$B48),"")</f>
        <v>-3.9153609870217973E-2</v>
      </c>
      <c r="S49" s="51" t="str">
        <f t="shared" ref="S49:S51" si="121">IF(AND(E49&lt;&gt;"",E48&lt;&gt;""),(E49-E48)/($B49-$B48),"")</f>
        <v/>
      </c>
      <c r="T49" s="51">
        <f t="shared" ref="T49:T51" si="122">IF(AND(F49&lt;&gt;"",F48&lt;&gt;""),(F49-F48)/($B49-$B48),"")</f>
        <v>-3.3919944691580738E-2</v>
      </c>
      <c r="U49" s="51">
        <f t="shared" ref="U49:U51" si="123">IF(AND(G49&lt;&gt;"",G48&lt;&gt;""),(G49-G48)/($B49-$B48),"")</f>
        <v>4.630111876534139E-2</v>
      </c>
      <c r="V49" s="51">
        <f t="shared" ref="V49:V51" si="124">IF(AND(H49&lt;&gt;"",H48&lt;&gt;""),(H49-H48)/($B49-$B48),"")</f>
        <v>1.470159129546289E-2</v>
      </c>
      <c r="W49" s="51">
        <f t="shared" ref="W49:W51" si="125">IF(AND(I49&lt;&gt;"",I48&lt;&gt;""),(I49-I48)/($B49-$B48),"")</f>
        <v>-2.1731727929311058E-2</v>
      </c>
      <c r="X49" s="51">
        <f t="shared" ref="X49:X51" si="126">IF(AND(J49&lt;&gt;"",J48&lt;&gt;""),(J49-J48)/($B49-$B48),"")</f>
        <v>1.0488709134115481E-2</v>
      </c>
      <c r="Y49" s="51" t="str">
        <f t="shared" ref="Y49:Y51" si="127">IF(AND(K49&lt;&gt;"",K48&lt;&gt;""),(K49-K48)/($B49-$B48),"")</f>
        <v/>
      </c>
      <c r="Z49" s="51">
        <f t="shared" ref="Z49:Z51" si="128">IF(AND(L49&lt;&gt;"",L48&lt;&gt;""),(L49-L48)/($B49-$B48),"")</f>
        <v>2.0012772423123288E-2</v>
      </c>
    </row>
    <row r="50" spans="1:26" ht="20.100000000000001" customHeight="1" x14ac:dyDescent="0.2">
      <c r="A50" s="53">
        <f t="shared" si="0"/>
        <v>154</v>
      </c>
      <c r="B50" s="54">
        <f t="shared" si="1"/>
        <v>43859</v>
      </c>
      <c r="C50" s="55">
        <f>'Résultats observations'!D50</f>
        <v>26.800000000000011</v>
      </c>
      <c r="D50" s="50">
        <f t="shared" si="2"/>
        <v>-66.673283700878557</v>
      </c>
      <c r="E50" s="50">
        <f t="shared" ref="E50:E77" si="129">Ecart_IG</f>
        <v>-47.843510136897471</v>
      </c>
      <c r="F50" s="50">
        <f t="shared" si="4"/>
        <v>-37.876815351052251</v>
      </c>
      <c r="G50" s="50">
        <f t="shared" si="5"/>
        <v>-4.3743721397733193</v>
      </c>
      <c r="H50" s="50">
        <f t="shared" si="6"/>
        <v>-58.012666773831434</v>
      </c>
      <c r="I50" s="50">
        <f t="shared" si="7"/>
        <v>-58.522250049467317</v>
      </c>
      <c r="J50" s="50">
        <f t="shared" si="8"/>
        <v>-20.049488393771409</v>
      </c>
      <c r="K50" s="50">
        <f t="shared" ref="K50:K77" si="130">Ecart_LI</f>
        <v>-22.286047777147822</v>
      </c>
      <c r="L50" s="50">
        <f t="shared" si="10"/>
        <v>-24.344742113663997</v>
      </c>
      <c r="R50" s="51">
        <f t="shared" si="120"/>
        <v>0.10001912108018966</v>
      </c>
      <c r="S50" s="51" t="str">
        <f t="shared" si="121"/>
        <v/>
      </c>
      <c r="T50" s="51">
        <f t="shared" si="122"/>
        <v>5.5927207109797275E-2</v>
      </c>
      <c r="U50" s="51">
        <f t="shared" si="123"/>
        <v>-3.2500395866256561E-2</v>
      </c>
      <c r="V50" s="51">
        <f t="shared" si="124"/>
        <v>-5.9303037102627819E-2</v>
      </c>
      <c r="W50" s="51">
        <f t="shared" si="125"/>
        <v>1.0768908919047437</v>
      </c>
      <c r="X50" s="51">
        <f t="shared" si="126"/>
        <v>5.3124302650845813E-2</v>
      </c>
      <c r="Y50" s="51" t="str">
        <f t="shared" si="127"/>
        <v/>
      </c>
      <c r="Z50" s="51">
        <f t="shared" si="128"/>
        <v>0.17742581708516761</v>
      </c>
    </row>
    <row r="51" spans="1:26" ht="20.100000000000001" customHeight="1" x14ac:dyDescent="0.2">
      <c r="A51" s="53">
        <f t="shared" si="0"/>
        <v>181</v>
      </c>
      <c r="B51" s="54">
        <f t="shared" si="1"/>
        <v>43886</v>
      </c>
      <c r="C51" s="55">
        <f>'Résultats observations'!D51</f>
        <v>26.800000000000011</v>
      </c>
      <c r="D51" s="50">
        <f t="shared" si="2"/>
        <v>-67.651162214394489</v>
      </c>
      <c r="E51" s="50">
        <f t="shared" si="129"/>
        <v>-49.090668170076235</v>
      </c>
      <c r="F51" s="50">
        <f t="shared" si="4"/>
        <v>-38.537569323483737</v>
      </c>
      <c r="G51" s="50">
        <f t="shared" si="5"/>
        <v>-4.2494861975237441</v>
      </c>
      <c r="H51" s="50">
        <f t="shared" si="6"/>
        <v>-58.240562673914198</v>
      </c>
      <c r="I51" s="50">
        <f t="shared" si="7"/>
        <v>-59.459831166857491</v>
      </c>
      <c r="J51" s="50">
        <f t="shared" si="8"/>
        <v>-20.445608871685117</v>
      </c>
      <c r="K51" s="50">
        <f t="shared" si="130"/>
        <v>-23.599365279204143</v>
      </c>
      <c r="L51" s="50">
        <f t="shared" si="10"/>
        <v>-26.488745826726223</v>
      </c>
      <c r="R51" s="51">
        <f t="shared" si="120"/>
        <v>-3.6217722722812311E-2</v>
      </c>
      <c r="S51" s="51">
        <f t="shared" si="121"/>
        <v>-4.6191038265880127E-2</v>
      </c>
      <c r="T51" s="51">
        <f t="shared" si="122"/>
        <v>-2.44723693493143E-2</v>
      </c>
      <c r="U51" s="51">
        <f t="shared" si="123"/>
        <v>4.6254052685027842E-3</v>
      </c>
      <c r="V51" s="51">
        <f t="shared" si="124"/>
        <v>-8.4405888919542246E-3</v>
      </c>
      <c r="W51" s="51">
        <f t="shared" si="125"/>
        <v>-3.4725226570006436E-2</v>
      </c>
      <c r="X51" s="51">
        <f t="shared" si="126"/>
        <v>-1.467112881161883E-2</v>
      </c>
      <c r="Y51" s="51">
        <f t="shared" si="127"/>
        <v>-4.8641388965048944E-2</v>
      </c>
      <c r="Z51" s="51">
        <f t="shared" si="128"/>
        <v>-7.9407544928230586E-2</v>
      </c>
    </row>
    <row r="52" spans="1:26" ht="20.100000000000001" customHeight="1" x14ac:dyDescent="0.2">
      <c r="A52" s="53">
        <f t="shared" si="0"/>
        <v>265</v>
      </c>
      <c r="B52" s="54">
        <f t="shared" si="1"/>
        <v>43970</v>
      </c>
      <c r="C52" s="55">
        <f>'Résultats observations'!D52</f>
        <v>26.800000000000011</v>
      </c>
      <c r="D52" s="50">
        <f t="shared" si="2"/>
        <v>-68.611964105800283</v>
      </c>
      <c r="E52" s="50">
        <f t="shared" si="129"/>
        <v>-49.567924562693207</v>
      </c>
      <c r="F52" s="50">
        <f t="shared" si="4"/>
        <v>-39.309691506606903</v>
      </c>
      <c r="G52" s="50">
        <f t="shared" si="5"/>
        <v>-4.4285796285346013</v>
      </c>
      <c r="H52" s="50">
        <f t="shared" si="6"/>
        <v>-59.10606852259059</v>
      </c>
      <c r="I52" s="50">
        <f t="shared" si="7"/>
        <v>-60.714742182571335</v>
      </c>
      <c r="J52" s="50">
        <f t="shared" si="8"/>
        <v>-21.06556887890676</v>
      </c>
      <c r="K52" s="50">
        <f t="shared" si="130"/>
        <v>-23.278113296144376</v>
      </c>
      <c r="L52" s="50">
        <f t="shared" si="10"/>
        <v>-26.292933136898178</v>
      </c>
      <c r="R52" s="51">
        <f t="shared" ref="R52:R53" si="131">IF(AND(D52&lt;&gt;"",D51&lt;&gt;""),(D52-D51)/($B52-$B51),"")</f>
        <v>-1.1438117754830876E-2</v>
      </c>
      <c r="S52" s="51">
        <f t="shared" ref="S52:S53" si="132">IF(AND(E52&lt;&gt;"",E51&lt;&gt;""),(E52-E51)/($B52-$B51),"")</f>
        <v>-5.6816237216306235E-3</v>
      </c>
      <c r="T52" s="51">
        <f t="shared" ref="T52:T53" si="133">IF(AND(F52&lt;&gt;"",F51&lt;&gt;""),(F52-F51)/($B52-$B51),"")</f>
        <v>-9.1919307514662617E-3</v>
      </c>
      <c r="U52" s="51">
        <f t="shared" ref="U52:U53" si="134">IF(AND(G52&lt;&gt;"",G51&lt;&gt;""),(G52-G51)/($B52-$B51),"")</f>
        <v>-2.1320646548911568E-3</v>
      </c>
      <c r="V52" s="51">
        <f t="shared" ref="V52:V53" si="135">IF(AND(H52&lt;&gt;"",H51&lt;&gt;""),(H52-H51)/($B52-$B51),"")</f>
        <v>-1.0303641055671334E-2</v>
      </c>
      <c r="W52" s="51">
        <f t="shared" ref="W52:W53" si="136">IF(AND(I52&lt;&gt;"",I51&lt;&gt;""),(I52-I51)/($B52-$B51),"")</f>
        <v>-1.4939416853736242E-2</v>
      </c>
      <c r="X52" s="51">
        <f t="shared" ref="X52:X53" si="137">IF(AND(J52&lt;&gt;"",J51&lt;&gt;""),(J52-J51)/($B52-$B51),"")</f>
        <v>-7.3804762764481269E-3</v>
      </c>
      <c r="Y52" s="51">
        <f t="shared" ref="Y52:Y53" si="138">IF(AND(K52&lt;&gt;"",K51&lt;&gt;""),(K52-K51)/($B52-$B51),"")</f>
        <v>3.8244283697591321E-3</v>
      </c>
      <c r="Z52" s="51">
        <f t="shared" ref="Z52:Z53" si="139">IF(AND(L52&lt;&gt;"",L51&lt;&gt;""),(L52-L51)/($B52-$B51),"")</f>
        <v>2.3311034503338745E-3</v>
      </c>
    </row>
    <row r="53" spans="1:26" ht="20.100000000000001" customHeight="1" x14ac:dyDescent="0.2">
      <c r="A53" s="53">
        <f t="shared" si="0"/>
        <v>272</v>
      </c>
      <c r="B53" s="54">
        <f t="shared" si="1"/>
        <v>43977</v>
      </c>
      <c r="C53" s="55">
        <f>'Résultats observations'!D53</f>
        <v>26.800000000000011</v>
      </c>
      <c r="D53" s="50">
        <f t="shared" si="2"/>
        <v>-69.371388728695749</v>
      </c>
      <c r="E53" s="50">
        <f t="shared" si="129"/>
        <v>-49.844355777381111</v>
      </c>
      <c r="F53" s="50">
        <f t="shared" si="4"/>
        <v>-39.095278982153481</v>
      </c>
      <c r="G53" s="50">
        <f t="shared" si="5"/>
        <v>-4.4807331306015996</v>
      </c>
      <c r="H53" s="50">
        <f t="shared" si="6"/>
        <v>-59.372426465656773</v>
      </c>
      <c r="I53" s="50">
        <f t="shared" si="7"/>
        <v>-60.829411014615253</v>
      </c>
      <c r="J53" s="50">
        <f t="shared" si="8"/>
        <v>-20.609009965688152</v>
      </c>
      <c r="K53" s="50">
        <f t="shared" si="130"/>
        <v>-23.309393730516881</v>
      </c>
      <c r="L53" s="50">
        <f t="shared" si="10"/>
        <v>-26.695131003137362</v>
      </c>
      <c r="R53" s="51">
        <f t="shared" si="131"/>
        <v>-0.10848923184220942</v>
      </c>
      <c r="S53" s="51">
        <f t="shared" si="132"/>
        <v>-3.9490173526843364E-2</v>
      </c>
      <c r="T53" s="51">
        <f t="shared" si="133"/>
        <v>3.0630360636203186E-2</v>
      </c>
      <c r="U53" s="51">
        <f t="shared" si="134"/>
        <v>-7.4505002952854737E-3</v>
      </c>
      <c r="V53" s="51">
        <f t="shared" si="135"/>
        <v>-3.805113472374038E-2</v>
      </c>
      <c r="W53" s="51">
        <f t="shared" si="136"/>
        <v>-1.6381261720559741E-2</v>
      </c>
      <c r="X53" s="51">
        <f t="shared" si="137"/>
        <v>6.5222701888372522E-2</v>
      </c>
      <c r="Y53" s="51">
        <f t="shared" si="138"/>
        <v>-4.4686334817864038E-3</v>
      </c>
      <c r="Z53" s="51">
        <f t="shared" si="139"/>
        <v>-5.7456838034169219E-2</v>
      </c>
    </row>
    <row r="54" spans="1:26" ht="20.100000000000001" customHeight="1" x14ac:dyDescent="0.2">
      <c r="A54" s="53">
        <f t="shared" si="0"/>
        <v>292</v>
      </c>
      <c r="B54" s="54">
        <f t="shared" si="1"/>
        <v>43997</v>
      </c>
      <c r="C54" s="55">
        <f>'Résultats observations'!D54</f>
        <v>26.800000000000011</v>
      </c>
      <c r="D54" s="50">
        <f t="shared" si="2"/>
        <v>-68.718377380480263</v>
      </c>
      <c r="E54" s="50">
        <f t="shared" si="129"/>
        <v>-49.159476168903367</v>
      </c>
      <c r="F54" s="50"/>
      <c r="G54" s="50">
        <f t="shared" si="5"/>
        <v>-5.4943258633313174</v>
      </c>
      <c r="H54" s="50">
        <f t="shared" si="6"/>
        <v>-59.807368440997436</v>
      </c>
      <c r="I54" s="50"/>
      <c r="J54" s="50"/>
      <c r="K54" s="50">
        <f t="shared" si="130"/>
        <v>-24.19871598399137</v>
      </c>
      <c r="L54" s="50"/>
      <c r="R54" s="51">
        <f t="shared" ref="R54:R56" si="140">IF(AND(D54&lt;&gt;"",D53&lt;&gt;""),(D54-D53)/($B54-$B53),"")</f>
        <v>3.2650567410774302E-2</v>
      </c>
      <c r="S54" s="51">
        <f t="shared" ref="S54:S56" si="141">IF(AND(E54&lt;&gt;"",E53&lt;&gt;""),(E54-E53)/($B54-$B53),"")</f>
        <v>3.4243980423887169E-2</v>
      </c>
      <c r="T54" s="51" t="str">
        <f t="shared" ref="T54:T56" si="142">IF(AND(F54&lt;&gt;"",F53&lt;&gt;""),(F54-F53)/($B54-$B53),"")</f>
        <v/>
      </c>
      <c r="U54" s="51">
        <f t="shared" ref="U54:U56" si="143">IF(AND(G54&lt;&gt;"",G53&lt;&gt;""),(G54-G53)/($B54-$B53),"")</f>
        <v>-5.0679636636485892E-2</v>
      </c>
      <c r="V54" s="51">
        <f t="shared" ref="V54:V56" si="144">IF(AND(H54&lt;&gt;"",H53&lt;&gt;""),(H54-H53)/($B54-$B53),"")</f>
        <v>-2.1747098767033179E-2</v>
      </c>
      <c r="W54" s="51" t="str">
        <f t="shared" ref="W54:W56" si="145">IF(AND(I54&lt;&gt;"",I53&lt;&gt;""),(I54-I53)/($B54-$B53),"")</f>
        <v/>
      </c>
      <c r="X54" s="51" t="str">
        <f t="shared" ref="X54:X56" si="146">IF(AND(J54&lt;&gt;"",J53&lt;&gt;""),(J54-J53)/($B54-$B53),"")</f>
        <v/>
      </c>
      <c r="Y54" s="51">
        <f t="shared" ref="Y54:Y56" si="147">IF(AND(K54&lt;&gt;"",K53&lt;&gt;""),(K54-K53)/($B54-$B53),"")</f>
        <v>-4.4466112673724467E-2</v>
      </c>
      <c r="Z54" s="51" t="str">
        <f t="shared" ref="Z54:Z56" si="148">IF(AND(L54&lt;&gt;"",L53&lt;&gt;""),(L54-L53)/($B54-$B53),"")</f>
        <v/>
      </c>
    </row>
    <row r="55" spans="1:26" ht="20.100000000000001" customHeight="1" x14ac:dyDescent="0.2">
      <c r="A55" s="53">
        <f t="shared" si="0"/>
        <v>324</v>
      </c>
      <c r="B55" s="54">
        <f t="shared" si="1"/>
        <v>44029</v>
      </c>
      <c r="C55" s="55">
        <f>'Résultats observations'!D55</f>
        <v>26.800000000000011</v>
      </c>
      <c r="D55" s="50">
        <f t="shared" si="2"/>
        <v>-70.528801992431056</v>
      </c>
      <c r="E55" s="50">
        <f t="shared" si="129"/>
        <v>-50.905450802547051</v>
      </c>
      <c r="F55" s="50">
        <f t="shared" si="4"/>
        <v>-39.664082310962186</v>
      </c>
      <c r="G55" s="50">
        <f t="shared" si="5"/>
        <v>-4.9110453856520131</v>
      </c>
      <c r="H55" s="50">
        <f t="shared" si="6"/>
        <v>-60.304465444537939</v>
      </c>
      <c r="I55" s="50">
        <f t="shared" si="7"/>
        <v>-61.987338230130362</v>
      </c>
      <c r="J55" s="50">
        <f t="shared" si="8"/>
        <v>-21.104119638521546</v>
      </c>
      <c r="K55" s="50">
        <f t="shared" si="130"/>
        <v>-24.107808937976039</v>
      </c>
      <c r="L55" s="50">
        <f t="shared" si="10"/>
        <v>-27.331451495482106</v>
      </c>
      <c r="R55" s="51">
        <f t="shared" si="140"/>
        <v>-5.6575769123462294E-2</v>
      </c>
      <c r="S55" s="51">
        <f t="shared" si="141"/>
        <v>-5.4561707301365114E-2</v>
      </c>
      <c r="T55" s="51" t="str">
        <f t="shared" si="142"/>
        <v/>
      </c>
      <c r="U55" s="51">
        <f t="shared" si="143"/>
        <v>1.8227514927478261E-2</v>
      </c>
      <c r="V55" s="51">
        <f t="shared" si="144"/>
        <v>-1.5534281360640723E-2</v>
      </c>
      <c r="W55" s="51" t="str">
        <f t="shared" si="145"/>
        <v/>
      </c>
      <c r="X55" s="51" t="str">
        <f t="shared" si="146"/>
        <v/>
      </c>
      <c r="Y55" s="51">
        <f t="shared" si="147"/>
        <v>2.840845187979113E-3</v>
      </c>
      <c r="Z55" s="51" t="str">
        <f t="shared" si="148"/>
        <v/>
      </c>
    </row>
    <row r="56" spans="1:26" ht="20.100000000000001" customHeight="1" x14ac:dyDescent="0.2">
      <c r="A56" s="53">
        <f t="shared" si="0"/>
        <v>350</v>
      </c>
      <c r="B56" s="54">
        <f t="shared" si="1"/>
        <v>44055</v>
      </c>
      <c r="C56" s="55">
        <f>'Résultats observations'!D56</f>
        <v>26.800000000000011</v>
      </c>
      <c r="D56" s="50">
        <f t="shared" si="2"/>
        <v>-70.446333551679174</v>
      </c>
      <c r="E56" s="50">
        <f t="shared" si="129"/>
        <v>-51.069776971118145</v>
      </c>
      <c r="F56" s="50">
        <f t="shared" si="4"/>
        <v>-39.917106541139887</v>
      </c>
      <c r="G56" s="50">
        <f t="shared" si="5"/>
        <v>-4.4100461073792729</v>
      </c>
      <c r="H56" s="50">
        <f t="shared" si="6"/>
        <v>-60.43528002555432</v>
      </c>
      <c r="I56" s="50">
        <f t="shared" si="7"/>
        <v>-61.815847024337067</v>
      </c>
      <c r="J56" s="50">
        <f t="shared" si="8"/>
        <v>-21.210371694015961</v>
      </c>
      <c r="K56" s="50">
        <f t="shared" si="130"/>
        <v>-24.74337853748132</v>
      </c>
      <c r="L56" s="50">
        <f t="shared" si="10"/>
        <v>-27.457725511945696</v>
      </c>
      <c r="R56" s="51">
        <f t="shared" si="140"/>
        <v>3.1718631058416016E-3</v>
      </c>
      <c r="S56" s="51">
        <f t="shared" si="141"/>
        <v>-6.3202372527343823E-3</v>
      </c>
      <c r="T56" s="51">
        <f t="shared" si="142"/>
        <v>-9.7317011606808008E-3</v>
      </c>
      <c r="U56" s="51">
        <f t="shared" si="143"/>
        <v>1.9269203010490007E-2</v>
      </c>
      <c r="V56" s="51">
        <f t="shared" si="144"/>
        <v>-5.0313300390915682E-3</v>
      </c>
      <c r="W56" s="51">
        <f t="shared" si="145"/>
        <v>6.5958156074344193E-3</v>
      </c>
      <c r="X56" s="51">
        <f t="shared" si="146"/>
        <v>-4.0866175190159898E-3</v>
      </c>
      <c r="Y56" s="51">
        <f t="shared" si="147"/>
        <v>-2.444498459635697E-2</v>
      </c>
      <c r="Z56" s="51">
        <f t="shared" si="148"/>
        <v>-4.8566929409073097E-3</v>
      </c>
    </row>
    <row r="57" spans="1:26" ht="20.100000000000001" customHeight="1" x14ac:dyDescent="0.2">
      <c r="A57" s="53">
        <f t="shared" si="0"/>
        <v>377</v>
      </c>
      <c r="B57" s="54">
        <f t="shared" si="1"/>
        <v>44082</v>
      </c>
      <c r="C57" s="55">
        <f>'Résultats observations'!D57</f>
        <v>26.800000000000011</v>
      </c>
      <c r="D57" s="50">
        <f t="shared" si="2"/>
        <v>-71.133504199328172</v>
      </c>
      <c r="E57" s="50"/>
      <c r="F57" s="50"/>
      <c r="G57" s="50">
        <f t="shared" si="5"/>
        <v>-4.9426297948951259</v>
      </c>
      <c r="H57" s="50">
        <f t="shared" si="6"/>
        <v>-61.268361161207267</v>
      </c>
      <c r="I57" s="50">
        <f t="shared" si="7"/>
        <v>-62.666982548950756</v>
      </c>
      <c r="J57" s="50"/>
      <c r="K57" s="50"/>
      <c r="L57" s="50">
        <f t="shared" si="10"/>
        <v>-28.121707607810187</v>
      </c>
      <c r="R57" s="51">
        <f t="shared" ref="R57:R63" si="149">IF(AND(D57&lt;&gt;"",D56&lt;&gt;""),(D57-D56)/($B57-$B56),"")</f>
        <v>-2.5450764727740653E-2</v>
      </c>
      <c r="S57" s="51" t="str">
        <f t="shared" ref="S57:S63" si="150">IF(AND(E57&lt;&gt;"",E56&lt;&gt;""),(E57-E56)/($B57-$B56),"")</f>
        <v/>
      </c>
      <c r="T57" s="51" t="str">
        <f t="shared" ref="T57:T63" si="151">IF(AND(F57&lt;&gt;"",F56&lt;&gt;""),(F57-F56)/($B57-$B56),"")</f>
        <v/>
      </c>
      <c r="U57" s="51">
        <f t="shared" ref="U57:U63" si="152">IF(AND(G57&lt;&gt;"",G56&lt;&gt;""),(G57-G56)/($B57-$B56),"")</f>
        <v>-1.9725321759846405E-2</v>
      </c>
      <c r="V57" s="51">
        <f t="shared" ref="V57:V63" si="153">IF(AND(H57&lt;&gt;"",H56&lt;&gt;""),(H57-H56)/($B57-$B56),"")</f>
        <v>-3.085485687603506E-2</v>
      </c>
      <c r="W57" s="51">
        <f t="shared" ref="W57:W63" si="154">IF(AND(I57&lt;&gt;"",I56&lt;&gt;""),(I57-I56)/($B57-$B56),"")</f>
        <v>-3.1523537948655138E-2</v>
      </c>
      <c r="X57" s="51" t="str">
        <f t="shared" ref="X57:X63" si="155">IF(AND(J57&lt;&gt;"",J56&lt;&gt;""),(J57-J56)/($B57-$B56),"")</f>
        <v/>
      </c>
      <c r="Y57" s="51" t="str">
        <f t="shared" ref="Y57:Y63" si="156">IF(AND(K57&lt;&gt;"",K56&lt;&gt;""),(K57-K56)/($B57-$B56),"")</f>
        <v/>
      </c>
      <c r="Z57" s="51">
        <f t="shared" ref="Z57:Z63" si="157">IF(AND(L57&lt;&gt;"",L56&lt;&gt;""),(L57-L56)/($B57-$B56),"")</f>
        <v>-2.4591929476462607E-2</v>
      </c>
    </row>
    <row r="58" spans="1:26" ht="20.100000000000001" customHeight="1" x14ac:dyDescent="0.2">
      <c r="A58" s="53"/>
      <c r="B58" s="54"/>
      <c r="C58" s="55"/>
      <c r="D58" s="50"/>
      <c r="E58" s="50" t="str">
        <f t="shared" si="129"/>
        <v/>
      </c>
      <c r="F58" s="50"/>
      <c r="G58" s="50"/>
      <c r="H58" s="50" t="str">
        <f t="shared" si="6"/>
        <v/>
      </c>
      <c r="I58" s="50"/>
      <c r="J58" s="50"/>
      <c r="K58" s="50"/>
      <c r="L58" s="50"/>
      <c r="R58" s="51" t="str">
        <f t="shared" si="149"/>
        <v/>
      </c>
      <c r="S58" s="51" t="str">
        <f t="shared" si="150"/>
        <v/>
      </c>
      <c r="T58" s="51" t="str">
        <f t="shared" si="151"/>
        <v/>
      </c>
      <c r="U58" s="51" t="str">
        <f t="shared" si="152"/>
        <v/>
      </c>
      <c r="V58" s="51" t="str">
        <f t="shared" si="153"/>
        <v/>
      </c>
      <c r="W58" s="51" t="str">
        <f t="shared" si="154"/>
        <v/>
      </c>
      <c r="X58" s="51" t="str">
        <f t="shared" si="155"/>
        <v/>
      </c>
      <c r="Y58" s="51" t="str">
        <f t="shared" si="156"/>
        <v/>
      </c>
      <c r="Z58" s="51" t="str">
        <f t="shared" si="157"/>
        <v/>
      </c>
    </row>
    <row r="59" spans="1:26" ht="20.100000000000001" customHeight="1" x14ac:dyDescent="0.2">
      <c r="A59" s="53">
        <f t="shared" si="0"/>
        <v>435</v>
      </c>
      <c r="B59" s="54">
        <f t="shared" si="1"/>
        <v>44140</v>
      </c>
      <c r="C59" s="55">
        <f>'Résultats observations'!D59</f>
        <v>26.800000000000011</v>
      </c>
      <c r="D59" s="50"/>
      <c r="E59" s="50">
        <f t="shared" si="129"/>
        <v>-51.069776971118145</v>
      </c>
      <c r="F59" s="50"/>
      <c r="G59" s="50"/>
      <c r="H59" s="50">
        <f t="shared" si="6"/>
        <v>-61.268361161207267</v>
      </c>
      <c r="I59" s="50">
        <f t="shared" si="7"/>
        <v>-62.666982548950756</v>
      </c>
      <c r="J59" s="50"/>
      <c r="K59" s="50">
        <f t="shared" si="130"/>
        <v>-24.74337853748132</v>
      </c>
      <c r="L59" s="50">
        <f t="shared" si="10"/>
        <v>-28.121707607810187</v>
      </c>
      <c r="R59" s="51" t="str">
        <f t="shared" si="149"/>
        <v/>
      </c>
      <c r="S59" s="51" t="str">
        <f t="shared" si="150"/>
        <v/>
      </c>
      <c r="T59" s="51" t="str">
        <f t="shared" si="151"/>
        <v/>
      </c>
      <c r="U59" s="51" t="str">
        <f t="shared" si="152"/>
        <v/>
      </c>
      <c r="V59" s="51" t="str">
        <f t="shared" si="153"/>
        <v/>
      </c>
      <c r="W59" s="51" t="str">
        <f t="shared" si="154"/>
        <v/>
      </c>
      <c r="X59" s="51" t="str">
        <f t="shared" si="155"/>
        <v/>
      </c>
      <c r="Y59" s="51" t="str">
        <f t="shared" si="156"/>
        <v/>
      </c>
      <c r="Z59" s="51" t="str">
        <f t="shared" si="157"/>
        <v/>
      </c>
    </row>
    <row r="60" spans="1:26" ht="20.100000000000001" customHeight="1" x14ac:dyDescent="0.2">
      <c r="A60" s="53">
        <f t="shared" si="0"/>
        <v>467</v>
      </c>
      <c r="B60" s="54">
        <f t="shared" si="1"/>
        <v>44172</v>
      </c>
      <c r="C60" s="55">
        <f>'Résultats observations'!D60</f>
        <v>26.800000000000011</v>
      </c>
      <c r="D60" s="50"/>
      <c r="E60" s="50">
        <f t="shared" si="129"/>
        <v>-51.416196177407343</v>
      </c>
      <c r="F60" s="50"/>
      <c r="G60" s="50"/>
      <c r="H60" s="50">
        <f t="shared" si="6"/>
        <v>-61.749622554976739</v>
      </c>
      <c r="I60" s="50"/>
      <c r="J60" s="50"/>
      <c r="K60" s="50">
        <f t="shared" si="130"/>
        <v>-24.387411126268077</v>
      </c>
      <c r="L60" s="50"/>
      <c r="R60" s="51" t="str">
        <f t="shared" si="149"/>
        <v/>
      </c>
      <c r="S60" s="51">
        <f t="shared" si="150"/>
        <v>-1.0825600196537444E-2</v>
      </c>
      <c r="T60" s="51" t="str">
        <f t="shared" si="151"/>
        <v/>
      </c>
      <c r="U60" s="51" t="str">
        <f t="shared" si="152"/>
        <v/>
      </c>
      <c r="V60" s="51">
        <f t="shared" si="153"/>
        <v>-1.5039418555296002E-2</v>
      </c>
      <c r="W60" s="51" t="str">
        <f t="shared" si="154"/>
        <v/>
      </c>
      <c r="X60" s="51" t="str">
        <f t="shared" si="155"/>
        <v/>
      </c>
      <c r="Y60" s="51">
        <f t="shared" si="156"/>
        <v>1.1123981600413835E-2</v>
      </c>
      <c r="Z60" s="51" t="str">
        <f t="shared" si="157"/>
        <v/>
      </c>
    </row>
    <row r="61" spans="1:26" ht="20.100000000000001" customHeight="1" x14ac:dyDescent="0.2">
      <c r="A61" s="53">
        <f t="shared" si="0"/>
        <v>524</v>
      </c>
      <c r="B61" s="54">
        <f t="shared" si="1"/>
        <v>44229</v>
      </c>
      <c r="C61" s="55">
        <f>'Résultats observations'!D61</f>
        <v>26.800000000000011</v>
      </c>
      <c r="D61" s="50"/>
      <c r="E61" s="50">
        <f t="shared" si="129"/>
        <v>-51.539745262695561</v>
      </c>
      <c r="F61" s="50"/>
      <c r="G61" s="50"/>
      <c r="H61" s="50">
        <f t="shared" si="6"/>
        <v>-61.637559931606134</v>
      </c>
      <c r="I61" s="50"/>
      <c r="J61" s="50"/>
      <c r="K61" s="50">
        <f t="shared" si="130"/>
        <v>-24.784055278331607</v>
      </c>
      <c r="L61" s="50"/>
      <c r="R61" s="51" t="str">
        <f t="shared" si="149"/>
        <v/>
      </c>
      <c r="S61" s="51">
        <f t="shared" si="150"/>
        <v>-2.167527812073999E-3</v>
      </c>
      <c r="T61" s="51" t="str">
        <f t="shared" si="151"/>
        <v/>
      </c>
      <c r="U61" s="51" t="str">
        <f t="shared" si="152"/>
        <v/>
      </c>
      <c r="V61" s="51">
        <f t="shared" si="153"/>
        <v>1.9660109363263999E-3</v>
      </c>
      <c r="W61" s="51" t="str">
        <f t="shared" si="154"/>
        <v/>
      </c>
      <c r="X61" s="51" t="str">
        <f t="shared" si="155"/>
        <v/>
      </c>
      <c r="Y61" s="51">
        <f t="shared" si="156"/>
        <v>-6.9586693344478945E-3</v>
      </c>
      <c r="Z61" s="51" t="str">
        <f t="shared" si="157"/>
        <v/>
      </c>
    </row>
    <row r="62" spans="1:26" ht="20.100000000000001" customHeight="1" x14ac:dyDescent="0.2">
      <c r="A62" s="53">
        <f t="shared" si="0"/>
        <v>568</v>
      </c>
      <c r="B62" s="54">
        <f t="shared" si="1"/>
        <v>44273</v>
      </c>
      <c r="C62" s="55">
        <f>'Résultats observations'!D62</f>
        <v>26.800000000000011</v>
      </c>
      <c r="D62" s="50"/>
      <c r="E62" s="50">
        <f t="shared" si="129"/>
        <v>-51.731787254501782</v>
      </c>
      <c r="F62" s="50"/>
      <c r="G62" s="50"/>
      <c r="H62" s="50">
        <f t="shared" si="6"/>
        <v>-62.032227447079265</v>
      </c>
      <c r="I62" s="50"/>
      <c r="J62" s="50"/>
      <c r="K62" s="50">
        <f t="shared" si="130"/>
        <v>-24.068322520135688</v>
      </c>
      <c r="L62" s="50"/>
      <c r="R62" s="51" t="str">
        <f t="shared" si="149"/>
        <v/>
      </c>
      <c r="S62" s="51">
        <f t="shared" si="150"/>
        <v>-4.3645907228686553E-3</v>
      </c>
      <c r="T62" s="51" t="str">
        <f t="shared" si="151"/>
        <v/>
      </c>
      <c r="U62" s="51" t="str">
        <f t="shared" si="152"/>
        <v/>
      </c>
      <c r="V62" s="51">
        <f t="shared" si="153"/>
        <v>-8.9697162607529756E-3</v>
      </c>
      <c r="W62" s="51" t="str">
        <f t="shared" si="154"/>
        <v/>
      </c>
      <c r="X62" s="51" t="str">
        <f t="shared" si="155"/>
        <v/>
      </c>
      <c r="Y62" s="51">
        <f t="shared" si="156"/>
        <v>1.6266653595361804E-2</v>
      </c>
      <c r="Z62" s="51" t="str">
        <f t="shared" si="157"/>
        <v/>
      </c>
    </row>
    <row r="63" spans="1:26" ht="20.100000000000001" customHeight="1" x14ac:dyDescent="0.2">
      <c r="A63" s="53">
        <f t="shared" si="0"/>
        <v>617</v>
      </c>
      <c r="B63" s="54">
        <f t="shared" si="1"/>
        <v>44322</v>
      </c>
      <c r="C63" s="55">
        <f>'Résultats observations'!D63</f>
        <v>26.800000000000011</v>
      </c>
      <c r="D63" s="50">
        <f t="shared" si="2"/>
        <v>-73.122276491803348</v>
      </c>
      <c r="E63" s="50">
        <f t="shared" si="129"/>
        <v>-52.428015280328481</v>
      </c>
      <c r="F63" s="50"/>
      <c r="G63" s="50"/>
      <c r="H63" s="50">
        <f t="shared" si="6"/>
        <v>-62.478583983002437</v>
      </c>
      <c r="I63" s="50">
        <f t="shared" si="7"/>
        <v>-62.658981450797846</v>
      </c>
      <c r="J63" s="50"/>
      <c r="K63" s="50">
        <f t="shared" si="130"/>
        <v>-24.369343231642304</v>
      </c>
      <c r="L63" s="50">
        <f t="shared" si="10"/>
        <v>-30.91793851411051</v>
      </c>
      <c r="R63" s="51" t="str">
        <f t="shared" si="149"/>
        <v/>
      </c>
      <c r="S63" s="51">
        <f t="shared" si="150"/>
        <v>-1.4208735220953034E-2</v>
      </c>
      <c r="T63" s="51" t="str">
        <f t="shared" si="151"/>
        <v/>
      </c>
      <c r="U63" s="51" t="str">
        <f t="shared" si="152"/>
        <v/>
      </c>
      <c r="V63" s="51">
        <f t="shared" si="153"/>
        <v>-9.109317059656577E-3</v>
      </c>
      <c r="W63" s="51" t="str">
        <f t="shared" si="154"/>
        <v/>
      </c>
      <c r="X63" s="51" t="str">
        <f t="shared" si="155"/>
        <v/>
      </c>
      <c r="Y63" s="51">
        <f t="shared" si="156"/>
        <v>-6.1432798266656445E-3</v>
      </c>
      <c r="Z63" s="51" t="str">
        <f t="shared" si="157"/>
        <v/>
      </c>
    </row>
    <row r="64" spans="1:26" ht="20.100000000000001" customHeight="1" x14ac:dyDescent="0.2">
      <c r="A64" s="53">
        <f t="shared" si="0"/>
        <v>652</v>
      </c>
      <c r="B64" s="54">
        <f t="shared" si="1"/>
        <v>44357</v>
      </c>
      <c r="C64" s="55">
        <f>'Résultats observations'!D64</f>
        <v>26.800000000000011</v>
      </c>
      <c r="D64" s="50">
        <f t="shared" si="2"/>
        <v>-72.662901232180658</v>
      </c>
      <c r="E64" s="50">
        <f t="shared" si="129"/>
        <v>-51.850150478380826</v>
      </c>
      <c r="F64" s="50"/>
      <c r="G64" s="50"/>
      <c r="H64" s="50">
        <f t="shared" si="6"/>
        <v>-63.380559136454465</v>
      </c>
      <c r="I64" s="50">
        <f t="shared" si="7"/>
        <v>-63.707322947483824</v>
      </c>
      <c r="J64" s="50"/>
      <c r="K64" s="50">
        <f t="shared" si="130"/>
        <v>-25.011021805883438</v>
      </c>
      <c r="L64" s="50">
        <f t="shared" si="10"/>
        <v>-31.41383101041928</v>
      </c>
      <c r="R64" s="51">
        <f t="shared" ref="R64" si="158">IF(AND(D64&lt;&gt;"",D63&lt;&gt;""),(D64-D63)/($B64-$B63),"")</f>
        <v>1.312500741779112E-2</v>
      </c>
      <c r="S64" s="51">
        <f t="shared" ref="S64" si="159">IF(AND(E64&lt;&gt;"",E63&lt;&gt;""),(E64-E63)/($B64-$B63),"")</f>
        <v>1.6510422912790139E-2</v>
      </c>
      <c r="T64" s="51" t="str">
        <f t="shared" ref="T64" si="160">IF(AND(F64&lt;&gt;"",F63&lt;&gt;""),(F64-F63)/($B64-$B63),"")</f>
        <v/>
      </c>
      <c r="U64" s="51" t="str">
        <f t="shared" ref="U64" si="161">IF(AND(G64&lt;&gt;"",G63&lt;&gt;""),(G64-G63)/($B64-$B63),"")</f>
        <v/>
      </c>
      <c r="V64" s="51">
        <f t="shared" ref="V64" si="162">IF(AND(H64&lt;&gt;"",H63&lt;&gt;""),(H64-H63)/($B64-$B63),"")</f>
        <v>-2.5770718670057948E-2</v>
      </c>
      <c r="W64" s="51">
        <f t="shared" ref="W64" si="163">IF(AND(I64&lt;&gt;"",I63&lt;&gt;""),(I64-I63)/($B64-$B63),"")</f>
        <v>-2.9952614191027953E-2</v>
      </c>
      <c r="X64" s="51" t="str">
        <f t="shared" ref="X64" si="164">IF(AND(J64&lt;&gt;"",J63&lt;&gt;""),(J64-J63)/($B64-$B63),"")</f>
        <v/>
      </c>
      <c r="Y64" s="51">
        <f t="shared" ref="Y64" si="165">IF(AND(K64&lt;&gt;"",K63&lt;&gt;""),(K64-K63)/($B64-$B63),"")</f>
        <v>-1.833367354974667E-2</v>
      </c>
      <c r="Z64" s="51">
        <f t="shared" ref="Z64" si="166">IF(AND(L64&lt;&gt;"",L63&lt;&gt;""),(L64-L63)/($B64-$B63),"")</f>
        <v>-1.4168357037393418E-2</v>
      </c>
    </row>
    <row r="65" spans="1:26" ht="20.100000000000001" customHeight="1" x14ac:dyDescent="0.2">
      <c r="A65" s="53">
        <f t="shared" si="0"/>
        <v>664</v>
      </c>
      <c r="B65" s="54">
        <f t="shared" si="1"/>
        <v>44369</v>
      </c>
      <c r="C65" s="55">
        <f>'Résultats observations'!D65</f>
        <v>26.800000000000011</v>
      </c>
      <c r="D65" s="50">
        <f t="shared" si="2"/>
        <v>-73.141090556677383</v>
      </c>
      <c r="E65" s="50">
        <f t="shared" si="129"/>
        <v>-52.152744791542197</v>
      </c>
      <c r="F65" s="50"/>
      <c r="G65" s="50"/>
      <c r="H65" s="50">
        <f t="shared" si="6"/>
        <v>-64.232821321469132</v>
      </c>
      <c r="I65" s="50"/>
      <c r="J65" s="50"/>
      <c r="K65" s="50">
        <f t="shared" si="130"/>
        <v>-25.670701168738042</v>
      </c>
      <c r="L65" s="50"/>
      <c r="R65" s="51">
        <f t="shared" ref="R65" si="167">IF(AND(D65&lt;&gt;"",D64&lt;&gt;""),(D65-D64)/($B65-$B64),"")</f>
        <v>-3.9849110374727083E-2</v>
      </c>
      <c r="S65" s="51">
        <f t="shared" ref="S65" si="168">IF(AND(E65&lt;&gt;"",E64&lt;&gt;""),(E65-E64)/($B65-$B64),"")</f>
        <v>-2.5216192763447626E-2</v>
      </c>
      <c r="T65" s="51" t="str">
        <f t="shared" ref="T65" si="169">IF(AND(F65&lt;&gt;"",F64&lt;&gt;""),(F65-F64)/($B65-$B64),"")</f>
        <v/>
      </c>
      <c r="U65" s="51" t="str">
        <f t="shared" ref="U65" si="170">IF(AND(G65&lt;&gt;"",G64&lt;&gt;""),(G65-G64)/($B65-$B64),"")</f>
        <v/>
      </c>
      <c r="V65" s="51">
        <f t="shared" ref="V65" si="171">IF(AND(H65&lt;&gt;"",H64&lt;&gt;""),(H65-H64)/($B65-$B64),"")</f>
        <v>-7.1021848751222194E-2</v>
      </c>
      <c r="W65" s="51" t="str">
        <f t="shared" ref="W65" si="172">IF(AND(I65&lt;&gt;"",I64&lt;&gt;""),(I65-I64)/($B65-$B64),"")</f>
        <v/>
      </c>
      <c r="X65" s="51" t="str">
        <f t="shared" ref="X65" si="173">IF(AND(J65&lt;&gt;"",J64&lt;&gt;""),(J65-J64)/($B65-$B64),"")</f>
        <v/>
      </c>
      <c r="Y65" s="51">
        <f t="shared" ref="Y65" si="174">IF(AND(K65&lt;&gt;"",K64&lt;&gt;""),(K65-K64)/($B65-$B64),"")</f>
        <v>-5.497328023788365E-2</v>
      </c>
      <c r="Z65" s="51" t="str">
        <f t="shared" ref="Z65" si="175">IF(AND(L65&lt;&gt;"",L64&lt;&gt;""),(L65-L64)/($B65-$B64),"")</f>
        <v/>
      </c>
    </row>
    <row r="66" spans="1:26" ht="20.100000000000001" customHeight="1" x14ac:dyDescent="0.2">
      <c r="A66" s="53">
        <f t="shared" si="0"/>
        <v>671</v>
      </c>
      <c r="B66" s="54">
        <f t="shared" si="1"/>
        <v>44376</v>
      </c>
      <c r="C66" s="55">
        <f>'Résultats observations'!D66</f>
        <v>26.800000000000011</v>
      </c>
      <c r="D66" s="50">
        <f t="shared" si="2"/>
        <v>-73.363519242470858</v>
      </c>
      <c r="E66" s="50">
        <f t="shared" si="129"/>
        <v>-52.399171460006059</v>
      </c>
      <c r="F66" s="50"/>
      <c r="G66" s="50"/>
      <c r="H66" s="50">
        <f t="shared" si="6"/>
        <v>-64.306528594133994</v>
      </c>
      <c r="I66" s="50"/>
      <c r="J66" s="50"/>
      <c r="K66" s="50">
        <f t="shared" si="130"/>
        <v>-25.671197385510602</v>
      </c>
      <c r="L66" s="50"/>
      <c r="R66" s="51">
        <f t="shared" ref="R66:R67" si="176">IF(AND(D66&lt;&gt;"",D65&lt;&gt;""),(D66-D65)/($B66-$B65),"")</f>
        <v>-3.1775526541924899E-2</v>
      </c>
      <c r="S66" s="51">
        <f t="shared" ref="S66:S67" si="177">IF(AND(E66&lt;&gt;"",E65&lt;&gt;""),(E66-E65)/($B66-$B65),"")</f>
        <v>-3.5203809780551661E-2</v>
      </c>
      <c r="T66" s="51" t="str">
        <f t="shared" ref="T66:T67" si="178">IF(AND(F66&lt;&gt;"",F65&lt;&gt;""),(F66-F65)/($B66-$B65),"")</f>
        <v/>
      </c>
      <c r="U66" s="51" t="str">
        <f t="shared" ref="U66:U67" si="179">IF(AND(G66&lt;&gt;"",G65&lt;&gt;""),(G66-G65)/($B66-$B65),"")</f>
        <v/>
      </c>
      <c r="V66" s="51">
        <f t="shared" ref="V66:V67" si="180">IF(AND(H66&lt;&gt;"",H65&lt;&gt;""),(H66-H65)/($B66-$B65),"")</f>
        <v>-1.052961038069457E-2</v>
      </c>
      <c r="W66" s="51" t="str">
        <f t="shared" ref="W66:W67" si="181">IF(AND(I66&lt;&gt;"",I65&lt;&gt;""),(I66-I65)/($B66-$B65),"")</f>
        <v/>
      </c>
      <c r="X66" s="51" t="str">
        <f t="shared" ref="X66:X67" si="182">IF(AND(J66&lt;&gt;"",J65&lt;&gt;""),(J66-J65)/($B66-$B65),"")</f>
        <v/>
      </c>
      <c r="Y66" s="51">
        <f t="shared" ref="Y66:Y67" si="183">IF(AND(K66&lt;&gt;"",K65&lt;&gt;""),(K66-K65)/($B66-$B65),"")</f>
        <v>-7.0888110365834625E-5</v>
      </c>
      <c r="Z66" s="51" t="str">
        <f t="shared" ref="Z66:Z67" si="184">IF(AND(L66&lt;&gt;"",L65&lt;&gt;""),(L66-L65)/($B66-$B65),"")</f>
        <v/>
      </c>
    </row>
    <row r="67" spans="1:26" ht="20.100000000000001" customHeight="1" x14ac:dyDescent="0.2">
      <c r="A67" s="53">
        <f t="shared" si="0"/>
        <v>695</v>
      </c>
      <c r="B67" s="54">
        <f t="shared" si="1"/>
        <v>44400</v>
      </c>
      <c r="C67" s="55">
        <f>'Résultats observations'!D67</f>
        <v>26.800000000000011</v>
      </c>
      <c r="D67" s="50">
        <f t="shared" si="2"/>
        <v>-74.200877703163741</v>
      </c>
      <c r="E67" s="50">
        <f t="shared" si="129"/>
        <v>-53.267940135809155</v>
      </c>
      <c r="F67" s="50"/>
      <c r="G67" s="50"/>
      <c r="H67" s="50">
        <f t="shared" si="6"/>
        <v>-65.070174343497385</v>
      </c>
      <c r="I67" s="50">
        <f t="shared" si="7"/>
        <v>-65.428318773491867</v>
      </c>
      <c r="J67" s="50"/>
      <c r="K67" s="50">
        <f t="shared" si="130"/>
        <v>-26.788529110086223</v>
      </c>
      <c r="L67" s="50">
        <f t="shared" si="10"/>
        <v>-33.301813680919778</v>
      </c>
      <c r="R67" s="51">
        <f t="shared" si="176"/>
        <v>-3.4889935862203458E-2</v>
      </c>
      <c r="S67" s="51">
        <f t="shared" si="177"/>
        <v>-3.6198694825129017E-2</v>
      </c>
      <c r="T67" s="51" t="str">
        <f t="shared" si="178"/>
        <v/>
      </c>
      <c r="U67" s="51" t="str">
        <f t="shared" si="179"/>
        <v/>
      </c>
      <c r="V67" s="51">
        <f t="shared" si="180"/>
        <v>-3.1818572890141304E-2</v>
      </c>
      <c r="W67" s="51" t="str">
        <f t="shared" si="181"/>
        <v/>
      </c>
      <c r="X67" s="51" t="str">
        <f t="shared" si="182"/>
        <v/>
      </c>
      <c r="Y67" s="51">
        <f t="shared" si="183"/>
        <v>-4.6555488523984202E-2</v>
      </c>
      <c r="Z67" s="51" t="str">
        <f t="shared" si="184"/>
        <v/>
      </c>
    </row>
    <row r="68" spans="1:26" ht="20.100000000000001" customHeight="1" x14ac:dyDescent="0.2">
      <c r="A68" s="53">
        <f t="shared" si="0"/>
        <v>728</v>
      </c>
      <c r="B68" s="54">
        <f t="shared" si="1"/>
        <v>44433</v>
      </c>
      <c r="C68" s="55">
        <f>'Résultats observations'!D68</f>
        <v>26.800000000000011</v>
      </c>
      <c r="D68" s="50">
        <f t="shared" si="2"/>
        <v>-74.806535282458952</v>
      </c>
      <c r="E68" s="50">
        <f t="shared" si="129"/>
        <v>-53.82228857863192</v>
      </c>
      <c r="F68" s="50"/>
      <c r="G68" s="50"/>
      <c r="H68" s="50">
        <f t="shared" si="6"/>
        <v>-65.910905412005945</v>
      </c>
      <c r="I68" s="50">
        <f t="shared" si="7"/>
        <v>-66.534596544181483</v>
      </c>
      <c r="J68" s="50"/>
      <c r="K68" s="50">
        <f t="shared" si="130"/>
        <v>-27.376350600879285</v>
      </c>
      <c r="L68" s="50">
        <f t="shared" si="10"/>
        <v>-33.713800933671045</v>
      </c>
      <c r="R68" s="51">
        <f t="shared" ref="R68:R74" si="185">IF(AND(D68&lt;&gt;"",D67&lt;&gt;""),(D68-D67)/($B68-$B67),"")</f>
        <v>-1.8353259978642778E-2</v>
      </c>
      <c r="S68" s="51">
        <f t="shared" ref="S68:S74" si="186">IF(AND(E68&lt;&gt;"",E67&lt;&gt;""),(E68-E67)/($B68-$B67),"")</f>
        <v>-1.6798437661295889E-2</v>
      </c>
      <c r="T68" s="51" t="str">
        <f t="shared" ref="T68:T74" si="187">IF(AND(F68&lt;&gt;"",F67&lt;&gt;""),(F68-F67)/($B68-$B67),"")</f>
        <v/>
      </c>
      <c r="U68" s="51" t="str">
        <f t="shared" ref="U68:U74" si="188">IF(AND(G68&lt;&gt;"",G67&lt;&gt;""),(G68-G67)/($B68-$B67),"")</f>
        <v/>
      </c>
      <c r="V68" s="51">
        <f t="shared" ref="V68:V72" si="189">IF(AND(H68&lt;&gt;"",H67&lt;&gt;""),(H68-H67)/($B68-$B67),"")</f>
        <v>-2.5476699045713955E-2</v>
      </c>
      <c r="W68" s="51">
        <f t="shared" ref="W68:W72" si="190">IF(AND(I68&lt;&gt;"",I67&lt;&gt;""),(I68-I67)/($B68-$B67),"")</f>
        <v>-3.352356880877623E-2</v>
      </c>
      <c r="X68" s="51" t="str">
        <f t="shared" ref="X68:X72" si="191">IF(AND(J68&lt;&gt;"",J67&lt;&gt;""),(J68-J67)/($B68-$B67),"")</f>
        <v/>
      </c>
      <c r="Y68" s="51">
        <f t="shared" ref="Y68:Y72" si="192">IF(AND(K68&lt;&gt;"",K67&lt;&gt;""),(K68-K67)/($B68-$B67),"")</f>
        <v>-1.7812772448274582E-2</v>
      </c>
      <c r="Z68" s="51">
        <f t="shared" ref="Z68:Z72" si="193">IF(AND(L68&lt;&gt;"",L67&lt;&gt;""),(L68-L67)/($B68-$B67),"")</f>
        <v>-1.2484462204583846E-2</v>
      </c>
    </row>
    <row r="69" spans="1:26" ht="20.100000000000001" customHeight="1" x14ac:dyDescent="0.2">
      <c r="A69" s="53">
        <f t="shared" si="0"/>
        <v>734</v>
      </c>
      <c r="B69" s="54">
        <f t="shared" si="1"/>
        <v>44439</v>
      </c>
      <c r="C69" s="55">
        <f>'Résultats observations'!D69</f>
        <v>26.800000000000011</v>
      </c>
      <c r="D69" s="50">
        <f t="shared" si="2"/>
        <v>-74.943817430120234</v>
      </c>
      <c r="E69" s="50">
        <f t="shared" si="129"/>
        <v>-53.827655903223359</v>
      </c>
      <c r="F69" s="50"/>
      <c r="G69" s="50"/>
      <c r="H69" s="50">
        <f t="shared" si="6"/>
        <v>-65.709981673456767</v>
      </c>
      <c r="I69" s="50">
        <f t="shared" si="7"/>
        <v>-66.572485768171759</v>
      </c>
      <c r="J69" s="50"/>
      <c r="K69" s="50">
        <f t="shared" si="130"/>
        <v>-27.170472344429264</v>
      </c>
      <c r="L69" s="50">
        <f t="shared" si="10"/>
        <v>-33.92596959526184</v>
      </c>
      <c r="R69" s="51">
        <f t="shared" si="185"/>
        <v>-2.2880357943546887E-2</v>
      </c>
      <c r="S69" s="51">
        <f t="shared" si="186"/>
        <v>-8.9455409857327106E-4</v>
      </c>
      <c r="T69" s="51" t="str">
        <f t="shared" si="187"/>
        <v/>
      </c>
      <c r="U69" s="51" t="str">
        <f t="shared" si="188"/>
        <v/>
      </c>
      <c r="V69" s="51">
        <f t="shared" si="189"/>
        <v>3.3487289758196447E-2</v>
      </c>
      <c r="W69" s="51">
        <f t="shared" si="190"/>
        <v>-6.314870665046139E-3</v>
      </c>
      <c r="X69" s="51" t="str">
        <f t="shared" si="191"/>
        <v/>
      </c>
      <c r="Y69" s="51">
        <f t="shared" si="192"/>
        <v>3.4313042741670095E-2</v>
      </c>
      <c r="Z69" s="51">
        <f t="shared" si="193"/>
        <v>-3.536144359846579E-2</v>
      </c>
    </row>
    <row r="70" spans="1:26" ht="20.100000000000001" customHeight="1" x14ac:dyDescent="0.2">
      <c r="A70" s="53">
        <f t="shared" si="0"/>
        <v>740</v>
      </c>
      <c r="B70" s="54">
        <f t="shared" si="1"/>
        <v>44445</v>
      </c>
      <c r="C70" s="55">
        <f>'Résultats observations'!D70</f>
        <v>26.800000000000011</v>
      </c>
      <c r="D70" s="50">
        <f t="shared" si="2"/>
        <v>-74.814589380050478</v>
      </c>
      <c r="E70" s="50">
        <f t="shared" si="129"/>
        <v>-53.646171755560971</v>
      </c>
      <c r="F70" s="50"/>
      <c r="G70" s="50"/>
      <c r="H70" s="50">
        <f t="shared" si="6"/>
        <v>-65.717610846568689</v>
      </c>
      <c r="I70" s="50">
        <f t="shared" si="7"/>
        <v>-66.536197014412039</v>
      </c>
      <c r="J70" s="50"/>
      <c r="K70" s="50">
        <f t="shared" si="130"/>
        <v>-26.872057884336442</v>
      </c>
      <c r="L70" s="50">
        <f t="shared" si="10"/>
        <v>-33.707413448161638</v>
      </c>
      <c r="R70" s="51">
        <f t="shared" si="185"/>
        <v>2.1538008344959298E-2</v>
      </c>
      <c r="S70" s="51">
        <f t="shared" si="186"/>
        <v>3.0247357943731384E-2</v>
      </c>
      <c r="T70" s="51" t="str">
        <f t="shared" si="187"/>
        <v/>
      </c>
      <c r="U70" s="51" t="str">
        <f t="shared" si="188"/>
        <v/>
      </c>
      <c r="V70" s="51">
        <f t="shared" si="189"/>
        <v>-1.2715288519871137E-3</v>
      </c>
      <c r="W70" s="51">
        <f t="shared" si="190"/>
        <v>6.0481256266200489E-3</v>
      </c>
      <c r="X70" s="51" t="str">
        <f t="shared" si="191"/>
        <v/>
      </c>
      <c r="Y70" s="51">
        <f t="shared" si="192"/>
        <v>4.9735743348803631E-2</v>
      </c>
      <c r="Z70" s="51">
        <f t="shared" si="193"/>
        <v>3.6426024516700295E-2</v>
      </c>
    </row>
    <row r="71" spans="1:26" ht="20.100000000000001" customHeight="1" x14ac:dyDescent="0.2">
      <c r="A71" s="53">
        <f t="shared" si="0"/>
        <v>748</v>
      </c>
      <c r="B71" s="54">
        <f t="shared" si="1"/>
        <v>44453</v>
      </c>
      <c r="C71" s="55">
        <f>'Résultats observations'!D71</f>
        <v>26.800000000000011</v>
      </c>
      <c r="D71" s="50">
        <f t="shared" si="2"/>
        <v>-74.798469859874032</v>
      </c>
      <c r="E71" s="50">
        <f t="shared" si="129"/>
        <v>-53.7941795482797</v>
      </c>
      <c r="F71" s="50"/>
      <c r="G71" s="50"/>
      <c r="H71" s="50">
        <f t="shared" si="6"/>
        <v>-65.698077043244041</v>
      </c>
      <c r="I71" s="50">
        <f t="shared" si="7"/>
        <v>-66.644859842359679</v>
      </c>
      <c r="J71" s="50"/>
      <c r="K71" s="50">
        <f t="shared" si="130"/>
        <v>-27.103286081418432</v>
      </c>
      <c r="L71" s="50">
        <f t="shared" si="10"/>
        <v>-33.737468054823694</v>
      </c>
      <c r="R71" s="51">
        <f t="shared" si="185"/>
        <v>2.0149400220557112E-3</v>
      </c>
      <c r="S71" s="51">
        <f t="shared" si="186"/>
        <v>-1.8500974089841193E-2</v>
      </c>
      <c r="T71" s="51" t="str">
        <f t="shared" si="187"/>
        <v/>
      </c>
      <c r="U71" s="51" t="str">
        <f t="shared" si="188"/>
        <v/>
      </c>
      <c r="V71" s="51">
        <f t="shared" si="189"/>
        <v>2.4417254155810753E-3</v>
      </c>
      <c r="W71" s="51">
        <f t="shared" si="190"/>
        <v>-1.3582853493455005E-2</v>
      </c>
      <c r="X71" s="51" t="str">
        <f t="shared" si="191"/>
        <v/>
      </c>
      <c r="Y71" s="51">
        <f t="shared" si="192"/>
        <v>-2.8903524635248701E-2</v>
      </c>
      <c r="Z71" s="51">
        <f t="shared" si="193"/>
        <v>-3.7568258327569382E-3</v>
      </c>
    </row>
    <row r="72" spans="1:26" ht="20.100000000000001" customHeight="1" x14ac:dyDescent="0.2">
      <c r="A72" s="53">
        <f t="shared" si="0"/>
        <v>754</v>
      </c>
      <c r="B72" s="54">
        <f t="shared" si="1"/>
        <v>44459</v>
      </c>
      <c r="C72" s="55">
        <f>'Résultats observations'!D72</f>
        <v>26.800000000000011</v>
      </c>
      <c r="D72" s="50">
        <f t="shared" si="2"/>
        <v>-74.845852841923119</v>
      </c>
      <c r="E72" s="50">
        <f t="shared" si="129"/>
        <v>-53.911976680906641</v>
      </c>
      <c r="F72" s="50"/>
      <c r="G72" s="50"/>
      <c r="H72" s="50">
        <f t="shared" si="6"/>
        <v>-66.031164040747385</v>
      </c>
      <c r="I72" s="50">
        <f t="shared" si="7"/>
        <v>-66.89528231598851</v>
      </c>
      <c r="J72" s="50"/>
      <c r="K72" s="50">
        <f t="shared" si="130"/>
        <v>-27.293288263180671</v>
      </c>
      <c r="L72" s="50">
        <f t="shared" si="10"/>
        <v>-33.71596437281088</v>
      </c>
      <c r="R72" s="51">
        <f t="shared" si="185"/>
        <v>-7.8971636748477181E-3</v>
      </c>
      <c r="S72" s="51">
        <f t="shared" si="186"/>
        <v>-1.9632855437823338E-2</v>
      </c>
      <c r="T72" s="51" t="str">
        <f t="shared" si="187"/>
        <v/>
      </c>
      <c r="U72" s="51" t="str">
        <f t="shared" si="188"/>
        <v/>
      </c>
      <c r="V72" s="51">
        <f t="shared" si="189"/>
        <v>-5.5514499583890618E-2</v>
      </c>
      <c r="W72" s="51">
        <f t="shared" si="190"/>
        <v>-4.173707893813846E-2</v>
      </c>
      <c r="X72" s="51" t="str">
        <f t="shared" si="191"/>
        <v/>
      </c>
      <c r="Y72" s="51">
        <f t="shared" si="192"/>
        <v>-3.1667030293706468E-2</v>
      </c>
      <c r="Z72" s="51">
        <f t="shared" si="193"/>
        <v>3.5839470021355644E-3</v>
      </c>
    </row>
    <row r="73" spans="1:26" ht="20.100000000000001" customHeight="1" x14ac:dyDescent="0.2">
      <c r="A73" s="53">
        <f t="shared" si="0"/>
        <v>761</v>
      </c>
      <c r="B73" s="54">
        <f t="shared" si="1"/>
        <v>44466</v>
      </c>
      <c r="C73" s="55">
        <f>'Résultats observations'!D73</f>
        <v>26.800000000000011</v>
      </c>
      <c r="D73" s="50">
        <f t="shared" si="2"/>
        <v>-74.994106146159638</v>
      </c>
      <c r="E73" s="50">
        <f t="shared" si="129"/>
        <v>-53.903248090748427</v>
      </c>
      <c r="F73" s="50"/>
      <c r="G73" s="50"/>
      <c r="H73" s="50">
        <f t="shared" si="6"/>
        <v>-66.089515143951346</v>
      </c>
      <c r="I73" s="50">
        <f t="shared" si="7"/>
        <v>-66.859804974551025</v>
      </c>
      <c r="J73" s="50"/>
      <c r="K73" s="50">
        <f t="shared" si="130"/>
        <v>-27.14465309016223</v>
      </c>
      <c r="L73" s="50">
        <f t="shared" si="10"/>
        <v>-33.798095621628832</v>
      </c>
      <c r="R73" s="51">
        <f t="shared" si="185"/>
        <v>-2.1179043462359864E-2</v>
      </c>
      <c r="S73" s="51">
        <f t="shared" si="186"/>
        <v>1.246941451173354E-3</v>
      </c>
      <c r="T73" s="51" t="str">
        <f t="shared" si="187"/>
        <v/>
      </c>
      <c r="U73" s="51" t="str">
        <f t="shared" si="188"/>
        <v/>
      </c>
      <c r="V73" s="51">
        <f t="shared" ref="V73:V82" si="194">IF(AND(H73&lt;&gt;"",H72&lt;&gt;""),(H73-H72)/($B73-$B72),"")</f>
        <v>-8.3358718862801395E-3</v>
      </c>
      <c r="W73" s="51">
        <f t="shared" ref="W73:W82" si="195">IF(AND(I73&lt;&gt;"",I72&lt;&gt;""),(I73-I72)/($B73-$B72),"")</f>
        <v>5.0681916339263876E-3</v>
      </c>
      <c r="X73" s="51" t="str">
        <f t="shared" ref="X73:X82" si="196">IF(AND(J73&lt;&gt;"",J72&lt;&gt;""),(J73-J72)/($B73-$B72),"")</f>
        <v/>
      </c>
      <c r="Y73" s="51">
        <f t="shared" ref="Y73:Y82" si="197">IF(AND(K73&lt;&gt;"",K72&lt;&gt;""),(K73-K72)/($B73-$B72),"")</f>
        <v>2.1233596145491567E-2</v>
      </c>
      <c r="Z73" s="51">
        <f t="shared" ref="Z73:Z82" si="198">IF(AND(L73&lt;&gt;"",L72&lt;&gt;""),(L73-L72)/($B73-$B72),"")</f>
        <v>-1.1733035545421646E-2</v>
      </c>
    </row>
    <row r="74" spans="1:26" ht="20.100000000000001" customHeight="1" x14ac:dyDescent="0.2">
      <c r="A74" s="53">
        <f t="shared" si="0"/>
        <v>769</v>
      </c>
      <c r="B74" s="54">
        <f t="shared" si="1"/>
        <v>44474</v>
      </c>
      <c r="C74" s="55">
        <f>'Résultats observations'!D74</f>
        <v>26.800000000000011</v>
      </c>
      <c r="D74" s="50">
        <f t="shared" si="2"/>
        <v>-75.296716498503002</v>
      </c>
      <c r="E74" s="50">
        <f t="shared" si="129"/>
        <v>-53.998302791702372</v>
      </c>
      <c r="F74" s="50"/>
      <c r="G74" s="50"/>
      <c r="H74" s="50">
        <f t="shared" si="6"/>
        <v>-66.039409851152527</v>
      </c>
      <c r="I74" s="50">
        <f t="shared" ref="I74:I77" si="199">Ecart_BD</f>
        <v>-66.94345320256501</v>
      </c>
      <c r="J74" s="50"/>
      <c r="K74" s="50">
        <f t="shared" si="130"/>
        <v>-27.004235252377384</v>
      </c>
      <c r="L74" s="50">
        <f t="shared" ref="L74:L77" si="200">Ecart_LB</f>
        <v>-33.616730923179183</v>
      </c>
      <c r="R74" s="51">
        <f t="shared" si="185"/>
        <v>-3.7826294042920594E-2</v>
      </c>
      <c r="S74" s="51">
        <f t="shared" si="186"/>
        <v>-1.1881837619243107E-2</v>
      </c>
      <c r="T74" s="51" t="str">
        <f t="shared" si="187"/>
        <v/>
      </c>
      <c r="U74" s="51" t="str">
        <f t="shared" si="188"/>
        <v/>
      </c>
      <c r="V74" s="51">
        <f t="shared" si="194"/>
        <v>6.263161599852296E-3</v>
      </c>
      <c r="W74" s="51">
        <f t="shared" si="195"/>
        <v>-1.0456028501748094E-2</v>
      </c>
      <c r="X74" s="51" t="str">
        <f t="shared" si="196"/>
        <v/>
      </c>
      <c r="Y74" s="51">
        <f t="shared" si="197"/>
        <v>1.7552229723105661E-2</v>
      </c>
      <c r="Z74" s="51">
        <f t="shared" si="198"/>
        <v>2.267058730620608E-2</v>
      </c>
    </row>
    <row r="75" spans="1:26" ht="20.100000000000001" customHeight="1" x14ac:dyDescent="0.2">
      <c r="A75" s="53">
        <f t="shared" si="0"/>
        <v>775</v>
      </c>
      <c r="B75" s="54">
        <f t="shared" si="1"/>
        <v>44480</v>
      </c>
      <c r="C75" s="55">
        <f>'Résultats observations'!D75</f>
        <v>26.800000000000011</v>
      </c>
      <c r="D75" s="50"/>
      <c r="E75" s="50"/>
      <c r="F75" s="50"/>
      <c r="G75" s="50"/>
      <c r="H75" s="50"/>
      <c r="I75" s="50"/>
      <c r="J75" s="50"/>
      <c r="K75" s="50"/>
      <c r="L75" s="50"/>
      <c r="R75" s="51"/>
      <c r="S75" s="51"/>
      <c r="T75" s="51"/>
      <c r="U75" s="51"/>
      <c r="V75" s="51" t="str">
        <f t="shared" si="194"/>
        <v/>
      </c>
      <c r="W75" s="51" t="str">
        <f t="shared" si="195"/>
        <v/>
      </c>
      <c r="X75" s="51" t="str">
        <f t="shared" si="196"/>
        <v/>
      </c>
      <c r="Y75" s="51" t="str">
        <f t="shared" si="197"/>
        <v/>
      </c>
      <c r="Z75" s="51" t="str">
        <f t="shared" si="198"/>
        <v/>
      </c>
    </row>
    <row r="76" spans="1:26" ht="20.100000000000001" customHeight="1" x14ac:dyDescent="0.2">
      <c r="A76" s="53">
        <f t="shared" si="0"/>
        <v>782</v>
      </c>
      <c r="B76" s="54">
        <f t="shared" si="1"/>
        <v>44487</v>
      </c>
      <c r="C76" s="55">
        <f>'Résultats observations'!D76</f>
        <v>26.800000000000011</v>
      </c>
      <c r="D76" s="50">
        <f t="shared" si="2"/>
        <v>-75.300291883732655</v>
      </c>
      <c r="E76" s="50">
        <f t="shared" si="129"/>
        <v>-53.893504706885594</v>
      </c>
      <c r="F76" s="50"/>
      <c r="G76" s="50"/>
      <c r="H76" s="50">
        <f t="shared" si="6"/>
        <v>-66.097267408666838</v>
      </c>
      <c r="I76" s="50">
        <f t="shared" si="199"/>
        <v>-67.125926970022846</v>
      </c>
      <c r="J76" s="50"/>
      <c r="K76" s="50">
        <f t="shared" si="130"/>
        <v>-27.178567552381239</v>
      </c>
      <c r="L76" s="50">
        <f t="shared" si="200"/>
        <v>-34.196576431439141</v>
      </c>
      <c r="R76" s="51" t="str">
        <f t="shared" ref="R76:R78" si="201">IF(AND(D76&lt;&gt;"",D75&lt;&gt;""),(D76-D75)/($B76-$B75),"")</f>
        <v/>
      </c>
      <c r="S76" s="51" t="str">
        <f t="shared" ref="S76:S78" si="202">IF(AND(E76&lt;&gt;"",E75&lt;&gt;""),(E76-E75)/($B76-$B75),"")</f>
        <v/>
      </c>
      <c r="T76" s="51" t="str">
        <f t="shared" ref="T76:T78" si="203">IF(AND(F76&lt;&gt;"",F75&lt;&gt;""),(F76-F75)/($B76-$B75),"")</f>
        <v/>
      </c>
      <c r="U76" s="51" t="str">
        <f t="shared" ref="U76:U78" si="204">IF(AND(G76&lt;&gt;"",G75&lt;&gt;""),(G76-G75)/($B76-$B75),"")</f>
        <v/>
      </c>
      <c r="V76" s="51" t="str">
        <f t="shared" si="194"/>
        <v/>
      </c>
      <c r="W76" s="51" t="str">
        <f t="shared" si="195"/>
        <v/>
      </c>
      <c r="X76" s="51" t="str">
        <f t="shared" si="196"/>
        <v/>
      </c>
      <c r="Y76" s="51" t="str">
        <f t="shared" si="197"/>
        <v/>
      </c>
      <c r="Z76" s="51" t="str">
        <f t="shared" si="198"/>
        <v/>
      </c>
    </row>
    <row r="77" spans="1:26" ht="20.100000000000001" customHeight="1" x14ac:dyDescent="0.2">
      <c r="A77" s="53">
        <f t="shared" si="0"/>
        <v>789</v>
      </c>
      <c r="B77" s="54">
        <f t="shared" si="1"/>
        <v>44494</v>
      </c>
      <c r="C77" s="55">
        <f>'Résultats observations'!D77</f>
        <v>26.800000000000011</v>
      </c>
      <c r="D77" s="50">
        <f t="shared" si="2"/>
        <v>-75.50204384378921</v>
      </c>
      <c r="E77" s="50">
        <f t="shared" si="129"/>
        <v>-54.18304094857929</v>
      </c>
      <c r="F77" s="50"/>
      <c r="G77" s="50"/>
      <c r="H77" s="50">
        <f t="shared" si="6"/>
        <v>-66.473490026459643</v>
      </c>
      <c r="I77" s="50">
        <f t="shared" si="199"/>
        <v>-67.438638128433311</v>
      </c>
      <c r="J77" s="50"/>
      <c r="K77" s="50">
        <f t="shared" si="130"/>
        <v>-27.435453031541712</v>
      </c>
      <c r="L77" s="50">
        <f t="shared" si="200"/>
        <v>-34.240163167473803</v>
      </c>
      <c r="R77" s="51">
        <f t="shared" si="201"/>
        <v>-2.8821708579507849E-2</v>
      </c>
      <c r="S77" s="51">
        <f t="shared" si="202"/>
        <v>-4.1362320241956595E-2</v>
      </c>
      <c r="T77" s="51" t="str">
        <f t="shared" si="203"/>
        <v/>
      </c>
      <c r="U77" s="51" t="str">
        <f t="shared" si="204"/>
        <v/>
      </c>
      <c r="V77" s="51">
        <f t="shared" si="194"/>
        <v>-5.3746088256115092E-2</v>
      </c>
      <c r="W77" s="51">
        <f t="shared" si="195"/>
        <v>-4.4673022630066485E-2</v>
      </c>
      <c r="X77" s="51" t="str">
        <f t="shared" si="196"/>
        <v/>
      </c>
      <c r="Y77" s="51">
        <f t="shared" si="197"/>
        <v>-3.6697925594353364E-2</v>
      </c>
      <c r="Z77" s="51">
        <f t="shared" si="198"/>
        <v>-6.2266765763802868E-3</v>
      </c>
    </row>
    <row r="78" spans="1:26" ht="20.100000000000001" customHeight="1" x14ac:dyDescent="0.2">
      <c r="A78" s="53">
        <f t="shared" ref="A78:A101" si="205">jours</f>
        <v>797</v>
      </c>
      <c r="B78" s="54">
        <f t="shared" ref="B78:B101" si="206">date</f>
        <v>44502</v>
      </c>
      <c r="C78" s="55">
        <f>'Résultats observations'!D78</f>
        <v>26.800000000000011</v>
      </c>
      <c r="D78" s="50">
        <f t="shared" ref="D78:D101" si="207">Ecart_BG</f>
        <v>-75.580652706284098</v>
      </c>
      <c r="E78" s="50">
        <f t="shared" ref="E78:E101" si="208">Ecart_IG</f>
        <v>-54.135425132087803</v>
      </c>
      <c r="F78" s="50"/>
      <c r="G78" s="50"/>
      <c r="H78" s="50">
        <f t="shared" ref="H78" si="209">Ecart_ID</f>
        <v>-66.58598507469415</v>
      </c>
      <c r="I78" s="50">
        <f t="shared" ref="I78" si="210">Ecart_BD</f>
        <v>-67.680353164516035</v>
      </c>
      <c r="J78" s="50"/>
      <c r="K78" s="50">
        <f t="shared" ref="K78" si="211">Ecart_LI</f>
        <v>-27.128634587035627</v>
      </c>
      <c r="L78" s="50">
        <f t="shared" ref="L78" si="212">Ecart_LB</f>
        <v>-34.269473994021027</v>
      </c>
      <c r="R78" s="51">
        <f t="shared" si="201"/>
        <v>-9.8261078118611067E-3</v>
      </c>
      <c r="S78" s="51">
        <f t="shared" si="202"/>
        <v>5.9519770614357981E-3</v>
      </c>
      <c r="T78" s="51" t="str">
        <f t="shared" si="203"/>
        <v/>
      </c>
      <c r="U78" s="51" t="str">
        <f t="shared" si="204"/>
        <v/>
      </c>
      <c r="V78" s="51">
        <f t="shared" si="194"/>
        <v>-1.4061881029313383E-2</v>
      </c>
      <c r="W78" s="51">
        <f t="shared" si="195"/>
        <v>-3.021437951034045E-2</v>
      </c>
      <c r="X78" s="51" t="str">
        <f t="shared" si="196"/>
        <v/>
      </c>
      <c r="Y78" s="51">
        <f t="shared" si="197"/>
        <v>3.8352305563260636E-2</v>
      </c>
      <c r="Z78" s="51">
        <f t="shared" si="198"/>
        <v>-3.6638533184030209E-3</v>
      </c>
    </row>
    <row r="79" spans="1:26" ht="20.100000000000001" customHeight="1" x14ac:dyDescent="0.2">
      <c r="A79" s="53">
        <f t="shared" si="205"/>
        <v>817</v>
      </c>
      <c r="B79" s="54">
        <f t="shared" si="206"/>
        <v>44522</v>
      </c>
      <c r="C79" s="55">
        <f>'Résultats observations'!D79</f>
        <v>26.800000000000011</v>
      </c>
      <c r="D79" s="50">
        <f t="shared" si="207"/>
        <v>-76.154233396284354</v>
      </c>
      <c r="E79" s="50">
        <f t="shared" si="208"/>
        <v>-54.878519841063067</v>
      </c>
      <c r="F79" s="50"/>
      <c r="G79" s="50"/>
      <c r="H79" s="50"/>
      <c r="I79" s="50"/>
      <c r="J79" s="50"/>
      <c r="K79" s="50"/>
      <c r="L79" s="50"/>
      <c r="R79" s="51">
        <f t="shared" ref="R79" si="213">IF(AND(D79&lt;&gt;"",D78&lt;&gt;""),(D79-D78)/($B79-$B78),"")</f>
        <v>-2.8679034500012791E-2</v>
      </c>
      <c r="S79" s="51">
        <f t="shared" ref="S79" si="214">IF(AND(E79&lt;&gt;"",E78&lt;&gt;""),(E79-E78)/($B79-$B78),"")</f>
        <v>-3.7154735448763174E-2</v>
      </c>
      <c r="T79" s="51"/>
      <c r="U79" s="51"/>
      <c r="V79" s="51" t="str">
        <f t="shared" si="194"/>
        <v/>
      </c>
      <c r="W79" s="51" t="str">
        <f t="shared" si="195"/>
        <v/>
      </c>
      <c r="X79" s="51" t="str">
        <f t="shared" si="196"/>
        <v/>
      </c>
      <c r="Y79" s="51" t="str">
        <f t="shared" si="197"/>
        <v/>
      </c>
      <c r="Z79" s="51" t="str">
        <f t="shared" si="198"/>
        <v/>
      </c>
    </row>
    <row r="80" spans="1:26" ht="20.100000000000001" customHeight="1" x14ac:dyDescent="0.2">
      <c r="A80" s="53">
        <f t="shared" si="205"/>
        <v>824</v>
      </c>
      <c r="B80" s="54">
        <f t="shared" si="206"/>
        <v>44529</v>
      </c>
      <c r="C80" s="55">
        <f>'Résultats observations'!D80</f>
        <v>26.800000000000011</v>
      </c>
      <c r="D80" s="50">
        <f t="shared" si="207"/>
        <v>-76.60425414336558</v>
      </c>
      <c r="E80" s="50">
        <f t="shared" si="208"/>
        <v>-55.347679110352217</v>
      </c>
      <c r="F80" s="50"/>
      <c r="G80" s="50"/>
      <c r="H80" s="50"/>
      <c r="I80" s="50"/>
      <c r="J80" s="50"/>
      <c r="K80" s="50"/>
      <c r="L80" s="50"/>
      <c r="R80" s="51">
        <f t="shared" ref="R80:R81" si="215">IF(AND(D80&lt;&gt;"",D79&lt;&gt;""),(D80-D79)/($B80-$B79),"")</f>
        <v>-6.4288678154460807E-2</v>
      </c>
      <c r="S80" s="51">
        <f t="shared" ref="S80:S81" si="216">IF(AND(E80&lt;&gt;"",E79&lt;&gt;""),(E80-E79)/($B80-$B79),"")</f>
        <v>-6.7022752755592913E-2</v>
      </c>
      <c r="T80" s="51"/>
      <c r="U80" s="51"/>
      <c r="V80" s="51" t="str">
        <f t="shared" si="194"/>
        <v/>
      </c>
      <c r="W80" s="51" t="str">
        <f t="shared" si="195"/>
        <v/>
      </c>
      <c r="X80" s="51" t="str">
        <f t="shared" si="196"/>
        <v/>
      </c>
      <c r="Y80" s="51" t="str">
        <f t="shared" si="197"/>
        <v/>
      </c>
      <c r="Z80" s="51" t="str">
        <f t="shared" si="198"/>
        <v/>
      </c>
    </row>
    <row r="81" spans="1:26" ht="20.100000000000001" customHeight="1" x14ac:dyDescent="0.2">
      <c r="A81" s="53">
        <f t="shared" si="205"/>
        <v>831</v>
      </c>
      <c r="B81" s="54">
        <f t="shared" si="206"/>
        <v>44536</v>
      </c>
      <c r="C81" s="55">
        <f>'Résultats observations'!D81</f>
        <v>26.800000000000011</v>
      </c>
      <c r="D81" s="50">
        <f t="shared" si="207"/>
        <v>-76.380258868389276</v>
      </c>
      <c r="E81" s="50">
        <f t="shared" si="208"/>
        <v>-54.967302091543772</v>
      </c>
      <c r="F81" s="50"/>
      <c r="G81" s="50"/>
      <c r="H81" s="50">
        <f t="shared" ref="H81:H101" si="217">Ecart_ID</f>
        <v>-66.415443194652653</v>
      </c>
      <c r="I81" s="50">
        <f t="shared" ref="I81:I101" si="218">Ecart_BD</f>
        <v>-67.810389896355346</v>
      </c>
      <c r="J81" s="50"/>
      <c r="K81" s="50">
        <f t="shared" ref="K81:K101" si="219">Ecart_LI</f>
        <v>-27.534835230435206</v>
      </c>
      <c r="L81" s="50">
        <f t="shared" ref="L81:L101" si="220">Ecart_LB</f>
        <v>-34.81928547737656</v>
      </c>
      <c r="R81" s="51">
        <f t="shared" si="215"/>
        <v>3.1999324996614779E-2</v>
      </c>
      <c r="S81" s="51">
        <f t="shared" si="216"/>
        <v>5.4339574115492235E-2</v>
      </c>
      <c r="T81" s="51" t="str">
        <f t="shared" ref="T81" si="221">IF(AND(F81&lt;&gt;"",F80&lt;&gt;""),(F81-F80)/($B81-$B80),"")</f>
        <v/>
      </c>
      <c r="U81" s="51" t="str">
        <f t="shared" ref="U81" si="222">IF(AND(G81&lt;&gt;"",G80&lt;&gt;""),(G81-G80)/($B81-$B80),"")</f>
        <v/>
      </c>
      <c r="V81" s="51" t="str">
        <f t="shared" si="194"/>
        <v/>
      </c>
      <c r="W81" s="51" t="str">
        <f t="shared" si="195"/>
        <v/>
      </c>
      <c r="X81" s="51" t="str">
        <f t="shared" si="196"/>
        <v/>
      </c>
      <c r="Y81" s="51" t="str">
        <f t="shared" si="197"/>
        <v/>
      </c>
      <c r="Z81" s="51" t="str">
        <f t="shared" si="198"/>
        <v/>
      </c>
    </row>
    <row r="82" spans="1:26" ht="20.100000000000001" customHeight="1" x14ac:dyDescent="0.2">
      <c r="A82" s="53">
        <f t="shared" si="205"/>
        <v>838</v>
      </c>
      <c r="B82" s="54">
        <f t="shared" si="206"/>
        <v>44543</v>
      </c>
      <c r="C82" s="55">
        <f>'Résultats observations'!D82</f>
        <v>26.800000000000011</v>
      </c>
      <c r="D82" s="50">
        <f t="shared" si="207"/>
        <v>-77.302124742790738</v>
      </c>
      <c r="E82" s="50">
        <f t="shared" si="208"/>
        <v>-56.008456226250843</v>
      </c>
      <c r="F82" s="50"/>
      <c r="G82" s="50"/>
      <c r="H82" s="50">
        <f t="shared" si="217"/>
        <v>-66.555966588489397</v>
      </c>
      <c r="I82" s="50">
        <f t="shared" si="218"/>
        <v>-67.880698370534446</v>
      </c>
      <c r="J82" s="50"/>
      <c r="K82" s="50">
        <f t="shared" si="219"/>
        <v>-27.453383992332547</v>
      </c>
      <c r="L82" s="50">
        <f t="shared" si="220"/>
        <v>-34.226620145527242</v>
      </c>
      <c r="R82" s="51">
        <f t="shared" ref="R82:R83" si="223">IF(AND(D82&lt;&gt;"",D81&lt;&gt;""),(D82-D81)/($B82-$B81),"")</f>
        <v>-0.13169512491449456</v>
      </c>
      <c r="S82" s="51">
        <f t="shared" ref="S82:S83" si="224">IF(AND(E82&lt;&gt;"",E81&lt;&gt;""),(E82-E81)/($B82-$B81),"")</f>
        <v>-0.14873630495815299</v>
      </c>
      <c r="T82" s="51"/>
      <c r="U82" s="51"/>
      <c r="V82" s="51">
        <f t="shared" si="194"/>
        <v>-2.0074770548106358E-2</v>
      </c>
      <c r="W82" s="51">
        <f t="shared" si="195"/>
        <v>-1.0044067739871463E-2</v>
      </c>
      <c r="X82" s="51" t="str">
        <f t="shared" si="196"/>
        <v/>
      </c>
      <c r="Y82" s="51">
        <f t="shared" si="197"/>
        <v>1.1635891157522695E-2</v>
      </c>
      <c r="Z82" s="51">
        <f t="shared" si="198"/>
        <v>8.4666475978474001E-2</v>
      </c>
    </row>
    <row r="83" spans="1:26" ht="20.100000000000001" customHeight="1" x14ac:dyDescent="0.2">
      <c r="A83" s="53">
        <f t="shared" si="205"/>
        <v>845</v>
      </c>
      <c r="B83" s="54">
        <f t="shared" si="206"/>
        <v>44550</v>
      </c>
      <c r="C83" s="55">
        <f>'Résultats observations'!D83</f>
        <v>26.800000000000011</v>
      </c>
      <c r="D83" s="50">
        <f t="shared" si="207"/>
        <v>-76.514323236033022</v>
      </c>
      <c r="E83" s="50">
        <f t="shared" si="208"/>
        <v>-55.14247053981736</v>
      </c>
      <c r="F83" s="50"/>
      <c r="G83" s="50"/>
      <c r="H83" s="50">
        <f t="shared" si="217"/>
        <v>-66.724293552060232</v>
      </c>
      <c r="I83" s="50">
        <f t="shared" si="218"/>
        <v>-68.10602984820369</v>
      </c>
      <c r="J83" s="50"/>
      <c r="K83" s="50">
        <f t="shared" si="219"/>
        <v>-27.904416030484214</v>
      </c>
      <c r="L83" s="50">
        <f t="shared" si="220"/>
        <v>-34.815364445982766</v>
      </c>
      <c r="R83" s="51">
        <f t="shared" si="223"/>
        <v>0.11254307239395953</v>
      </c>
      <c r="S83" s="51">
        <f t="shared" si="224"/>
        <v>0.12371224091906896</v>
      </c>
      <c r="T83" s="51" t="str">
        <f t="shared" ref="T83" si="225">IF(AND(F83&lt;&gt;"",F82&lt;&gt;""),(F83-F82)/($B83-$B82),"")</f>
        <v/>
      </c>
      <c r="U83" s="51" t="str">
        <f t="shared" ref="U83" si="226">IF(AND(G83&lt;&gt;"",G82&lt;&gt;""),(G83-G82)/($B83-$B82),"")</f>
        <v/>
      </c>
      <c r="V83" s="51">
        <f t="shared" ref="V83" si="227">IF(AND(H83&lt;&gt;"",H82&lt;&gt;""),(H83-H82)/($B83-$B82),"")</f>
        <v>-2.4046709081547744E-2</v>
      </c>
      <c r="W83" s="51">
        <f t="shared" ref="W83" si="228">IF(AND(I83&lt;&gt;"",I82&lt;&gt;""),(I83-I82)/($B83-$B82),"")</f>
        <v>-3.2190211095606207E-2</v>
      </c>
      <c r="X83" s="51" t="str">
        <f t="shared" ref="X83" si="229">IF(AND(J83&lt;&gt;"",J82&lt;&gt;""),(J83-J82)/($B83-$B82),"")</f>
        <v/>
      </c>
      <c r="Y83" s="51">
        <f t="shared" ref="Y83" si="230">IF(AND(K83&lt;&gt;"",K82&lt;&gt;""),(K83-K82)/($B83-$B82),"")</f>
        <v>-6.4433148307380908E-2</v>
      </c>
      <c r="Z83" s="51">
        <f t="shared" ref="Z83" si="231">IF(AND(L83&lt;&gt;"",L82&lt;&gt;""),(L83-L82)/($B83-$B82),"")</f>
        <v>-8.4106328636503386E-2</v>
      </c>
    </row>
    <row r="84" spans="1:26" ht="20.100000000000001" customHeight="1" x14ac:dyDescent="0.2">
      <c r="A84" s="53">
        <f t="shared" si="205"/>
        <v>867</v>
      </c>
      <c r="B84" s="54">
        <f t="shared" si="206"/>
        <v>44572</v>
      </c>
      <c r="C84" s="55">
        <f>'Résultats observations'!D84</f>
        <v>26.800000000000011</v>
      </c>
      <c r="D84" s="50">
        <f t="shared" si="207"/>
        <v>-76.905210822220113</v>
      </c>
      <c r="E84" s="50">
        <f t="shared" si="208"/>
        <v>-55.390657457796706</v>
      </c>
      <c r="F84" s="50"/>
      <c r="G84" s="50"/>
      <c r="H84" s="50">
        <f t="shared" si="217"/>
        <v>-66.850114866376487</v>
      </c>
      <c r="I84" s="50">
        <f t="shared" si="218"/>
        <v>-68.242754299689068</v>
      </c>
      <c r="J84" s="50"/>
      <c r="K84" s="50">
        <f t="shared" si="219"/>
        <v>-27.941656274703242</v>
      </c>
      <c r="L84" s="50">
        <f t="shared" si="220"/>
        <v>-34.819285526435095</v>
      </c>
      <c r="R84" s="51">
        <f t="shared" ref="R84:R86" si="232">IF(AND(D84&lt;&gt;"",D83&lt;&gt;""),(D84-D83)/($B84-$B83),"")</f>
        <v>-1.7767617553958684E-2</v>
      </c>
      <c r="S84" s="51">
        <f t="shared" ref="S84:S86" si="233">IF(AND(E84&lt;&gt;"",E83&lt;&gt;""),(E84-E83)/($B84-$B83),"")</f>
        <v>-1.1281223544515743E-2</v>
      </c>
      <c r="T84" s="51" t="str">
        <f t="shared" ref="T84:T86" si="234">IF(AND(F84&lt;&gt;"",F83&lt;&gt;""),(F84-F83)/($B84-$B83),"")</f>
        <v/>
      </c>
      <c r="U84" s="51" t="str">
        <f t="shared" ref="U84:U86" si="235">IF(AND(G84&lt;&gt;"",G83&lt;&gt;""),(G84-G83)/($B84-$B83),"")</f>
        <v/>
      </c>
      <c r="V84" s="51">
        <f t="shared" ref="V84:V86" si="236">IF(AND(H84&lt;&gt;"",H83&lt;&gt;""),(H84-H83)/($B84-$B83),"")</f>
        <v>-5.7191506507388631E-3</v>
      </c>
      <c r="W84" s="51">
        <f t="shared" ref="W84:W86" si="237">IF(AND(I84&lt;&gt;"",I83&lt;&gt;""),(I84-I83)/($B84-$B83),"")</f>
        <v>-6.2147477947899106E-3</v>
      </c>
      <c r="X84" s="51" t="str">
        <f t="shared" ref="X84:X86" si="238">IF(AND(J84&lt;&gt;"",J83&lt;&gt;""),(J84-J83)/($B84-$B83),"")</f>
        <v/>
      </c>
      <c r="Y84" s="51">
        <f t="shared" ref="Y84:Y86" si="239">IF(AND(K84&lt;&gt;"",K83&lt;&gt;""),(K84-K83)/($B84-$B83),"")</f>
        <v>-1.692738373592174E-3</v>
      </c>
      <c r="Z84" s="51">
        <f t="shared" ref="Z84:Z86" si="240">IF(AND(L84&lt;&gt;"",L83&lt;&gt;""),(L84-L83)/($B84-$B83),"")</f>
        <v>-1.782309296513321E-4</v>
      </c>
    </row>
    <row r="85" spans="1:26" ht="20.100000000000001" customHeight="1" x14ac:dyDescent="0.2">
      <c r="A85" s="53">
        <f t="shared" si="205"/>
        <v>873</v>
      </c>
      <c r="B85" s="54">
        <f t="shared" si="206"/>
        <v>44578</v>
      </c>
      <c r="C85" s="55">
        <f>'Résultats observations'!D85</f>
        <v>26.800000000000011</v>
      </c>
      <c r="D85" s="50">
        <f t="shared" si="207"/>
        <v>-77.129925664952907</v>
      </c>
      <c r="E85" s="50">
        <f t="shared" si="208"/>
        <v>-55.438014028019296</v>
      </c>
      <c r="F85" s="50"/>
      <c r="G85" s="50"/>
      <c r="H85" s="50">
        <f t="shared" si="217"/>
        <v>-66.94210526920719</v>
      </c>
      <c r="I85" s="50">
        <f t="shared" si="218"/>
        <v>-68.527358029413676</v>
      </c>
      <c r="J85" s="50"/>
      <c r="K85" s="50">
        <f t="shared" si="219"/>
        <v>-27.84912017481922</v>
      </c>
      <c r="L85" s="50">
        <f t="shared" si="220"/>
        <v>-35.097007078973341</v>
      </c>
      <c r="R85" s="51">
        <f t="shared" si="232"/>
        <v>-3.7452473788799047E-2</v>
      </c>
      <c r="S85" s="51">
        <f t="shared" si="233"/>
        <v>-7.8927617037649611E-3</v>
      </c>
      <c r="T85" s="51" t="str">
        <f t="shared" si="234"/>
        <v/>
      </c>
      <c r="U85" s="51" t="str">
        <f t="shared" si="235"/>
        <v/>
      </c>
      <c r="V85" s="51">
        <f t="shared" si="236"/>
        <v>-1.5331733805117173E-2</v>
      </c>
      <c r="W85" s="51">
        <f t="shared" si="237"/>
        <v>-4.7433954954101409E-2</v>
      </c>
      <c r="X85" s="51" t="str">
        <f t="shared" si="238"/>
        <v/>
      </c>
      <c r="Y85" s="51">
        <f t="shared" si="239"/>
        <v>1.5422683314003649E-2</v>
      </c>
      <c r="Z85" s="51">
        <f t="shared" si="240"/>
        <v>-4.6286925423040991E-2</v>
      </c>
    </row>
    <row r="86" spans="1:26" ht="20.100000000000001" customHeight="1" x14ac:dyDescent="0.2">
      <c r="A86" s="53">
        <f t="shared" si="205"/>
        <v>890</v>
      </c>
      <c r="B86" s="54">
        <f t="shared" si="206"/>
        <v>44595</v>
      </c>
      <c r="C86" s="55">
        <f>'Résultats observations'!D86</f>
        <v>26.800000000000011</v>
      </c>
      <c r="D86" s="50"/>
      <c r="E86" s="50">
        <f t="shared" si="208"/>
        <v>-56.20826446155958</v>
      </c>
      <c r="F86" s="50"/>
      <c r="G86" s="50"/>
      <c r="H86" s="50">
        <f t="shared" si="217"/>
        <v>-67.183295388324012</v>
      </c>
      <c r="I86" s="50"/>
      <c r="J86" s="50"/>
      <c r="K86" s="50">
        <f t="shared" si="219"/>
        <v>-28.22241895965405</v>
      </c>
      <c r="L86" s="50"/>
      <c r="R86" s="51" t="str">
        <f t="shared" si="232"/>
        <v/>
      </c>
      <c r="S86" s="51">
        <f t="shared" si="233"/>
        <v>-4.5308849031781388E-2</v>
      </c>
      <c r="T86" s="51" t="str">
        <f t="shared" si="234"/>
        <v/>
      </c>
      <c r="U86" s="51" t="str">
        <f t="shared" si="235"/>
        <v/>
      </c>
      <c r="V86" s="51">
        <f t="shared" si="236"/>
        <v>-1.418765406569545E-2</v>
      </c>
      <c r="W86" s="51" t="str">
        <f t="shared" si="237"/>
        <v/>
      </c>
      <c r="X86" s="51" t="str">
        <f t="shared" si="238"/>
        <v/>
      </c>
      <c r="Y86" s="51">
        <f t="shared" si="239"/>
        <v>-2.1958752049107657E-2</v>
      </c>
      <c r="Z86" s="51" t="str">
        <f t="shared" si="240"/>
        <v/>
      </c>
    </row>
    <row r="87" spans="1:26" ht="20.100000000000001" customHeight="1" x14ac:dyDescent="0.2">
      <c r="A87" s="53">
        <f t="shared" si="205"/>
        <v>908</v>
      </c>
      <c r="B87" s="54">
        <f t="shared" si="206"/>
        <v>44613</v>
      </c>
      <c r="C87" s="55">
        <f>'Résultats observations'!D87</f>
        <v>26.800000000000011</v>
      </c>
      <c r="D87" s="50">
        <f t="shared" si="207"/>
        <v>-77.518433190395967</v>
      </c>
      <c r="E87" s="50">
        <f t="shared" si="208"/>
        <v>-55.997781426171848</v>
      </c>
      <c r="F87" s="50"/>
      <c r="G87" s="50"/>
      <c r="H87" s="50">
        <f t="shared" si="217"/>
        <v>-67.152447178930885</v>
      </c>
      <c r="I87" s="50">
        <f t="shared" si="218"/>
        <v>-68.974869392707035</v>
      </c>
      <c r="J87" s="50"/>
      <c r="K87" s="50">
        <f t="shared" si="219"/>
        <v>-28.173561223671761</v>
      </c>
      <c r="L87" s="50">
        <f t="shared" si="220"/>
        <v>-35.364107270724254</v>
      </c>
      <c r="R87" s="51" t="str">
        <f t="shared" ref="R87" si="241">IF(AND(D87&lt;&gt;"",D86&lt;&gt;""),(D87-D86)/($B87-$B86),"")</f>
        <v/>
      </c>
      <c r="S87" s="51">
        <f t="shared" ref="S87" si="242">IF(AND(E87&lt;&gt;"",E86&lt;&gt;""),(E87-E86)/($B87-$B86),"")</f>
        <v>1.1693501965985101E-2</v>
      </c>
      <c r="T87" s="51" t="str">
        <f t="shared" ref="T87" si="243">IF(AND(F87&lt;&gt;"",F86&lt;&gt;""),(F87-F86)/($B87-$B86),"")</f>
        <v/>
      </c>
      <c r="U87" s="51" t="str">
        <f t="shared" ref="U87" si="244">IF(AND(G87&lt;&gt;"",G86&lt;&gt;""),(G87-G86)/($B87-$B86),"")</f>
        <v/>
      </c>
      <c r="V87" s="51">
        <f t="shared" ref="V87" si="245">IF(AND(H87&lt;&gt;"",H86&lt;&gt;""),(H87-H86)/($B87-$B86),"")</f>
        <v>1.713789410729305E-3</v>
      </c>
      <c r="W87" s="51" t="str">
        <f t="shared" ref="W87" si="246">IF(AND(I87&lt;&gt;"",I86&lt;&gt;""),(I87-I86)/($B87-$B86),"")</f>
        <v/>
      </c>
      <c r="X87" s="51" t="str">
        <f t="shared" ref="X87" si="247">IF(AND(J87&lt;&gt;"",J86&lt;&gt;""),(J87-J86)/($B87-$B86),"")</f>
        <v/>
      </c>
      <c r="Y87" s="51">
        <f t="shared" ref="Y87" si="248">IF(AND(K87&lt;&gt;"",K86&lt;&gt;""),(K87-K86)/($B87-$B86),"")</f>
        <v>2.7143186656826876E-3</v>
      </c>
      <c r="Z87" s="51" t="str">
        <f t="shared" ref="Z87" si="249">IF(AND(L87&lt;&gt;"",L86&lt;&gt;""),(L87-L86)/($B87-$B86),"")</f>
        <v/>
      </c>
    </row>
    <row r="88" spans="1:26" ht="20.100000000000001" customHeight="1" x14ac:dyDescent="0.2">
      <c r="A88" s="53">
        <f t="shared" si="205"/>
        <v>930</v>
      </c>
      <c r="B88" s="54">
        <f t="shared" si="206"/>
        <v>44635</v>
      </c>
      <c r="C88" s="55">
        <f>'Résultats observations'!D88</f>
        <v>26.800000000000011</v>
      </c>
      <c r="D88" s="50">
        <f t="shared" si="207"/>
        <v>-77.117388311803467</v>
      </c>
      <c r="E88" s="50">
        <f t="shared" si="208"/>
        <v>-55.642276041300235</v>
      </c>
      <c r="F88" s="50"/>
      <c r="G88" s="50"/>
      <c r="H88" s="50">
        <f t="shared" si="217"/>
        <v>-67.384359246922102</v>
      </c>
      <c r="I88" s="50">
        <f t="shared" si="218"/>
        <v>-69.060562405934164</v>
      </c>
      <c r="J88" s="50"/>
      <c r="K88" s="50">
        <f t="shared" si="219"/>
        <v>-28.703339784422965</v>
      </c>
      <c r="L88" s="50">
        <f t="shared" si="220"/>
        <v>-35.834754149456138</v>
      </c>
      <c r="R88" s="51">
        <f t="shared" ref="R88:R95" si="250">IF(AND(D88&lt;&gt;"",D87&lt;&gt;""),(D88-D87)/($B88-$B87),"")</f>
        <v>1.8229312663295485E-2</v>
      </c>
      <c r="S88" s="51">
        <f t="shared" ref="S88:S95" si="251">IF(AND(E88&lt;&gt;"",E87&lt;&gt;""),(E88-E87)/($B88-$B87),"")</f>
        <v>1.6159335675982399E-2</v>
      </c>
      <c r="T88" s="51" t="str">
        <f t="shared" ref="T88:T95" si="252">IF(AND(F88&lt;&gt;"",F87&lt;&gt;""),(F88-F87)/($B88-$B87),"")</f>
        <v/>
      </c>
      <c r="U88" s="51" t="str">
        <f t="shared" ref="U88:U95" si="253">IF(AND(G88&lt;&gt;"",G87&lt;&gt;""),(G88-G87)/($B88-$B87),"")</f>
        <v/>
      </c>
      <c r="V88" s="51">
        <f t="shared" ref="V88:V95" si="254">IF(AND(H88&lt;&gt;"",H87&lt;&gt;""),(H88-H87)/($B88-$B87),"")</f>
        <v>-1.0541457635964429E-2</v>
      </c>
      <c r="W88" s="51">
        <f t="shared" ref="W88:W95" si="255">IF(AND(I88&lt;&gt;"",I87&lt;&gt;""),(I88-I87)/($B88-$B87),"")</f>
        <v>-3.8951369648694886E-3</v>
      </c>
      <c r="X88" s="51" t="str">
        <f t="shared" ref="X88:X95" si="256">IF(AND(J88&lt;&gt;"",J87&lt;&gt;""),(J88-J87)/($B88-$B87),"")</f>
        <v/>
      </c>
      <c r="Y88" s="51">
        <f t="shared" ref="Y88:Y95" si="257">IF(AND(K88&lt;&gt;"",K87&lt;&gt;""),(K88-K87)/($B88-$B87),"")</f>
        <v>-2.4080843670509274E-2</v>
      </c>
      <c r="Z88" s="51">
        <f t="shared" ref="Z88:Z95" si="258">IF(AND(L88&lt;&gt;"",L87&lt;&gt;""),(L88-L87)/($B88-$B87),"")</f>
        <v>-2.1393039942358364E-2</v>
      </c>
    </row>
    <row r="89" spans="1:26" ht="20.100000000000001" customHeight="1" x14ac:dyDescent="0.2">
      <c r="A89" s="53">
        <f t="shared" si="205"/>
        <v>943</v>
      </c>
      <c r="B89" s="54">
        <f t="shared" si="206"/>
        <v>44648</v>
      </c>
      <c r="C89" s="55">
        <f>'Résultats observations'!D89</f>
        <v>26.800000000000011</v>
      </c>
      <c r="D89" s="50">
        <f t="shared" si="207"/>
        <v>-77.662244814861822</v>
      </c>
      <c r="E89" s="50">
        <f t="shared" si="208"/>
        <v>-55.855385515759082</v>
      </c>
      <c r="F89" s="50"/>
      <c r="G89" s="50"/>
      <c r="H89" s="50">
        <f t="shared" si="217"/>
        <v>-67.411890778427804</v>
      </c>
      <c r="I89" s="50">
        <f t="shared" si="218"/>
        <v>-69.266219646241026</v>
      </c>
      <c r="J89" s="50"/>
      <c r="K89" s="50">
        <f t="shared" si="219"/>
        <v>-28.5033155183676</v>
      </c>
      <c r="L89" s="50">
        <f t="shared" si="220"/>
        <v>-35.978970814798394</v>
      </c>
      <c r="R89" s="51">
        <f t="shared" si="250"/>
        <v>-4.1912038696796557E-2</v>
      </c>
      <c r="S89" s="51">
        <f t="shared" si="251"/>
        <v>-1.6393036496834358E-2</v>
      </c>
      <c r="T89" s="51" t="str">
        <f t="shared" si="252"/>
        <v/>
      </c>
      <c r="U89" s="51" t="str">
        <f t="shared" si="253"/>
        <v/>
      </c>
      <c r="V89" s="51">
        <f t="shared" si="254"/>
        <v>-2.1178101158231865E-3</v>
      </c>
      <c r="W89" s="51">
        <f t="shared" si="255"/>
        <v>-1.5819787715912526E-2</v>
      </c>
      <c r="X89" s="51" t="str">
        <f t="shared" si="256"/>
        <v/>
      </c>
      <c r="Y89" s="51">
        <f t="shared" si="257"/>
        <v>1.5386482004258868E-2</v>
      </c>
      <c r="Z89" s="51">
        <f t="shared" si="258"/>
        <v>-1.1093589641712006E-2</v>
      </c>
    </row>
    <row r="90" spans="1:26" ht="20.100000000000001" customHeight="1" x14ac:dyDescent="0.2">
      <c r="A90" s="53">
        <f t="shared" si="205"/>
        <v>973</v>
      </c>
      <c r="B90" s="54">
        <f t="shared" si="206"/>
        <v>44678</v>
      </c>
      <c r="C90" s="55">
        <f>'Résultats observations'!D90</f>
        <v>26.800000000000011</v>
      </c>
      <c r="D90" s="50">
        <f t="shared" si="207"/>
        <v>-77.680859687564663</v>
      </c>
      <c r="E90" s="50">
        <f t="shared" si="208"/>
        <v>-56.09280146496554</v>
      </c>
      <c r="F90" s="50"/>
      <c r="G90" s="50"/>
      <c r="H90" s="50">
        <f t="shared" si="217"/>
        <v>-67.6407045029448</v>
      </c>
      <c r="I90" s="50">
        <f t="shared" si="218"/>
        <v>-69.338761305293588</v>
      </c>
      <c r="J90" s="50"/>
      <c r="K90" s="50">
        <f t="shared" si="219"/>
        <v>-28.612203518490809</v>
      </c>
      <c r="L90" s="50">
        <f t="shared" si="220"/>
        <v>-35.834754149456138</v>
      </c>
      <c r="R90" s="51">
        <f t="shared" si="250"/>
        <v>-6.204957567613671E-4</v>
      </c>
      <c r="S90" s="51">
        <f t="shared" si="251"/>
        <v>-7.9138649735485938E-3</v>
      </c>
      <c r="T90" s="51" t="str">
        <f t="shared" si="252"/>
        <v/>
      </c>
      <c r="U90" s="51" t="str">
        <f t="shared" si="253"/>
        <v/>
      </c>
      <c r="V90" s="51">
        <f t="shared" si="254"/>
        <v>-7.6271241505665444E-3</v>
      </c>
      <c r="W90" s="51">
        <f t="shared" si="255"/>
        <v>-2.4180553017520384E-3</v>
      </c>
      <c r="X90" s="51" t="str">
        <f t="shared" si="256"/>
        <v/>
      </c>
      <c r="Y90" s="51">
        <f t="shared" si="257"/>
        <v>-3.6296000041069476E-3</v>
      </c>
      <c r="Z90" s="51">
        <f t="shared" si="258"/>
        <v>4.8072221780752029E-3</v>
      </c>
    </row>
    <row r="91" spans="1:26" ht="20.100000000000001" customHeight="1" x14ac:dyDescent="0.2">
      <c r="A91" s="53">
        <f t="shared" si="205"/>
        <v>1006</v>
      </c>
      <c r="B91" s="54">
        <f t="shared" si="206"/>
        <v>44711</v>
      </c>
      <c r="C91" s="55">
        <f>'Résultats observations'!D91</f>
        <v>26.800000000000011</v>
      </c>
      <c r="D91" s="50">
        <f t="shared" si="207"/>
        <v>-76.21297349061517</v>
      </c>
      <c r="E91" s="50">
        <f t="shared" si="208"/>
        <v>-54.229582662984839</v>
      </c>
      <c r="F91" s="50"/>
      <c r="G91" s="50"/>
      <c r="H91" s="50">
        <f t="shared" si="217"/>
        <v>-69.026477725990361</v>
      </c>
      <c r="I91" s="50">
        <f t="shared" si="218"/>
        <v>-70.796057735074584</v>
      </c>
      <c r="J91" s="50"/>
      <c r="K91" s="50">
        <f t="shared" si="219"/>
        <v>-28.230850210193559</v>
      </c>
      <c r="L91" s="50">
        <f t="shared" si="220"/>
        <v>-35.429147881001377</v>
      </c>
      <c r="R91" s="51">
        <f t="shared" si="250"/>
        <v>4.44813999075604E-2</v>
      </c>
      <c r="S91" s="51">
        <f t="shared" si="251"/>
        <v>5.6461175817596979E-2</v>
      </c>
      <c r="T91" s="51" t="str">
        <f t="shared" si="252"/>
        <v/>
      </c>
      <c r="U91" s="51" t="str">
        <f t="shared" si="253"/>
        <v/>
      </c>
      <c r="V91" s="51">
        <f t="shared" si="254"/>
        <v>-4.1993127971077605E-2</v>
      </c>
      <c r="W91" s="51">
        <f t="shared" si="255"/>
        <v>-4.4160497872151393E-2</v>
      </c>
      <c r="X91" s="51" t="str">
        <f t="shared" si="256"/>
        <v/>
      </c>
      <c r="Y91" s="51">
        <f t="shared" si="257"/>
        <v>1.1556160857492418E-2</v>
      </c>
      <c r="Z91" s="51">
        <f t="shared" si="258"/>
        <v>1.2291099044083674E-2</v>
      </c>
    </row>
    <row r="92" spans="1:26" ht="20.100000000000001" customHeight="1" x14ac:dyDescent="0.2">
      <c r="A92" s="53">
        <f t="shared" si="205"/>
        <v>1035</v>
      </c>
      <c r="B92" s="54">
        <f t="shared" si="206"/>
        <v>44740</v>
      </c>
      <c r="C92" s="55">
        <f>'Résultats observations'!D92</f>
        <v>26.800000000000011</v>
      </c>
      <c r="D92" s="50">
        <f t="shared" si="207"/>
        <v>-76.414703791854777</v>
      </c>
      <c r="E92" s="50">
        <f t="shared" si="208"/>
        <v>-54.503940293821884</v>
      </c>
      <c r="F92" s="50"/>
      <c r="G92" s="50"/>
      <c r="H92" s="50">
        <f t="shared" si="217"/>
        <v>-69.338519206856745</v>
      </c>
      <c r="I92" s="50">
        <f t="shared" si="218"/>
        <v>-70.822676054554279</v>
      </c>
      <c r="J92" s="50"/>
      <c r="K92" s="50">
        <f t="shared" si="219"/>
        <v>-28.768448442977324</v>
      </c>
      <c r="L92" s="50">
        <f t="shared" si="220"/>
        <v>-35.779756994635648</v>
      </c>
      <c r="R92" s="51">
        <f t="shared" si="250"/>
        <v>-6.9562172841243792E-3</v>
      </c>
      <c r="S92" s="51">
        <f t="shared" si="251"/>
        <v>-9.4606079598981031E-3</v>
      </c>
      <c r="T92" s="51" t="str">
        <f t="shared" si="252"/>
        <v/>
      </c>
      <c r="U92" s="51" t="str">
        <f t="shared" si="253"/>
        <v/>
      </c>
      <c r="V92" s="51">
        <f t="shared" si="254"/>
        <v>-1.0760051064358064E-2</v>
      </c>
      <c r="W92" s="51">
        <f t="shared" si="255"/>
        <v>-9.178730855067301E-4</v>
      </c>
      <c r="X92" s="51" t="str">
        <f t="shared" si="256"/>
        <v/>
      </c>
      <c r="Y92" s="51">
        <f t="shared" si="257"/>
        <v>-1.8537870095991886E-2</v>
      </c>
      <c r="Z92" s="51">
        <f t="shared" si="258"/>
        <v>-1.2089969435664497E-2</v>
      </c>
    </row>
    <row r="93" spans="1:26" ht="20.100000000000001" customHeight="1" x14ac:dyDescent="0.2">
      <c r="A93" s="53">
        <f t="shared" si="205"/>
        <v>1062</v>
      </c>
      <c r="B93" s="54">
        <f t="shared" si="206"/>
        <v>44767</v>
      </c>
      <c r="C93" s="55">
        <f>'Résultats observations'!D93</f>
        <v>26.800000000000011</v>
      </c>
      <c r="D93" s="50">
        <f t="shared" si="207"/>
        <v>-76.859010627420503</v>
      </c>
      <c r="E93" s="50">
        <f t="shared" si="208"/>
        <v>-54.906339564869455</v>
      </c>
      <c r="F93" s="50"/>
      <c r="G93" s="50"/>
      <c r="H93" s="50">
        <f t="shared" si="217"/>
        <v>-69.559996574792848</v>
      </c>
      <c r="I93" s="50">
        <f t="shared" si="218"/>
        <v>-71.415782195899169</v>
      </c>
      <c r="J93" s="50"/>
      <c r="K93" s="50">
        <f t="shared" si="219"/>
        <v>-29.091152278811094</v>
      </c>
      <c r="L93" s="50">
        <f t="shared" si="220"/>
        <v>-36.582377946181133</v>
      </c>
      <c r="R93" s="51">
        <f t="shared" si="250"/>
        <v>-1.6455808724656521E-2</v>
      </c>
      <c r="S93" s="51">
        <f t="shared" si="251"/>
        <v>-1.4903676705465593E-2</v>
      </c>
      <c r="T93" s="51" t="str">
        <f t="shared" si="252"/>
        <v/>
      </c>
      <c r="U93" s="51" t="str">
        <f t="shared" si="253"/>
        <v/>
      </c>
      <c r="V93" s="51">
        <f t="shared" si="254"/>
        <v>-8.2028654791149284E-3</v>
      </c>
      <c r="W93" s="51">
        <f t="shared" si="255"/>
        <v>-2.196689412388482E-2</v>
      </c>
      <c r="X93" s="51" t="str">
        <f t="shared" si="256"/>
        <v/>
      </c>
      <c r="Y93" s="51">
        <f t="shared" si="257"/>
        <v>-1.195199391976929E-2</v>
      </c>
      <c r="Z93" s="51">
        <f t="shared" si="258"/>
        <v>-2.9726701909092042E-2</v>
      </c>
    </row>
    <row r="94" spans="1:26" ht="20.100000000000001" customHeight="1" x14ac:dyDescent="0.2">
      <c r="A94" s="53">
        <f t="shared" si="205"/>
        <v>1197</v>
      </c>
      <c r="B94" s="54">
        <f t="shared" si="206"/>
        <v>44902</v>
      </c>
      <c r="C94" s="55">
        <f>'Résultats observations'!D94</f>
        <v>26.800000000000011</v>
      </c>
      <c r="D94" s="50">
        <f t="shared" si="207"/>
        <v>-78.297176371910908</v>
      </c>
      <c r="E94" s="50">
        <f t="shared" si="208"/>
        <v>-55.862569813240896</v>
      </c>
      <c r="F94" s="50"/>
      <c r="G94" s="50"/>
      <c r="H94" s="50">
        <f t="shared" si="217"/>
        <v>-71.060997064494202</v>
      </c>
      <c r="I94" s="50">
        <f t="shared" si="218"/>
        <v>-73.909198624714904</v>
      </c>
      <c r="J94" s="50"/>
      <c r="K94" s="50">
        <f t="shared" si="219"/>
        <v>-29.729676491943025</v>
      </c>
      <c r="L94" s="50">
        <f t="shared" si="220"/>
        <v>-38.371162130453662</v>
      </c>
      <c r="R94" s="51">
        <f t="shared" si="250"/>
        <v>-1.0653079588817815E-2</v>
      </c>
      <c r="S94" s="51">
        <f t="shared" si="251"/>
        <v>-7.0831870249736329E-3</v>
      </c>
      <c r="T94" s="51" t="str">
        <f t="shared" si="252"/>
        <v/>
      </c>
      <c r="U94" s="51" t="str">
        <f t="shared" si="253"/>
        <v/>
      </c>
      <c r="V94" s="51">
        <f t="shared" si="254"/>
        <v>-1.1118522145935958E-2</v>
      </c>
      <c r="W94" s="51">
        <f t="shared" si="255"/>
        <v>-1.8469751324560999E-2</v>
      </c>
      <c r="X94" s="51" t="str">
        <f t="shared" si="256"/>
        <v/>
      </c>
      <c r="Y94" s="51">
        <f t="shared" si="257"/>
        <v>-4.7298089861624463E-3</v>
      </c>
      <c r="Z94" s="51">
        <f t="shared" si="258"/>
        <v>-1.3250253216833551E-2</v>
      </c>
    </row>
    <row r="95" spans="1:26" ht="20.100000000000001" customHeight="1" x14ac:dyDescent="0.2">
      <c r="A95" s="53">
        <f t="shared" si="205"/>
        <v>1210</v>
      </c>
      <c r="B95" s="54">
        <f t="shared" si="206"/>
        <v>44915</v>
      </c>
      <c r="C95" s="55">
        <f>'Résultats observations'!D95</f>
        <v>26.800000000000011</v>
      </c>
      <c r="D95" s="50">
        <f t="shared" si="207"/>
        <v>-78.61383391210984</v>
      </c>
      <c r="E95" s="50">
        <f t="shared" si="208"/>
        <v>-55.94852274473228</v>
      </c>
      <c r="F95" s="50"/>
      <c r="G95" s="50"/>
      <c r="H95" s="50">
        <f t="shared" si="217"/>
        <v>-71.083656349836929</v>
      </c>
      <c r="I95" s="50">
        <f t="shared" si="218"/>
        <v>-73.98066219339006</v>
      </c>
      <c r="J95" s="50"/>
      <c r="K95" s="50">
        <f t="shared" si="219"/>
        <v>-29.779311786763962</v>
      </c>
      <c r="L95" s="50">
        <f t="shared" si="220"/>
        <v>-38.76816405656669</v>
      </c>
      <c r="R95" s="51">
        <f t="shared" si="250"/>
        <v>-2.435827232299477E-2</v>
      </c>
      <c r="S95" s="51">
        <f t="shared" si="251"/>
        <v>-6.6117639608757137E-3</v>
      </c>
      <c r="T95" s="51" t="str">
        <f t="shared" si="252"/>
        <v/>
      </c>
      <c r="U95" s="51" t="str">
        <f t="shared" si="253"/>
        <v/>
      </c>
      <c r="V95" s="51">
        <f t="shared" si="254"/>
        <v>-1.7430219494404863E-3</v>
      </c>
      <c r="W95" s="51">
        <f t="shared" si="255"/>
        <v>-5.4971975903966427E-3</v>
      </c>
      <c r="X95" s="51" t="str">
        <f t="shared" si="256"/>
        <v/>
      </c>
      <c r="Y95" s="51">
        <f t="shared" si="257"/>
        <v>-3.818099601610597E-3</v>
      </c>
      <c r="Z95" s="51">
        <f t="shared" si="258"/>
        <v>-3.0538609701002119E-2</v>
      </c>
    </row>
    <row r="96" spans="1:26" ht="20.100000000000001" customHeight="1" x14ac:dyDescent="0.2">
      <c r="A96" s="53">
        <f t="shared" si="205"/>
        <v>1225</v>
      </c>
      <c r="B96" s="54">
        <f t="shared" si="206"/>
        <v>44930</v>
      </c>
      <c r="C96" s="55">
        <f>'Résultats observations'!D96</f>
        <v>26.800000000000011</v>
      </c>
      <c r="D96" s="50">
        <f t="shared" si="207"/>
        <v>-78.687904061266238</v>
      </c>
      <c r="E96" s="50">
        <f t="shared" si="208"/>
        <v>-56.043470172694398</v>
      </c>
      <c r="F96" s="50"/>
      <c r="G96" s="50"/>
      <c r="H96" s="50">
        <f t="shared" si="217"/>
        <v>-71.150051732086439</v>
      </c>
      <c r="I96" s="50">
        <f t="shared" si="218"/>
        <v>-74.281488436537472</v>
      </c>
      <c r="J96" s="50"/>
      <c r="K96" s="50">
        <f t="shared" si="219"/>
        <v>-29.929434493933371</v>
      </c>
      <c r="L96" s="50">
        <f t="shared" si="220"/>
        <v>-38.860299680712806</v>
      </c>
      <c r="R96" s="51">
        <f t="shared" ref="R96:R101" si="259">IF(AND(D96&lt;&gt;"",D95&lt;&gt;""),(D96-D95)/($B96-$B95),"")</f>
        <v>-4.9380099437598803E-3</v>
      </c>
      <c r="S96" s="51">
        <f t="shared" ref="S96:S101" si="260">IF(AND(E96&lt;&gt;"",E95&lt;&gt;""),(E96-E95)/($B96-$B95),"")</f>
        <v>-6.329828530807902E-3</v>
      </c>
      <c r="T96" s="51" t="str">
        <f t="shared" ref="T96:T101" si="261">IF(AND(F96&lt;&gt;"",F95&lt;&gt;""),(F96-F95)/($B96-$B95),"")</f>
        <v/>
      </c>
      <c r="U96" s="51" t="str">
        <f t="shared" ref="U96:U101" si="262">IF(AND(G96&lt;&gt;"",G95&lt;&gt;""),(G96-G95)/($B96-$B95),"")</f>
        <v/>
      </c>
      <c r="V96" s="51">
        <f t="shared" ref="V96:V101" si="263">IF(AND(H96&lt;&gt;"",H95&lt;&gt;""),(H96-H95)/($B96-$B95),"")</f>
        <v>-4.4263588166340165E-3</v>
      </c>
      <c r="W96" s="51">
        <f t="shared" ref="W96:W101" si="264">IF(AND(I96&lt;&gt;"",I95&lt;&gt;""),(I96-I95)/($B96-$B95),"")</f>
        <v>-2.005508287649415E-2</v>
      </c>
      <c r="X96" s="51" t="str">
        <f t="shared" ref="X96:X101" si="265">IF(AND(J96&lt;&gt;"",J95&lt;&gt;""),(J96-J95)/($B96-$B95),"")</f>
        <v/>
      </c>
      <c r="Y96" s="51">
        <f t="shared" ref="Y96:Y101" si="266">IF(AND(K96&lt;&gt;"",K95&lt;&gt;""),(K96-K95)/($B96-$B95),"")</f>
        <v>-1.0008180477960593E-2</v>
      </c>
      <c r="Z96" s="51">
        <f t="shared" ref="Z96:Z101" si="267">IF(AND(L96&lt;&gt;"",L95&lt;&gt;""),(L96-L95)/($B96-$B95),"")</f>
        <v>-6.1423749430744579E-3</v>
      </c>
    </row>
    <row r="97" spans="1:26" ht="20.100000000000001" customHeight="1" x14ac:dyDescent="0.2">
      <c r="A97" s="53">
        <f t="shared" si="205"/>
        <v>1240</v>
      </c>
      <c r="B97" s="54">
        <f t="shared" si="206"/>
        <v>44945</v>
      </c>
      <c r="C97" s="55">
        <f>'Résultats observations'!D97</f>
        <v>26.800000000000011</v>
      </c>
      <c r="D97" s="50">
        <f t="shared" si="207"/>
        <v>-78.862756724878295</v>
      </c>
      <c r="E97" s="50">
        <f t="shared" si="208"/>
        <v>-56.195382136011055</v>
      </c>
      <c r="F97" s="50"/>
      <c r="G97" s="50"/>
      <c r="H97" s="50">
        <f t="shared" si="217"/>
        <v>-71.448162715237459</v>
      </c>
      <c r="I97" s="50">
        <f t="shared" si="218"/>
        <v>-74.713637039747653</v>
      </c>
      <c r="J97" s="50"/>
      <c r="K97" s="50">
        <f t="shared" si="219"/>
        <v>-30.069773427101154</v>
      </c>
      <c r="L97" s="50">
        <f t="shared" si="220"/>
        <v>-39.091689147771724</v>
      </c>
      <c r="R97" s="51">
        <f t="shared" si="259"/>
        <v>-1.1656844240803821E-2</v>
      </c>
      <c r="S97" s="51">
        <f t="shared" si="260"/>
        <v>-1.0127464221110454E-2</v>
      </c>
      <c r="T97" s="51" t="str">
        <f t="shared" si="261"/>
        <v/>
      </c>
      <c r="U97" s="51" t="str">
        <f t="shared" si="262"/>
        <v/>
      </c>
      <c r="V97" s="51">
        <f t="shared" si="263"/>
        <v>-1.9874065543401306E-2</v>
      </c>
      <c r="W97" s="51">
        <f t="shared" si="264"/>
        <v>-2.8809906880678682E-2</v>
      </c>
      <c r="X97" s="51" t="str">
        <f t="shared" si="265"/>
        <v/>
      </c>
      <c r="Y97" s="51">
        <f t="shared" si="266"/>
        <v>-9.3559288778521932E-3</v>
      </c>
      <c r="Z97" s="51">
        <f t="shared" si="267"/>
        <v>-1.5425964470594522E-2</v>
      </c>
    </row>
    <row r="98" spans="1:26" ht="20.100000000000001" customHeight="1" x14ac:dyDescent="0.2">
      <c r="A98" s="53">
        <f t="shared" si="205"/>
        <v>1252</v>
      </c>
      <c r="B98" s="54">
        <f t="shared" si="206"/>
        <v>44957</v>
      </c>
      <c r="C98" s="55">
        <f>'Résultats observations'!D98</f>
        <v>26.800000000000011</v>
      </c>
      <c r="D98" s="50">
        <f t="shared" si="207"/>
        <v>-78.437112169910776</v>
      </c>
      <c r="E98" s="50">
        <f t="shared" si="208"/>
        <v>-55.97567985946128</v>
      </c>
      <c r="F98" s="50"/>
      <c r="G98" s="50"/>
      <c r="H98" s="50">
        <f t="shared" si="217"/>
        <v>-71.181409827238525</v>
      </c>
      <c r="I98" s="50">
        <f t="shared" si="218"/>
        <v>-74.30590443039975</v>
      </c>
      <c r="J98" s="50"/>
      <c r="K98" s="50">
        <f t="shared" si="219"/>
        <v>-29.713983749330097</v>
      </c>
      <c r="L98" s="50">
        <f t="shared" si="220"/>
        <v>-38.637509521101343</v>
      </c>
      <c r="R98" s="51">
        <f t="shared" si="259"/>
        <v>3.5470379580626599E-2</v>
      </c>
      <c r="S98" s="51">
        <f t="shared" si="260"/>
        <v>1.8308523045814578E-2</v>
      </c>
      <c r="T98" s="51" t="str">
        <f t="shared" si="261"/>
        <v/>
      </c>
      <c r="U98" s="51" t="str">
        <f t="shared" si="262"/>
        <v/>
      </c>
      <c r="V98" s="51">
        <f t="shared" si="263"/>
        <v>2.2229407333244449E-2</v>
      </c>
      <c r="W98" s="51">
        <f t="shared" si="264"/>
        <v>3.3977717445658584E-2</v>
      </c>
      <c r="X98" s="51" t="str">
        <f t="shared" si="265"/>
        <v/>
      </c>
      <c r="Y98" s="51">
        <f t="shared" si="266"/>
        <v>2.9649139814254728E-2</v>
      </c>
      <c r="Z98" s="51">
        <f t="shared" si="267"/>
        <v>3.7848302222531771E-2</v>
      </c>
    </row>
    <row r="99" spans="1:26" ht="20.100000000000001" customHeight="1" x14ac:dyDescent="0.2">
      <c r="A99" s="53">
        <f t="shared" si="205"/>
        <v>1283</v>
      </c>
      <c r="B99" s="54">
        <f t="shared" si="206"/>
        <v>44988</v>
      </c>
      <c r="C99" s="55">
        <f>'Résultats observations'!D99</f>
        <v>26.800000000000011</v>
      </c>
      <c r="D99" s="50">
        <f t="shared" si="207"/>
        <v>-78.18229957211642</v>
      </c>
      <c r="E99" s="50">
        <f t="shared" si="208"/>
        <v>-55.662015523087142</v>
      </c>
      <c r="F99" s="50"/>
      <c r="G99" s="50"/>
      <c r="H99" s="50">
        <f t="shared" si="217"/>
        <v>-71.030257150745967</v>
      </c>
      <c r="I99" s="50">
        <f t="shared" si="218"/>
        <v>-74.463435437246432</v>
      </c>
      <c r="J99" s="50"/>
      <c r="K99" s="50">
        <f t="shared" si="219"/>
        <v>-29.05129388161054</v>
      </c>
      <c r="L99" s="50">
        <f t="shared" si="220"/>
        <v>-38.395317697610842</v>
      </c>
      <c r="R99" s="51">
        <f t="shared" si="259"/>
        <v>8.2197612191727623E-3</v>
      </c>
      <c r="S99" s="51">
        <f t="shared" si="260"/>
        <v>1.0118204399165758E-2</v>
      </c>
      <c r="T99" s="51" t="str">
        <f t="shared" si="261"/>
        <v/>
      </c>
      <c r="U99" s="51" t="str">
        <f t="shared" si="262"/>
        <v/>
      </c>
      <c r="V99" s="51">
        <f t="shared" si="263"/>
        <v>4.875892790082507E-3</v>
      </c>
      <c r="W99" s="51">
        <f t="shared" si="264"/>
        <v>-5.0816453821510314E-3</v>
      </c>
      <c r="X99" s="51" t="str">
        <f t="shared" si="265"/>
        <v/>
      </c>
      <c r="Y99" s="51">
        <f t="shared" si="266"/>
        <v>2.1377092507082484E-2</v>
      </c>
      <c r="Z99" s="51">
        <f t="shared" si="267"/>
        <v>7.8126394674355067E-3</v>
      </c>
    </row>
    <row r="100" spans="1:26" ht="20.100000000000001" customHeight="1" x14ac:dyDescent="0.2">
      <c r="A100" s="53">
        <f t="shared" si="205"/>
        <v>1308</v>
      </c>
      <c r="B100" s="54">
        <f t="shared" si="206"/>
        <v>45013</v>
      </c>
      <c r="C100" s="55">
        <f>'Résultats observations'!D100</f>
        <v>26.800000000000011</v>
      </c>
      <c r="D100" s="50">
        <f t="shared" si="207"/>
        <v>-79.10154997183659</v>
      </c>
      <c r="E100" s="50">
        <f t="shared" si="208"/>
        <v>-56.179214673615533</v>
      </c>
      <c r="F100" s="50"/>
      <c r="G100" s="50"/>
      <c r="H100" s="50">
        <f t="shared" si="217"/>
        <v>-71.693064494332333</v>
      </c>
      <c r="I100" s="50">
        <f t="shared" si="218"/>
        <v>-75.090373736150354</v>
      </c>
      <c r="J100" s="50"/>
      <c r="K100" s="50">
        <f t="shared" si="219"/>
        <v>-29.755171191264473</v>
      </c>
      <c r="L100" s="50">
        <f t="shared" si="220"/>
        <v>-39.100021296216703</v>
      </c>
      <c r="R100" s="51">
        <f t="shared" si="259"/>
        <v>-3.677001598880679E-2</v>
      </c>
      <c r="S100" s="51">
        <f t="shared" si="260"/>
        <v>-2.0687966021135651E-2</v>
      </c>
      <c r="T100" s="51" t="str">
        <f t="shared" si="261"/>
        <v/>
      </c>
      <c r="U100" s="51" t="str">
        <f t="shared" si="262"/>
        <v/>
      </c>
      <c r="V100" s="51">
        <f t="shared" si="263"/>
        <v>-2.651229374345462E-2</v>
      </c>
      <c r="W100" s="51">
        <f t="shared" si="264"/>
        <v>-2.5077531956156918E-2</v>
      </c>
      <c r="X100" s="51" t="str">
        <f t="shared" si="265"/>
        <v/>
      </c>
      <c r="Y100" s="51">
        <f t="shared" si="266"/>
        <v>-2.8155092386157321E-2</v>
      </c>
      <c r="Z100" s="51">
        <f t="shared" si="267"/>
        <v>-2.8188143944234412E-2</v>
      </c>
    </row>
    <row r="101" spans="1:26" ht="20.100000000000001" customHeight="1" x14ac:dyDescent="0.2">
      <c r="A101" s="53">
        <f t="shared" si="205"/>
        <v>1626</v>
      </c>
      <c r="B101" s="54">
        <f t="shared" si="206"/>
        <v>45331</v>
      </c>
      <c r="C101" s="55">
        <f>'Résultats observations'!D101</f>
        <v>26.800000000000011</v>
      </c>
      <c r="D101" s="50">
        <f t="shared" si="207"/>
        <v>-80.135133795891988</v>
      </c>
      <c r="E101" s="50">
        <f t="shared" si="208"/>
        <v>-56.972091802337317</v>
      </c>
      <c r="F101" s="50"/>
      <c r="G101" s="50"/>
      <c r="H101" s="50" t="e">
        <f t="shared" si="217"/>
        <v>#N/A</v>
      </c>
      <c r="I101" s="50">
        <f t="shared" si="218"/>
        <v>-75.06000557360926</v>
      </c>
      <c r="J101" s="50"/>
      <c r="K101" s="50" t="e">
        <f t="shared" si="219"/>
        <v>#N/A</v>
      </c>
      <c r="L101" s="50">
        <f t="shared" si="220"/>
        <v>-37.501233942817791</v>
      </c>
      <c r="R101" s="51">
        <f t="shared" si="259"/>
        <v>-3.250263597658485E-3</v>
      </c>
      <c r="S101" s="51">
        <f t="shared" si="260"/>
        <v>-2.493324304156554E-3</v>
      </c>
      <c r="T101" s="51" t="str">
        <f t="shared" si="261"/>
        <v/>
      </c>
      <c r="U101" s="51" t="str">
        <f t="shared" si="262"/>
        <v/>
      </c>
      <c r="V101" s="51" t="e">
        <f t="shared" si="263"/>
        <v>#N/A</v>
      </c>
      <c r="W101" s="51">
        <f t="shared" si="264"/>
        <v>9.5497366481429348E-5</v>
      </c>
      <c r="X101" s="51" t="str">
        <f t="shared" si="265"/>
        <v/>
      </c>
      <c r="Y101" s="51" t="e">
        <f t="shared" si="266"/>
        <v>#N/A</v>
      </c>
      <c r="Z101" s="51">
        <f t="shared" si="267"/>
        <v>5.0276331867890305E-3</v>
      </c>
    </row>
  </sheetData>
  <mergeCells count="5">
    <mergeCell ref="R8:Z8"/>
    <mergeCell ref="D8:L8"/>
    <mergeCell ref="U1:Z1"/>
    <mergeCell ref="U2:Z2"/>
    <mergeCell ref="A5:Z5"/>
  </mergeCells>
  <phoneticPr fontId="29" type="noConversion"/>
  <printOptions horizontalCentered="1"/>
  <pageMargins left="0.39370078740157499" right="0.39370078740157499" top="0.196850393700787" bottom="0.196850393700787" header="0.511811023622047" footer="0.511811023622047"/>
  <pageSetup paperSize="9" scale="64" fitToHeight="0" orientation="landscape" cellComments="atEnd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pageSetUpPr fitToPage="1"/>
  </sheetPr>
  <dimension ref="A1:AB101"/>
  <sheetViews>
    <sheetView zoomScale="70" zoomScaleNormal="70" workbookViewId="0">
      <pane ySplit="9" topLeftCell="A92" activePane="bottomLeft" state="frozenSplit"/>
      <selection activeCell="C7" sqref="C7"/>
      <selection pane="bottomLeft" activeCell="Q114" sqref="Q114"/>
    </sheetView>
  </sheetViews>
  <sheetFormatPr baseColWidth="10" defaultRowHeight="12.75" x14ac:dyDescent="0.2"/>
  <cols>
    <col min="1" max="1" width="10.42578125" customWidth="1"/>
    <col min="2" max="2" width="11.140625" style="23" bestFit="1" customWidth="1"/>
    <col min="3" max="23" width="11.28515625" customWidth="1"/>
    <col min="24" max="24" width="22.85546875" style="25" customWidth="1"/>
    <col min="25" max="26" width="11.42578125" style="93"/>
  </cols>
  <sheetData>
    <row r="1" spans="1:28" s="2" customFormat="1" ht="27.75" customHeight="1" x14ac:dyDescent="0.2">
      <c r="B1" s="18"/>
      <c r="S1" s="119" t="s">
        <v>9</v>
      </c>
      <c r="T1" s="119"/>
      <c r="U1" s="119"/>
      <c r="V1" s="119"/>
      <c r="W1" s="119"/>
      <c r="X1" s="24"/>
      <c r="Y1" s="91"/>
      <c r="Z1" s="91"/>
    </row>
    <row r="2" spans="1:28" s="2" customFormat="1" ht="15.75" x14ac:dyDescent="0.2">
      <c r="B2" s="18"/>
      <c r="S2" s="119" t="s">
        <v>54</v>
      </c>
      <c r="T2" s="119"/>
      <c r="U2" s="119"/>
      <c r="V2" s="119"/>
      <c r="W2" s="119"/>
      <c r="X2" s="24"/>
      <c r="Y2" s="91"/>
      <c r="Z2" s="91"/>
    </row>
    <row r="3" spans="1:28" s="2" customFormat="1" ht="15" customHeight="1" x14ac:dyDescent="0.2">
      <c r="B3" s="18"/>
      <c r="N3" s="9"/>
      <c r="O3" s="9"/>
      <c r="P3" s="9"/>
      <c r="Q3" s="9"/>
      <c r="R3" s="9"/>
      <c r="S3" s="9"/>
      <c r="T3" s="9"/>
      <c r="U3" s="9"/>
      <c r="V3" s="31"/>
      <c r="W3" s="31"/>
      <c r="X3" s="24"/>
      <c r="Y3" s="91"/>
      <c r="Z3" s="91"/>
    </row>
    <row r="4" spans="1:28" ht="15" customHeight="1" x14ac:dyDescent="0.2">
      <c r="A4" s="2"/>
      <c r="B4" s="1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9"/>
      <c r="O4" s="9"/>
      <c r="P4" s="9"/>
      <c r="Q4" s="9"/>
      <c r="R4" s="9"/>
      <c r="S4" s="9"/>
      <c r="T4" s="9"/>
      <c r="U4" s="9"/>
      <c r="V4" s="31"/>
      <c r="W4" s="31"/>
      <c r="X4" s="11"/>
      <c r="Y4" s="92"/>
    </row>
    <row r="5" spans="1:28" s="33" customFormat="1" ht="18" customHeight="1" x14ac:dyDescent="0.2">
      <c r="A5" s="121" t="str">
        <f>"GALERIE GVA3 - DEPLACEMENTS DES CIBLES - AUSCULTATION  INTER CINTRE 79-80 ( PM" &amp;'Résultats observations'!W6 &amp;")"</f>
        <v>GALERIE GVA3 - DEPLACEMENTS DES CIBLES - AUSCULTATION  INTER CINTRE 79-80 ( PM196.1)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34"/>
      <c r="Y5" s="94"/>
      <c r="Z5" s="94"/>
    </row>
    <row r="6" spans="1:28" ht="15" customHeight="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1:28" s="2" customFormat="1" ht="15" customHeight="1" thickBot="1" x14ac:dyDescent="0.25">
      <c r="B7" s="18"/>
      <c r="C7" s="125" t="s">
        <v>12</v>
      </c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24"/>
      <c r="Y7" s="91"/>
      <c r="Z7" s="91"/>
    </row>
    <row r="8" spans="1:28" ht="16.5" thickBot="1" x14ac:dyDescent="0.3">
      <c r="A8" s="7"/>
      <c r="B8" s="21"/>
      <c r="C8" s="122" t="s">
        <v>1</v>
      </c>
      <c r="D8" s="123"/>
      <c r="E8" s="124"/>
      <c r="F8" s="122" t="s">
        <v>59</v>
      </c>
      <c r="G8" s="123"/>
      <c r="H8" s="124"/>
      <c r="I8" s="105" t="s">
        <v>14</v>
      </c>
      <c r="J8" s="106"/>
      <c r="K8" s="107"/>
      <c r="L8" s="105" t="s">
        <v>2</v>
      </c>
      <c r="M8" s="106"/>
      <c r="N8" s="107"/>
      <c r="O8" s="105" t="s">
        <v>15</v>
      </c>
      <c r="P8" s="106"/>
      <c r="Q8" s="107"/>
      <c r="R8" s="105" t="s">
        <v>60</v>
      </c>
      <c r="S8" s="106"/>
      <c r="T8" s="107"/>
      <c r="U8" s="122" t="s">
        <v>3</v>
      </c>
      <c r="V8" s="123"/>
      <c r="W8" s="124"/>
      <c r="X8" s="24"/>
    </row>
    <row r="9" spans="1:28" s="3" customFormat="1" ht="60" customHeight="1" x14ac:dyDescent="0.25">
      <c r="A9" s="10" t="s">
        <v>13</v>
      </c>
      <c r="B9" s="22" t="s">
        <v>11</v>
      </c>
      <c r="C9" s="8" t="s">
        <v>28</v>
      </c>
      <c r="D9" s="8" t="s">
        <v>29</v>
      </c>
      <c r="E9" s="8" t="s">
        <v>30</v>
      </c>
      <c r="F9" s="8" t="s">
        <v>55</v>
      </c>
      <c r="G9" s="8" t="s">
        <v>56</v>
      </c>
      <c r="H9" s="8" t="s">
        <v>57</v>
      </c>
      <c r="I9" s="8" t="s">
        <v>31</v>
      </c>
      <c r="J9" s="8" t="s">
        <v>32</v>
      </c>
      <c r="K9" s="8" t="s">
        <v>33</v>
      </c>
      <c r="L9" s="8" t="s">
        <v>34</v>
      </c>
      <c r="M9" s="8" t="s">
        <v>35</v>
      </c>
      <c r="N9" s="8" t="s">
        <v>36</v>
      </c>
      <c r="O9" s="8" t="s">
        <v>37</v>
      </c>
      <c r="P9" s="8" t="s">
        <v>38</v>
      </c>
      <c r="Q9" s="8" t="s">
        <v>39</v>
      </c>
      <c r="R9" s="8" t="s">
        <v>73</v>
      </c>
      <c r="S9" s="8" t="s">
        <v>74</v>
      </c>
      <c r="T9" s="8" t="s">
        <v>58</v>
      </c>
      <c r="U9" s="8" t="s">
        <v>40</v>
      </c>
      <c r="V9" s="8" t="s">
        <v>41</v>
      </c>
      <c r="W9" s="8" t="s">
        <v>42</v>
      </c>
      <c r="X9" s="26"/>
      <c r="Y9" s="95" t="s">
        <v>72</v>
      </c>
      <c r="Z9" s="93"/>
      <c r="AA9"/>
      <c r="AB9"/>
    </row>
    <row r="10" spans="1:28" ht="24.95" customHeight="1" x14ac:dyDescent="0.2">
      <c r="A10" s="29">
        <f t="shared" ref="A10:A77" si="0">jours</f>
        <v>0</v>
      </c>
      <c r="B10" s="30">
        <f t="shared" ref="B10:B77" si="1">date</f>
        <v>43705</v>
      </c>
      <c r="C10" s="50">
        <f t="shared" ref="C10:C57" si="2">DPM_BG</f>
        <v>0</v>
      </c>
      <c r="D10" s="50">
        <f t="shared" ref="D10:D57" si="3">DH_BG</f>
        <v>0</v>
      </c>
      <c r="E10" s="50">
        <f t="shared" ref="E10:E57" si="4">DZ_BG</f>
        <v>0</v>
      </c>
      <c r="F10" s="50">
        <f t="shared" ref="F10:F77" si="5">DPM_IG</f>
        <v>0</v>
      </c>
      <c r="G10" s="50">
        <f t="shared" ref="G10:G77" si="6">DH_IG</f>
        <v>0</v>
      </c>
      <c r="H10" s="50">
        <f t="shared" ref="H10:H73" si="7">DZ_IG</f>
        <v>0</v>
      </c>
      <c r="I10" s="50">
        <f t="shared" ref="I10:I55" si="8">DPM_HG</f>
        <v>0</v>
      </c>
      <c r="J10" s="50">
        <f t="shared" ref="J10:J55" si="9">DH_HG</f>
        <v>0</v>
      </c>
      <c r="K10" s="50">
        <f t="shared" ref="K10:K55" si="10">DZ_HG</f>
        <v>0</v>
      </c>
      <c r="L10" s="50">
        <f t="shared" ref="L10:L77" si="11">DPMhaut</f>
        <v>0</v>
      </c>
      <c r="M10" s="50">
        <f t="shared" ref="M10:M77" si="12">DHhaut</f>
        <v>0</v>
      </c>
      <c r="N10" s="50">
        <f t="shared" ref="N10:N77" si="13">DZhaut</f>
        <v>0</v>
      </c>
      <c r="O10" s="50">
        <f t="shared" ref="O10:O57" si="14">DPM_HD</f>
        <v>0</v>
      </c>
      <c r="P10" s="50">
        <f t="shared" ref="P10:P57" si="15">DH_HD</f>
        <v>0</v>
      </c>
      <c r="Q10" s="50">
        <f t="shared" ref="Q10:Q57" si="16">DZ_HD</f>
        <v>0</v>
      </c>
      <c r="R10" s="51">
        <f t="shared" ref="R10:R77" si="17">DPM_ID</f>
        <v>0</v>
      </c>
      <c r="S10" s="51">
        <f t="shared" ref="S10:S77" si="18">DH_ID</f>
        <v>0</v>
      </c>
      <c r="T10" s="51">
        <f t="shared" ref="T10:T77" si="19">DZ_ID</f>
        <v>0</v>
      </c>
      <c r="U10" s="50">
        <f t="shared" ref="U10:U55" si="20">DPM_BD</f>
        <v>0</v>
      </c>
      <c r="V10" s="50">
        <f t="shared" ref="V10:V55" si="21">DH_BD</f>
        <v>0</v>
      </c>
      <c r="W10" s="50">
        <f t="shared" ref="W10:W55" si="22">DZ_BD</f>
        <v>0</v>
      </c>
      <c r="X10" s="24" t="str">
        <f>IF(Convergences!M10="","",Convergences!M10)</f>
        <v/>
      </c>
      <c r="Y10" s="93">
        <f>2*N10</f>
        <v>0</v>
      </c>
    </row>
    <row r="11" spans="1:28" s="80" customFormat="1" ht="24.95" customHeight="1" x14ac:dyDescent="0.2">
      <c r="A11" s="29">
        <f t="shared" si="0"/>
        <v>1</v>
      </c>
      <c r="B11" s="30">
        <f t="shared" si="1"/>
        <v>43706</v>
      </c>
      <c r="C11" s="77">
        <f t="shared" si="2"/>
        <v>0.17558600995926099</v>
      </c>
      <c r="D11" s="77">
        <f t="shared" si="3"/>
        <v>1.5163013967258721</v>
      </c>
      <c r="E11" s="77">
        <f t="shared" si="4"/>
        <v>0</v>
      </c>
      <c r="F11" s="78">
        <f t="shared" si="5"/>
        <v>-9.551380033570922</v>
      </c>
      <c r="G11" s="78">
        <f t="shared" si="6"/>
        <v>-0.81310432867987004</v>
      </c>
      <c r="H11" s="78">
        <f t="shared" si="7"/>
        <v>-3.9000000000015689</v>
      </c>
      <c r="I11" s="77">
        <f t="shared" si="8"/>
        <v>0.26011646519918941</v>
      </c>
      <c r="J11" s="77">
        <f t="shared" si="9"/>
        <v>1.3350428727729735</v>
      </c>
      <c r="K11" s="77">
        <f t="shared" si="10"/>
        <v>-0.19999999999242846</v>
      </c>
      <c r="L11" s="78">
        <f t="shared" si="11"/>
        <v>-0.10849927681988447</v>
      </c>
      <c r="M11" s="78">
        <f t="shared" si="12"/>
        <v>0.94245852017868503</v>
      </c>
      <c r="N11" s="77">
        <f t="shared" si="13"/>
        <v>-1.0999999999938836</v>
      </c>
      <c r="O11" s="77">
        <f t="shared" si="14"/>
        <v>-0.28365889565407088</v>
      </c>
      <c r="P11" s="77">
        <f t="shared" si="15"/>
        <v>1.0814516054953316</v>
      </c>
      <c r="Q11" s="77">
        <f t="shared" si="16"/>
        <v>-0.69999999999481588</v>
      </c>
      <c r="R11" s="51">
        <f t="shared" si="17"/>
        <v>-0.3742880521144798</v>
      </c>
      <c r="S11" s="51">
        <f t="shared" si="18"/>
        <v>1.039186427066241</v>
      </c>
      <c r="T11" s="51">
        <f t="shared" si="19"/>
        <v>-0.10000000000331966</v>
      </c>
      <c r="U11" s="77">
        <f t="shared" si="20"/>
        <v>-0.92416200862999176</v>
      </c>
      <c r="V11" s="77">
        <f t="shared" si="21"/>
        <v>0.56207150661524707</v>
      </c>
      <c r="W11" s="77">
        <f t="shared" si="22"/>
        <v>9.9999999989108801E-2</v>
      </c>
      <c r="X11" s="79" t="str">
        <f>IF(Convergences!M11="","",Convergences!M11)</f>
        <v/>
      </c>
      <c r="Y11" s="93">
        <f t="shared" ref="Y11:Y24" si="23">2*N11</f>
        <v>-2.1999999999877673</v>
      </c>
      <c r="Z11" s="96">
        <f>(Y11-Y10)/(B11-B10)</f>
        <v>-2.1999999999877673</v>
      </c>
    </row>
    <row r="12" spans="1:28" s="80" customFormat="1" ht="24.95" customHeight="1" x14ac:dyDescent="0.2">
      <c r="A12" s="29">
        <f t="shared" si="0"/>
        <v>2</v>
      </c>
      <c r="B12" s="30">
        <f t="shared" si="1"/>
        <v>43707</v>
      </c>
      <c r="C12" s="77">
        <f t="shared" si="2"/>
        <v>3.7019210282096537E-2</v>
      </c>
      <c r="D12" s="77">
        <f t="shared" si="3"/>
        <v>2.9964362107990361</v>
      </c>
      <c r="E12" s="77">
        <f t="shared" si="4"/>
        <v>1.0000000000047748</v>
      </c>
      <c r="F12" s="78">
        <f t="shared" si="5"/>
        <v>-9.2790660675063918</v>
      </c>
      <c r="G12" s="78">
        <f t="shared" si="6"/>
        <v>0.96898573784276465</v>
      </c>
      <c r="H12" s="78">
        <f t="shared" si="7"/>
        <v>-4.0000000000048885</v>
      </c>
      <c r="I12" s="77">
        <f t="shared" si="8"/>
        <v>0.52633163161885932</v>
      </c>
      <c r="J12" s="77">
        <f t="shared" si="9"/>
        <v>2.8936094479456997</v>
      </c>
      <c r="K12" s="77">
        <f t="shared" si="10"/>
        <v>-0.79999999999813554</v>
      </c>
      <c r="L12" s="78">
        <f t="shared" si="11"/>
        <v>-1.1716544763373804</v>
      </c>
      <c r="M12" s="78">
        <f t="shared" si="12"/>
        <v>1.3293703587819172</v>
      </c>
      <c r="N12" s="77">
        <f t="shared" si="13"/>
        <v>-4.199999999997317</v>
      </c>
      <c r="O12" s="77">
        <f t="shared" si="14"/>
        <v>-0.59781159976068921</v>
      </c>
      <c r="P12" s="77">
        <f t="shared" si="15"/>
        <v>1.0452850720186202</v>
      </c>
      <c r="Q12" s="77">
        <f t="shared" si="16"/>
        <v>-2.6000000000010459</v>
      </c>
      <c r="R12" s="51">
        <f t="shared" si="17"/>
        <v>-0.320251609252864</v>
      </c>
      <c r="S12" s="51">
        <f t="shared" si="18"/>
        <v>-0.25969007403903177</v>
      </c>
      <c r="T12" s="51">
        <f t="shared" si="19"/>
        <v>0.10000000000331966</v>
      </c>
      <c r="U12" s="77">
        <f t="shared" si="20"/>
        <v>-1.0936492118673868</v>
      </c>
      <c r="V12" s="77">
        <f t="shared" si="21"/>
        <v>-0.73070613856707212</v>
      </c>
      <c r="W12" s="77">
        <f t="shared" si="22"/>
        <v>0.29999999999574811</v>
      </c>
      <c r="X12" s="79"/>
      <c r="Y12" s="93">
        <f t="shared" si="23"/>
        <v>-8.399999999994634</v>
      </c>
      <c r="Z12" s="96">
        <f t="shared" ref="Z12:Z49" si="24">(Y12-Y11)/(B12-B11)</f>
        <v>-6.2000000000068667</v>
      </c>
    </row>
    <row r="13" spans="1:28" s="80" customFormat="1" ht="24.95" customHeight="1" x14ac:dyDescent="0.2">
      <c r="A13" s="29">
        <f t="shared" si="0"/>
        <v>5</v>
      </c>
      <c r="B13" s="30">
        <f t="shared" si="1"/>
        <v>43710</v>
      </c>
      <c r="C13" s="77">
        <f t="shared" si="2"/>
        <v>-0.24096726977518301</v>
      </c>
      <c r="D13" s="77">
        <f t="shared" si="3"/>
        <v>2.6461170857952077</v>
      </c>
      <c r="E13" s="77">
        <f t="shared" si="4"/>
        <v>1.2000000000114142</v>
      </c>
      <c r="F13" s="78">
        <f t="shared" si="5"/>
        <v>-9.8651065504498092</v>
      </c>
      <c r="G13" s="78">
        <f t="shared" si="6"/>
        <v>0.80602378170002709</v>
      </c>
      <c r="H13" s="78">
        <f t="shared" si="7"/>
        <v>-4.4000000000039563</v>
      </c>
      <c r="I13" s="77">
        <f t="shared" si="8"/>
        <v>-0.38563277067282797</v>
      </c>
      <c r="J13" s="77">
        <f t="shared" si="9"/>
        <v>3.9027281974806094</v>
      </c>
      <c r="K13" s="77">
        <f t="shared" si="10"/>
        <v>-0.79999999999813554</v>
      </c>
      <c r="L13" s="78">
        <f t="shared" si="11"/>
        <v>-2.3559329430611342</v>
      </c>
      <c r="M13" s="78">
        <f t="shared" si="12"/>
        <v>0.55639925285583258</v>
      </c>
      <c r="N13" s="77">
        <f t="shared" si="13"/>
        <v>-7.1999999999974307</v>
      </c>
      <c r="O13" s="77">
        <f t="shared" si="14"/>
        <v>-0.56774407693183093</v>
      </c>
      <c r="P13" s="77">
        <f t="shared" si="15"/>
        <v>0.50760877816169447</v>
      </c>
      <c r="Q13" s="77">
        <f t="shared" si="16"/>
        <v>-4.3000000000006366</v>
      </c>
      <c r="R13" s="51">
        <f t="shared" si="17"/>
        <v>-0.26011646519918941</v>
      </c>
      <c r="S13" s="51">
        <f t="shared" si="18"/>
        <v>-1.3350428728013952</v>
      </c>
      <c r="T13" s="51">
        <f t="shared" si="19"/>
        <v>0.20000000000663931</v>
      </c>
      <c r="U13" s="77">
        <f t="shared" si="20"/>
        <v>-1.0940756029924614</v>
      </c>
      <c r="V13" s="77">
        <f t="shared" si="21"/>
        <v>-2.3860006206457562</v>
      </c>
      <c r="W13" s="77">
        <f t="shared" si="22"/>
        <v>0.29999999999574811</v>
      </c>
      <c r="X13" s="79"/>
      <c r="Y13" s="93">
        <f t="shared" si="23"/>
        <v>-14.399999999994861</v>
      </c>
      <c r="Z13" s="96">
        <f t="shared" si="24"/>
        <v>-2.0000000000000759</v>
      </c>
    </row>
    <row r="14" spans="1:28" s="80" customFormat="1" ht="24.95" customHeight="1" x14ac:dyDescent="0.2">
      <c r="A14" s="29">
        <f t="shared" si="0"/>
        <v>6</v>
      </c>
      <c r="B14" s="30">
        <f t="shared" si="1"/>
        <v>43711</v>
      </c>
      <c r="C14" s="77">
        <f t="shared" si="2"/>
        <v>0.83081613462354653</v>
      </c>
      <c r="D14" s="77">
        <f t="shared" si="3"/>
        <v>2.6010247454251179</v>
      </c>
      <c r="E14" s="77">
        <f t="shared" si="4"/>
        <v>1.4000000000038426</v>
      </c>
      <c r="F14" s="78">
        <f t="shared" si="5"/>
        <v>-8.7769517596427704</v>
      </c>
      <c r="G14" s="78">
        <f t="shared" si="6"/>
        <v>0.28569420518564925</v>
      </c>
      <c r="H14" s="78">
        <f t="shared" si="7"/>
        <v>-4.3000000000006366</v>
      </c>
      <c r="I14" s="77">
        <f t="shared" si="8"/>
        <v>0.35175721075120236</v>
      </c>
      <c r="J14" s="77">
        <f t="shared" si="9"/>
        <v>3.8583723222780364</v>
      </c>
      <c r="K14" s="77">
        <f t="shared" si="10"/>
        <v>-0.69999999999481588</v>
      </c>
      <c r="L14" s="78">
        <f t="shared" si="11"/>
        <v>-3.033115571952294</v>
      </c>
      <c r="M14" s="78">
        <f t="shared" si="12"/>
        <v>3.0364312648800684E-2</v>
      </c>
      <c r="N14" s="77">
        <f t="shared" si="13"/>
        <v>-8.7999999999937017</v>
      </c>
      <c r="O14" s="77">
        <f t="shared" si="14"/>
        <v>-0.20967949382111328</v>
      </c>
      <c r="P14" s="77">
        <f t="shared" si="15"/>
        <v>-1.2153208128529158E-2</v>
      </c>
      <c r="Q14" s="77">
        <f t="shared" si="16"/>
        <v>-5.199999999987881</v>
      </c>
      <c r="R14" s="51">
        <f t="shared" si="17"/>
        <v>0.87710783896000066</v>
      </c>
      <c r="S14" s="51">
        <f t="shared" si="18"/>
        <v>-2.1256524826283041</v>
      </c>
      <c r="T14" s="51">
        <f t="shared" si="19"/>
        <v>0.50000000000238742</v>
      </c>
      <c r="U14" s="77">
        <f t="shared" si="20"/>
        <v>8.4956488478837855E-2</v>
      </c>
      <c r="V14" s="77">
        <f t="shared" si="21"/>
        <v>-2.9223238672915208</v>
      </c>
      <c r="W14" s="77">
        <f t="shared" si="22"/>
        <v>0</v>
      </c>
      <c r="X14" s="79"/>
      <c r="Y14" s="93">
        <f t="shared" si="23"/>
        <v>-17.599999999987403</v>
      </c>
      <c r="Z14" s="96">
        <f t="shared" si="24"/>
        <v>-3.1999999999925421</v>
      </c>
    </row>
    <row r="15" spans="1:28" s="80" customFormat="1" ht="24.95" customHeight="1" x14ac:dyDescent="0.2">
      <c r="A15" s="29">
        <f t="shared" si="0"/>
        <v>7</v>
      </c>
      <c r="B15" s="30">
        <f t="shared" si="1"/>
        <v>43712</v>
      </c>
      <c r="C15" s="77">
        <f t="shared" si="2"/>
        <v>-0.33159642626401364</v>
      </c>
      <c r="D15" s="77">
        <f t="shared" si="3"/>
        <v>2.6038519073803279</v>
      </c>
      <c r="E15" s="77">
        <f t="shared" si="4"/>
        <v>1.6000000000104819</v>
      </c>
      <c r="F15" s="78">
        <f t="shared" si="5"/>
        <v>-9.5993176767592558</v>
      </c>
      <c r="G15" s="78">
        <f t="shared" si="6"/>
        <v>0.70929566381039422</v>
      </c>
      <c r="H15" s="78">
        <f t="shared" si="7"/>
        <v>-4.6000000000105956</v>
      </c>
      <c r="I15" s="77">
        <f t="shared" si="8"/>
        <v>-0.16820792424709907</v>
      </c>
      <c r="J15" s="77">
        <f t="shared" si="9"/>
        <v>3.6731058502033065</v>
      </c>
      <c r="K15" s="77">
        <f t="shared" si="10"/>
        <v>-1.1999999999972033</v>
      </c>
      <c r="L15" s="78">
        <f t="shared" si="11"/>
        <v>-2.9724673399869062</v>
      </c>
      <c r="M15" s="78">
        <f t="shared" si="12"/>
        <v>-0.72418089147038844</v>
      </c>
      <c r="N15" s="77">
        <f t="shared" si="13"/>
        <v>-10.599999999996612</v>
      </c>
      <c r="O15" s="77">
        <f t="shared" si="14"/>
        <v>-0.25401766552590743</v>
      </c>
      <c r="P15" s="77">
        <f t="shared" si="15"/>
        <v>-1.1115193814501545</v>
      </c>
      <c r="Q15" s="77">
        <f t="shared" si="16"/>
        <v>-6.5999999999917236</v>
      </c>
      <c r="R15" s="51">
        <f t="shared" si="17"/>
        <v>0.25883718626573682</v>
      </c>
      <c r="S15" s="51">
        <f t="shared" si="18"/>
        <v>-3.6308406226099876</v>
      </c>
      <c r="T15" s="51">
        <f t="shared" si="19"/>
        <v>0.20000000000663931</v>
      </c>
      <c r="U15" s="77">
        <f t="shared" si="20"/>
        <v>-0.35769721066003513</v>
      </c>
      <c r="V15" s="77">
        <f t="shared" si="21"/>
        <v>-4.9114207669234133</v>
      </c>
      <c r="W15" s="77">
        <f t="shared" si="22"/>
        <v>0.29999999999574811</v>
      </c>
      <c r="X15" s="79"/>
      <c r="Y15" s="93">
        <f t="shared" si="23"/>
        <v>-21.199999999993224</v>
      </c>
      <c r="Z15" s="96">
        <f t="shared" si="24"/>
        <v>-3.6000000000058208</v>
      </c>
    </row>
    <row r="16" spans="1:28" ht="24.95" customHeight="1" x14ac:dyDescent="0.2">
      <c r="A16" s="29">
        <f t="shared" si="0"/>
        <v>8</v>
      </c>
      <c r="B16" s="30">
        <f t="shared" si="1"/>
        <v>43713</v>
      </c>
      <c r="C16" s="77">
        <f t="shared" si="2"/>
        <v>0.43081613461026791</v>
      </c>
      <c r="D16" s="77">
        <f t="shared" si="3"/>
        <v>2.9010247454253069</v>
      </c>
      <c r="E16" s="77">
        <f t="shared" si="4"/>
        <v>1.90000000000623</v>
      </c>
      <c r="F16" s="78">
        <f t="shared" si="5"/>
        <v>-9.176951759656049</v>
      </c>
      <c r="G16" s="78">
        <f t="shared" si="6"/>
        <v>1.2856942051855391</v>
      </c>
      <c r="H16" s="78">
        <f t="shared" si="7"/>
        <v>-4.2000000000115278</v>
      </c>
      <c r="I16" s="77">
        <f t="shared" si="8"/>
        <v>0.35175721075120236</v>
      </c>
      <c r="J16" s="77">
        <f t="shared" si="9"/>
        <v>4.2583723222779923</v>
      </c>
      <c r="K16" s="77">
        <f t="shared" si="10"/>
        <v>-0.50000000000238742</v>
      </c>
      <c r="L16" s="78">
        <f t="shared" si="11"/>
        <v>-2.8331155719456547</v>
      </c>
      <c r="M16" s="78">
        <f t="shared" si="12"/>
        <v>-6.9635687351188302E-2</v>
      </c>
      <c r="N16" s="77">
        <f t="shared" si="13"/>
        <v>-10.499999999993292</v>
      </c>
      <c r="O16" s="77">
        <f t="shared" si="14"/>
        <v>-0.30967949382443294</v>
      </c>
      <c r="P16" s="77">
        <f t="shared" si="15"/>
        <v>-0.11215320812851814</v>
      </c>
      <c r="Q16" s="77">
        <f t="shared" si="16"/>
        <v>-6.2999999999959755</v>
      </c>
      <c r="R16" s="51">
        <f t="shared" si="17"/>
        <v>7.7107838961865127E-2</v>
      </c>
      <c r="S16" s="51">
        <f t="shared" si="18"/>
        <v>-2.825652482628449</v>
      </c>
      <c r="T16" s="51">
        <f t="shared" si="19"/>
        <v>0.60000000000570708</v>
      </c>
      <c r="U16" s="77">
        <f t="shared" si="20"/>
        <v>-0.41504351150933871</v>
      </c>
      <c r="V16" s="77">
        <f t="shared" si="21"/>
        <v>-4.1223238672913887</v>
      </c>
      <c r="W16" s="77">
        <f t="shared" si="22"/>
        <v>0.50000000000238742</v>
      </c>
      <c r="X16" s="24"/>
      <c r="Y16" s="93">
        <f t="shared" si="23"/>
        <v>-20.999999999986585</v>
      </c>
      <c r="Z16" s="96">
        <f t="shared" si="24"/>
        <v>0.20000000000663931</v>
      </c>
    </row>
    <row r="17" spans="1:26" ht="24.95" customHeight="1" x14ac:dyDescent="0.2">
      <c r="A17" s="29">
        <f t="shared" si="0"/>
        <v>13</v>
      </c>
      <c r="B17" s="30">
        <f t="shared" si="1"/>
        <v>43718</v>
      </c>
      <c r="C17" s="77">
        <f t="shared" si="2"/>
        <v>-0.14338632038857213</v>
      </c>
      <c r="D17" s="77">
        <f t="shared" si="3"/>
        <v>6.2224948181155426</v>
      </c>
      <c r="E17" s="77">
        <f t="shared" si="4"/>
        <v>2.7000000000043656</v>
      </c>
      <c r="F17" s="78">
        <f t="shared" si="5"/>
        <v>-9.1392200944255819</v>
      </c>
      <c r="G17" s="78">
        <f t="shared" si="6"/>
        <v>4.4547343699967712</v>
      </c>
      <c r="H17" s="78">
        <f t="shared" si="7"/>
        <v>-4.3000000000006366</v>
      </c>
      <c r="I17" s="77">
        <f t="shared" si="8"/>
        <v>-0.28195312003731487</v>
      </c>
      <c r="J17" s="77">
        <f t="shared" si="9"/>
        <v>7.702629632160729</v>
      </c>
      <c r="K17" s="77">
        <f t="shared" si="10"/>
        <v>-1.4999999999929514</v>
      </c>
      <c r="L17" s="78">
        <f t="shared" si="11"/>
        <v>-4.4216817997266844</v>
      </c>
      <c r="M17" s="78">
        <f t="shared" si="12"/>
        <v>1.9101648735788956</v>
      </c>
      <c r="N17" s="77">
        <f t="shared" si="13"/>
        <v>-15.599999999992065</v>
      </c>
      <c r="O17" s="77">
        <f t="shared" si="14"/>
        <v>-0.10240047717502421</v>
      </c>
      <c r="P17" s="77">
        <f t="shared" si="15"/>
        <v>1.1659820115514918</v>
      </c>
      <c r="Q17" s="77">
        <f t="shared" si="16"/>
        <v>-9.7999999999984766</v>
      </c>
      <c r="R17" s="51">
        <f t="shared" si="17"/>
        <v>-0.79212050525256927</v>
      </c>
      <c r="S17" s="51">
        <f t="shared" si="18"/>
        <v>-2.7968813300627282</v>
      </c>
      <c r="T17" s="51">
        <f t="shared" si="19"/>
        <v>0.90000000000145519</v>
      </c>
      <c r="U17" s="77">
        <f t="shared" si="20"/>
        <v>-0.79254689637764386</v>
      </c>
      <c r="V17" s="77">
        <f t="shared" si="21"/>
        <v>-4.4521758121436328</v>
      </c>
      <c r="W17" s="77">
        <f t="shared" si="22"/>
        <v>1.0999999999938836</v>
      </c>
      <c r="X17" s="24"/>
      <c r="Y17" s="93">
        <f t="shared" si="23"/>
        <v>-31.199999999984129</v>
      </c>
      <c r="Z17" s="96">
        <f t="shared" si="24"/>
        <v>-2.0399999999995089</v>
      </c>
    </row>
    <row r="18" spans="1:26" ht="24.95" customHeight="1" x14ac:dyDescent="0.2">
      <c r="A18" s="29">
        <f t="shared" si="0"/>
        <v>15</v>
      </c>
      <c r="B18" s="30">
        <f t="shared" si="1"/>
        <v>43720</v>
      </c>
      <c r="C18" s="77">
        <f t="shared" si="2"/>
        <v>0.73081613462022688</v>
      </c>
      <c r="D18" s="77">
        <f t="shared" si="3"/>
        <v>6.3010247454253765</v>
      </c>
      <c r="E18" s="77">
        <f t="shared" si="4"/>
        <v>2.8000000000076852</v>
      </c>
      <c r="F18" s="78">
        <f t="shared" si="5"/>
        <v>-8.5769517596645528</v>
      </c>
      <c r="G18" s="78">
        <f t="shared" si="6"/>
        <v>4.5856942051858418</v>
      </c>
      <c r="H18" s="78">
        <f t="shared" si="7"/>
        <v>-4.4000000000039563</v>
      </c>
      <c r="I18" s="77">
        <f t="shared" si="8"/>
        <v>0.45175721075452202</v>
      </c>
      <c r="J18" s="77">
        <f t="shared" si="9"/>
        <v>9.3583723222780968</v>
      </c>
      <c r="K18" s="77">
        <f t="shared" si="10"/>
        <v>-3.3999999999991815</v>
      </c>
      <c r="L18" s="78">
        <f t="shared" si="11"/>
        <v>-4.2331155719352864</v>
      </c>
      <c r="M18" s="78">
        <f t="shared" si="12"/>
        <v>1.3303643126487963</v>
      </c>
      <c r="N18" s="77">
        <f t="shared" si="13"/>
        <v>-18.699999999995498</v>
      </c>
      <c r="O18" s="77">
        <f t="shared" si="14"/>
        <v>0.99032050619030088</v>
      </c>
      <c r="P18" s="77">
        <f t="shared" si="15"/>
        <v>0.2878467918714378</v>
      </c>
      <c r="Q18" s="77">
        <f t="shared" si="16"/>
        <v>-12.199999999992883</v>
      </c>
      <c r="R18" s="51">
        <f t="shared" si="17"/>
        <v>-0.22289216104809384</v>
      </c>
      <c r="S18" s="51">
        <f t="shared" si="18"/>
        <v>-3.9256524826285499</v>
      </c>
      <c r="T18" s="51">
        <f t="shared" si="19"/>
        <v>0.90000000000145519</v>
      </c>
      <c r="U18" s="77">
        <f t="shared" si="20"/>
        <v>-0.51504351151265837</v>
      </c>
      <c r="V18" s="77">
        <f t="shared" si="21"/>
        <v>-6.0223238672914015</v>
      </c>
      <c r="W18" s="77">
        <f t="shared" si="22"/>
        <v>1.3999999999896318</v>
      </c>
      <c r="X18" s="24"/>
      <c r="Y18" s="93">
        <f t="shared" si="23"/>
        <v>-37.399999999990996</v>
      </c>
      <c r="Z18" s="96">
        <f t="shared" si="24"/>
        <v>-3.1000000000034333</v>
      </c>
    </row>
    <row r="19" spans="1:26" ht="24.95" customHeight="1" x14ac:dyDescent="0.2">
      <c r="A19" s="29">
        <f t="shared" si="0"/>
        <v>19</v>
      </c>
      <c r="B19" s="30">
        <f t="shared" si="1"/>
        <v>43724</v>
      </c>
      <c r="C19" s="77">
        <f t="shared" si="2"/>
        <v>-0.56918386539450694</v>
      </c>
      <c r="D19" s="77">
        <f t="shared" si="3"/>
        <v>6.6010247454251214</v>
      </c>
      <c r="E19" s="77">
        <f t="shared" si="4"/>
        <v>3.200000000006753</v>
      </c>
      <c r="F19" s="78">
        <f t="shared" si="5"/>
        <v>-9.3769517596626883</v>
      </c>
      <c r="G19" s="78">
        <f t="shared" si="6"/>
        <v>4.7856942051858198</v>
      </c>
      <c r="H19" s="78">
        <f t="shared" si="7"/>
        <v>-4.4000000000039563</v>
      </c>
      <c r="I19" s="77">
        <f t="shared" si="8"/>
        <v>-0.74824278925689214</v>
      </c>
      <c r="J19" s="77">
        <f t="shared" si="9"/>
        <v>10.358372322277987</v>
      </c>
      <c r="K19" s="77">
        <f t="shared" si="10"/>
        <v>-4.0000000000048885</v>
      </c>
      <c r="L19" s="78">
        <f t="shared" si="11"/>
        <v>-5.5331155719500202</v>
      </c>
      <c r="M19" s="78">
        <f t="shared" si="12"/>
        <v>0.63036431264881787</v>
      </c>
      <c r="N19" s="77">
        <f t="shared" si="13"/>
        <v>-22.700000000000387</v>
      </c>
      <c r="O19" s="77">
        <f t="shared" si="14"/>
        <v>0.39032050617038294</v>
      </c>
      <c r="P19" s="77">
        <f t="shared" si="15"/>
        <v>-0.11215320812851814</v>
      </c>
      <c r="Q19" s="77">
        <f t="shared" si="16"/>
        <v>-14.59999999998729</v>
      </c>
      <c r="R19" s="51">
        <f t="shared" si="17"/>
        <v>-1.122892161049549</v>
      </c>
      <c r="S19" s="51">
        <f t="shared" si="18"/>
        <v>-5.6256524826285847</v>
      </c>
      <c r="T19" s="51">
        <f t="shared" si="19"/>
        <v>0.79999999999813554</v>
      </c>
      <c r="U19" s="77">
        <f t="shared" si="20"/>
        <v>-1.3150435115107939</v>
      </c>
      <c r="V19" s="77">
        <f t="shared" si="21"/>
        <v>-8.0223238672916253</v>
      </c>
      <c r="W19" s="77">
        <f t="shared" si="22"/>
        <v>1.5999999999962711</v>
      </c>
      <c r="X19" s="24"/>
      <c r="Y19" s="93">
        <f t="shared" si="23"/>
        <v>-45.400000000000773</v>
      </c>
      <c r="Z19" s="96">
        <f t="shared" si="24"/>
        <v>-2.0000000000024443</v>
      </c>
    </row>
    <row r="20" spans="1:26" ht="24.95" customHeight="1" x14ac:dyDescent="0.2">
      <c r="A20" s="29">
        <f t="shared" si="0"/>
        <v>22</v>
      </c>
      <c r="B20" s="30">
        <f t="shared" si="1"/>
        <v>43727</v>
      </c>
      <c r="C20" s="77">
        <f t="shared" si="2"/>
        <v>-0.46918386539118728</v>
      </c>
      <c r="D20" s="77">
        <f t="shared" si="3"/>
        <v>6.6010247454251214</v>
      </c>
      <c r="E20" s="77">
        <f t="shared" si="4"/>
        <v>3.5000000000025011</v>
      </c>
      <c r="F20" s="78">
        <f t="shared" si="5"/>
        <v>-9.4769517596375863</v>
      </c>
      <c r="G20" s="78">
        <f t="shared" si="6"/>
        <v>4.9856942051857978</v>
      </c>
      <c r="H20" s="78">
        <f t="shared" si="7"/>
        <v>-4.3000000000006366</v>
      </c>
      <c r="I20" s="77">
        <f t="shared" si="8"/>
        <v>-0.54824278925025283</v>
      </c>
      <c r="J20" s="77">
        <f t="shared" si="9"/>
        <v>10.658372322278176</v>
      </c>
      <c r="K20" s="77">
        <f t="shared" si="10"/>
        <v>-4.5999999999963848</v>
      </c>
      <c r="L20" s="78">
        <f t="shared" si="11"/>
        <v>-6.1331155719415165</v>
      </c>
      <c r="M20" s="78">
        <f t="shared" si="12"/>
        <v>0.33036431264882316</v>
      </c>
      <c r="N20" s="77">
        <f t="shared" si="13"/>
        <v>-25.599999999997181</v>
      </c>
      <c r="O20" s="77">
        <f t="shared" si="14"/>
        <v>0.89032050618698122</v>
      </c>
      <c r="P20" s="77">
        <f t="shared" si="15"/>
        <v>-0.81215320812844105</v>
      </c>
      <c r="Q20" s="77">
        <f t="shared" si="16"/>
        <v>-16.700000000000159</v>
      </c>
      <c r="R20" s="51">
        <f t="shared" si="17"/>
        <v>-0.92289216104290972</v>
      </c>
      <c r="S20" s="51">
        <f t="shared" si="18"/>
        <v>-6.9256524826282195</v>
      </c>
      <c r="T20" s="51">
        <f t="shared" si="19"/>
        <v>0.90000000000145519</v>
      </c>
      <c r="U20" s="77">
        <f t="shared" si="20"/>
        <v>-1.0150435115008349</v>
      </c>
      <c r="V20" s="77">
        <f t="shared" si="21"/>
        <v>-9.3223238672917041</v>
      </c>
      <c r="W20" s="77">
        <f t="shared" si="22"/>
        <v>2.0999999999986585</v>
      </c>
      <c r="X20" s="24"/>
      <c r="Y20" s="93">
        <f t="shared" si="23"/>
        <v>-51.199999999994361</v>
      </c>
      <c r="Z20" s="96">
        <f t="shared" si="24"/>
        <v>-1.9333333333311959</v>
      </c>
    </row>
    <row r="21" spans="1:26" ht="24.95" customHeight="1" x14ac:dyDescent="0.2">
      <c r="A21" s="29">
        <f t="shared" si="0"/>
        <v>26</v>
      </c>
      <c r="B21" s="30">
        <f t="shared" si="1"/>
        <v>43731</v>
      </c>
      <c r="C21" s="77">
        <f t="shared" si="2"/>
        <v>0.63081613461690722</v>
      </c>
      <c r="D21" s="77">
        <f t="shared" si="3"/>
        <v>4.3010247454251527</v>
      </c>
      <c r="E21" s="77">
        <f t="shared" si="4"/>
        <v>3.7000000000091404</v>
      </c>
      <c r="F21" s="78">
        <f t="shared" si="5"/>
        <v>-7.9769517596446349</v>
      </c>
      <c r="G21" s="78">
        <f t="shared" si="6"/>
        <v>2.785694205185596</v>
      </c>
      <c r="H21" s="78">
        <f t="shared" si="7"/>
        <v>-4.3000000000006366</v>
      </c>
      <c r="I21" s="77">
        <f t="shared" si="8"/>
        <v>0.85175721073937893</v>
      </c>
      <c r="J21" s="77">
        <f t="shared" si="9"/>
        <v>8.8583723222779298</v>
      </c>
      <c r="K21" s="77">
        <f t="shared" si="10"/>
        <v>-4.8999999999921329</v>
      </c>
      <c r="L21" s="78">
        <f t="shared" si="11"/>
        <v>-4.9331155719301023</v>
      </c>
      <c r="M21" s="78">
        <f t="shared" si="12"/>
        <v>-1.8696356873511843</v>
      </c>
      <c r="N21" s="77">
        <f t="shared" si="13"/>
        <v>-28.199999999998226</v>
      </c>
      <c r="O21" s="77">
        <f t="shared" si="14"/>
        <v>2.4903205061832523</v>
      </c>
      <c r="P21" s="77">
        <f t="shared" si="15"/>
        <v>-2.9121532081284318</v>
      </c>
      <c r="Q21" s="77">
        <f t="shared" si="16"/>
        <v>-18.599999999992178</v>
      </c>
      <c r="R21" s="51">
        <f t="shared" si="17"/>
        <v>0.37710783894340238</v>
      </c>
      <c r="S21" s="51">
        <f t="shared" si="18"/>
        <v>-9.6256524826285883</v>
      </c>
      <c r="T21" s="51">
        <f t="shared" si="19"/>
        <v>1.0000000000047748</v>
      </c>
      <c r="U21" s="77">
        <f t="shared" si="20"/>
        <v>0.68495648849875579</v>
      </c>
      <c r="V21" s="77">
        <f t="shared" si="21"/>
        <v>-12.022323867291629</v>
      </c>
      <c r="W21" s="77">
        <f t="shared" si="22"/>
        <v>1.9999999999953388</v>
      </c>
      <c r="Y21" s="93">
        <f t="shared" si="23"/>
        <v>-56.399999999996453</v>
      </c>
      <c r="Z21" s="96">
        <f t="shared" si="24"/>
        <v>-1.300000000000523</v>
      </c>
    </row>
    <row r="22" spans="1:26" ht="24.95" customHeight="1" x14ac:dyDescent="0.2">
      <c r="A22" s="29">
        <f t="shared" si="0"/>
        <v>29</v>
      </c>
      <c r="B22" s="30">
        <f t="shared" si="1"/>
        <v>43734</v>
      </c>
      <c r="C22" s="77">
        <f t="shared" si="2"/>
        <v>-0.66918386539782659</v>
      </c>
      <c r="D22" s="77">
        <f t="shared" si="3"/>
        <v>4.4010247454253637</v>
      </c>
      <c r="E22" s="77">
        <f t="shared" si="4"/>
        <v>3.7000000000091404</v>
      </c>
      <c r="F22" s="78">
        <f t="shared" si="5"/>
        <v>-9.3769517596626883</v>
      </c>
      <c r="G22" s="78">
        <f t="shared" si="6"/>
        <v>2.885694205185807</v>
      </c>
      <c r="H22" s="78">
        <f t="shared" si="7"/>
        <v>-4.4000000000039563</v>
      </c>
      <c r="I22" s="77">
        <f t="shared" si="8"/>
        <v>-0.64824278925357248</v>
      </c>
      <c r="J22" s="77">
        <f t="shared" si="9"/>
        <v>8.9583723222781408</v>
      </c>
      <c r="K22" s="77">
        <f t="shared" si="10"/>
        <v>-5.3999999999945203</v>
      </c>
      <c r="L22" s="78">
        <f t="shared" si="11"/>
        <v>-6.5331155719547951</v>
      </c>
      <c r="M22" s="78">
        <f t="shared" si="12"/>
        <v>-1.9696356873512011</v>
      </c>
      <c r="N22" s="77">
        <f t="shared" si="13"/>
        <v>-29.600000000002069</v>
      </c>
      <c r="O22" s="77">
        <f t="shared" si="14"/>
        <v>0.99032050619030088</v>
      </c>
      <c r="P22" s="77">
        <f t="shared" si="15"/>
        <v>-3.1121532081284098</v>
      </c>
      <c r="Q22" s="77">
        <f t="shared" si="16"/>
        <v>-19.799999999989382</v>
      </c>
      <c r="R22" s="51">
        <f t="shared" si="17"/>
        <v>-0.52289216105805281</v>
      </c>
      <c r="S22" s="51">
        <f t="shared" si="18"/>
        <v>-10.025652482628544</v>
      </c>
      <c r="T22" s="51">
        <f t="shared" si="19"/>
        <v>1.0000000000047748</v>
      </c>
      <c r="U22" s="77">
        <f t="shared" si="20"/>
        <v>-0.2150435115026994</v>
      </c>
      <c r="V22" s="77">
        <f t="shared" si="21"/>
        <v>-12.522323867291352</v>
      </c>
      <c r="W22" s="77">
        <f t="shared" si="22"/>
        <v>2.0999999999986585</v>
      </c>
      <c r="Y22" s="93">
        <f t="shared" si="23"/>
        <v>-59.200000000004138</v>
      </c>
      <c r="Z22" s="96">
        <f t="shared" si="24"/>
        <v>-0.93333333333589508</v>
      </c>
    </row>
    <row r="23" spans="1:26" ht="24.95" customHeight="1" x14ac:dyDescent="0.2">
      <c r="A23" s="29">
        <f t="shared" si="0"/>
        <v>33</v>
      </c>
      <c r="B23" s="30">
        <f t="shared" si="1"/>
        <v>43738</v>
      </c>
      <c r="C23" s="77">
        <f t="shared" si="2"/>
        <v>-6.918386537790866E-2</v>
      </c>
      <c r="D23" s="77">
        <f t="shared" si="3"/>
        <v>4.4010247454253637</v>
      </c>
      <c r="E23" s="77">
        <f t="shared" si="4"/>
        <v>3.6000000000058208</v>
      </c>
      <c r="F23" s="78">
        <f t="shared" si="5"/>
        <v>-8.3769517596579135</v>
      </c>
      <c r="G23" s="78">
        <f t="shared" si="6"/>
        <v>2.685694205185829</v>
      </c>
      <c r="H23" s="78">
        <f t="shared" si="7"/>
        <v>-4.6000000000105956</v>
      </c>
      <c r="I23" s="77">
        <f t="shared" si="8"/>
        <v>-0.34824278927203522</v>
      </c>
      <c r="J23" s="77">
        <f t="shared" si="9"/>
        <v>9.0583723222779078</v>
      </c>
      <c r="K23" s="77">
        <f t="shared" si="10"/>
        <v>-5.7999999999935881</v>
      </c>
      <c r="L23" s="78">
        <f t="shared" si="11"/>
        <v>-6.2331155719448361</v>
      </c>
      <c r="M23" s="78">
        <f t="shared" si="12"/>
        <v>-2.1696356873511791</v>
      </c>
      <c r="N23" s="77">
        <f t="shared" si="13"/>
        <v>-30.900000000002592</v>
      </c>
      <c r="O23" s="77">
        <f t="shared" si="14"/>
        <v>1.7903205061884364</v>
      </c>
      <c r="P23" s="77">
        <f t="shared" si="15"/>
        <v>-3.0121532081284208</v>
      </c>
      <c r="Q23" s="77">
        <f t="shared" si="16"/>
        <v>-20.699999999990837</v>
      </c>
      <c r="R23" s="51">
        <f t="shared" si="17"/>
        <v>-0.12289216104477418</v>
      </c>
      <c r="S23" s="51">
        <f t="shared" si="18"/>
        <v>-10.325652482628289</v>
      </c>
      <c r="T23" s="51">
        <f t="shared" si="19"/>
        <v>0.90000000000145519</v>
      </c>
      <c r="U23" s="77">
        <f t="shared" si="20"/>
        <v>8.4956488478837855E-2</v>
      </c>
      <c r="V23" s="77">
        <f t="shared" si="21"/>
        <v>-12.922323867291752</v>
      </c>
      <c r="W23" s="77">
        <f t="shared" si="22"/>
        <v>1.9999999999953388</v>
      </c>
      <c r="Y23" s="93">
        <f t="shared" si="23"/>
        <v>-61.800000000005184</v>
      </c>
      <c r="Z23" s="96">
        <f t="shared" si="24"/>
        <v>-0.65000000000026148</v>
      </c>
    </row>
    <row r="24" spans="1:26" ht="24.95" customHeight="1" x14ac:dyDescent="0.2">
      <c r="A24" s="29">
        <f t="shared" si="0"/>
        <v>36</v>
      </c>
      <c r="B24" s="30">
        <f t="shared" si="1"/>
        <v>43741</v>
      </c>
      <c r="C24" s="77">
        <f t="shared" si="2"/>
        <v>-0.46918386539118728</v>
      </c>
      <c r="D24" s="77">
        <f t="shared" si="3"/>
        <v>4.0010247454254078</v>
      </c>
      <c r="E24" s="77">
        <f t="shared" si="4"/>
        <v>3.7000000000091404</v>
      </c>
      <c r="F24" s="78">
        <f t="shared" si="5"/>
        <v>-8.5769517596645528</v>
      </c>
      <c r="G24" s="78">
        <f t="shared" si="6"/>
        <v>2.2856942051858731</v>
      </c>
      <c r="H24" s="78">
        <f t="shared" si="7"/>
        <v>-4.6999999999997044</v>
      </c>
      <c r="I24" s="77">
        <f t="shared" si="8"/>
        <v>-0.34824278927203522</v>
      </c>
      <c r="J24" s="77">
        <f t="shared" si="9"/>
        <v>8.6583723222779518</v>
      </c>
      <c r="K24" s="77">
        <f t="shared" si="10"/>
        <v>-6.1999999999926558</v>
      </c>
      <c r="L24" s="78">
        <f t="shared" si="11"/>
        <v>-6.2331155719448361</v>
      </c>
      <c r="M24" s="78">
        <f t="shared" si="12"/>
        <v>-2.5696356873511905</v>
      </c>
      <c r="N24" s="77">
        <f t="shared" si="13"/>
        <v>-31.700000000000728</v>
      </c>
      <c r="O24" s="77">
        <f t="shared" si="14"/>
        <v>1.9903205061950757</v>
      </c>
      <c r="P24" s="77">
        <f t="shared" si="15"/>
        <v>-3.8121532081285547</v>
      </c>
      <c r="Q24" s="77">
        <f t="shared" si="16"/>
        <v>-21.299999999996544</v>
      </c>
      <c r="R24" s="51">
        <f t="shared" si="17"/>
        <v>0.17710783893676307</v>
      </c>
      <c r="S24" s="51">
        <f t="shared" si="18"/>
        <v>-11.325652482628623</v>
      </c>
      <c r="T24" s="51">
        <f t="shared" si="19"/>
        <v>0.79999999999813554</v>
      </c>
      <c r="U24" s="77">
        <f t="shared" si="20"/>
        <v>0.48495648849211648</v>
      </c>
      <c r="V24" s="77">
        <f t="shared" si="21"/>
        <v>-13.922323867291642</v>
      </c>
      <c r="W24" s="77">
        <f t="shared" si="22"/>
        <v>1.9999999999953388</v>
      </c>
      <c r="Y24" s="93">
        <f t="shared" si="23"/>
        <v>-63.400000000001455</v>
      </c>
      <c r="Z24" s="96">
        <f t="shared" si="24"/>
        <v>-0.53333333333209032</v>
      </c>
    </row>
    <row r="25" spans="1:26" ht="24.95" customHeight="1" x14ac:dyDescent="0.2">
      <c r="A25" s="29">
        <f t="shared" si="0"/>
        <v>41</v>
      </c>
      <c r="B25" s="30">
        <f t="shared" si="1"/>
        <v>43746</v>
      </c>
      <c r="C25" s="77">
        <f t="shared" si="2"/>
        <v>2.5461345330768381E-2</v>
      </c>
      <c r="D25" s="77">
        <f t="shared" si="3"/>
        <v>5.0323306346644614</v>
      </c>
      <c r="E25" s="77">
        <f t="shared" si="4"/>
        <v>4.0499999999923375</v>
      </c>
      <c r="F25" s="78">
        <f t="shared" si="5"/>
        <v>-9.2783554812285729</v>
      </c>
      <c r="G25" s="78">
        <f t="shared" si="6"/>
        <v>3.7278100152864369</v>
      </c>
      <c r="H25" s="78">
        <f t="shared" si="7"/>
        <v>-4.116666666689639</v>
      </c>
      <c r="I25" s="77">
        <f t="shared" si="8"/>
        <v>-0.48065506379657563</v>
      </c>
      <c r="J25" s="77">
        <f t="shared" si="9"/>
        <v>10.258117244994924</v>
      </c>
      <c r="K25" s="77">
        <f t="shared" si="10"/>
        <v>-5.533333333318069</v>
      </c>
      <c r="L25" s="78">
        <f t="shared" si="11"/>
        <v>-7.2738787460764343</v>
      </c>
      <c r="M25" s="78">
        <f t="shared" si="12"/>
        <v>-0.96472156622132155</v>
      </c>
      <c r="N25" s="77">
        <f t="shared" si="13"/>
        <v>-33.10000000000457</v>
      </c>
      <c r="O25" s="77">
        <f t="shared" si="14"/>
        <v>1.1211864599545152</v>
      </c>
      <c r="P25" s="77">
        <f t="shared" si="15"/>
        <v>-1.8126551276615999</v>
      </c>
      <c r="Q25" s="77">
        <f t="shared" si="16"/>
        <v>-22.649999999998727</v>
      </c>
      <c r="R25" s="51">
        <f t="shared" si="17"/>
        <v>-0.94196777308752644</v>
      </c>
      <c r="S25" s="51">
        <f t="shared" si="18"/>
        <v>-9.9285041808467867</v>
      </c>
      <c r="T25" s="51">
        <f t="shared" si="19"/>
        <v>1.0999999999938836</v>
      </c>
      <c r="U25" s="77">
        <f t="shared" si="20"/>
        <v>-0.728160713208581</v>
      </c>
      <c r="V25" s="77">
        <f t="shared" si="21"/>
        <v>-12.476947734478383</v>
      </c>
      <c r="W25" s="77">
        <f t="shared" si="22"/>
        <v>2.4499999999960664</v>
      </c>
      <c r="Y25" s="93">
        <f t="shared" ref="Y25" si="25">2*N25</f>
        <v>-66.20000000000914</v>
      </c>
      <c r="Z25" s="96">
        <f t="shared" si="24"/>
        <v>-0.56000000000153705</v>
      </c>
    </row>
    <row r="26" spans="1:26" ht="24.95" customHeight="1" x14ac:dyDescent="0.2">
      <c r="A26" s="29">
        <f t="shared" si="0"/>
        <v>43</v>
      </c>
      <c r="B26" s="30">
        <f t="shared" si="1"/>
        <v>43748</v>
      </c>
      <c r="C26" s="77">
        <f t="shared" si="2"/>
        <v>-0.51483801709650834</v>
      </c>
      <c r="D26" s="77">
        <f t="shared" si="3"/>
        <v>6.5457955634267151</v>
      </c>
      <c r="E26" s="77">
        <f t="shared" si="4"/>
        <v>5.450000000010391</v>
      </c>
      <c r="F26" s="78">
        <f t="shared" si="5"/>
        <v>-9.5599101909442652</v>
      </c>
      <c r="G26" s="78">
        <f t="shared" si="6"/>
        <v>5.1596517382637153</v>
      </c>
      <c r="H26" s="78">
        <f t="shared" si="7"/>
        <v>-2.7666666666590345</v>
      </c>
      <c r="I26" s="77">
        <f t="shared" si="8"/>
        <v>-1.3018482049460545</v>
      </c>
      <c r="J26" s="77">
        <f t="shared" si="9"/>
        <v>11.861266330843279</v>
      </c>
      <c r="K26" s="77">
        <f t="shared" si="10"/>
        <v>-4.3000000000006366</v>
      </c>
      <c r="L26" s="78">
        <f t="shared" si="11"/>
        <v>-7.9834522708210898</v>
      </c>
      <c r="M26" s="78">
        <f t="shared" si="12"/>
        <v>8.3613014680933295E-2</v>
      </c>
      <c r="N26" s="77">
        <f t="shared" si="13"/>
        <v>-32.699999999991292</v>
      </c>
      <c r="O26" s="77">
        <f t="shared" si="14"/>
        <v>0.36230358500688453</v>
      </c>
      <c r="P26" s="77">
        <f t="shared" si="15"/>
        <v>-0.65858658363837641</v>
      </c>
      <c r="Q26" s="77">
        <f t="shared" si="16"/>
        <v>-22.04999999999302</v>
      </c>
      <c r="R26" s="51">
        <f t="shared" si="17"/>
        <v>-1.3312893791521674</v>
      </c>
      <c r="S26" s="51">
        <f t="shared" si="18"/>
        <v>-8.6204796385493943</v>
      </c>
      <c r="T26" s="51">
        <f t="shared" si="19"/>
        <v>2.6000000000152568</v>
      </c>
      <c r="U26" s="77">
        <f t="shared" si="20"/>
        <v>-0.88183231957827957</v>
      </c>
      <c r="V26" s="77">
        <f t="shared" si="21"/>
        <v>-11.003857092215519</v>
      </c>
      <c r="W26" s="77">
        <f t="shared" si="22"/>
        <v>3.6000000000058208</v>
      </c>
      <c r="Y26" s="93">
        <f t="shared" ref="Y26:Y27" si="26">2*N26</f>
        <v>-65.399999999982583</v>
      </c>
      <c r="Z26" s="96">
        <f t="shared" si="24"/>
        <v>0.40000000001327862</v>
      </c>
    </row>
    <row r="27" spans="1:26" ht="24.95" customHeight="1" x14ac:dyDescent="0.2">
      <c r="A27" s="29">
        <f t="shared" si="0"/>
        <v>51</v>
      </c>
      <c r="B27" s="30">
        <f t="shared" si="1"/>
        <v>43756</v>
      </c>
      <c r="C27" s="77">
        <f t="shared" si="2"/>
        <v>-2.0034816513430087</v>
      </c>
      <c r="D27" s="77">
        <f t="shared" si="3"/>
        <v>8.5548852815207077</v>
      </c>
      <c r="E27" s="77">
        <f t="shared" si="4"/>
        <v>4.4000000000039563</v>
      </c>
      <c r="F27" s="78">
        <f t="shared" si="5"/>
        <v>-10.763594067441318</v>
      </c>
      <c r="G27" s="78">
        <f t="shared" si="6"/>
        <v>7.2280732695757521</v>
      </c>
      <c r="H27" s="78">
        <f t="shared" si="7"/>
        <v>-4.4000000000039563</v>
      </c>
      <c r="I27" s="77">
        <f t="shared" si="8"/>
        <v>-2.6666743070506982</v>
      </c>
      <c r="J27" s="77">
        <f t="shared" si="9"/>
        <v>13.762588674272269</v>
      </c>
      <c r="K27" s="77">
        <f t="shared" si="10"/>
        <v>-7.0000000000050022</v>
      </c>
      <c r="L27" s="78">
        <f t="shared" si="11"/>
        <v>-10.040266063725767</v>
      </c>
      <c r="M27" s="78">
        <f t="shared" si="12"/>
        <v>0.94501691623363748</v>
      </c>
      <c r="N27" s="77">
        <f t="shared" si="13"/>
        <v>-38.699999999991519</v>
      </c>
      <c r="O27" s="77">
        <f t="shared" si="14"/>
        <v>-0.90629209219628137</v>
      </c>
      <c r="P27" s="77">
        <f t="shared" si="15"/>
        <v>-0.4226520301398029</v>
      </c>
      <c r="Q27" s="77">
        <f t="shared" si="16"/>
        <v>-26.899999999997704</v>
      </c>
      <c r="R27" s="51">
        <f t="shared" si="17"/>
        <v>-3.0351611403318657</v>
      </c>
      <c r="S27" s="51">
        <f t="shared" si="18"/>
        <v>-9.5805948725002921</v>
      </c>
      <c r="T27" s="51">
        <f t="shared" si="19"/>
        <v>1.1000000000080945</v>
      </c>
      <c r="U27" s="77">
        <f t="shared" si="20"/>
        <v>-2.6612994793424605</v>
      </c>
      <c r="V27" s="77">
        <f t="shared" si="21"/>
        <v>-12.275075781675859</v>
      </c>
      <c r="W27" s="77">
        <f t="shared" si="22"/>
        <v>2.7999999999934744</v>
      </c>
      <c r="Y27" s="93">
        <f t="shared" si="26"/>
        <v>-77.399999999983038</v>
      </c>
      <c r="Z27" s="96">
        <f t="shared" si="24"/>
        <v>-1.5000000000000568</v>
      </c>
    </row>
    <row r="28" spans="1:26" ht="24.95" customHeight="1" x14ac:dyDescent="0.2">
      <c r="A28" s="29">
        <f t="shared" si="0"/>
        <v>55</v>
      </c>
      <c r="B28" s="30">
        <f t="shared" si="1"/>
        <v>43760</v>
      </c>
      <c r="C28" s="77">
        <f t="shared" si="2"/>
        <v>-0.98869028229842115</v>
      </c>
      <c r="D28" s="77">
        <f t="shared" si="3"/>
        <v>8.0350787915044464</v>
      </c>
      <c r="E28" s="77">
        <f t="shared" si="4"/>
        <v>4.6000000000105956</v>
      </c>
      <c r="F28" s="78">
        <f t="shared" si="5"/>
        <v>-9.8394320587829043</v>
      </c>
      <c r="G28" s="78">
        <f t="shared" si="6"/>
        <v>6.666001762955176</v>
      </c>
      <c r="H28" s="78">
        <f t="shared" si="7"/>
        <v>-4.0000000000048885</v>
      </c>
      <c r="I28" s="77">
        <f t="shared" si="8"/>
        <v>-1.6457843422585938</v>
      </c>
      <c r="J28" s="77">
        <f t="shared" si="9"/>
        <v>13.466305837406267</v>
      </c>
      <c r="K28" s="77">
        <f t="shared" si="10"/>
        <v>-6.7999999999983629</v>
      </c>
      <c r="L28" s="78">
        <f t="shared" si="11"/>
        <v>-9.6899468332196648</v>
      </c>
      <c r="M28" s="78">
        <f t="shared" si="12"/>
        <v>0.66703048538827026</v>
      </c>
      <c r="N28" s="77">
        <f t="shared" si="13"/>
        <v>-40.39999999999111</v>
      </c>
      <c r="O28" s="77">
        <f t="shared" si="14"/>
        <v>-0.32635041597472991</v>
      </c>
      <c r="P28" s="77">
        <f t="shared" si="15"/>
        <v>-0.48321382557214854</v>
      </c>
      <c r="Q28" s="77">
        <f t="shared" si="16"/>
        <v>-28.199999999998226</v>
      </c>
      <c r="R28" s="51">
        <f t="shared" si="17"/>
        <v>-1.5672238763784208</v>
      </c>
      <c r="S28" s="51">
        <f t="shared" si="18"/>
        <v>-9.8890751610554162</v>
      </c>
      <c r="T28" s="51">
        <f t="shared" si="19"/>
        <v>1.5000000000071623</v>
      </c>
      <c r="U28" s="77">
        <f t="shared" si="20"/>
        <v>-1.3262566065463943</v>
      </c>
      <c r="V28" s="77">
        <f t="shared" si="21"/>
        <v>-12.53519224685018</v>
      </c>
      <c r="W28" s="77">
        <f t="shared" si="22"/>
        <v>2.899999999996794</v>
      </c>
      <c r="Y28" s="93">
        <f t="shared" ref="Y28:Y29" si="27">2*N28</f>
        <v>-80.799999999982219</v>
      </c>
      <c r="Z28" s="96">
        <f t="shared" si="24"/>
        <v>-0.84999999999979536</v>
      </c>
    </row>
    <row r="29" spans="1:26" ht="24.95" customHeight="1" x14ac:dyDescent="0.2">
      <c r="A29" s="29">
        <f t="shared" si="0"/>
        <v>57</v>
      </c>
      <c r="B29" s="30">
        <f t="shared" si="1"/>
        <v>43762</v>
      </c>
      <c r="C29" s="77">
        <f t="shared" si="2"/>
        <v>0.52675802274393391</v>
      </c>
      <c r="D29" s="77">
        <f t="shared" si="3"/>
        <v>4.548903930039927</v>
      </c>
      <c r="E29" s="77">
        <f t="shared" si="4"/>
        <v>4.3000000000006366</v>
      </c>
      <c r="F29" s="78">
        <f t="shared" si="5"/>
        <v>-8.6320376582023073</v>
      </c>
      <c r="G29" s="78">
        <f t="shared" si="6"/>
        <v>3.3671838593281045</v>
      </c>
      <c r="H29" s="78">
        <f t="shared" si="7"/>
        <v>-4.4000000000039563</v>
      </c>
      <c r="I29" s="77">
        <f t="shared" si="8"/>
        <v>-0.29329794415389188</v>
      </c>
      <c r="J29" s="77">
        <f t="shared" si="9"/>
        <v>10.566171353384224</v>
      </c>
      <c r="K29" s="77">
        <f t="shared" si="10"/>
        <v>-6.5999999999917236</v>
      </c>
      <c r="L29" s="78">
        <f t="shared" si="11"/>
        <v>-8.4581573183015735</v>
      </c>
      <c r="M29" s="78">
        <f t="shared" si="12"/>
        <v>-1.7376927213938742</v>
      </c>
      <c r="N29" s="77">
        <f t="shared" si="13"/>
        <v>-40.199999999998681</v>
      </c>
      <c r="O29" s="77">
        <f t="shared" si="14"/>
        <v>1.4370168533446304</v>
      </c>
      <c r="P29" s="77">
        <f t="shared" si="15"/>
        <v>-3.0813930079711671</v>
      </c>
      <c r="Q29" s="77">
        <f t="shared" si="16"/>
        <v>-28.499999999993975</v>
      </c>
      <c r="R29" s="51">
        <f t="shared" si="17"/>
        <v>-0.46832864711632283</v>
      </c>
      <c r="S29" s="51">
        <f t="shared" si="18"/>
        <v>-12.245434495251395</v>
      </c>
      <c r="T29" s="51">
        <f t="shared" si="19"/>
        <v>1.1999999999972033</v>
      </c>
      <c r="U29" s="77">
        <f t="shared" si="20"/>
        <v>0.31031507128886915</v>
      </c>
      <c r="V29" s="77">
        <f t="shared" si="21"/>
        <v>-14.861484114527812</v>
      </c>
      <c r="W29" s="77">
        <f t="shared" si="22"/>
        <v>2.4999999999977263</v>
      </c>
      <c r="Y29" s="93">
        <f t="shared" si="27"/>
        <v>-80.399999999997362</v>
      </c>
      <c r="Z29" s="96">
        <f t="shared" si="24"/>
        <v>0.19999999999242846</v>
      </c>
    </row>
    <row r="30" spans="1:26" ht="24.95" customHeight="1" x14ac:dyDescent="0.2">
      <c r="A30" s="29">
        <f t="shared" si="0"/>
        <v>61</v>
      </c>
      <c r="B30" s="30">
        <f t="shared" si="1"/>
        <v>43766</v>
      </c>
      <c r="C30" s="77">
        <f t="shared" si="2"/>
        <v>0.46009758239051735</v>
      </c>
      <c r="D30" s="77">
        <f t="shared" si="3"/>
        <v>3.7454387061748307</v>
      </c>
      <c r="E30" s="77">
        <f t="shared" si="4"/>
        <v>4.8000000000030241</v>
      </c>
      <c r="F30" s="78">
        <f t="shared" si="5"/>
        <v>-8.6625316706090416</v>
      </c>
      <c r="G30" s="78">
        <f t="shared" si="6"/>
        <v>2.249565882164184</v>
      </c>
      <c r="H30" s="78">
        <f t="shared" si="7"/>
        <v>-3.7000000000091404</v>
      </c>
      <c r="I30" s="77">
        <f t="shared" si="8"/>
        <v>-0.36605708572778894</v>
      </c>
      <c r="J30" s="77">
        <f t="shared" si="9"/>
        <v>9.539182427170001</v>
      </c>
      <c r="K30" s="77">
        <f t="shared" si="10"/>
        <v>-6.5000000000026148</v>
      </c>
      <c r="L30" s="78">
        <f t="shared" si="11"/>
        <v>-7.908709654515178</v>
      </c>
      <c r="M30" s="78">
        <f t="shared" si="12"/>
        <v>-2.9158724939844785</v>
      </c>
      <c r="N30" s="77">
        <f t="shared" si="13"/>
        <v>-41.299999999992565</v>
      </c>
      <c r="O30" s="77">
        <f t="shared" si="14"/>
        <v>1.5877812523115153</v>
      </c>
      <c r="P30" s="77">
        <f t="shared" si="15"/>
        <v>-4.1144808393271948</v>
      </c>
      <c r="Q30" s="77">
        <f t="shared" si="16"/>
        <v>-29.19999999998879</v>
      </c>
      <c r="R30" s="51">
        <f t="shared" si="17"/>
        <v>-0.43868741701658109</v>
      </c>
      <c r="S30" s="51">
        <f t="shared" si="18"/>
        <v>-14.438405482227079</v>
      </c>
      <c r="T30" s="51">
        <f t="shared" si="19"/>
        <v>1.6999999999995907</v>
      </c>
      <c r="U30" s="77">
        <f t="shared" si="20"/>
        <v>0.45498067768789952</v>
      </c>
      <c r="V30" s="77">
        <f t="shared" si="21"/>
        <v>-16.118095177033442</v>
      </c>
      <c r="W30" s="77">
        <f t="shared" si="22"/>
        <v>3.0000000000001137</v>
      </c>
      <c r="Y30" s="93">
        <f t="shared" ref="Y30:Y31" si="28">2*N30</f>
        <v>-82.59999999998513</v>
      </c>
      <c r="Z30" s="96">
        <f t="shared" si="24"/>
        <v>-0.54999999999694182</v>
      </c>
    </row>
    <row r="31" spans="1:26" ht="24.95" customHeight="1" x14ac:dyDescent="0.2">
      <c r="A31" s="29">
        <f t="shared" si="0"/>
        <v>64</v>
      </c>
      <c r="B31" s="30">
        <f t="shared" si="1"/>
        <v>43769</v>
      </c>
      <c r="C31" s="77">
        <f t="shared" si="2"/>
        <v>0.72588645605264901</v>
      </c>
      <c r="D31" s="77">
        <f t="shared" si="3"/>
        <v>3.6487105882847537</v>
      </c>
      <c r="E31" s="77">
        <f t="shared" si="4"/>
        <v>4.500000000007276</v>
      </c>
      <c r="F31" s="78">
        <f t="shared" si="5"/>
        <v>-8.2516508064713889</v>
      </c>
      <c r="G31" s="78">
        <f t="shared" si="6"/>
        <v>2.5515209235709158</v>
      </c>
      <c r="H31" s="78">
        <f t="shared" si="7"/>
        <v>-4.0000000000048885</v>
      </c>
      <c r="I31" s="77">
        <f t="shared" si="8"/>
        <v>-0.13643473843671927</v>
      </c>
      <c r="J31" s="77">
        <f t="shared" si="9"/>
        <v>9.7566072735948417</v>
      </c>
      <c r="K31" s="77">
        <f t="shared" si="10"/>
        <v>-7.099999999994111</v>
      </c>
      <c r="L31" s="78">
        <f t="shared" si="11"/>
        <v>-8.0054377161218326</v>
      </c>
      <c r="M31" s="78">
        <f t="shared" si="12"/>
        <v>-3.1816612129769437</v>
      </c>
      <c r="N31" s="77">
        <f t="shared" si="13"/>
        <v>-42.599999999993088</v>
      </c>
      <c r="O31" s="77">
        <f t="shared" si="14"/>
        <v>1.7145768367470282</v>
      </c>
      <c r="P31" s="77">
        <f t="shared" si="15"/>
        <v>-4.3863684142360082</v>
      </c>
      <c r="Q31" s="77">
        <f t="shared" si="16"/>
        <v>-30.299999999996885</v>
      </c>
      <c r="R31" s="51">
        <f t="shared" si="17"/>
        <v>0.32251257923121557</v>
      </c>
      <c r="S31" s="51">
        <f t="shared" si="18"/>
        <v>-14.414436660601826</v>
      </c>
      <c r="T31" s="51">
        <f t="shared" si="19"/>
        <v>1.5000000000071623</v>
      </c>
      <c r="U31" s="77">
        <f t="shared" si="20"/>
        <v>0.92599668587922679</v>
      </c>
      <c r="V31" s="77">
        <f t="shared" si="21"/>
        <v>-16.891492934337116</v>
      </c>
      <c r="W31" s="77">
        <f t="shared" si="22"/>
        <v>3.0000000000001137</v>
      </c>
      <c r="Y31" s="93">
        <f t="shared" si="28"/>
        <v>-85.199999999986176</v>
      </c>
      <c r="Z31" s="96">
        <f t="shared" si="24"/>
        <v>-0.86666666666701531</v>
      </c>
    </row>
    <row r="32" spans="1:26" ht="24.95" customHeight="1" x14ac:dyDescent="0.2">
      <c r="A32" s="29">
        <f t="shared" si="0"/>
        <v>69</v>
      </c>
      <c r="B32" s="30">
        <f t="shared" si="1"/>
        <v>43774</v>
      </c>
      <c r="C32" s="77">
        <f t="shared" si="2"/>
        <v>-2.0278767586034974</v>
      </c>
      <c r="D32" s="77">
        <f t="shared" si="3"/>
        <v>7.6607908449131124</v>
      </c>
      <c r="E32" s="77">
        <f t="shared" si="4"/>
        <v>5.0999999999987722</v>
      </c>
      <c r="F32" s="78">
        <f t="shared" si="5"/>
        <v>-11.011512926245359</v>
      </c>
      <c r="G32" s="78">
        <f t="shared" si="6"/>
        <v>6.3400776396629333</v>
      </c>
      <c r="H32" s="78">
        <f t="shared" si="7"/>
        <v>-4.3000000000006366</v>
      </c>
      <c r="I32" s="77">
        <f t="shared" si="8"/>
        <v>-2.6305079845485579</v>
      </c>
      <c r="J32" s="77">
        <f t="shared" si="9"/>
        <v>13.448435871751041</v>
      </c>
      <c r="K32" s="77">
        <f t="shared" si="10"/>
        <v>-7.5999999999964984</v>
      </c>
      <c r="L32" s="78">
        <f t="shared" si="11"/>
        <v>-11.14611298038426</v>
      </c>
      <c r="M32" s="78">
        <f t="shared" si="12"/>
        <v>-0.2327362542214606</v>
      </c>
      <c r="N32" s="77">
        <f t="shared" si="13"/>
        <v>-46.099999999995589</v>
      </c>
      <c r="O32" s="77">
        <f t="shared" si="14"/>
        <v>-0.80389172049422086</v>
      </c>
      <c r="P32" s="77">
        <f t="shared" si="15"/>
        <v>-1.5886340908737306</v>
      </c>
      <c r="Q32" s="77">
        <f t="shared" si="16"/>
        <v>-32.599999999987972</v>
      </c>
      <c r="R32" s="51">
        <f t="shared" si="17"/>
        <v>-2.5345038949069476</v>
      </c>
      <c r="S32" s="51">
        <f t="shared" si="18"/>
        <v>-12.546963356603769</v>
      </c>
      <c r="T32" s="51">
        <f t="shared" si="19"/>
        <v>1.5999999999962711</v>
      </c>
      <c r="U32" s="77">
        <f t="shared" si="20"/>
        <v>-2.0700129790895971</v>
      </c>
      <c r="V32" s="77">
        <f t="shared" si="21"/>
        <v>-15.199179298339693</v>
      </c>
      <c r="W32" s="77">
        <f t="shared" si="22"/>
        <v>3.2999999999958618</v>
      </c>
      <c r="Y32" s="93">
        <f t="shared" ref="Y32" si="29">2*N32</f>
        <v>-92.199999999991178</v>
      </c>
      <c r="Z32" s="96">
        <f t="shared" si="24"/>
        <v>-1.4000000000010004</v>
      </c>
    </row>
    <row r="33" spans="1:26" ht="24.95" customHeight="1" x14ac:dyDescent="0.2">
      <c r="A33" s="29">
        <f t="shared" si="0"/>
        <v>71</v>
      </c>
      <c r="B33" s="30">
        <f t="shared" si="1"/>
        <v>43776</v>
      </c>
      <c r="C33" s="77">
        <f t="shared" si="2"/>
        <v>-0.56918386539450694</v>
      </c>
      <c r="D33" s="77">
        <f t="shared" si="3"/>
        <v>6.0010247454251875</v>
      </c>
      <c r="E33" s="77">
        <f t="shared" si="4"/>
        <v>6.2000000000068667</v>
      </c>
      <c r="F33" s="78">
        <f t="shared" si="5"/>
        <v>-9.0769517596527294</v>
      </c>
      <c r="G33" s="78">
        <f t="shared" si="6"/>
        <v>4.5856942051858418</v>
      </c>
      <c r="H33" s="78">
        <f t="shared" si="7"/>
        <v>-3.0000000000001137</v>
      </c>
      <c r="I33" s="77">
        <f t="shared" si="8"/>
        <v>-1.0482427892668511</v>
      </c>
      <c r="J33" s="77">
        <f t="shared" si="9"/>
        <v>11.95837232227781</v>
      </c>
      <c r="K33" s="77">
        <f t="shared" si="10"/>
        <v>-6.3999999999992951</v>
      </c>
      <c r="L33" s="78">
        <f t="shared" si="11"/>
        <v>-9.8331155719506569</v>
      </c>
      <c r="M33" s="78">
        <f t="shared" si="12"/>
        <v>-1.9696356873512011</v>
      </c>
      <c r="N33" s="77">
        <f t="shared" si="13"/>
        <v>-45.499999999989882</v>
      </c>
      <c r="O33" s="77">
        <f t="shared" si="14"/>
        <v>0.69032050618034191</v>
      </c>
      <c r="P33" s="77">
        <f t="shared" si="15"/>
        <v>-3.3121532081283878</v>
      </c>
      <c r="Q33" s="77">
        <f t="shared" si="16"/>
        <v>-31.899999999993156</v>
      </c>
      <c r="R33" s="51">
        <f t="shared" si="17"/>
        <v>-0.92289216104290972</v>
      </c>
      <c r="S33" s="51">
        <f t="shared" si="18"/>
        <v>-14.225652482628526</v>
      </c>
      <c r="T33" s="51">
        <f t="shared" si="19"/>
        <v>2.8000000000076852</v>
      </c>
      <c r="U33" s="77">
        <f t="shared" si="20"/>
        <v>-0.31504351150601906</v>
      </c>
      <c r="V33" s="77">
        <f t="shared" si="21"/>
        <v>-16.822323867291544</v>
      </c>
      <c r="W33" s="77">
        <f t="shared" si="22"/>
        <v>4.5999999999963848</v>
      </c>
      <c r="Y33" s="93">
        <f t="shared" ref="Y33:Y41" si="30">2*N33</f>
        <v>-90.999999999979764</v>
      </c>
      <c r="Z33" s="96">
        <f t="shared" si="24"/>
        <v>0.60000000000570708</v>
      </c>
    </row>
    <row r="34" spans="1:26" ht="24.95" customHeight="1" x14ac:dyDescent="0.2">
      <c r="A34" s="29">
        <f t="shared" si="0"/>
        <v>77</v>
      </c>
      <c r="B34" s="30">
        <f t="shared" si="1"/>
        <v>43782</v>
      </c>
      <c r="C34" s="77">
        <f t="shared" si="2"/>
        <v>-0.82005606529378383</v>
      </c>
      <c r="D34" s="77">
        <f t="shared" si="3"/>
        <v>6.0172676343688281</v>
      </c>
      <c r="E34" s="77">
        <f t="shared" si="4"/>
        <v>5.4000000000087311</v>
      </c>
      <c r="F34" s="78">
        <f t="shared" si="5"/>
        <v>-9.7130627670480862</v>
      </c>
      <c r="G34" s="78">
        <f t="shared" si="6"/>
        <v>4.7388194949578022</v>
      </c>
      <c r="H34" s="78">
        <f t="shared" si="7"/>
        <v>-3.9000000000015689</v>
      </c>
      <c r="I34" s="77">
        <f t="shared" si="8"/>
        <v>-1.5494827702013936</v>
      </c>
      <c r="J34" s="77">
        <f t="shared" si="9"/>
        <v>12.07680028534508</v>
      </c>
      <c r="K34" s="77">
        <f t="shared" si="10"/>
        <v>-7.6999999999998181</v>
      </c>
      <c r="L34" s="78">
        <f t="shared" si="11"/>
        <v>-9.841564119966506</v>
      </c>
      <c r="M34" s="78">
        <f t="shared" si="12"/>
        <v>-1.6104706965863191</v>
      </c>
      <c r="N34" s="77">
        <f t="shared" si="13"/>
        <v>-47.499999999999432</v>
      </c>
      <c r="O34" s="77">
        <f t="shared" si="14"/>
        <v>0.50065723834791243</v>
      </c>
      <c r="P34" s="77">
        <f t="shared" si="15"/>
        <v>-2.9663687442367248</v>
      </c>
      <c r="Q34" s="77">
        <f t="shared" si="16"/>
        <v>-33.599999999992747</v>
      </c>
      <c r="R34" s="51">
        <f t="shared" si="17"/>
        <v>-0.87963590951289916</v>
      </c>
      <c r="S34" s="51">
        <f t="shared" si="18"/>
        <v>-14.202684278989963</v>
      </c>
      <c r="T34" s="51">
        <f t="shared" si="19"/>
        <v>1.8000000000029104</v>
      </c>
      <c r="U34" s="77">
        <f t="shared" si="20"/>
        <v>-0.36678095929687515</v>
      </c>
      <c r="V34" s="77">
        <f t="shared" si="21"/>
        <v>-16.722005731137468</v>
      </c>
      <c r="W34" s="77">
        <f t="shared" si="22"/>
        <v>3.5999999999916099</v>
      </c>
      <c r="Y34" s="93">
        <f t="shared" si="30"/>
        <v>-94.999999999998863</v>
      </c>
      <c r="Z34" s="96">
        <f t="shared" si="24"/>
        <v>-0.66666666666984986</v>
      </c>
    </row>
    <row r="35" spans="1:26" ht="24.95" customHeight="1" x14ac:dyDescent="0.2">
      <c r="A35" s="29">
        <f t="shared" si="0"/>
        <v>78</v>
      </c>
      <c r="B35" s="30">
        <f t="shared" si="1"/>
        <v>43783</v>
      </c>
      <c r="C35" s="77">
        <f t="shared" si="2"/>
        <v>0.2308161346036286</v>
      </c>
      <c r="D35" s="77">
        <f t="shared" si="3"/>
        <v>5.2010247454252756</v>
      </c>
      <c r="E35" s="77">
        <f t="shared" si="4"/>
        <v>6.5000000000026148</v>
      </c>
      <c r="F35" s="78">
        <f t="shared" si="5"/>
        <v>-8.6769517596394508</v>
      </c>
      <c r="G35" s="78">
        <f t="shared" si="6"/>
        <v>3.8856942051856969</v>
      </c>
      <c r="H35" s="78">
        <f t="shared" si="7"/>
        <v>-2.8000000000076852</v>
      </c>
      <c r="I35" s="77">
        <f t="shared" si="8"/>
        <v>-0.64824278925357248</v>
      </c>
      <c r="J35" s="77">
        <f t="shared" si="9"/>
        <v>11.058372322278132</v>
      </c>
      <c r="K35" s="77">
        <f t="shared" si="10"/>
        <v>-6.5000000000026148</v>
      </c>
      <c r="L35" s="78">
        <f t="shared" si="11"/>
        <v>-9.0331155719525213</v>
      </c>
      <c r="M35" s="78">
        <f t="shared" si="12"/>
        <v>-2.8696356873511855</v>
      </c>
      <c r="N35" s="77">
        <f t="shared" si="13"/>
        <v>-46.700000000001296</v>
      </c>
      <c r="O35" s="77">
        <f t="shared" si="14"/>
        <v>1.4903205061784774</v>
      </c>
      <c r="P35" s="77">
        <f t="shared" si="15"/>
        <v>-4.1121532081285217</v>
      </c>
      <c r="Q35" s="77">
        <f t="shared" si="16"/>
        <v>-32.699999999991292</v>
      </c>
      <c r="R35" s="51">
        <f t="shared" si="17"/>
        <v>-0.3228921610514135</v>
      </c>
      <c r="S35" s="51">
        <f t="shared" si="18"/>
        <v>-15.425652482628394</v>
      </c>
      <c r="T35" s="51">
        <f t="shared" si="19"/>
        <v>3.0000000000001137</v>
      </c>
      <c r="U35" s="77">
        <f t="shared" si="20"/>
        <v>0.48495648849211648</v>
      </c>
      <c r="V35" s="77">
        <f t="shared" si="21"/>
        <v>-18.022323867291412</v>
      </c>
      <c r="W35" s="77">
        <f t="shared" si="22"/>
        <v>4.6999999999997044</v>
      </c>
      <c r="Y35" s="93">
        <f t="shared" si="30"/>
        <v>-93.400000000002592</v>
      </c>
      <c r="Z35" s="96">
        <f t="shared" si="24"/>
        <v>1.5999999999962711</v>
      </c>
    </row>
    <row r="36" spans="1:26" ht="24.95" customHeight="1" x14ac:dyDescent="0.2">
      <c r="A36" s="29">
        <f t="shared" si="0"/>
        <v>82</v>
      </c>
      <c r="B36" s="30">
        <f t="shared" si="1"/>
        <v>43787</v>
      </c>
      <c r="C36" s="77">
        <f t="shared" si="2"/>
        <v>0.13081613460030894</v>
      </c>
      <c r="D36" s="77">
        <f t="shared" si="3"/>
        <v>6.5010247454253545</v>
      </c>
      <c r="E36" s="77">
        <f t="shared" si="4"/>
        <v>6.7000000000092541</v>
      </c>
      <c r="F36" s="78">
        <f t="shared" si="5"/>
        <v>-8.6769517596394508</v>
      </c>
      <c r="G36" s="78">
        <f t="shared" si="6"/>
        <v>5.0856942051855647</v>
      </c>
      <c r="H36" s="78">
        <f t="shared" si="7"/>
        <v>-2.7000000000043656</v>
      </c>
      <c r="I36" s="77">
        <f t="shared" si="8"/>
        <v>-0.54824278925025283</v>
      </c>
      <c r="J36" s="77">
        <f t="shared" si="9"/>
        <v>12.458372322277977</v>
      </c>
      <c r="K36" s="77">
        <f t="shared" si="10"/>
        <v>-6.5000000000026148</v>
      </c>
      <c r="L36" s="78">
        <f t="shared" si="11"/>
        <v>-9.7331155719473372</v>
      </c>
      <c r="M36" s="78">
        <f t="shared" si="12"/>
        <v>-1.4696356873512006</v>
      </c>
      <c r="N36" s="77">
        <f t="shared" si="13"/>
        <v>-47.600000000002751</v>
      </c>
      <c r="O36" s="77">
        <f t="shared" si="14"/>
        <v>1.0903205061936205</v>
      </c>
      <c r="P36" s="77">
        <f t="shared" si="15"/>
        <v>-2.6121532081284649</v>
      </c>
      <c r="Q36" s="77">
        <f t="shared" si="16"/>
        <v>-33.199999999993679</v>
      </c>
      <c r="R36" s="51">
        <f t="shared" si="17"/>
        <v>-0.42289216105473315</v>
      </c>
      <c r="S36" s="51">
        <f t="shared" si="18"/>
        <v>-13.925652482628337</v>
      </c>
      <c r="T36" s="51">
        <f t="shared" si="19"/>
        <v>3.0000000000001137</v>
      </c>
      <c r="U36" s="77">
        <f t="shared" si="20"/>
        <v>-1.5043511524481801E-2</v>
      </c>
      <c r="V36" s="77">
        <f t="shared" si="21"/>
        <v>-16.722323867291777</v>
      </c>
      <c r="W36" s="77">
        <f t="shared" si="22"/>
        <v>4.9999999999954525</v>
      </c>
      <c r="Y36" s="93">
        <f t="shared" si="30"/>
        <v>-95.200000000005502</v>
      </c>
      <c r="Z36" s="96">
        <f t="shared" si="24"/>
        <v>-0.4500000000007276</v>
      </c>
    </row>
    <row r="37" spans="1:26" ht="24.95" customHeight="1" x14ac:dyDescent="0.2">
      <c r="A37" s="29">
        <f t="shared" si="0"/>
        <v>85</v>
      </c>
      <c r="B37" s="30">
        <f t="shared" si="1"/>
        <v>43790</v>
      </c>
      <c r="C37" s="77">
        <f t="shared" si="2"/>
        <v>-0.76918386537272454</v>
      </c>
      <c r="D37" s="77">
        <f t="shared" si="3"/>
        <v>5.9010247454254205</v>
      </c>
      <c r="E37" s="77">
        <f t="shared" si="4"/>
        <v>6.9000000000016826</v>
      </c>
      <c r="F37" s="78">
        <f t="shared" si="5"/>
        <v>-9.0769517596527294</v>
      </c>
      <c r="G37" s="78">
        <f t="shared" si="6"/>
        <v>4.5856942051858418</v>
      </c>
      <c r="H37" s="78">
        <f t="shared" si="7"/>
        <v>-2.6000000000010459</v>
      </c>
      <c r="I37" s="77">
        <f t="shared" si="8"/>
        <v>-1.2482427892450687</v>
      </c>
      <c r="J37" s="77">
        <f t="shared" si="9"/>
        <v>11.858372322278043</v>
      </c>
      <c r="K37" s="77">
        <f t="shared" si="10"/>
        <v>-6.5999999999917236</v>
      </c>
      <c r="L37" s="78">
        <f t="shared" si="11"/>
        <v>-10.133115571932194</v>
      </c>
      <c r="M37" s="78">
        <f t="shared" si="12"/>
        <v>-2.1696356873511791</v>
      </c>
      <c r="N37" s="77">
        <f t="shared" si="13"/>
        <v>-48.099999999990928</v>
      </c>
      <c r="O37" s="77">
        <f t="shared" si="14"/>
        <v>0.59032050617702225</v>
      </c>
      <c r="P37" s="77">
        <f t="shared" si="15"/>
        <v>-3.4121532081283767</v>
      </c>
      <c r="Q37" s="77">
        <f t="shared" si="16"/>
        <v>-33.599999999992747</v>
      </c>
      <c r="R37" s="51">
        <f t="shared" si="17"/>
        <v>-0.82289216103959006</v>
      </c>
      <c r="S37" s="51">
        <f t="shared" si="18"/>
        <v>-15.025652482628438</v>
      </c>
      <c r="T37" s="51">
        <f t="shared" si="19"/>
        <v>3.200000000006753</v>
      </c>
      <c r="U37" s="77">
        <f t="shared" si="20"/>
        <v>-0.41504351150933871</v>
      </c>
      <c r="V37" s="77">
        <f t="shared" si="21"/>
        <v>-17.822323867291434</v>
      </c>
      <c r="W37" s="77">
        <f t="shared" si="22"/>
        <v>5.0999999999987722</v>
      </c>
      <c r="Y37" s="93">
        <f t="shared" si="30"/>
        <v>-96.199999999981856</v>
      </c>
      <c r="Z37" s="96">
        <f t="shared" si="24"/>
        <v>-0.33333333332545106</v>
      </c>
    </row>
    <row r="38" spans="1:26" ht="24.95" customHeight="1" x14ac:dyDescent="0.2">
      <c r="A38" s="29">
        <f t="shared" si="0"/>
        <v>90</v>
      </c>
      <c r="B38" s="30">
        <f t="shared" si="1"/>
        <v>43795</v>
      </c>
      <c r="C38" s="77">
        <f t="shared" si="2"/>
        <v>0.13081613460030894</v>
      </c>
      <c r="D38" s="77">
        <f t="shared" si="3"/>
        <v>7.1010247454252884</v>
      </c>
      <c r="E38" s="77">
        <f t="shared" si="4"/>
        <v>6.3999999999992951</v>
      </c>
      <c r="F38" s="78">
        <f t="shared" si="5"/>
        <v>-8.6769517596394508</v>
      </c>
      <c r="G38" s="78">
        <f t="shared" si="6"/>
        <v>5.8856942051859207</v>
      </c>
      <c r="H38" s="78">
        <f t="shared" si="7"/>
        <v>-3.200000000006753</v>
      </c>
      <c r="I38" s="77">
        <f t="shared" si="8"/>
        <v>-0.74824278925689214</v>
      </c>
      <c r="J38" s="77">
        <f t="shared" si="9"/>
        <v>13.258372322277889</v>
      </c>
      <c r="K38" s="77">
        <f t="shared" si="10"/>
        <v>-7.4999999999931788</v>
      </c>
      <c r="L38" s="78">
        <f t="shared" si="11"/>
        <v>-9.9331155719539765</v>
      </c>
      <c r="M38" s="78">
        <f t="shared" si="12"/>
        <v>-0.86963568735118346</v>
      </c>
      <c r="N38" s="77">
        <f t="shared" si="13"/>
        <v>-50.699999999991974</v>
      </c>
      <c r="O38" s="77">
        <f t="shared" si="14"/>
        <v>0.79032050618366156</v>
      </c>
      <c r="P38" s="77">
        <f t="shared" si="15"/>
        <v>-2.4121532081284869</v>
      </c>
      <c r="Q38" s="77">
        <f t="shared" si="16"/>
        <v>-35.799999999994725</v>
      </c>
      <c r="R38" s="51">
        <f t="shared" si="17"/>
        <v>-0.82289216103959006</v>
      </c>
      <c r="S38" s="51">
        <f t="shared" si="18"/>
        <v>-13.725652482628359</v>
      </c>
      <c r="T38" s="51">
        <f t="shared" si="19"/>
        <v>2.4999999999977263</v>
      </c>
      <c r="U38" s="77">
        <f t="shared" si="20"/>
        <v>-1.5043511524481801E-2</v>
      </c>
      <c r="V38" s="77">
        <f t="shared" si="21"/>
        <v>-17.122323867291733</v>
      </c>
      <c r="W38" s="77">
        <f t="shared" si="22"/>
        <v>4.5999999999963848</v>
      </c>
      <c r="Y38" s="93">
        <f t="shared" si="30"/>
        <v>-101.39999999998395</v>
      </c>
      <c r="Z38" s="96">
        <f t="shared" si="24"/>
        <v>-1.0400000000004184</v>
      </c>
    </row>
    <row r="39" spans="1:26" ht="24.95" customHeight="1" x14ac:dyDescent="0.2">
      <c r="A39" s="29">
        <f t="shared" si="0"/>
        <v>92</v>
      </c>
      <c r="B39" s="30">
        <f t="shared" si="1"/>
        <v>43797</v>
      </c>
      <c r="C39" s="77">
        <f t="shared" si="2"/>
        <v>-6.918386537790866E-2</v>
      </c>
      <c r="D39" s="77">
        <f t="shared" si="3"/>
        <v>8.7010247454251122</v>
      </c>
      <c r="E39" s="77">
        <f t="shared" si="4"/>
        <v>6.7999999999983629</v>
      </c>
      <c r="F39" s="78"/>
      <c r="G39" s="78"/>
      <c r="H39" s="78"/>
      <c r="I39" s="77">
        <f t="shared" si="8"/>
        <v>-0.24824278926871557</v>
      </c>
      <c r="J39" s="77">
        <f t="shared" si="9"/>
        <v>14.958372322277924</v>
      </c>
      <c r="K39" s="77">
        <f t="shared" si="10"/>
        <v>-7.6999999999998181</v>
      </c>
      <c r="L39" s="78">
        <f t="shared" si="11"/>
        <v>-9.1331155719274193</v>
      </c>
      <c r="M39" s="78">
        <f t="shared" si="12"/>
        <v>-0.36963568735118302</v>
      </c>
      <c r="N39" s="77">
        <f t="shared" si="13"/>
        <v>-55.999999999997385</v>
      </c>
      <c r="O39" s="77">
        <f t="shared" si="14"/>
        <v>1.4903205061784774</v>
      </c>
      <c r="P39" s="77">
        <f t="shared" si="15"/>
        <v>-0.91215320812843004</v>
      </c>
      <c r="Q39" s="77">
        <f t="shared" si="16"/>
        <v>-39.400000000000546</v>
      </c>
      <c r="R39" s="51">
        <f t="shared" si="17"/>
        <v>-0.82289216103959006</v>
      </c>
      <c r="S39" s="51">
        <f t="shared" si="18"/>
        <v>-14.425652482628504</v>
      </c>
      <c r="T39" s="51">
        <f t="shared" si="19"/>
        <v>3.0000000000001137</v>
      </c>
      <c r="U39" s="77">
        <f t="shared" si="20"/>
        <v>-0.51504351151265837</v>
      </c>
      <c r="V39" s="77">
        <f t="shared" si="21"/>
        <v>-16.922323867291755</v>
      </c>
      <c r="W39" s="77">
        <f t="shared" si="22"/>
        <v>5.2000000000020918</v>
      </c>
      <c r="Y39" s="93">
        <f t="shared" si="30"/>
        <v>-111.99999999999477</v>
      </c>
      <c r="Z39" s="96">
        <f t="shared" si="24"/>
        <v>-5.3000000000054115</v>
      </c>
    </row>
    <row r="40" spans="1:26" ht="24.95" customHeight="1" x14ac:dyDescent="0.2">
      <c r="A40" s="29">
        <f t="shared" si="0"/>
        <v>93</v>
      </c>
      <c r="B40" s="30">
        <f t="shared" si="1"/>
        <v>43798</v>
      </c>
      <c r="C40" s="77">
        <f t="shared" si="2"/>
        <v>-0.270181904824085</v>
      </c>
      <c r="D40" s="77">
        <f t="shared" si="3"/>
        <v>6.4943823930101452</v>
      </c>
      <c r="E40" s="77">
        <f t="shared" si="4"/>
        <v>6.7999999999983629</v>
      </c>
      <c r="F40" s="78">
        <f t="shared" si="5"/>
        <v>-9.3623171454169096</v>
      </c>
      <c r="G40" s="78">
        <f t="shared" si="6"/>
        <v>6.1161275461598663</v>
      </c>
      <c r="H40" s="78">
        <f t="shared" si="7"/>
        <v>-2.9000000000110049</v>
      </c>
      <c r="I40" s="77">
        <f t="shared" si="8"/>
        <v>-1.1142066933018668</v>
      </c>
      <c r="J40" s="77">
        <f t="shared" si="9"/>
        <v>13.272849812605347</v>
      </c>
      <c r="K40" s="77">
        <f t="shared" si="10"/>
        <v>-7.5999999999964984</v>
      </c>
      <c r="L40" s="78">
        <f t="shared" si="11"/>
        <v>-9.5757752463327961</v>
      </c>
      <c r="M40" s="78">
        <f t="shared" si="12"/>
        <v>-1.7071988144910233</v>
      </c>
      <c r="N40" s="77">
        <f t="shared" si="13"/>
        <v>-56.89999999999884</v>
      </c>
      <c r="O40" s="77">
        <f t="shared" si="14"/>
        <v>1.9568232870881275</v>
      </c>
      <c r="P40" s="77">
        <f t="shared" si="15"/>
        <v>-2.0666017936328274</v>
      </c>
      <c r="Q40" s="77">
        <f t="shared" si="16"/>
        <v>-39.799999999999613</v>
      </c>
      <c r="R40" s="51">
        <f t="shared" si="17"/>
        <v>-0.92232752822951625</v>
      </c>
      <c r="S40" s="51">
        <f t="shared" si="18"/>
        <v>-15.767349499083316</v>
      </c>
      <c r="T40" s="51">
        <f t="shared" si="19"/>
        <v>3.0000000000001137</v>
      </c>
      <c r="U40" s="77">
        <f t="shared" si="20"/>
        <v>-0.63909503083436903</v>
      </c>
      <c r="V40" s="77">
        <f t="shared" si="21"/>
        <v>-18.504095846854973</v>
      </c>
      <c r="W40" s="77">
        <f t="shared" si="22"/>
        <v>4.8999999999921329</v>
      </c>
      <c r="Y40" s="93">
        <f t="shared" si="30"/>
        <v>-113.79999999999768</v>
      </c>
      <c r="Z40" s="96">
        <f t="shared" si="24"/>
        <v>-1.8000000000029104</v>
      </c>
    </row>
    <row r="41" spans="1:26" ht="24.95" customHeight="1" x14ac:dyDescent="0.2">
      <c r="A41" s="29">
        <f t="shared" si="0"/>
        <v>96</v>
      </c>
      <c r="B41" s="30">
        <f t="shared" si="1"/>
        <v>43801</v>
      </c>
      <c r="C41" s="77">
        <f t="shared" si="2"/>
        <v>0.2308161346036286</v>
      </c>
      <c r="D41" s="77">
        <f t="shared" si="3"/>
        <v>6.4010247454251434</v>
      </c>
      <c r="E41" s="77">
        <f t="shared" si="4"/>
        <v>6.7000000000092541</v>
      </c>
      <c r="F41" s="78">
        <f t="shared" si="5"/>
        <v>-8.9769517596494097</v>
      </c>
      <c r="G41" s="78">
        <f t="shared" si="6"/>
        <v>5.3856942051857537</v>
      </c>
      <c r="H41" s="78">
        <f t="shared" si="7"/>
        <v>-2.8000000000076852</v>
      </c>
      <c r="I41" s="77">
        <f t="shared" si="8"/>
        <v>-0.44824278924693317</v>
      </c>
      <c r="J41" s="77">
        <f t="shared" si="9"/>
        <v>13.058372322277911</v>
      </c>
      <c r="K41" s="77">
        <f t="shared" si="10"/>
        <v>-7.4999999999931788</v>
      </c>
      <c r="L41" s="78">
        <f t="shared" si="11"/>
        <v>-9.3331155719340586</v>
      </c>
      <c r="M41" s="78">
        <f t="shared" si="12"/>
        <v>-1.6696356873511786</v>
      </c>
      <c r="N41" s="77">
        <f t="shared" si="13"/>
        <v>-58.099999999996044</v>
      </c>
      <c r="O41" s="77">
        <f t="shared" si="14"/>
        <v>2.0903205061699737</v>
      </c>
      <c r="P41" s="77">
        <f t="shared" si="15"/>
        <v>-1.9121532081285419</v>
      </c>
      <c r="Q41" s="77">
        <f t="shared" si="16"/>
        <v>-40.700000000001069</v>
      </c>
      <c r="R41" s="51">
        <f t="shared" si="17"/>
        <v>-0.52289216105805281</v>
      </c>
      <c r="S41" s="51">
        <f t="shared" si="18"/>
        <v>-15.425652482628394</v>
      </c>
      <c r="T41" s="51">
        <f t="shared" si="19"/>
        <v>3.0000000000001137</v>
      </c>
      <c r="U41" s="77">
        <f t="shared" si="20"/>
        <v>-0.11504351149937975</v>
      </c>
      <c r="V41" s="77">
        <f t="shared" si="21"/>
        <v>-18.122323867291623</v>
      </c>
      <c r="W41" s="77">
        <f t="shared" si="22"/>
        <v>4.8999999999921329</v>
      </c>
      <c r="Y41" s="93">
        <f t="shared" si="30"/>
        <v>-116.19999999999209</v>
      </c>
      <c r="Z41" s="96">
        <f t="shared" si="24"/>
        <v>-0.79999999999813554</v>
      </c>
    </row>
    <row r="42" spans="1:26" ht="24.95" customHeight="1" x14ac:dyDescent="0.2">
      <c r="A42" s="29">
        <f t="shared" si="0"/>
        <v>98</v>
      </c>
      <c r="B42" s="30">
        <f t="shared" si="1"/>
        <v>43803</v>
      </c>
      <c r="C42" s="77">
        <f t="shared" si="2"/>
        <v>-1.1691838653860032</v>
      </c>
      <c r="D42" s="77">
        <f t="shared" si="3"/>
        <v>6.1010247454253985</v>
      </c>
      <c r="E42" s="77">
        <f t="shared" si="4"/>
        <v>5.9000000000111186</v>
      </c>
      <c r="F42" s="78">
        <f t="shared" si="5"/>
        <v>-9.5769517596409059</v>
      </c>
      <c r="G42" s="78">
        <f t="shared" si="6"/>
        <v>4.8856942051855867</v>
      </c>
      <c r="H42" s="78">
        <f t="shared" si="7"/>
        <v>-3.3000000000100727</v>
      </c>
      <c r="I42" s="77">
        <f t="shared" si="8"/>
        <v>-1.0482427892668511</v>
      </c>
      <c r="J42" s="77">
        <f t="shared" si="9"/>
        <v>12.558372322278188</v>
      </c>
      <c r="K42" s="77">
        <f t="shared" si="10"/>
        <v>-8.3000000000055252</v>
      </c>
      <c r="L42" s="78">
        <f t="shared" si="11"/>
        <v>-10.433115571942153</v>
      </c>
      <c r="M42" s="78">
        <f t="shared" si="12"/>
        <v>-2.2696356873511956</v>
      </c>
      <c r="N42" s="77">
        <f t="shared" si="13"/>
        <v>-60.199999999994702</v>
      </c>
      <c r="O42" s="77">
        <f t="shared" si="14"/>
        <v>1.4903205061784774</v>
      </c>
      <c r="P42" s="77">
        <f t="shared" si="15"/>
        <v>-2.8121532081284428</v>
      </c>
      <c r="Q42" s="77">
        <f t="shared" si="16"/>
        <v>-42.19999999999402</v>
      </c>
      <c r="R42" s="51">
        <f t="shared" si="17"/>
        <v>-1.0228921610462294</v>
      </c>
      <c r="S42" s="51">
        <f t="shared" si="18"/>
        <v>-16.825652482628239</v>
      </c>
      <c r="T42" s="51">
        <f t="shared" si="19"/>
        <v>2.6000000000010459</v>
      </c>
      <c r="U42" s="77">
        <f t="shared" si="20"/>
        <v>-0.71504351151929768</v>
      </c>
      <c r="V42" s="77">
        <f t="shared" si="21"/>
        <v>-19.522323867291469</v>
      </c>
      <c r="W42" s="77">
        <f t="shared" si="22"/>
        <v>4.6999999999997044</v>
      </c>
      <c r="Y42" s="93">
        <f t="shared" ref="Y42:Y47" si="31">2*N42</f>
        <v>-120.3999999999894</v>
      </c>
      <c r="Z42" s="96">
        <f t="shared" si="24"/>
        <v>-2.0999999999986585</v>
      </c>
    </row>
    <row r="43" spans="1:26" ht="24.95" customHeight="1" x14ac:dyDescent="0.2">
      <c r="A43" s="29">
        <f t="shared" si="0"/>
        <v>103</v>
      </c>
      <c r="B43" s="30">
        <f t="shared" si="1"/>
        <v>43808</v>
      </c>
      <c r="C43" s="77">
        <f t="shared" si="2"/>
        <v>-0.56918386539450694</v>
      </c>
      <c r="D43" s="77">
        <f t="shared" si="3"/>
        <v>6.1010247454253985</v>
      </c>
      <c r="E43" s="77">
        <f t="shared" si="4"/>
        <v>7.9000000000064574</v>
      </c>
      <c r="F43" s="78">
        <f t="shared" si="5"/>
        <v>-9.6769517596442256</v>
      </c>
      <c r="G43" s="78">
        <f t="shared" si="6"/>
        <v>5.2856942051855427</v>
      </c>
      <c r="H43" s="78">
        <f t="shared" si="7"/>
        <v>-2.7000000000043656</v>
      </c>
      <c r="I43" s="77">
        <f t="shared" si="8"/>
        <v>-1.1482427892701708</v>
      </c>
      <c r="J43" s="77">
        <f t="shared" si="9"/>
        <v>13.058372322277911</v>
      </c>
      <c r="K43" s="77">
        <f t="shared" si="10"/>
        <v>-7.8999999999922466</v>
      </c>
      <c r="L43" s="78">
        <f t="shared" si="11"/>
        <v>-10.233115571935514</v>
      </c>
      <c r="M43" s="78">
        <f t="shared" si="12"/>
        <v>-2.1696356873511791</v>
      </c>
      <c r="N43" s="77">
        <f t="shared" si="13"/>
        <v>-60.59999999999377</v>
      </c>
      <c r="O43" s="77">
        <f t="shared" si="14"/>
        <v>1.5903205061817971</v>
      </c>
      <c r="P43" s="77">
        <f t="shared" si="15"/>
        <v>-2.3121532081284979</v>
      </c>
      <c r="Q43" s="77">
        <f t="shared" si="16"/>
        <v>-42.19999999999402</v>
      </c>
      <c r="R43" s="51">
        <f t="shared" si="17"/>
        <v>-1.122892161049549</v>
      </c>
      <c r="S43" s="51">
        <f t="shared" si="18"/>
        <v>-16.625652482628261</v>
      </c>
      <c r="T43" s="51">
        <f t="shared" si="19"/>
        <v>3.3999999999991815</v>
      </c>
      <c r="U43" s="77">
        <f t="shared" si="20"/>
        <v>-0.61504351151597803</v>
      </c>
      <c r="V43" s="77">
        <f t="shared" si="21"/>
        <v>-19.522323867291469</v>
      </c>
      <c r="W43" s="77">
        <f t="shared" si="22"/>
        <v>5.3999999999945203</v>
      </c>
      <c r="Y43" s="93">
        <f t="shared" si="31"/>
        <v>-121.19999999998754</v>
      </c>
      <c r="Z43" s="96">
        <f t="shared" si="24"/>
        <v>-0.15999999999962711</v>
      </c>
    </row>
    <row r="44" spans="1:26" ht="24.95" customHeight="1" x14ac:dyDescent="0.2">
      <c r="A44" s="29">
        <f t="shared" si="0"/>
        <v>106</v>
      </c>
      <c r="B44" s="30">
        <f t="shared" si="1"/>
        <v>43811</v>
      </c>
      <c r="C44" s="77">
        <f t="shared" si="2"/>
        <v>-0.76918386537272454</v>
      </c>
      <c r="D44" s="77">
        <f t="shared" si="3"/>
        <v>6.2010247454251655</v>
      </c>
      <c r="E44" s="77">
        <f t="shared" si="4"/>
        <v>8.2000000000022055</v>
      </c>
      <c r="F44" s="78">
        <f t="shared" si="5"/>
        <v>-9.5769517596409059</v>
      </c>
      <c r="G44" s="78">
        <f t="shared" si="6"/>
        <v>5.4856942051859647</v>
      </c>
      <c r="H44" s="78">
        <f t="shared" si="7"/>
        <v>-2.5000000000119371</v>
      </c>
      <c r="I44" s="77">
        <f t="shared" si="8"/>
        <v>-1.2482427892450687</v>
      </c>
      <c r="J44" s="77">
        <f t="shared" si="9"/>
        <v>13.058372322277911</v>
      </c>
      <c r="K44" s="77">
        <f t="shared" si="10"/>
        <v>-7.8999999999922466</v>
      </c>
      <c r="L44" s="78">
        <f t="shared" si="11"/>
        <v>-10.533115571945473</v>
      </c>
      <c r="M44" s="78">
        <f t="shared" si="12"/>
        <v>-2.2696356873511956</v>
      </c>
      <c r="N44" s="77">
        <f t="shared" si="13"/>
        <v>-61.199999999999477</v>
      </c>
      <c r="O44" s="77">
        <f t="shared" si="14"/>
        <v>1.2903205061718381</v>
      </c>
      <c r="P44" s="77">
        <f t="shared" si="15"/>
        <v>-2.0121532081285309</v>
      </c>
      <c r="Q44" s="77">
        <f t="shared" si="16"/>
        <v>-42.699999999996407</v>
      </c>
      <c r="R44" s="51">
        <f t="shared" si="17"/>
        <v>-0.72289216103627041</v>
      </c>
      <c r="S44" s="51">
        <f t="shared" si="18"/>
        <v>-16.625652482628261</v>
      </c>
      <c r="T44" s="51">
        <f t="shared" si="19"/>
        <v>3.5000000000025011</v>
      </c>
      <c r="U44" s="77">
        <f t="shared" si="20"/>
        <v>-1.5043511524481801E-2</v>
      </c>
      <c r="V44" s="77">
        <f t="shared" si="21"/>
        <v>-19.322323867291491</v>
      </c>
      <c r="W44" s="77">
        <f t="shared" si="22"/>
        <v>5.7999999999935881</v>
      </c>
      <c r="Y44" s="93">
        <f t="shared" si="31"/>
        <v>-122.39999999999895</v>
      </c>
      <c r="Z44" s="96">
        <f t="shared" si="24"/>
        <v>-0.4000000000038047</v>
      </c>
    </row>
    <row r="45" spans="1:26" ht="24.95" customHeight="1" x14ac:dyDescent="0.2">
      <c r="A45" s="29">
        <f t="shared" si="0"/>
        <v>110</v>
      </c>
      <c r="B45" s="30">
        <f t="shared" si="1"/>
        <v>43815</v>
      </c>
      <c r="C45" s="77">
        <f t="shared" si="2"/>
        <v>-0.26918386538454797</v>
      </c>
      <c r="D45" s="77">
        <f t="shared" si="3"/>
        <v>6.8010247454250994</v>
      </c>
      <c r="E45" s="77">
        <f t="shared" si="4"/>
        <v>7.6000000000107093</v>
      </c>
      <c r="F45" s="78">
        <f t="shared" si="5"/>
        <v>-9.2769517596593687</v>
      </c>
      <c r="G45" s="78">
        <f t="shared" si="6"/>
        <v>6.0856942051858987</v>
      </c>
      <c r="H45" s="78">
        <f t="shared" si="7"/>
        <v>-3.200000000006753</v>
      </c>
      <c r="I45" s="77">
        <f t="shared" si="8"/>
        <v>-0.54824278925025283</v>
      </c>
      <c r="J45" s="77">
        <f t="shared" si="9"/>
        <v>13.758372322278056</v>
      </c>
      <c r="K45" s="77">
        <f t="shared" si="10"/>
        <v>-8.4999999999979536</v>
      </c>
      <c r="L45" s="78">
        <f t="shared" si="11"/>
        <v>-11.433115571946928</v>
      </c>
      <c r="M45" s="78">
        <f t="shared" si="12"/>
        <v>-1.3696356873511839</v>
      </c>
      <c r="N45" s="77">
        <f t="shared" si="13"/>
        <v>-63.099999999991496</v>
      </c>
      <c r="O45" s="77">
        <f t="shared" si="14"/>
        <v>1.8903205061917561</v>
      </c>
      <c r="P45" s="77">
        <f t="shared" si="15"/>
        <v>-1.212153208128397</v>
      </c>
      <c r="Q45" s="77">
        <f t="shared" si="16"/>
        <v>-43.599999999997863</v>
      </c>
      <c r="R45" s="51">
        <f t="shared" si="17"/>
        <v>-0.12289216104477418</v>
      </c>
      <c r="S45" s="51">
        <f t="shared" si="18"/>
        <v>-15.925652482628561</v>
      </c>
      <c r="T45" s="51">
        <f t="shared" si="19"/>
        <v>2.899999999996794</v>
      </c>
      <c r="U45" s="77">
        <f t="shared" si="20"/>
        <v>0.38495648848879682</v>
      </c>
      <c r="V45" s="77">
        <f t="shared" si="21"/>
        <v>-18.722323867291557</v>
      </c>
      <c r="W45" s="77">
        <f t="shared" si="22"/>
        <v>5.0999999999987722</v>
      </c>
      <c r="Y45" s="93">
        <f t="shared" si="31"/>
        <v>-126.19999999998299</v>
      </c>
      <c r="Z45" s="96">
        <f t="shared" si="24"/>
        <v>-0.94999999999600959</v>
      </c>
    </row>
    <row r="46" spans="1:26" ht="24.95" customHeight="1" x14ac:dyDescent="0.2">
      <c r="A46" s="29">
        <f t="shared" si="0"/>
        <v>113</v>
      </c>
      <c r="B46" s="30">
        <f t="shared" si="1"/>
        <v>43818</v>
      </c>
      <c r="C46" s="77">
        <f t="shared" si="2"/>
        <v>3.0816134625410996E-2</v>
      </c>
      <c r="D46" s="77">
        <f t="shared" si="3"/>
        <v>7.3010247454252664</v>
      </c>
      <c r="E46" s="77">
        <f t="shared" si="4"/>
        <v>8.2000000000022055</v>
      </c>
      <c r="F46" s="78">
        <f t="shared" si="5"/>
        <v>-8.7769517596427704</v>
      </c>
      <c r="G46" s="78">
        <f t="shared" si="6"/>
        <v>6.5856942051856215</v>
      </c>
      <c r="H46" s="78">
        <f t="shared" si="7"/>
        <v>-2.7000000000043656</v>
      </c>
      <c r="I46" s="77">
        <f t="shared" si="8"/>
        <v>-0.54824278925025283</v>
      </c>
      <c r="J46" s="77">
        <f t="shared" si="9"/>
        <v>14.258372322277779</v>
      </c>
      <c r="K46" s="77">
        <f t="shared" si="10"/>
        <v>-8.2000000000022055</v>
      </c>
      <c r="L46" s="78">
        <f t="shared" si="11"/>
        <v>-11.833115571931785</v>
      </c>
      <c r="M46" s="78">
        <f t="shared" si="12"/>
        <v>-0.9696356873512002</v>
      </c>
      <c r="N46" s="77">
        <f t="shared" si="13"/>
        <v>-63.299999999998136</v>
      </c>
      <c r="O46" s="77">
        <f t="shared" si="14"/>
        <v>1.5903205061817971</v>
      </c>
      <c r="P46" s="77">
        <f t="shared" si="15"/>
        <v>-0.91215320812843004</v>
      </c>
      <c r="Q46" s="77">
        <f t="shared" si="16"/>
        <v>-43.599999999997863</v>
      </c>
      <c r="R46" s="51">
        <f t="shared" si="17"/>
        <v>-0.42289216105473315</v>
      </c>
      <c r="S46" s="51">
        <f t="shared" si="18"/>
        <v>-15.725652482628583</v>
      </c>
      <c r="T46" s="51">
        <f t="shared" si="19"/>
        <v>3.2999999999958618</v>
      </c>
      <c r="U46" s="77">
        <f t="shared" si="20"/>
        <v>0.38495648848879682</v>
      </c>
      <c r="V46" s="77">
        <f t="shared" si="21"/>
        <v>-18.522323867291579</v>
      </c>
      <c r="W46" s="77">
        <f t="shared" si="22"/>
        <v>5.49999999999784</v>
      </c>
      <c r="Y46" s="93">
        <f t="shared" si="31"/>
        <v>-126.59999999999627</v>
      </c>
      <c r="Z46" s="96">
        <f t="shared" si="24"/>
        <v>-0.13333333333775954</v>
      </c>
    </row>
    <row r="47" spans="1:26" ht="24.95" customHeight="1" x14ac:dyDescent="0.2">
      <c r="A47" s="29">
        <f t="shared" si="0"/>
        <v>132</v>
      </c>
      <c r="B47" s="30">
        <f t="shared" si="1"/>
        <v>43837</v>
      </c>
      <c r="C47" s="77">
        <f t="shared" si="2"/>
        <v>3.0816134625410996E-2</v>
      </c>
      <c r="D47" s="77">
        <f t="shared" si="3"/>
        <v>7.0010247454255214</v>
      </c>
      <c r="E47" s="77">
        <f t="shared" si="4"/>
        <v>8.4000000000088448</v>
      </c>
      <c r="F47" s="78">
        <f t="shared" si="5"/>
        <v>-8.8769517596460901</v>
      </c>
      <c r="G47" s="78">
        <f t="shared" si="6"/>
        <v>6.2856942051858766</v>
      </c>
      <c r="H47" s="78">
        <f t="shared" si="7"/>
        <v>-2.6000000000010459</v>
      </c>
      <c r="I47" s="77">
        <f t="shared" si="8"/>
        <v>-0.94824278926353145</v>
      </c>
      <c r="J47" s="77">
        <f t="shared" si="9"/>
        <v>14.258372322277779</v>
      </c>
      <c r="K47" s="77">
        <f t="shared" si="10"/>
        <v>-8.4999999999979536</v>
      </c>
      <c r="L47" s="78">
        <f t="shared" si="11"/>
        <v>-11.933115571935105</v>
      </c>
      <c r="M47" s="78">
        <f t="shared" si="12"/>
        <v>-1.4696356873512006</v>
      </c>
      <c r="N47" s="77">
        <f t="shared" si="13"/>
        <v>-65.199999999990155</v>
      </c>
      <c r="O47" s="77">
        <f t="shared" si="14"/>
        <v>1.1903205061685185</v>
      </c>
      <c r="P47" s="77">
        <f t="shared" si="15"/>
        <v>-1.312153208128386</v>
      </c>
      <c r="Q47" s="77">
        <f t="shared" si="16"/>
        <v>-45.299999999997453</v>
      </c>
      <c r="R47" s="51">
        <f t="shared" si="17"/>
        <v>-0.3228921610514135</v>
      </c>
      <c r="S47" s="51">
        <f t="shared" si="18"/>
        <v>-16.325652482628517</v>
      </c>
      <c r="T47" s="51">
        <f t="shared" si="19"/>
        <v>3.6999999999949296</v>
      </c>
      <c r="U47" s="77">
        <f t="shared" si="20"/>
        <v>0.28495648848547717</v>
      </c>
      <c r="V47" s="77">
        <f t="shared" si="21"/>
        <v>-19.022323867291746</v>
      </c>
      <c r="W47" s="77">
        <f t="shared" si="22"/>
        <v>6.0999999999893362</v>
      </c>
      <c r="Y47" s="93">
        <f t="shared" si="31"/>
        <v>-130.39999999998031</v>
      </c>
      <c r="Z47" s="96">
        <f t="shared" si="24"/>
        <v>-0.19999999999915991</v>
      </c>
    </row>
    <row r="48" spans="1:26" ht="24.95" customHeight="1" x14ac:dyDescent="0.2">
      <c r="A48" s="29">
        <f t="shared" si="0"/>
        <v>138</v>
      </c>
      <c r="B48" s="30">
        <f t="shared" si="1"/>
        <v>43843</v>
      </c>
      <c r="C48" s="77">
        <f t="shared" si="2"/>
        <v>0.2308161346036286</v>
      </c>
      <c r="D48" s="77">
        <f t="shared" si="3"/>
        <v>7.4010247454254774</v>
      </c>
      <c r="E48" s="77">
        <f t="shared" si="4"/>
        <v>8.3000000000055252</v>
      </c>
      <c r="F48" s="78"/>
      <c r="G48" s="78"/>
      <c r="H48" s="78"/>
      <c r="I48" s="77">
        <f t="shared" si="8"/>
        <v>-0.54824278925025283</v>
      </c>
      <c r="J48" s="77">
        <f t="shared" si="9"/>
        <v>14.458372322277757</v>
      </c>
      <c r="K48" s="77">
        <f t="shared" si="10"/>
        <v>-8.8999999999970214</v>
      </c>
      <c r="L48" s="78">
        <f t="shared" si="11"/>
        <v>-11.633115571953567</v>
      </c>
      <c r="M48" s="78">
        <f t="shared" si="12"/>
        <v>-1.2696356873511949</v>
      </c>
      <c r="N48" s="77">
        <f t="shared" si="13"/>
        <v>-66.09999999999161</v>
      </c>
      <c r="O48" s="77">
        <f t="shared" si="14"/>
        <v>1.4903205061784774</v>
      </c>
      <c r="P48" s="77">
        <f t="shared" si="15"/>
        <v>-0.81215320812844105</v>
      </c>
      <c r="Q48" s="77">
        <f t="shared" si="16"/>
        <v>-45.89999999998895</v>
      </c>
      <c r="R48" s="51">
        <f t="shared" si="17"/>
        <v>-0.52289216105805281</v>
      </c>
      <c r="S48" s="51">
        <f t="shared" si="18"/>
        <v>-16.425652482628283</v>
      </c>
      <c r="T48" s="51">
        <f t="shared" si="19"/>
        <v>3.3999999999991815</v>
      </c>
      <c r="U48" s="77">
        <f t="shared" si="20"/>
        <v>0.58495648849543613</v>
      </c>
      <c r="V48" s="77">
        <f t="shared" si="21"/>
        <v>-18.722323867291557</v>
      </c>
      <c r="W48" s="77">
        <f t="shared" si="22"/>
        <v>5.7999999999935881</v>
      </c>
      <c r="Y48" s="93">
        <f t="shared" ref="Y48:Y49" si="32">2*N48</f>
        <v>-132.19999999998322</v>
      </c>
      <c r="Z48" s="96">
        <f t="shared" si="24"/>
        <v>-0.30000000000048505</v>
      </c>
    </row>
    <row r="49" spans="1:26" ht="24.95" customHeight="1" x14ac:dyDescent="0.2">
      <c r="A49" s="29">
        <f t="shared" si="0"/>
        <v>145</v>
      </c>
      <c r="B49" s="30">
        <f t="shared" si="1"/>
        <v>43850</v>
      </c>
      <c r="C49" s="77">
        <f t="shared" si="2"/>
        <v>0.2308161346036286</v>
      </c>
      <c r="D49" s="77">
        <f t="shared" si="3"/>
        <v>7.6010247454254554</v>
      </c>
      <c r="E49" s="77">
        <f t="shared" si="4"/>
        <v>8.6000000000012733</v>
      </c>
      <c r="F49" s="78"/>
      <c r="G49" s="78"/>
      <c r="H49" s="78"/>
      <c r="I49" s="77">
        <f t="shared" si="8"/>
        <v>-0.64824278925357248</v>
      </c>
      <c r="J49" s="77">
        <f t="shared" si="9"/>
        <v>14.958372322277924</v>
      </c>
      <c r="K49" s="77">
        <f t="shared" si="10"/>
        <v>-8.7999999999937017</v>
      </c>
      <c r="L49" s="78">
        <f t="shared" si="11"/>
        <v>-11.133115571936969</v>
      </c>
      <c r="M49" s="78">
        <f t="shared" si="12"/>
        <v>-0.86963568735118346</v>
      </c>
      <c r="N49" s="77">
        <f t="shared" si="13"/>
        <v>-66.19999999999493</v>
      </c>
      <c r="O49" s="77">
        <f t="shared" si="14"/>
        <v>1.3903205061751578</v>
      </c>
      <c r="P49" s="77">
        <f t="shared" si="15"/>
        <v>-0.21215320812850713</v>
      </c>
      <c r="Q49" s="77">
        <f t="shared" si="16"/>
        <v>-46.199999999998909</v>
      </c>
      <c r="R49" s="51">
        <f t="shared" si="17"/>
        <v>-0.62289216106137246</v>
      </c>
      <c r="S49" s="51">
        <f t="shared" si="18"/>
        <v>-15.82565248262835</v>
      </c>
      <c r="T49" s="51">
        <f t="shared" si="19"/>
        <v>3.3999999999991815</v>
      </c>
      <c r="U49" s="77">
        <f t="shared" si="20"/>
        <v>0.38495648848879682</v>
      </c>
      <c r="V49" s="77">
        <f t="shared" si="21"/>
        <v>-18.322323867291601</v>
      </c>
      <c r="W49" s="77">
        <f t="shared" si="22"/>
        <v>5.8999999999969077</v>
      </c>
      <c r="Y49" s="93">
        <f t="shared" si="32"/>
        <v>-132.39999999998986</v>
      </c>
      <c r="Z49" s="96">
        <f t="shared" si="24"/>
        <v>-2.8571428572377044E-2</v>
      </c>
    </row>
    <row r="50" spans="1:26" ht="24.95" customHeight="1" x14ac:dyDescent="0.2">
      <c r="A50" s="29">
        <f t="shared" si="0"/>
        <v>154</v>
      </c>
      <c r="B50" s="30">
        <f t="shared" si="1"/>
        <v>43859</v>
      </c>
      <c r="C50" s="77">
        <f t="shared" si="2"/>
        <v>1.1308161346050838</v>
      </c>
      <c r="D50" s="77">
        <f t="shared" si="3"/>
        <v>7.0010247454255214</v>
      </c>
      <c r="E50" s="77">
        <f t="shared" si="4"/>
        <v>7.6999999999998181</v>
      </c>
      <c r="F50" s="78">
        <f t="shared" si="5"/>
        <v>-7.8769517596413152</v>
      </c>
      <c r="G50" s="78">
        <f t="shared" si="6"/>
        <v>6.5856942051856215</v>
      </c>
      <c r="H50" s="78">
        <f t="shared" si="7"/>
        <v>-3.200000000006753</v>
      </c>
      <c r="I50" s="77">
        <f t="shared" si="8"/>
        <v>-0.14824278926539591</v>
      </c>
      <c r="J50" s="77">
        <f t="shared" si="9"/>
        <v>14.958372322277924</v>
      </c>
      <c r="K50" s="77">
        <f t="shared" si="10"/>
        <v>-9.1999999999927695</v>
      </c>
      <c r="L50" s="78">
        <f t="shared" si="11"/>
        <v>-10.93311557193033</v>
      </c>
      <c r="M50" s="78">
        <f t="shared" si="12"/>
        <v>-0.26963568735119403</v>
      </c>
      <c r="N50" s="77">
        <f t="shared" si="13"/>
        <v>-66.999999999993065</v>
      </c>
      <c r="O50" s="77">
        <f t="shared" si="14"/>
        <v>1.8903205061917561</v>
      </c>
      <c r="P50" s="77">
        <f t="shared" si="15"/>
        <v>0.18784679187144881</v>
      </c>
      <c r="Q50" s="77">
        <f t="shared" si="16"/>
        <v>-46.699999999987085</v>
      </c>
      <c r="R50" s="51">
        <f t="shared" si="17"/>
        <v>-0.3228921610514135</v>
      </c>
      <c r="S50" s="51">
        <f t="shared" si="18"/>
        <v>-15.425652482628394</v>
      </c>
      <c r="T50" s="51">
        <f t="shared" si="19"/>
        <v>3.0000000000001137</v>
      </c>
      <c r="U50" s="77">
        <f t="shared" si="20"/>
        <v>-2.0150435115056098</v>
      </c>
      <c r="V50" s="77">
        <f t="shared" si="21"/>
        <v>-17.422323867291478</v>
      </c>
      <c r="W50" s="77">
        <f t="shared" si="22"/>
        <v>-7.0000000000050022</v>
      </c>
      <c r="Y50" s="93">
        <f t="shared" ref="Y50:Y51" si="33">2*N50</f>
        <v>-133.99999999998613</v>
      </c>
      <c r="Z50" s="96">
        <f t="shared" ref="Z50:Z51" si="34">(Y50-Y49)/(B50-B49)</f>
        <v>-0.17777777777736345</v>
      </c>
    </row>
    <row r="51" spans="1:26" ht="24.95" customHeight="1" x14ac:dyDescent="0.2">
      <c r="A51" s="29">
        <f t="shared" si="0"/>
        <v>181</v>
      </c>
      <c r="B51" s="30">
        <f t="shared" si="1"/>
        <v>43886</v>
      </c>
      <c r="C51" s="77">
        <f t="shared" si="2"/>
        <v>0.63081613461690722</v>
      </c>
      <c r="D51" s="77">
        <f t="shared" si="3"/>
        <v>7.8010247454254333</v>
      </c>
      <c r="E51" s="77">
        <f t="shared" si="4"/>
        <v>7.8000000000031378</v>
      </c>
      <c r="F51" s="78">
        <f t="shared" si="5"/>
        <v>-8.7769517596427704</v>
      </c>
      <c r="G51" s="78">
        <f t="shared" si="6"/>
        <v>7.1856942051855555</v>
      </c>
      <c r="H51" s="78">
        <f t="shared" si="7"/>
        <v>-2.8000000000076852</v>
      </c>
      <c r="I51" s="77">
        <f t="shared" si="8"/>
        <v>-4.8242789262076258E-2</v>
      </c>
      <c r="J51" s="77">
        <f t="shared" si="9"/>
        <v>14.658372322278179</v>
      </c>
      <c r="K51" s="77">
        <f t="shared" si="10"/>
        <v>-8.7999999999937017</v>
      </c>
      <c r="L51" s="78">
        <f t="shared" si="11"/>
        <v>-9.9331155719539765</v>
      </c>
      <c r="M51" s="78">
        <f t="shared" si="12"/>
        <v>-0.9696356873512002</v>
      </c>
      <c r="N51" s="77">
        <f t="shared" si="13"/>
        <v>-66.900000000003956</v>
      </c>
      <c r="O51" s="77">
        <f t="shared" si="14"/>
        <v>1.5903205061817971</v>
      </c>
      <c r="P51" s="77">
        <f t="shared" si="15"/>
        <v>-0.31215320812849612</v>
      </c>
      <c r="Q51" s="77">
        <f t="shared" si="16"/>
        <v>-46.399999999991337</v>
      </c>
      <c r="R51" s="51">
        <f t="shared" si="17"/>
        <v>-0.52289216105805281</v>
      </c>
      <c r="S51" s="51">
        <f t="shared" si="18"/>
        <v>-16.225652482628306</v>
      </c>
      <c r="T51" s="51">
        <f t="shared" si="19"/>
        <v>3.5000000000025011</v>
      </c>
      <c r="U51" s="77">
        <f t="shared" si="20"/>
        <v>-2.8150435115037453</v>
      </c>
      <c r="V51" s="77">
        <f t="shared" si="21"/>
        <v>-18.722323867291557</v>
      </c>
      <c r="W51" s="77">
        <f t="shared" si="22"/>
        <v>-6.0000000000002274</v>
      </c>
      <c r="Y51" s="93">
        <f t="shared" si="33"/>
        <v>-133.80000000000791</v>
      </c>
      <c r="Z51" s="96">
        <f t="shared" si="34"/>
        <v>7.407407406600652E-3</v>
      </c>
    </row>
    <row r="52" spans="1:26" ht="24.95" customHeight="1" x14ac:dyDescent="0.2">
      <c r="A52" s="29">
        <f t="shared" si="0"/>
        <v>265</v>
      </c>
      <c r="B52" s="30">
        <f t="shared" si="1"/>
        <v>43970</v>
      </c>
      <c r="C52" s="77"/>
      <c r="D52" s="77"/>
      <c r="E52" s="77"/>
      <c r="F52" s="78"/>
      <c r="G52" s="78"/>
      <c r="H52" s="78"/>
      <c r="I52" s="77"/>
      <c r="J52" s="77"/>
      <c r="K52" s="77"/>
      <c r="L52" s="78"/>
      <c r="M52" s="78"/>
      <c r="N52" s="77"/>
      <c r="O52" s="77"/>
      <c r="P52" s="77"/>
      <c r="Q52" s="77"/>
      <c r="R52" s="51"/>
      <c r="S52" s="51"/>
      <c r="T52" s="51"/>
      <c r="U52" s="77"/>
      <c r="V52" s="77"/>
      <c r="W52" s="77"/>
      <c r="Z52" s="96"/>
    </row>
    <row r="53" spans="1:26" ht="24.95" customHeight="1" x14ac:dyDescent="0.2">
      <c r="A53" s="29">
        <f t="shared" si="0"/>
        <v>272</v>
      </c>
      <c r="B53" s="30">
        <f t="shared" si="1"/>
        <v>43977</v>
      </c>
      <c r="C53" s="77">
        <f t="shared" si="2"/>
        <v>-6.918386537790866E-2</v>
      </c>
      <c r="D53" s="77">
        <f t="shared" si="3"/>
        <v>8.6010247454253452</v>
      </c>
      <c r="E53" s="77">
        <f t="shared" si="4"/>
        <v>7.40000000000407</v>
      </c>
      <c r="F53" s="78">
        <f t="shared" si="5"/>
        <v>-8.4769517596612332</v>
      </c>
      <c r="G53" s="78">
        <f t="shared" si="6"/>
        <v>7.5856942051859555</v>
      </c>
      <c r="H53" s="78">
        <f t="shared" si="7"/>
        <v>-3.7000000000091404</v>
      </c>
      <c r="I53" s="77">
        <f t="shared" si="8"/>
        <v>-0.54824278925025283</v>
      </c>
      <c r="J53" s="77">
        <f t="shared" si="9"/>
        <v>15.658372322278069</v>
      </c>
      <c r="K53" s="77">
        <f t="shared" si="10"/>
        <v>-10.099999999994225</v>
      </c>
      <c r="L53" s="78">
        <f t="shared" si="11"/>
        <v>-11.633115571953567</v>
      </c>
      <c r="M53" s="78">
        <f t="shared" si="12"/>
        <v>-0.16963568735117729</v>
      </c>
      <c r="N53" s="77">
        <f t="shared" si="13"/>
        <v>-69.400000000001683</v>
      </c>
      <c r="O53" s="77">
        <f t="shared" si="14"/>
        <v>0.79032050618366156</v>
      </c>
      <c r="P53" s="77">
        <f t="shared" si="15"/>
        <v>0.48784679187163782</v>
      </c>
      <c r="Q53" s="77">
        <f t="shared" si="16"/>
        <v>-47.999999999987608</v>
      </c>
      <c r="R53" s="51">
        <f t="shared" si="17"/>
        <v>-1.5228921610628277</v>
      </c>
      <c r="S53" s="51">
        <f t="shared" si="18"/>
        <v>-15.525652482628605</v>
      </c>
      <c r="T53" s="51">
        <f t="shared" si="19"/>
        <v>2.6000000000010459</v>
      </c>
      <c r="U53" s="77">
        <f t="shared" si="20"/>
        <v>-4.0150435115151595</v>
      </c>
      <c r="V53" s="77">
        <f t="shared" si="21"/>
        <v>-18.22232386729139</v>
      </c>
      <c r="W53" s="77">
        <f t="shared" si="22"/>
        <v>-7.0000000000050022</v>
      </c>
      <c r="Y53" s="93">
        <f t="shared" ref="Y53" si="35">2*N53</f>
        <v>-138.80000000000337</v>
      </c>
      <c r="Z53" s="96">
        <f t="shared" ref="Z53" si="36">(Y53-Y52)/(B53-B52)</f>
        <v>-19.828571428571909</v>
      </c>
    </row>
    <row r="54" spans="1:26" ht="24.95" customHeight="1" x14ac:dyDescent="0.2">
      <c r="A54" s="29">
        <f t="shared" si="0"/>
        <v>292</v>
      </c>
      <c r="B54" s="30">
        <f t="shared" si="1"/>
        <v>43997</v>
      </c>
      <c r="C54" s="77">
        <f t="shared" si="2"/>
        <v>1.9598082361085289</v>
      </c>
      <c r="D54" s="77">
        <f t="shared" si="3"/>
        <v>9.5204596792020091</v>
      </c>
      <c r="E54" s="77">
        <f t="shared" si="4"/>
        <v>8.6000000000012733</v>
      </c>
      <c r="F54" s="78">
        <f t="shared" si="5"/>
        <v>-6.6974774171910667</v>
      </c>
      <c r="G54" s="78">
        <f t="shared" si="6"/>
        <v>8.6829600885955927</v>
      </c>
      <c r="H54" s="78">
        <f t="shared" si="7"/>
        <v>-2.7000000000043656</v>
      </c>
      <c r="I54" s="77"/>
      <c r="J54" s="77"/>
      <c r="K54" s="77"/>
      <c r="L54" s="78">
        <f t="shared" si="11"/>
        <v>-9.1823381042956953</v>
      </c>
      <c r="M54" s="78">
        <f t="shared" si="12"/>
        <v>1.234774667823374</v>
      </c>
      <c r="N54" s="77">
        <f t="shared" si="13"/>
        <v>-67.700000000002092</v>
      </c>
      <c r="O54" s="77">
        <f t="shared" si="14"/>
        <v>2.3441617278479043</v>
      </c>
      <c r="P54" s="77">
        <f t="shared" si="15"/>
        <v>0.65184798631512386</v>
      </c>
      <c r="Q54" s="77">
        <f t="shared" si="16"/>
        <v>-46.899999999993724</v>
      </c>
      <c r="R54" s="51">
        <f t="shared" si="17"/>
        <v>7.4593720398752339E-2</v>
      </c>
      <c r="S54" s="51">
        <f t="shared" si="18"/>
        <v>-15.302432290511092</v>
      </c>
      <c r="T54" s="51">
        <f t="shared" si="19"/>
        <v>3.6000000000058208</v>
      </c>
      <c r="U54" s="77"/>
      <c r="V54" s="77"/>
      <c r="W54" s="77"/>
      <c r="Y54" s="93">
        <f t="shared" ref="Y54:Y55" si="37">2*N54</f>
        <v>-135.40000000000418</v>
      </c>
      <c r="Z54" s="96">
        <f t="shared" ref="Z54:Z55" si="38">(Y54-Y53)/(B54-B53)</f>
        <v>0.16999999999995907</v>
      </c>
    </row>
    <row r="55" spans="1:26" ht="24.95" customHeight="1" x14ac:dyDescent="0.2">
      <c r="A55" s="29">
        <f t="shared" si="0"/>
        <v>324</v>
      </c>
      <c r="B55" s="30">
        <f t="shared" si="1"/>
        <v>44029</v>
      </c>
      <c r="C55" s="77">
        <f t="shared" si="2"/>
        <v>0.73936334135282777</v>
      </c>
      <c r="D55" s="77">
        <f t="shared" si="3"/>
        <v>9.0616413265713902</v>
      </c>
      <c r="E55" s="77">
        <f t="shared" si="4"/>
        <v>8.7000000000045929</v>
      </c>
      <c r="F55" s="78">
        <f t="shared" si="5"/>
        <v>-7.9662863462317546</v>
      </c>
      <c r="G55" s="78">
        <f t="shared" si="6"/>
        <v>8.0912472463761098</v>
      </c>
      <c r="H55" s="78">
        <f t="shared" si="7"/>
        <v>-2.4000000000086175</v>
      </c>
      <c r="I55" s="77">
        <f t="shared" si="8"/>
        <v>-0.10466144709653236</v>
      </c>
      <c r="J55" s="77">
        <f t="shared" si="9"/>
        <v>15.840108746190573</v>
      </c>
      <c r="K55" s="77">
        <f t="shared" si="10"/>
        <v>-8.8999999999970214</v>
      </c>
      <c r="L55" s="78">
        <f t="shared" si="11"/>
        <v>-11.321272599190024</v>
      </c>
      <c r="M55" s="78">
        <f t="shared" si="12"/>
        <v>-9.3743168922966191E-2</v>
      </c>
      <c r="N55" s="77">
        <f t="shared" si="13"/>
        <v>-69.199999999995043</v>
      </c>
      <c r="O55" s="77">
        <f t="shared" si="14"/>
        <v>1.437869635651623</v>
      </c>
      <c r="P55" s="77">
        <f t="shared" si="15"/>
        <v>0.22919595617598709</v>
      </c>
      <c r="Q55" s="77">
        <f t="shared" si="16"/>
        <v>-47.100000000000364</v>
      </c>
      <c r="R55" s="51">
        <f t="shared" si="17"/>
        <v>-1.0129566847467686</v>
      </c>
      <c r="S55" s="51">
        <f t="shared" si="18"/>
        <v>-15.809614677514183</v>
      </c>
      <c r="T55" s="51">
        <f t="shared" si="19"/>
        <v>3.7999999999982492</v>
      </c>
      <c r="U55" s="77">
        <f t="shared" si="20"/>
        <v>-2.9165963183288568</v>
      </c>
      <c r="V55" s="77">
        <f t="shared" si="21"/>
        <v>-18.352478609341194</v>
      </c>
      <c r="W55" s="77">
        <f t="shared" si="22"/>
        <v>-5.49999999999784</v>
      </c>
      <c r="Y55" s="93">
        <f t="shared" si="37"/>
        <v>-138.39999999999009</v>
      </c>
      <c r="Z55" s="96">
        <f t="shared" si="38"/>
        <v>-9.3749999999559464E-2</v>
      </c>
    </row>
    <row r="56" spans="1:26" ht="24.95" customHeight="1" x14ac:dyDescent="0.2">
      <c r="A56" s="29">
        <f t="shared" si="0"/>
        <v>350</v>
      </c>
      <c r="B56" s="30">
        <f t="shared" si="1"/>
        <v>44055</v>
      </c>
      <c r="C56" s="77">
        <f t="shared" si="2"/>
        <v>1.8447838668578243</v>
      </c>
      <c r="D56" s="77">
        <f t="shared" si="3"/>
        <v>8.5841000149535773</v>
      </c>
      <c r="E56" s="77">
        <f t="shared" si="4"/>
        <v>8.0999999999988859</v>
      </c>
      <c r="F56" s="78">
        <f t="shared" si="5"/>
        <v>-7.5253378537638582</v>
      </c>
      <c r="G56" s="78">
        <f t="shared" si="6"/>
        <v>7.8555260431434348</v>
      </c>
      <c r="H56" s="78">
        <f t="shared" si="7"/>
        <v>-3.0000000000001137</v>
      </c>
      <c r="I56" s="77"/>
      <c r="J56" s="77"/>
      <c r="K56" s="77"/>
      <c r="L56" s="78">
        <f t="shared" si="11"/>
        <v>-9.5936453666638499</v>
      </c>
      <c r="M56" s="78">
        <f t="shared" si="12"/>
        <v>-0.72247511590878277</v>
      </c>
      <c r="N56" s="77">
        <f t="shared" si="13"/>
        <v>-69.599999999994111</v>
      </c>
      <c r="O56" s="77">
        <f t="shared" si="14"/>
        <v>1.8788180226181339</v>
      </c>
      <c r="P56" s="77">
        <f t="shared" si="15"/>
        <v>-6.5252962921924507E-3</v>
      </c>
      <c r="Q56" s="77">
        <f t="shared" si="16"/>
        <v>-47.999999999987608</v>
      </c>
      <c r="R56" s="51">
        <f t="shared" si="17"/>
        <v>-0.27615190126084599</v>
      </c>
      <c r="S56" s="51">
        <f t="shared" si="18"/>
        <v>-16.679740341702942</v>
      </c>
      <c r="T56" s="51">
        <f t="shared" si="19"/>
        <v>3.2999999999958618</v>
      </c>
      <c r="U56" s="77"/>
      <c r="V56" s="77"/>
      <c r="W56" s="77"/>
      <c r="Y56" s="93">
        <f t="shared" ref="Y56:Y60" si="39">2*N56</f>
        <v>-139.19999999998822</v>
      </c>
      <c r="Z56" s="96">
        <f t="shared" ref="Z56:Z57" si="40">(Y56-Y55)/(B56-B55)</f>
        <v>-3.0769230769159057E-2</v>
      </c>
    </row>
    <row r="57" spans="1:26" ht="24.95" customHeight="1" x14ac:dyDescent="0.2">
      <c r="A57" s="29">
        <f t="shared" si="0"/>
        <v>377</v>
      </c>
      <c r="B57" s="30">
        <f t="shared" si="1"/>
        <v>44082</v>
      </c>
      <c r="C57" s="77">
        <f t="shared" si="2"/>
        <v>1.1925093347144866</v>
      </c>
      <c r="D57" s="77">
        <f t="shared" si="3"/>
        <v>9.2729673170777183</v>
      </c>
      <c r="E57" s="77">
        <f t="shared" si="4"/>
        <v>7.6000000000107093</v>
      </c>
      <c r="F57" s="78"/>
      <c r="G57" s="78"/>
      <c r="H57" s="78"/>
      <c r="I57" s="77"/>
      <c r="J57" s="77"/>
      <c r="K57" s="77"/>
      <c r="L57" s="78">
        <f t="shared" si="11"/>
        <v>-10.161389338065874</v>
      </c>
      <c r="M57" s="78">
        <f t="shared" si="12"/>
        <v>-0.21486628857944612</v>
      </c>
      <c r="N57" s="77">
        <f t="shared" si="13"/>
        <v>-70.799999999991314</v>
      </c>
      <c r="O57" s="77">
        <f t="shared" si="14"/>
        <v>0.89409438032816979</v>
      </c>
      <c r="P57" s="77">
        <f t="shared" si="15"/>
        <v>-2.4395261925436174E-2</v>
      </c>
      <c r="Q57" s="77">
        <f t="shared" si="16"/>
        <v>-49.099999999995703</v>
      </c>
      <c r="R57" s="51">
        <f t="shared" si="17"/>
        <v>-0.72319909497764456</v>
      </c>
      <c r="S57" s="51">
        <f t="shared" si="18"/>
        <v>-16.667542840873573</v>
      </c>
      <c r="T57" s="51">
        <f t="shared" si="19"/>
        <v>2.8000000000076852</v>
      </c>
      <c r="U57" s="77"/>
      <c r="V57" s="77"/>
      <c r="W57" s="77"/>
      <c r="Y57" s="93">
        <f t="shared" si="39"/>
        <v>-141.59999999998263</v>
      </c>
      <c r="Z57" s="96">
        <f t="shared" si="40"/>
        <v>-8.8888888888681725E-2</v>
      </c>
    </row>
    <row r="58" spans="1:26" ht="24.95" customHeight="1" x14ac:dyDescent="0.2">
      <c r="A58" s="29"/>
      <c r="B58" s="30"/>
      <c r="C58" s="77"/>
      <c r="D58" s="77"/>
      <c r="E58" s="77"/>
      <c r="F58" s="78"/>
      <c r="G58" s="78"/>
      <c r="H58" s="78"/>
      <c r="I58" s="77"/>
      <c r="J58" s="77"/>
      <c r="K58" s="77"/>
      <c r="L58" s="78"/>
      <c r="M58" s="78"/>
      <c r="N58" s="77"/>
      <c r="O58" s="77"/>
      <c r="P58" s="77"/>
      <c r="Q58" s="77"/>
      <c r="R58" s="51"/>
      <c r="S58" s="51"/>
      <c r="T58" s="51"/>
      <c r="U58" s="77"/>
      <c r="V58" s="77"/>
      <c r="W58" s="77"/>
      <c r="Z58" s="96"/>
    </row>
    <row r="59" spans="1:26" ht="24.95" customHeight="1" x14ac:dyDescent="0.2">
      <c r="A59" s="29">
        <f t="shared" si="0"/>
        <v>435</v>
      </c>
      <c r="B59" s="30">
        <f t="shared" si="1"/>
        <v>44140</v>
      </c>
      <c r="C59" s="77"/>
      <c r="D59" s="77"/>
      <c r="E59" s="77"/>
      <c r="F59" s="78">
        <f t="shared" si="5"/>
        <v>-7.5253378537638582</v>
      </c>
      <c r="G59" s="78">
        <f t="shared" si="6"/>
        <v>7.8555260431434348</v>
      </c>
      <c r="H59" s="78">
        <f t="shared" si="7"/>
        <v>-3.0000000000001137</v>
      </c>
      <c r="I59" s="77"/>
      <c r="J59" s="77"/>
      <c r="K59" s="77"/>
      <c r="L59" s="78">
        <f t="shared" si="11"/>
        <v>-10.161389338065874</v>
      </c>
      <c r="M59" s="78">
        <f t="shared" si="12"/>
        <v>-0.21486628857944612</v>
      </c>
      <c r="N59" s="77">
        <f t="shared" si="13"/>
        <v>-70.799999999991314</v>
      </c>
      <c r="O59" s="77"/>
      <c r="P59" s="77"/>
      <c r="Q59" s="77"/>
      <c r="R59" s="51">
        <f t="shared" si="17"/>
        <v>-0.72319909497764456</v>
      </c>
      <c r="S59" s="51">
        <f t="shared" si="18"/>
        <v>-16.667542840873573</v>
      </c>
      <c r="T59" s="51">
        <f t="shared" si="19"/>
        <v>2.8000000000076852</v>
      </c>
      <c r="U59" s="77"/>
      <c r="V59" s="77"/>
      <c r="W59" s="77"/>
      <c r="Y59" s="93">
        <f t="shared" si="39"/>
        <v>-141.59999999998263</v>
      </c>
      <c r="Z59" s="96">
        <f t="shared" ref="Z59" si="41">(Y59-Y58)/(B59-B58)</f>
        <v>-3.207974626189004E-3</v>
      </c>
    </row>
    <row r="60" spans="1:26" ht="24.95" customHeight="1" x14ac:dyDescent="0.2">
      <c r="A60" s="29">
        <f t="shared" si="0"/>
        <v>467</v>
      </c>
      <c r="B60" s="30">
        <f t="shared" si="1"/>
        <v>44172</v>
      </c>
      <c r="C60" s="77"/>
      <c r="D60" s="77"/>
      <c r="E60" s="77"/>
      <c r="F60" s="78">
        <f t="shared" si="5"/>
        <v>-6.7727504443553244</v>
      </c>
      <c r="G60" s="78">
        <f t="shared" si="6"/>
        <v>8.2272942794552328</v>
      </c>
      <c r="H60" s="78">
        <f t="shared" si="7"/>
        <v>-2.3000000000052978</v>
      </c>
      <c r="I60" s="77"/>
      <c r="J60" s="77"/>
      <c r="K60" s="77"/>
      <c r="L60" s="78">
        <f t="shared" si="11"/>
        <v>-9.7000695625695244</v>
      </c>
      <c r="M60" s="78">
        <f t="shared" si="12"/>
        <v>0.29918127769087977</v>
      </c>
      <c r="N60" s="77">
        <f t="shared" si="13"/>
        <v>-70.899999999994634</v>
      </c>
      <c r="O60" s="77"/>
      <c r="P60" s="77"/>
      <c r="Q60" s="77"/>
      <c r="R60" s="51">
        <f t="shared" si="17"/>
        <v>0.10065379805723751</v>
      </c>
      <c r="S60" s="51">
        <f t="shared" si="18"/>
        <v>-15.948845515157739</v>
      </c>
      <c r="T60" s="51">
        <f t="shared" si="19"/>
        <v>3.5000000000025011</v>
      </c>
      <c r="U60" s="77"/>
      <c r="V60" s="77"/>
      <c r="W60" s="77"/>
      <c r="Y60" s="93">
        <f t="shared" si="39"/>
        <v>-141.79999999998927</v>
      </c>
      <c r="Z60" s="96">
        <f t="shared" ref="Z60:Z61" si="42">(Y60-Y59)/(B60-B59)</f>
        <v>-6.2500000002074785E-3</v>
      </c>
    </row>
    <row r="61" spans="1:26" ht="24.95" customHeight="1" x14ac:dyDescent="0.2">
      <c r="A61" s="29">
        <f t="shared" si="0"/>
        <v>524</v>
      </c>
      <c r="B61" s="30">
        <f t="shared" si="1"/>
        <v>44229</v>
      </c>
      <c r="C61" s="77"/>
      <c r="D61" s="77"/>
      <c r="E61" s="77"/>
      <c r="F61" s="78">
        <f t="shared" si="5"/>
        <v>-7.4253378537605386</v>
      </c>
      <c r="G61" s="78">
        <f t="shared" si="6"/>
        <v>7.9555260431436459</v>
      </c>
      <c r="H61" s="78">
        <f t="shared" si="7"/>
        <v>-2.3000000000052978</v>
      </c>
      <c r="I61" s="77"/>
      <c r="J61" s="77"/>
      <c r="K61" s="77"/>
      <c r="L61" s="78">
        <f t="shared" si="11"/>
        <v>-10.161389338065874</v>
      </c>
      <c r="M61" s="78">
        <f t="shared" si="12"/>
        <v>-0.71486628857944656</v>
      </c>
      <c r="N61" s="77">
        <f t="shared" si="13"/>
        <v>-70.399999999992247</v>
      </c>
      <c r="O61" s="77"/>
      <c r="P61" s="77"/>
      <c r="Q61" s="77"/>
      <c r="R61" s="51">
        <f t="shared" si="17"/>
        <v>-1.4231990949724604</v>
      </c>
      <c r="S61" s="51">
        <f t="shared" si="18"/>
        <v>-17.16754284087374</v>
      </c>
      <c r="T61" s="51">
        <f t="shared" si="19"/>
        <v>4.0000000000048885</v>
      </c>
      <c r="U61" s="77"/>
      <c r="V61" s="77"/>
      <c r="W61" s="77"/>
      <c r="Y61" s="93">
        <f t="shared" ref="Y61" si="43">2*N61</f>
        <v>-140.79999999998449</v>
      </c>
      <c r="Z61" s="96">
        <f t="shared" si="42"/>
        <v>1.7543859649206576E-2</v>
      </c>
    </row>
    <row r="62" spans="1:26" ht="24.95" customHeight="1" x14ac:dyDescent="0.2">
      <c r="A62" s="29">
        <f t="shared" si="0"/>
        <v>568</v>
      </c>
      <c r="B62" s="30">
        <f t="shared" si="1"/>
        <v>44273</v>
      </c>
      <c r="C62" s="77"/>
      <c r="D62" s="77"/>
      <c r="E62" s="77"/>
      <c r="F62" s="78">
        <f t="shared" si="5"/>
        <v>-7.9936217302076784</v>
      </c>
      <c r="G62" s="78">
        <f t="shared" si="6"/>
        <v>6.1131814447406008</v>
      </c>
      <c r="H62" s="78">
        <f t="shared" si="7"/>
        <v>-1.6999999999995907</v>
      </c>
      <c r="I62" s="77"/>
      <c r="J62" s="77"/>
      <c r="K62" s="77"/>
      <c r="L62" s="78">
        <f t="shared" si="11"/>
        <v>-10.069111695713673</v>
      </c>
      <c r="M62" s="78">
        <f t="shared" si="12"/>
        <v>-1.7486975570087104</v>
      </c>
      <c r="N62" s="77">
        <f t="shared" si="13"/>
        <v>-70.899999999994634</v>
      </c>
      <c r="O62" s="77"/>
      <c r="P62" s="77"/>
      <c r="Q62" s="77"/>
      <c r="R62" s="51">
        <f t="shared" si="17"/>
        <v>1.2601105625265063</v>
      </c>
      <c r="S62" s="51">
        <f t="shared" si="18"/>
        <v>-17.725263166085359</v>
      </c>
      <c r="T62" s="51">
        <f t="shared" si="19"/>
        <v>4.1000000000082082</v>
      </c>
      <c r="U62" s="77"/>
      <c r="V62" s="77"/>
      <c r="W62" s="77"/>
      <c r="Y62" s="93">
        <f t="shared" ref="Y62" si="44">2*N62</f>
        <v>-141.79999999998927</v>
      </c>
      <c r="Z62" s="96">
        <f t="shared" ref="Z62" si="45">(Y62-Y61)/(B62-B61)</f>
        <v>-2.2727272727381245E-2</v>
      </c>
    </row>
    <row r="63" spans="1:26" ht="24.95" customHeight="1" x14ac:dyDescent="0.2">
      <c r="A63" s="29">
        <f t="shared" si="0"/>
        <v>617</v>
      </c>
      <c r="B63" s="30">
        <f t="shared" si="1"/>
        <v>44322</v>
      </c>
      <c r="C63" s="77">
        <f t="shared" ref="C63:C77" si="46">DPM_BG</f>
        <v>-1.2540527648354782</v>
      </c>
      <c r="D63" s="77">
        <f t="shared" ref="D63:D77" si="47">DH_BG</f>
        <v>9.7871013915002969</v>
      </c>
      <c r="E63" s="77">
        <f t="shared" ref="E63:E77" si="48">DZ_BG</f>
        <v>7.6999999999998181</v>
      </c>
      <c r="F63" s="78">
        <f t="shared" si="5"/>
        <v>-7.3409209124122299</v>
      </c>
      <c r="G63" s="78">
        <f t="shared" si="6"/>
        <v>7.0796085755242544</v>
      </c>
      <c r="H63" s="78">
        <f t="shared" si="7"/>
        <v>-2.2000000000019782</v>
      </c>
      <c r="I63" s="77"/>
      <c r="J63" s="77"/>
      <c r="K63" s="77"/>
      <c r="L63" s="78">
        <f t="shared" si="11"/>
        <v>-10.769750156754299</v>
      </c>
      <c r="M63" s="78">
        <f t="shared" si="12"/>
        <v>-1.1927246953320758</v>
      </c>
      <c r="N63" s="77">
        <f t="shared" si="13"/>
        <v>-71.999999999988518</v>
      </c>
      <c r="O63" s="77"/>
      <c r="P63" s="77"/>
      <c r="Q63" s="77"/>
      <c r="R63" s="51">
        <f t="shared" si="17"/>
        <v>0.29368343174951406</v>
      </c>
      <c r="S63" s="51">
        <f t="shared" si="18"/>
        <v>-17.072562348266374</v>
      </c>
      <c r="T63" s="51">
        <f t="shared" si="19"/>
        <v>3.7000000000091404</v>
      </c>
      <c r="U63" s="77">
        <f t="shared" ref="U63:U64" si="49">DPM_BD</f>
        <v>-1.0264334716225676</v>
      </c>
      <c r="V63" s="77">
        <f t="shared" ref="V63:V64" si="50">DH_BD</f>
        <v>-21.222545626835121</v>
      </c>
      <c r="W63" s="77">
        <f t="shared" ref="W63:W64" si="51">DZ_BD</f>
        <v>-8.6000000000012733</v>
      </c>
      <c r="Y63" s="93">
        <f t="shared" ref="Y63" si="52">2*N63</f>
        <v>-143.99999999997704</v>
      </c>
      <c r="Z63" s="96">
        <f t="shared" ref="Z63" si="53">(Y63-Y62)/(B63-B62)</f>
        <v>-4.4897959183423819E-2</v>
      </c>
    </row>
    <row r="64" spans="1:26" ht="24.95" customHeight="1" x14ac:dyDescent="0.2">
      <c r="A64" s="29">
        <f t="shared" si="0"/>
        <v>652</v>
      </c>
      <c r="B64" s="30">
        <f t="shared" si="1"/>
        <v>44357</v>
      </c>
      <c r="C64" s="77">
        <f t="shared" si="46"/>
        <v>-1.6891155969460669</v>
      </c>
      <c r="D64" s="77">
        <f t="shared" si="47"/>
        <v>9.4186989997528947</v>
      </c>
      <c r="E64" s="77">
        <f t="shared" si="48"/>
        <v>5.4000000000087311</v>
      </c>
      <c r="F64" s="78">
        <f t="shared" si="5"/>
        <v>-7.2986555792908803</v>
      </c>
      <c r="G64" s="78">
        <f t="shared" si="6"/>
        <v>6.9889793627662122</v>
      </c>
      <c r="H64" s="78">
        <f t="shared" si="7"/>
        <v>-4.8000000000030241</v>
      </c>
      <c r="I64" s="77"/>
      <c r="J64" s="77"/>
      <c r="K64" s="77"/>
      <c r="L64" s="78">
        <f t="shared" si="11"/>
        <v>-10.775635613185841</v>
      </c>
      <c r="M64" s="78">
        <f t="shared" si="12"/>
        <v>-0.58860126217177844</v>
      </c>
      <c r="N64" s="77">
        <f t="shared" si="13"/>
        <v>-74.549999999987904</v>
      </c>
      <c r="O64" s="77"/>
      <c r="P64" s="77"/>
      <c r="Q64" s="77"/>
      <c r="R64" s="51">
        <f t="shared" si="17"/>
        <v>0.13944323120540503</v>
      </c>
      <c r="S64" s="51">
        <f t="shared" si="18"/>
        <v>-17.806531135006853</v>
      </c>
      <c r="T64" s="51">
        <f t="shared" si="19"/>
        <v>1.1500000000097543</v>
      </c>
      <c r="U64" s="77">
        <f t="shared" si="49"/>
        <v>-1.340799420518124</v>
      </c>
      <c r="V64" s="77">
        <f t="shared" si="50"/>
        <v>-22.086359295864</v>
      </c>
      <c r="W64" s="77">
        <f t="shared" si="51"/>
        <v>-10.850000000004911</v>
      </c>
      <c r="Y64" s="93">
        <f t="shared" ref="Y64:Y65" si="54">2*N64</f>
        <v>-149.09999999997581</v>
      </c>
      <c r="Z64" s="96">
        <f t="shared" ref="Z64:Z65" si="55">(Y64-Y63)/(B64-B63)</f>
        <v>-0.14571428571425063</v>
      </c>
    </row>
    <row r="65" spans="1:26" ht="24.95" customHeight="1" x14ac:dyDescent="0.2">
      <c r="A65" s="29">
        <f t="shared" si="0"/>
        <v>664</v>
      </c>
      <c r="B65" s="30">
        <f t="shared" si="1"/>
        <v>44369</v>
      </c>
      <c r="C65" s="77">
        <f t="shared" si="46"/>
        <v>-2.9877787970065128</v>
      </c>
      <c r="D65" s="77">
        <f t="shared" si="47"/>
        <v>10.192309847124381</v>
      </c>
      <c r="E65" s="77">
        <f t="shared" si="48"/>
        <v>4.6999999999997044</v>
      </c>
      <c r="F65" s="78">
        <f t="shared" si="5"/>
        <v>-8.6275996524420862</v>
      </c>
      <c r="G65" s="78">
        <f t="shared" si="6"/>
        <v>7.4726193193161983</v>
      </c>
      <c r="H65" s="78">
        <f t="shared" si="7"/>
        <v>-5.3999999999945203</v>
      </c>
      <c r="I65" s="77"/>
      <c r="J65" s="77"/>
      <c r="K65" s="77"/>
      <c r="L65" s="78">
        <f t="shared" si="11"/>
        <v>-13.065121360682497</v>
      </c>
      <c r="M65" s="78">
        <f t="shared" si="12"/>
        <v>-5.638392100568157E-2</v>
      </c>
      <c r="N65" s="77">
        <f t="shared" si="13"/>
        <v>-75.699999999997658</v>
      </c>
      <c r="O65" s="77"/>
      <c r="P65" s="77"/>
      <c r="Q65" s="77"/>
      <c r="R65" s="51">
        <f t="shared" si="17"/>
        <v>-2.1472063577334666</v>
      </c>
      <c r="S65" s="51">
        <f t="shared" si="18"/>
        <v>-17.99019905359156</v>
      </c>
      <c r="T65" s="51">
        <f t="shared" si="19"/>
        <v>0.50000000000238742</v>
      </c>
      <c r="U65" s="77"/>
      <c r="V65" s="77"/>
      <c r="W65" s="77"/>
      <c r="Y65" s="93">
        <f t="shared" si="54"/>
        <v>-151.39999999999532</v>
      </c>
      <c r="Z65" s="96">
        <f t="shared" si="55"/>
        <v>-0.19166666666829238</v>
      </c>
    </row>
    <row r="66" spans="1:26" ht="24.95" customHeight="1" x14ac:dyDescent="0.2">
      <c r="A66" s="29">
        <f t="shared" si="0"/>
        <v>671</v>
      </c>
      <c r="B66" s="30">
        <f t="shared" si="1"/>
        <v>44376</v>
      </c>
      <c r="C66" s="77">
        <f t="shared" si="46"/>
        <v>-3.2113024430486803</v>
      </c>
      <c r="D66" s="77">
        <f t="shared" si="47"/>
        <v>10.198408703072204</v>
      </c>
      <c r="E66" s="77">
        <f t="shared" si="48"/>
        <v>5.2000000000020918</v>
      </c>
      <c r="F66" s="78">
        <f t="shared" si="5"/>
        <v>-8.851123298541097</v>
      </c>
      <c r="G66" s="78">
        <f t="shared" si="6"/>
        <v>7.4787181752387077</v>
      </c>
      <c r="H66" s="78">
        <f t="shared" si="7"/>
        <v>-4.8000000000030241</v>
      </c>
      <c r="I66" s="77"/>
      <c r="J66" s="77"/>
      <c r="K66" s="77"/>
      <c r="L66" s="78">
        <f t="shared" si="11"/>
        <v>-13.288645006724664</v>
      </c>
      <c r="M66" s="78">
        <f t="shared" si="12"/>
        <v>-5.0285065031768772E-2</v>
      </c>
      <c r="N66" s="77">
        <f t="shared" si="13"/>
        <v>-75.499999999991019</v>
      </c>
      <c r="O66" s="77"/>
      <c r="P66" s="77"/>
      <c r="Q66" s="77"/>
      <c r="R66" s="51">
        <f t="shared" si="17"/>
        <v>-2.3707299053512543</v>
      </c>
      <c r="S66" s="51">
        <f t="shared" si="18"/>
        <v>-17.984100408629633</v>
      </c>
      <c r="T66" s="51">
        <f t="shared" si="19"/>
        <v>0.80000000001234639</v>
      </c>
      <c r="U66" s="77"/>
      <c r="V66" s="77"/>
      <c r="W66" s="77"/>
      <c r="Y66" s="93">
        <f t="shared" ref="Y66:Y67" si="56">2*N66</f>
        <v>-150.99999999998204</v>
      </c>
      <c r="Z66" s="96">
        <f t="shared" ref="Z66:Z67" si="57">(Y66-Y65)/(B66-B65)</f>
        <v>5.7142857144754089E-2</v>
      </c>
    </row>
    <row r="67" spans="1:26" ht="24.95" customHeight="1" x14ac:dyDescent="0.2">
      <c r="A67" s="29">
        <f t="shared" si="0"/>
        <v>695</v>
      </c>
      <c r="B67" s="30">
        <f t="shared" si="1"/>
        <v>44400</v>
      </c>
      <c r="C67" s="77">
        <f t="shared" si="46"/>
        <v>-3.1629384158122775</v>
      </c>
      <c r="D67" s="77">
        <f t="shared" si="47"/>
        <v>10.331302932458097</v>
      </c>
      <c r="E67" s="77">
        <f t="shared" si="48"/>
        <v>5.49999999999784</v>
      </c>
      <c r="F67" s="78">
        <f t="shared" si="5"/>
        <v>-9.4249661751177882</v>
      </c>
      <c r="G67" s="78">
        <f t="shared" si="6"/>
        <v>7.7628034620143005</v>
      </c>
      <c r="H67" s="78">
        <f t="shared" si="7"/>
        <v>-4.5999999999963848</v>
      </c>
      <c r="I67" s="77"/>
      <c r="J67" s="77"/>
      <c r="K67" s="77"/>
      <c r="L67" s="78">
        <f t="shared" si="11"/>
        <v>-13.566631388385986</v>
      </c>
      <c r="M67" s="78">
        <f t="shared" si="12"/>
        <v>-0.4006044010685661</v>
      </c>
      <c r="N67" s="77">
        <f t="shared" si="13"/>
        <v>-75.899999999990087</v>
      </c>
      <c r="O67" s="77"/>
      <c r="P67" s="77"/>
      <c r="Q67" s="77"/>
      <c r="R67" s="51">
        <f t="shared" si="17"/>
        <v>-2.9750667943062581</v>
      </c>
      <c r="S67" s="51">
        <f t="shared" si="18"/>
        <v>-18.817633099007747</v>
      </c>
      <c r="T67" s="51">
        <f t="shared" si="19"/>
        <v>1.0000000000047748</v>
      </c>
      <c r="U67" s="77">
        <f t="shared" ref="U67:U77" si="58">DPM_BD</f>
        <v>-4.0293948239877864</v>
      </c>
      <c r="V67" s="77">
        <f t="shared" ref="V67:V77" si="59">DH_BD</f>
        <v>-23.064344495506983</v>
      </c>
      <c r="W67" s="77">
        <f t="shared" ref="W67:W77" si="60">DZ_BD</f>
        <v>-10.900000000006571</v>
      </c>
      <c r="Y67" s="93">
        <f t="shared" si="56"/>
        <v>-151.79999999998017</v>
      </c>
      <c r="Z67" s="96">
        <f t="shared" si="57"/>
        <v>-3.3333333333255645E-2</v>
      </c>
    </row>
    <row r="68" spans="1:26" ht="24.95" customHeight="1" x14ac:dyDescent="0.2">
      <c r="A68" s="29">
        <f t="shared" si="0"/>
        <v>728</v>
      </c>
      <c r="B68" s="30">
        <f t="shared" si="1"/>
        <v>44433</v>
      </c>
      <c r="C68" s="77">
        <f t="shared" si="46"/>
        <v>-3.6343809206584865</v>
      </c>
      <c r="D68" s="77">
        <f t="shared" si="47"/>
        <v>9.4494061584722289</v>
      </c>
      <c r="E68" s="77">
        <f t="shared" si="48"/>
        <v>5.0999999999987722</v>
      </c>
      <c r="F68" s="78">
        <f t="shared" si="5"/>
        <v>-9.9386738091880034</v>
      </c>
      <c r="G68" s="78">
        <f t="shared" si="6"/>
        <v>6.9715357390367494</v>
      </c>
      <c r="H68" s="78">
        <f t="shared" si="7"/>
        <v>-4.9999999999954525</v>
      </c>
      <c r="I68" s="77"/>
      <c r="J68" s="77"/>
      <c r="K68" s="77"/>
      <c r="L68" s="78">
        <f t="shared" si="11"/>
        <v>-14.080339015350773</v>
      </c>
      <c r="M68" s="78">
        <f t="shared" si="12"/>
        <v>-1.19187186384348</v>
      </c>
      <c r="N68" s="77">
        <f t="shared" si="13"/>
        <v>-77.199999999990609</v>
      </c>
      <c r="O68" s="77"/>
      <c r="P68" s="77"/>
      <c r="Q68" s="77"/>
      <c r="R68" s="51">
        <f t="shared" si="17"/>
        <v>-3.3258124159942781</v>
      </c>
      <c r="S68" s="51">
        <f t="shared" si="18"/>
        <v>-20.194941150243118</v>
      </c>
      <c r="T68" s="51">
        <f t="shared" si="19"/>
        <v>0.30000000000995897</v>
      </c>
      <c r="U68" s="77">
        <f t="shared" si="58"/>
        <v>-4.1988820271967597</v>
      </c>
      <c r="V68" s="77">
        <f t="shared" si="59"/>
        <v>-24.357122140656884</v>
      </c>
      <c r="W68" s="77">
        <f t="shared" si="60"/>
        <v>-11.200000000002319</v>
      </c>
      <c r="Y68" s="93">
        <f t="shared" ref="Y68:Y74" si="61">2*N68</f>
        <v>-154.39999999998122</v>
      </c>
      <c r="Z68" s="96">
        <f t="shared" ref="Z68:Z78" si="62">(Y68-Y67)/(B68-B67)</f>
        <v>-7.8787878787910479E-2</v>
      </c>
    </row>
    <row r="69" spans="1:26" ht="24.95" customHeight="1" x14ac:dyDescent="0.2">
      <c r="A69" s="29">
        <f t="shared" si="0"/>
        <v>734</v>
      </c>
      <c r="B69" s="30">
        <f t="shared" si="1"/>
        <v>44439</v>
      </c>
      <c r="C69" s="77">
        <f t="shared" si="46"/>
        <v>-3.2413699659059603</v>
      </c>
      <c r="D69" s="77">
        <f t="shared" si="47"/>
        <v>10.736084996929129</v>
      </c>
      <c r="E69" s="77">
        <f t="shared" si="48"/>
        <v>5.2000000000020918</v>
      </c>
      <c r="F69" s="78">
        <f t="shared" si="5"/>
        <v>-9.3282381135111336</v>
      </c>
      <c r="G69" s="78">
        <f t="shared" si="6"/>
        <v>8.0285921809810645</v>
      </c>
      <c r="H69" s="78">
        <f t="shared" si="7"/>
        <v>-4.9000000000063437</v>
      </c>
      <c r="I69" s="77"/>
      <c r="J69" s="77"/>
      <c r="K69" s="77"/>
      <c r="L69" s="78">
        <f t="shared" si="11"/>
        <v>-13.651161843625914</v>
      </c>
      <c r="M69" s="78">
        <f t="shared" si="12"/>
        <v>-0.21934587712033049</v>
      </c>
      <c r="N69" s="77">
        <f t="shared" si="13"/>
        <v>-76.999999999998181</v>
      </c>
      <c r="O69" s="77"/>
      <c r="P69" s="77"/>
      <c r="Q69" s="77"/>
      <c r="R69" s="51">
        <f t="shared" si="17"/>
        <v>-3.4704781207892665</v>
      </c>
      <c r="S69" s="51">
        <f t="shared" si="18"/>
        <v>-18.938329876748039</v>
      </c>
      <c r="T69" s="51">
        <f t="shared" si="19"/>
        <v>0.50000000000238742</v>
      </c>
      <c r="U69" s="77">
        <f t="shared" si="58"/>
        <v>-4.2590172696748141</v>
      </c>
      <c r="V69" s="77">
        <f t="shared" si="59"/>
        <v>-23.281769130914398</v>
      </c>
      <c r="W69" s="77">
        <f t="shared" si="60"/>
        <v>-10.900000000006571</v>
      </c>
      <c r="Y69" s="93">
        <f t="shared" si="61"/>
        <v>-153.99999999999636</v>
      </c>
      <c r="Z69" s="96">
        <f t="shared" si="62"/>
        <v>6.6666666664142823E-2</v>
      </c>
    </row>
    <row r="70" spans="1:26" ht="24.95" customHeight="1" x14ac:dyDescent="0.2">
      <c r="A70" s="29">
        <f t="shared" si="0"/>
        <v>740</v>
      </c>
      <c r="B70" s="30">
        <f t="shared" si="1"/>
        <v>44445</v>
      </c>
      <c r="C70" s="77">
        <f t="shared" si="46"/>
        <v>-2.9276436529528382</v>
      </c>
      <c r="D70" s="77">
        <f t="shared" si="47"/>
        <v>9.1169570483793372</v>
      </c>
      <c r="E70" s="77">
        <f t="shared" si="48"/>
        <v>5.4000000000087311</v>
      </c>
      <c r="F70" s="78">
        <f t="shared" si="5"/>
        <v>-9.0145118005295899</v>
      </c>
      <c r="G70" s="78">
        <f t="shared" si="6"/>
        <v>6.4094642324143969</v>
      </c>
      <c r="H70" s="78">
        <f t="shared" si="7"/>
        <v>-4.6999999999997044</v>
      </c>
      <c r="I70" s="77"/>
      <c r="J70" s="77"/>
      <c r="K70" s="77"/>
      <c r="L70" s="78">
        <f t="shared" si="11"/>
        <v>-13.150078207075921</v>
      </c>
      <c r="M70" s="78">
        <f t="shared" si="12"/>
        <v>-1.530419879135464</v>
      </c>
      <c r="N70" s="77">
        <f t="shared" si="13"/>
        <v>-76.899999999994861</v>
      </c>
      <c r="O70" s="77"/>
      <c r="P70" s="77"/>
      <c r="Q70" s="77"/>
      <c r="R70" s="51">
        <f t="shared" si="17"/>
        <v>-2.7458708381686847</v>
      </c>
      <c r="S70" s="51">
        <f t="shared" si="18"/>
        <v>-20.255502734660702</v>
      </c>
      <c r="T70" s="51">
        <f t="shared" si="19"/>
        <v>0.60000000000570708</v>
      </c>
      <c r="U70" s="77">
        <f t="shared" si="58"/>
        <v>-3.7156684055048572</v>
      </c>
      <c r="V70" s="77">
        <f t="shared" si="59"/>
        <v>-24.683472394844586</v>
      </c>
      <c r="W70" s="77">
        <f t="shared" si="60"/>
        <v>-10.900000000006571</v>
      </c>
      <c r="Y70" s="93">
        <f t="shared" si="61"/>
        <v>-153.79999999998972</v>
      </c>
      <c r="Z70" s="96">
        <f t="shared" si="62"/>
        <v>3.3333333334439885E-2</v>
      </c>
    </row>
    <row r="71" spans="1:26" ht="24.95" customHeight="1" x14ac:dyDescent="0.2">
      <c r="A71" s="29">
        <f t="shared" si="0"/>
        <v>748</v>
      </c>
      <c r="B71" s="30">
        <f t="shared" si="1"/>
        <v>44453</v>
      </c>
      <c r="C71" s="77">
        <f t="shared" si="46"/>
        <v>-2.9333160685212079</v>
      </c>
      <c r="D71" s="77">
        <f t="shared" si="47"/>
        <v>10.54872777885496</v>
      </c>
      <c r="E71" s="77">
        <f t="shared" si="48"/>
        <v>5.6000000000011596</v>
      </c>
      <c r="F71" s="78">
        <f t="shared" si="5"/>
        <v>-9.3705033411026761</v>
      </c>
      <c r="G71" s="78">
        <f t="shared" si="6"/>
        <v>8.1192214429761655</v>
      </c>
      <c r="H71" s="78">
        <f t="shared" si="7"/>
        <v>-4.5999999999963848</v>
      </c>
      <c r="I71" s="77"/>
      <c r="J71" s="77"/>
      <c r="K71" s="77"/>
      <c r="L71" s="78">
        <f t="shared" si="11"/>
        <v>-13.602797809255662</v>
      </c>
      <c r="M71" s="78">
        <f t="shared" si="12"/>
        <v>-8.6451387513369893E-2</v>
      </c>
      <c r="N71" s="77">
        <f t="shared" si="13"/>
        <v>-76.699999999988222</v>
      </c>
      <c r="O71" s="77"/>
      <c r="P71" s="77"/>
      <c r="Q71" s="77"/>
      <c r="R71" s="51">
        <f t="shared" si="17"/>
        <v>-2.8844376378458492</v>
      </c>
      <c r="S71" s="51">
        <f t="shared" si="18"/>
        <v>-18.775367920619512</v>
      </c>
      <c r="T71" s="51">
        <f t="shared" si="19"/>
        <v>0.80000000001234639</v>
      </c>
      <c r="U71" s="77">
        <f t="shared" si="58"/>
        <v>-4.2590172696748141</v>
      </c>
      <c r="V71" s="77">
        <f t="shared" si="59"/>
        <v>-23.281769130914398</v>
      </c>
      <c r="W71" s="77">
        <f t="shared" si="60"/>
        <v>-10.600000000010823</v>
      </c>
      <c r="Y71" s="93">
        <f t="shared" si="61"/>
        <v>-153.39999999997644</v>
      </c>
      <c r="Z71" s="96">
        <f t="shared" si="62"/>
        <v>5.0000000001659828E-2</v>
      </c>
    </row>
    <row r="72" spans="1:26" ht="24.95" customHeight="1" x14ac:dyDescent="0.2">
      <c r="A72" s="29">
        <f t="shared" si="0"/>
        <v>754</v>
      </c>
      <c r="B72" s="30">
        <f t="shared" si="1"/>
        <v>44459</v>
      </c>
      <c r="C72" s="77">
        <f t="shared" si="46"/>
        <v>-2.7163176132489752</v>
      </c>
      <c r="D72" s="77">
        <f t="shared" si="47"/>
        <v>8.6638109494932003</v>
      </c>
      <c r="E72" s="77">
        <f t="shared" si="48"/>
        <v>5.7000000000044793</v>
      </c>
      <c r="F72" s="78">
        <f t="shared" si="5"/>
        <v>-9.2441341477922379</v>
      </c>
      <c r="G72" s="78">
        <f t="shared" si="6"/>
        <v>6.1920393859931089</v>
      </c>
      <c r="H72" s="78">
        <f t="shared" si="7"/>
        <v>-4.3000000000006366</v>
      </c>
      <c r="I72" s="77"/>
      <c r="J72" s="77"/>
      <c r="K72" s="77"/>
      <c r="L72" s="78">
        <f t="shared" si="11"/>
        <v>-13.295170204628448</v>
      </c>
      <c r="M72" s="78">
        <f t="shared" si="12"/>
        <v>-1.9291032986717138</v>
      </c>
      <c r="N72" s="77">
        <f t="shared" si="13"/>
        <v>-76.699999999988222</v>
      </c>
      <c r="O72" s="77"/>
      <c r="P72" s="77"/>
      <c r="Q72" s="77"/>
      <c r="R72" s="51">
        <f t="shared" si="17"/>
        <v>-2.4500144416492731</v>
      </c>
      <c r="S72" s="51">
        <f t="shared" si="18"/>
        <v>-20.88990714646588</v>
      </c>
      <c r="T72" s="51">
        <f t="shared" si="19"/>
        <v>1.0000000000047748</v>
      </c>
      <c r="U72" s="77">
        <f t="shared" si="58"/>
        <v>-3.2808187197588268</v>
      </c>
      <c r="V72" s="77">
        <f t="shared" si="59"/>
        <v>-25.142717349672772</v>
      </c>
      <c r="W72" s="77">
        <f t="shared" si="60"/>
        <v>-10.300000000000864</v>
      </c>
      <c r="Y72" s="93">
        <f t="shared" si="61"/>
        <v>-153.39999999997644</v>
      </c>
      <c r="Z72" s="96">
        <f t="shared" si="62"/>
        <v>0</v>
      </c>
    </row>
    <row r="73" spans="1:26" ht="24.95" customHeight="1" x14ac:dyDescent="0.2">
      <c r="A73" s="29">
        <f t="shared" si="0"/>
        <v>761</v>
      </c>
      <c r="B73" s="30">
        <f t="shared" si="1"/>
        <v>44466</v>
      </c>
      <c r="C73" s="77">
        <f t="shared" si="46"/>
        <v>-2.7703540560821693</v>
      </c>
      <c r="D73" s="77">
        <f t="shared" si="47"/>
        <v>9.9626874506353325</v>
      </c>
      <c r="E73" s="77">
        <f t="shared" si="48"/>
        <v>5.2000000000020918</v>
      </c>
      <c r="F73" s="78">
        <f t="shared" si="5"/>
        <v>-8.851123298541097</v>
      </c>
      <c r="G73" s="78">
        <f t="shared" si="6"/>
        <v>7.4787181752387077</v>
      </c>
      <c r="H73" s="78">
        <f t="shared" si="7"/>
        <v>-4.9999999999954525</v>
      </c>
      <c r="I73" s="77"/>
      <c r="J73" s="77"/>
      <c r="K73" s="77"/>
      <c r="L73" s="78">
        <f t="shared" si="11"/>
        <v>-13.349206541988679</v>
      </c>
      <c r="M73" s="78">
        <f t="shared" si="12"/>
        <v>-0.63022674837329151</v>
      </c>
      <c r="N73" s="77">
        <f t="shared" si="13"/>
        <v>-77.399999999997249</v>
      </c>
      <c r="O73" s="77"/>
      <c r="P73" s="77"/>
      <c r="Q73" s="77"/>
      <c r="R73" s="51">
        <f t="shared" si="17"/>
        <v>-2.455686751744679</v>
      </c>
      <c r="S73" s="51">
        <f t="shared" si="18"/>
        <v>-19.458136366751422</v>
      </c>
      <c r="T73" s="51">
        <f t="shared" si="19"/>
        <v>0.50000000000238742</v>
      </c>
      <c r="U73" s="77">
        <f t="shared" si="58"/>
        <v>-3.5161135810710675</v>
      </c>
      <c r="V73" s="77">
        <f t="shared" si="59"/>
        <v>-23.928371254563263</v>
      </c>
      <c r="W73" s="77">
        <f t="shared" si="60"/>
        <v>-11.099999999999</v>
      </c>
      <c r="Y73" s="93">
        <f t="shared" si="61"/>
        <v>-154.7999999999945</v>
      </c>
      <c r="Z73" s="96">
        <f t="shared" si="62"/>
        <v>-0.20000000000257906</v>
      </c>
    </row>
    <row r="74" spans="1:26" ht="24.95" customHeight="1" x14ac:dyDescent="0.2">
      <c r="A74" s="29">
        <f t="shared" si="0"/>
        <v>769</v>
      </c>
      <c r="B74" s="30">
        <f t="shared" si="1"/>
        <v>44474</v>
      </c>
      <c r="C74" s="77">
        <f t="shared" si="46"/>
        <v>-2.0575179887032391</v>
      </c>
      <c r="D74" s="77">
        <f t="shared" si="47"/>
        <v>9.8537618318310649</v>
      </c>
      <c r="E74" s="77">
        <f t="shared" si="48"/>
        <v>6.2000000000068667</v>
      </c>
      <c r="F74" s="78">
        <f t="shared" si="5"/>
        <v>-8.3195456496127917</v>
      </c>
      <c r="G74" s="78">
        <f t="shared" si="6"/>
        <v>7.2852621504440052</v>
      </c>
      <c r="H74" s="78">
        <f t="shared" ref="H74:H101" si="63">DZ_IG</f>
        <v>-4.199999999997317</v>
      </c>
      <c r="I74" s="77"/>
      <c r="J74" s="77"/>
      <c r="K74" s="77"/>
      <c r="L74" s="78">
        <f t="shared" si="11"/>
        <v>-12.908258154993746</v>
      </c>
      <c r="M74" s="78">
        <f t="shared" si="12"/>
        <v>-0.86594800079822787</v>
      </c>
      <c r="N74" s="77">
        <f t="shared" si="13"/>
        <v>-76.699999999988222</v>
      </c>
      <c r="O74" s="77"/>
      <c r="P74" s="77"/>
      <c r="Q74" s="77"/>
      <c r="R74" s="51">
        <f t="shared" si="17"/>
        <v>-2.0992688199896747</v>
      </c>
      <c r="S74" s="51">
        <f t="shared" si="18"/>
        <v>-19.512599095255823</v>
      </c>
      <c r="T74" s="51">
        <f t="shared" si="19"/>
        <v>1.3000000000147338</v>
      </c>
      <c r="U74" s="77">
        <f t="shared" si="58"/>
        <v>-2.887807968903644</v>
      </c>
      <c r="V74" s="77">
        <f t="shared" si="59"/>
        <v>-23.856038349387099</v>
      </c>
      <c r="W74" s="77">
        <f t="shared" si="60"/>
        <v>-10.100000000008436</v>
      </c>
      <c r="Y74" s="93">
        <f t="shared" si="61"/>
        <v>-153.39999999997644</v>
      </c>
      <c r="Z74" s="96">
        <f t="shared" si="62"/>
        <v>0.17500000000225668</v>
      </c>
    </row>
    <row r="75" spans="1:26" ht="24.95" customHeight="1" x14ac:dyDescent="0.2">
      <c r="A75" s="29">
        <f t="shared" si="0"/>
        <v>775</v>
      </c>
      <c r="B75" s="30">
        <f t="shared" si="1"/>
        <v>44480</v>
      </c>
      <c r="C75" s="77">
        <f t="shared" si="46"/>
        <v>-3.1080491906720908</v>
      </c>
      <c r="D75" s="77">
        <f t="shared" si="47"/>
        <v>12.343015395444468</v>
      </c>
      <c r="E75" s="77"/>
      <c r="F75" s="78">
        <f t="shared" si="5"/>
        <v>-8.9774924918515353</v>
      </c>
      <c r="G75" s="78">
        <f t="shared" si="6"/>
        <v>9.4059002322142149</v>
      </c>
      <c r="H75" s="78"/>
      <c r="I75" s="77"/>
      <c r="J75" s="77"/>
      <c r="K75" s="77"/>
      <c r="L75" s="78">
        <f t="shared" si="11"/>
        <v>-13.469477034050215</v>
      </c>
      <c r="M75" s="78">
        <f t="shared" si="12"/>
        <v>1.5204790109793753</v>
      </c>
      <c r="N75" s="77"/>
      <c r="O75" s="77"/>
      <c r="P75" s="77"/>
      <c r="Q75" s="77"/>
      <c r="R75" s="51">
        <f t="shared" si="17"/>
        <v>-2.9807392099314711</v>
      </c>
      <c r="S75" s="51">
        <f t="shared" si="18"/>
        <v>-17.38586236851436</v>
      </c>
      <c r="T75" s="51"/>
      <c r="U75" s="77">
        <f t="shared" si="58"/>
        <v>-3.9505368756920234</v>
      </c>
      <c r="V75" s="77">
        <f t="shared" si="59"/>
        <v>-21.81383181771146</v>
      </c>
      <c r="W75" s="77"/>
      <c r="Z75" s="96"/>
    </row>
    <row r="76" spans="1:26" ht="24.95" customHeight="1" x14ac:dyDescent="0.2">
      <c r="A76" s="29">
        <f t="shared" si="0"/>
        <v>782</v>
      </c>
      <c r="B76" s="30">
        <f t="shared" si="1"/>
        <v>44487</v>
      </c>
      <c r="C76" s="77">
        <f t="shared" si="46"/>
        <v>-3.0235188338281205</v>
      </c>
      <c r="D76" s="77">
        <f t="shared" si="47"/>
        <v>12.161757082511659</v>
      </c>
      <c r="E76" s="77">
        <f t="shared" si="48"/>
        <v>5.8000000000077989</v>
      </c>
      <c r="F76" s="78">
        <f t="shared" si="5"/>
        <v>-8.8445982061671202</v>
      </c>
      <c r="G76" s="78">
        <f t="shared" si="6"/>
        <v>9.3575363596491989</v>
      </c>
      <c r="H76" s="78">
        <f t="shared" si="63"/>
        <v>-4.500000000007276</v>
      </c>
      <c r="I76" s="77"/>
      <c r="J76" s="77"/>
      <c r="K76" s="77"/>
      <c r="L76" s="78">
        <f t="shared" si="11"/>
        <v>-13.384946578810286</v>
      </c>
      <c r="M76" s="78">
        <f t="shared" si="12"/>
        <v>1.339220487042575</v>
      </c>
      <c r="N76" s="77">
        <f t="shared" si="13"/>
        <v>-76.999999999998181</v>
      </c>
      <c r="O76" s="77"/>
      <c r="P76" s="77"/>
      <c r="Q76" s="77"/>
      <c r="R76" s="51">
        <f t="shared" si="17"/>
        <v>-2.7633143635057422</v>
      </c>
      <c r="S76" s="51">
        <f t="shared" si="18"/>
        <v>-17.61548471579566</v>
      </c>
      <c r="T76" s="51">
        <f t="shared" si="19"/>
        <v>0.80000000001234639</v>
      </c>
      <c r="U76" s="77">
        <f t="shared" si="58"/>
        <v>-3.914370349264118</v>
      </c>
      <c r="V76" s="77">
        <f t="shared" si="59"/>
        <v>-22.127984782019716</v>
      </c>
      <c r="W76" s="77">
        <f t="shared" si="60"/>
        <v>-10.500000000007503</v>
      </c>
      <c r="Y76" s="93">
        <f t="shared" ref="Y76" si="64">2*N76</f>
        <v>-153.99999999999636</v>
      </c>
      <c r="Z76" s="96"/>
    </row>
    <row r="77" spans="1:26" ht="24.95" customHeight="1" x14ac:dyDescent="0.2">
      <c r="A77" s="29">
        <f t="shared" si="0"/>
        <v>789</v>
      </c>
      <c r="B77" s="30">
        <f t="shared" si="1"/>
        <v>44494</v>
      </c>
      <c r="C77" s="77">
        <f t="shared" si="46"/>
        <v>-3.0235188338281205</v>
      </c>
      <c r="D77" s="77">
        <f t="shared" si="47"/>
        <v>12.161757082511659</v>
      </c>
      <c r="E77" s="77">
        <f t="shared" si="48"/>
        <v>5.49999999999784</v>
      </c>
      <c r="F77" s="78">
        <f t="shared" si="5"/>
        <v>-8.9774924918515353</v>
      </c>
      <c r="G77" s="78">
        <f t="shared" si="6"/>
        <v>9.4059002322142149</v>
      </c>
      <c r="H77" s="78">
        <f t="shared" si="63"/>
        <v>-4.6999999999997044</v>
      </c>
      <c r="I77" s="77"/>
      <c r="J77" s="77"/>
      <c r="K77" s="77"/>
      <c r="L77" s="78">
        <f t="shared" si="11"/>
        <v>-13.566204997232489</v>
      </c>
      <c r="M77" s="78">
        <f t="shared" si="12"/>
        <v>1.2546900809912442</v>
      </c>
      <c r="N77" s="77">
        <f t="shared" si="13"/>
        <v>-77.499999999986358</v>
      </c>
      <c r="O77" s="77"/>
      <c r="P77" s="77"/>
      <c r="Q77" s="77"/>
      <c r="R77" s="51">
        <f t="shared" si="17"/>
        <v>-3.2164603568389794</v>
      </c>
      <c r="S77" s="51">
        <f t="shared" si="18"/>
        <v>-17.826810706320639</v>
      </c>
      <c r="T77" s="51">
        <f t="shared" si="19"/>
        <v>0.70000000000902673</v>
      </c>
      <c r="U77" s="77">
        <f t="shared" si="58"/>
        <v>-4.004999611254334</v>
      </c>
      <c r="V77" s="77">
        <f t="shared" si="59"/>
        <v>-22.170250009667214</v>
      </c>
      <c r="W77" s="77">
        <f t="shared" si="60"/>
        <v>-10.600000000010823</v>
      </c>
      <c r="Y77" s="93">
        <f t="shared" ref="Y77:Y78" si="65">2*N77</f>
        <v>-154.99999999997272</v>
      </c>
      <c r="Z77" s="96">
        <f t="shared" si="62"/>
        <v>-0.14285714285376475</v>
      </c>
    </row>
    <row r="78" spans="1:26" ht="24.95" customHeight="1" x14ac:dyDescent="0.2">
      <c r="A78" s="29">
        <f t="shared" ref="A78:A101" si="66">jours</f>
        <v>797</v>
      </c>
      <c r="B78" s="30">
        <f t="shared" ref="B78:B101" si="67">date</f>
        <v>44502</v>
      </c>
      <c r="C78" s="77">
        <f t="shared" ref="C78:C101" si="68">DPM_BG</f>
        <v>-2.449675957279851</v>
      </c>
      <c r="D78" s="77">
        <f t="shared" ref="D78:D101" si="69">DH_BG</f>
        <v>11.877671795715194</v>
      </c>
      <c r="E78" s="77">
        <f t="shared" ref="E78:E101" si="70">DZ_BG</f>
        <v>4.3000000000006366</v>
      </c>
      <c r="F78" s="78">
        <f t="shared" ref="F78:F101" si="71">DPM_IG</f>
        <v>-8.4942789756325965</v>
      </c>
      <c r="G78" s="78">
        <f t="shared" ref="G78:G101" si="72">DH_IG</f>
        <v>9.0795499288014447</v>
      </c>
      <c r="H78" s="78">
        <f t="shared" si="63"/>
        <v>-6.0000000000002274</v>
      </c>
      <c r="I78" s="77"/>
      <c r="J78" s="77"/>
      <c r="K78" s="77"/>
      <c r="L78" s="78">
        <f t="shared" ref="L78:L101" si="73">DPMhaut</f>
        <v>-13.258150994346352</v>
      </c>
      <c r="M78" s="78">
        <f t="shared" ref="M78:M101" si="74">DHhaut</f>
        <v>1.0673329121095587</v>
      </c>
      <c r="N78" s="77">
        <f t="shared" ref="N78:N101" si="75">DZhaut</f>
        <v>-78.8999999999902</v>
      </c>
      <c r="O78" s="77"/>
      <c r="P78" s="77"/>
      <c r="Q78" s="77"/>
      <c r="R78" s="51">
        <f t="shared" ref="R78" si="76">DPM_ID</f>
        <v>-2.5458896225813987</v>
      </c>
      <c r="S78" s="51">
        <f t="shared" ref="S78" si="77">DH_ID</f>
        <v>-17.84510711233489</v>
      </c>
      <c r="T78" s="51">
        <f t="shared" ref="T78" si="78">DZ_ID</f>
        <v>-0.39999999998485691</v>
      </c>
      <c r="U78" s="77">
        <f t="shared" ref="U78" si="79">DPM_BD</f>
        <v>-3.9688331832508084</v>
      </c>
      <c r="V78" s="77">
        <f t="shared" ref="V78" si="80">DH_BD</f>
        <v>-22.484402762987798</v>
      </c>
      <c r="W78" s="77">
        <f t="shared" ref="W78" si="81">DZ_BD</f>
        <v>-11.800000000008026</v>
      </c>
      <c r="Y78" s="93">
        <f t="shared" si="65"/>
        <v>-157.7999999999804</v>
      </c>
      <c r="Z78" s="96">
        <f t="shared" si="62"/>
        <v>-0.35000000000096065</v>
      </c>
    </row>
    <row r="79" spans="1:26" ht="24.95" customHeight="1" x14ac:dyDescent="0.2">
      <c r="A79" s="29">
        <f t="shared" si="66"/>
        <v>817</v>
      </c>
      <c r="B79" s="30">
        <f t="shared" si="67"/>
        <v>44522</v>
      </c>
      <c r="C79" s="77">
        <f t="shared" si="68"/>
        <v>-2.799995187785953</v>
      </c>
      <c r="D79" s="77">
        <f t="shared" si="69"/>
        <v>12.155658226594035</v>
      </c>
      <c r="E79" s="77">
        <f t="shared" si="70"/>
        <v>5.0999999999987722</v>
      </c>
      <c r="F79" s="78">
        <f t="shared" si="71"/>
        <v>-8.7962340734293321</v>
      </c>
      <c r="G79" s="78">
        <f t="shared" si="72"/>
        <v>9.4904306382277426</v>
      </c>
      <c r="H79" s="78">
        <f t="shared" si="63"/>
        <v>-5.2000000000020918</v>
      </c>
      <c r="I79" s="77"/>
      <c r="J79" s="77"/>
      <c r="K79" s="77"/>
      <c r="L79" s="78">
        <f t="shared" si="73"/>
        <v>-14.297337470651428</v>
      </c>
      <c r="M79" s="78">
        <f t="shared" si="74"/>
        <v>0.69304496553682093</v>
      </c>
      <c r="N79" s="77">
        <f t="shared" si="75"/>
        <v>-78.299999999984493</v>
      </c>
      <c r="O79" s="77"/>
      <c r="P79" s="77"/>
      <c r="Q79" s="77"/>
      <c r="R79" s="51"/>
      <c r="S79" s="51"/>
      <c r="T79" s="51"/>
      <c r="U79" s="77"/>
      <c r="V79" s="77"/>
      <c r="W79" s="77"/>
      <c r="Y79" s="93">
        <f t="shared" ref="Y79:Y80" si="82">2*N79</f>
        <v>-156.59999999996899</v>
      </c>
      <c r="Z79" s="96">
        <f t="shared" ref="Z79:Z80" si="83">(Y79-Y78)/(B79-B78)</f>
        <v>6.0000000000570708E-2</v>
      </c>
    </row>
    <row r="80" spans="1:26" ht="24.95" customHeight="1" x14ac:dyDescent="0.2">
      <c r="A80" s="29">
        <f t="shared" si="66"/>
        <v>824</v>
      </c>
      <c r="B80" s="30">
        <f t="shared" si="67"/>
        <v>44529</v>
      </c>
      <c r="C80" s="77">
        <f t="shared" si="68"/>
        <v>-3.6104120990785304</v>
      </c>
      <c r="D80" s="77">
        <f t="shared" si="69"/>
        <v>8.6882061622368667</v>
      </c>
      <c r="E80" s="77">
        <f t="shared" si="70"/>
        <v>6.9000000000016826</v>
      </c>
      <c r="F80" s="78">
        <f t="shared" si="71"/>
        <v>-9.6972802466837038</v>
      </c>
      <c r="G80" s="78">
        <f t="shared" si="72"/>
        <v>5.9807133462816964</v>
      </c>
      <c r="H80" s="78">
        <f t="shared" si="63"/>
        <v>-3.2999999999958618</v>
      </c>
      <c r="I80" s="77"/>
      <c r="J80" s="77"/>
      <c r="K80" s="77"/>
      <c r="L80" s="78">
        <f t="shared" si="73"/>
        <v>-14.624540661856145</v>
      </c>
      <c r="M80" s="78">
        <f t="shared" si="74"/>
        <v>-3.1007575640134286</v>
      </c>
      <c r="N80" s="77">
        <f t="shared" si="75"/>
        <v>-76.799999999991542</v>
      </c>
      <c r="O80" s="77"/>
      <c r="P80" s="77"/>
      <c r="Q80" s="77"/>
      <c r="R80" s="51"/>
      <c r="S80" s="51"/>
      <c r="T80" s="51"/>
      <c r="U80" s="77"/>
      <c r="V80" s="77"/>
      <c r="W80" s="77"/>
      <c r="Y80" s="93">
        <f t="shared" si="82"/>
        <v>-153.59999999998308</v>
      </c>
      <c r="Z80" s="96">
        <f t="shared" si="83"/>
        <v>0.42857142856941471</v>
      </c>
    </row>
    <row r="81" spans="1:26" ht="24.95" customHeight="1" x14ac:dyDescent="0.2">
      <c r="A81" s="29">
        <f t="shared" si="66"/>
        <v>831</v>
      </c>
      <c r="B81" s="30">
        <f t="shared" si="67"/>
        <v>44536</v>
      </c>
      <c r="C81" s="77">
        <f t="shared" si="68"/>
        <v>-3.2539940689275682</v>
      </c>
      <c r="D81" s="77">
        <f t="shared" si="69"/>
        <v>8.6337432227421296</v>
      </c>
      <c r="E81" s="77">
        <f t="shared" si="70"/>
        <v>5.4000000000087311</v>
      </c>
      <c r="F81" s="78">
        <f t="shared" si="71"/>
        <v>-9.2563317541873857</v>
      </c>
      <c r="G81" s="78">
        <f t="shared" si="72"/>
        <v>5.7449921430681172</v>
      </c>
      <c r="H81" s="78">
        <f t="shared" si="63"/>
        <v>-4.8000000000030241</v>
      </c>
      <c r="I81" s="77"/>
      <c r="J81" s="77"/>
      <c r="K81" s="77"/>
      <c r="L81" s="78">
        <f t="shared" si="73"/>
        <v>-14.26202393045628</v>
      </c>
      <c r="M81" s="78">
        <f t="shared" si="74"/>
        <v>-2.9316968011327269</v>
      </c>
      <c r="N81" s="77">
        <f t="shared" si="75"/>
        <v>-78.199999999995384</v>
      </c>
      <c r="O81" s="77"/>
      <c r="P81" s="77"/>
      <c r="Q81" s="77"/>
      <c r="R81" s="51">
        <f t="shared" ref="R81:R100" si="84">DPM_ID</f>
        <v>-3.2295108509856618</v>
      </c>
      <c r="S81" s="51">
        <f t="shared" ref="S81:S100" si="85">DH_ID</f>
        <v>-21.584446962546799</v>
      </c>
      <c r="T81" s="51">
        <f t="shared" ref="T81:T100" si="86">DZ_ID</f>
        <v>0.30000000000995897</v>
      </c>
      <c r="U81" s="77">
        <f t="shared" ref="U81:U101" si="87">DPM_BD</f>
        <v>-4.2960364799569106</v>
      </c>
      <c r="V81" s="77">
        <f t="shared" ref="V81:V101" si="88">DH_BD</f>
        <v>-26.278205341711214</v>
      </c>
      <c r="W81" s="77">
        <f t="shared" ref="W81:W101" si="89">DZ_BD</f>
        <v>-10.800000000003251</v>
      </c>
      <c r="Y81" s="93">
        <f t="shared" ref="Y81" si="90">2*N81</f>
        <v>-156.39999999999077</v>
      </c>
      <c r="Z81" s="96">
        <f t="shared" ref="Z81" si="91">(Y81-Y80)/(B81-B80)</f>
        <v>-0.40000000000109787</v>
      </c>
    </row>
    <row r="82" spans="1:26" ht="24.95" customHeight="1" x14ac:dyDescent="0.2">
      <c r="A82" s="29">
        <f t="shared" si="66"/>
        <v>838</v>
      </c>
      <c r="B82" s="30">
        <f t="shared" si="67"/>
        <v>44543</v>
      </c>
      <c r="C82" s="77">
        <f t="shared" si="68"/>
        <v>-3.0544392373599294</v>
      </c>
      <c r="D82" s="77">
        <f t="shared" si="69"/>
        <v>9.3888446232481826</v>
      </c>
      <c r="E82" s="77">
        <f t="shared" si="70"/>
        <v>5.6000000000011596</v>
      </c>
      <c r="F82" s="78">
        <f t="shared" si="71"/>
        <v>-9.141307384936681</v>
      </c>
      <c r="G82" s="78">
        <f t="shared" si="72"/>
        <v>6.681351807306779</v>
      </c>
      <c r="H82" s="78">
        <f t="shared" si="63"/>
        <v>-4.5999999999963848</v>
      </c>
      <c r="I82" s="77"/>
      <c r="J82" s="77"/>
      <c r="K82" s="77"/>
      <c r="L82" s="78">
        <f t="shared" si="73"/>
        <v>-14.926495865069001</v>
      </c>
      <c r="M82" s="78">
        <f t="shared" si="74"/>
        <v>-2.6898769037785044</v>
      </c>
      <c r="N82" s="77">
        <f t="shared" si="75"/>
        <v>-78.799999999986881</v>
      </c>
      <c r="O82" s="77"/>
      <c r="P82" s="77"/>
      <c r="Q82" s="77"/>
      <c r="R82" s="51">
        <f t="shared" si="84"/>
        <v>-4.1414753517301506</v>
      </c>
      <c r="S82" s="51">
        <f t="shared" si="85"/>
        <v>-20.575328002010007</v>
      </c>
      <c r="T82" s="51">
        <f t="shared" si="86"/>
        <v>0.60000000000570708</v>
      </c>
      <c r="U82" s="77">
        <f t="shared" si="87"/>
        <v>-4.4829673068988996</v>
      </c>
      <c r="V82" s="77">
        <f t="shared" si="88"/>
        <v>-24.930964757019058</v>
      </c>
      <c r="W82" s="77">
        <f t="shared" si="89"/>
        <v>-10.600000000010823</v>
      </c>
      <c r="Y82" s="93">
        <f t="shared" ref="Y82" si="92">2*N82</f>
        <v>-157.59999999997376</v>
      </c>
      <c r="Z82" s="96">
        <f t="shared" ref="Z82" si="93">(Y82-Y81)/(B82-B81)</f>
        <v>-0.17142857142614179</v>
      </c>
    </row>
    <row r="83" spans="1:26" ht="24.95" customHeight="1" x14ac:dyDescent="0.2">
      <c r="A83" s="29">
        <f t="shared" si="66"/>
        <v>845</v>
      </c>
      <c r="B83" s="30">
        <f t="shared" si="67"/>
        <v>44550</v>
      </c>
      <c r="C83" s="77">
        <f t="shared" si="68"/>
        <v>-5.5733341928601021</v>
      </c>
      <c r="D83" s="77">
        <f t="shared" si="69"/>
        <v>10.531284204342573</v>
      </c>
      <c r="E83" s="77">
        <f t="shared" si="70"/>
        <v>4.8000000000030241</v>
      </c>
      <c r="F83" s="78">
        <f t="shared" si="71"/>
        <v>-11.925991108626022</v>
      </c>
      <c r="G83" s="78">
        <f t="shared" si="72"/>
        <v>7.9205195555127617</v>
      </c>
      <c r="H83" s="78">
        <f t="shared" si="63"/>
        <v>-5.6000000000011596</v>
      </c>
      <c r="I83" s="77"/>
      <c r="J83" s="77"/>
      <c r="K83" s="77"/>
      <c r="L83" s="78">
        <f t="shared" si="73"/>
        <v>-16.532999921679448</v>
      </c>
      <c r="M83" s="78">
        <f t="shared" si="74"/>
        <v>-0.90126154100247935</v>
      </c>
      <c r="N83" s="77">
        <f t="shared" si="75"/>
        <v>-79.09999999999684</v>
      </c>
      <c r="O83" s="77"/>
      <c r="P83" s="77"/>
      <c r="Q83" s="77"/>
      <c r="R83" s="51">
        <f t="shared" si="84"/>
        <v>-4.2983385573904798</v>
      </c>
      <c r="S83" s="51">
        <f t="shared" si="85"/>
        <v>-19.76576392222773</v>
      </c>
      <c r="T83" s="51">
        <f t="shared" si="86"/>
        <v>-0.39999999998485691</v>
      </c>
      <c r="U83" s="77">
        <f t="shared" si="87"/>
        <v>-5.1836056695151456</v>
      </c>
      <c r="V83" s="77">
        <f t="shared" si="88"/>
        <v>-24.374992106334759</v>
      </c>
      <c r="W83" s="77">
        <f t="shared" si="89"/>
        <v>-11.400000000008959</v>
      </c>
      <c r="Y83" s="93">
        <f t="shared" ref="Y83" si="94">2*N83</f>
        <v>-158.19999999999368</v>
      </c>
      <c r="Z83" s="96">
        <f t="shared" ref="Z83" si="95">(Y83-Y82)/(B83-B82)</f>
        <v>-8.5714285717131133E-2</v>
      </c>
    </row>
    <row r="84" spans="1:26" ht="24.95" customHeight="1" x14ac:dyDescent="0.2">
      <c r="A84" s="29">
        <f t="shared" si="66"/>
        <v>867</v>
      </c>
      <c r="B84" s="30">
        <f t="shared" si="67"/>
        <v>44572</v>
      </c>
      <c r="C84" s="77">
        <f t="shared" si="68"/>
        <v>-3.3202280126545247</v>
      </c>
      <c r="D84" s="77">
        <f t="shared" si="69"/>
        <v>9.4855725301723481</v>
      </c>
      <c r="E84" s="77">
        <f t="shared" si="70"/>
        <v>5.7000000000044793</v>
      </c>
      <c r="F84" s="78">
        <f t="shared" si="71"/>
        <v>-9.183572612585067</v>
      </c>
      <c r="G84" s="78">
        <f t="shared" si="72"/>
        <v>6.7719810692934423</v>
      </c>
      <c r="H84" s="78">
        <f t="shared" si="63"/>
        <v>-4.8000000000030241</v>
      </c>
      <c r="I84" s="77"/>
      <c r="J84" s="77"/>
      <c r="K84" s="77"/>
      <c r="L84" s="78">
        <f t="shared" si="73"/>
        <v>-14.600145554595656</v>
      </c>
      <c r="M84" s="78">
        <f t="shared" si="74"/>
        <v>-2.206663127384684</v>
      </c>
      <c r="N84" s="77">
        <f t="shared" si="75"/>
        <v>-78.499999999991132</v>
      </c>
      <c r="O84" s="77"/>
      <c r="P84" s="77"/>
      <c r="Q84" s="77"/>
      <c r="R84" s="51">
        <f t="shared" si="84"/>
        <v>-4.2865673421772499</v>
      </c>
      <c r="S84" s="51">
        <f t="shared" si="85"/>
        <v>-20.974011161357886</v>
      </c>
      <c r="T84" s="51">
        <f t="shared" si="86"/>
        <v>0.50000000000238742</v>
      </c>
      <c r="U84" s="77">
        <f t="shared" si="87"/>
        <v>-4.3622705291852526</v>
      </c>
      <c r="V84" s="77">
        <f t="shared" si="88"/>
        <v>-25.426376083512281</v>
      </c>
      <c r="W84" s="77">
        <f t="shared" si="89"/>
        <v>-10.500000000007503</v>
      </c>
      <c r="Y84" s="93">
        <f t="shared" ref="Y84" si="96">2*N84</f>
        <v>-156.99999999998226</v>
      </c>
      <c r="Z84" s="96">
        <f t="shared" ref="Z84" si="97">(Y84-Y83)/(B84-B83)</f>
        <v>5.4545454545973371E-2</v>
      </c>
    </row>
    <row r="85" spans="1:26" ht="24.95" customHeight="1" x14ac:dyDescent="0.2">
      <c r="A85" s="29">
        <f t="shared" si="66"/>
        <v>873</v>
      </c>
      <c r="B85" s="30">
        <f t="shared" si="67"/>
        <v>44578</v>
      </c>
      <c r="C85" s="77">
        <f t="shared" si="68"/>
        <v>-3.4470235970900376</v>
      </c>
      <c r="D85" s="77">
        <f t="shared" si="69"/>
        <v>9.7574601050762766</v>
      </c>
      <c r="E85" s="77">
        <f t="shared" si="70"/>
        <v>6.2000000000068667</v>
      </c>
      <c r="F85" s="78">
        <f t="shared" si="71"/>
        <v>-9.8057793195778231</v>
      </c>
      <c r="G85" s="78">
        <f t="shared" si="72"/>
        <v>6.9231717046616126</v>
      </c>
      <c r="H85" s="78">
        <f t="shared" si="63"/>
        <v>-4.4000000000039563</v>
      </c>
      <c r="I85" s="77"/>
      <c r="J85" s="77"/>
      <c r="K85" s="77"/>
      <c r="L85" s="78">
        <f t="shared" si="73"/>
        <v>-15.488141135278966</v>
      </c>
      <c r="M85" s="78">
        <f t="shared" si="74"/>
        <v>-1.9587443740574917</v>
      </c>
      <c r="N85" s="77">
        <f t="shared" si="75"/>
        <v>-78.299999999984493</v>
      </c>
      <c r="O85" s="77"/>
      <c r="P85" s="77"/>
      <c r="Q85" s="77"/>
      <c r="R85" s="51">
        <f t="shared" si="84"/>
        <v>-3.7427920868537967</v>
      </c>
      <c r="S85" s="51">
        <f t="shared" si="85"/>
        <v>-20.720419943245361</v>
      </c>
      <c r="T85" s="51">
        <f t="shared" si="86"/>
        <v>0.80000000001234639</v>
      </c>
      <c r="U85" s="77">
        <f t="shared" si="87"/>
        <v>-4.1387468831430851</v>
      </c>
      <c r="V85" s="77">
        <f t="shared" si="88"/>
        <v>-25.432474939449445</v>
      </c>
      <c r="W85" s="77">
        <f t="shared" si="89"/>
        <v>-10.100000000008436</v>
      </c>
      <c r="Y85" s="93">
        <f t="shared" ref="Y85:Y86" si="98">2*N85</f>
        <v>-156.59999999996899</v>
      </c>
      <c r="Z85" s="96">
        <f t="shared" ref="Z85:Z86" si="99">(Y85-Y84)/(B85-B84)</f>
        <v>6.666666666887977E-2</v>
      </c>
    </row>
    <row r="86" spans="1:26" ht="24.95" customHeight="1" x14ac:dyDescent="0.2">
      <c r="A86" s="29">
        <f t="shared" si="66"/>
        <v>890</v>
      </c>
      <c r="B86" s="30">
        <f t="shared" si="67"/>
        <v>44595</v>
      </c>
      <c r="C86" s="77"/>
      <c r="D86" s="77"/>
      <c r="E86" s="77"/>
      <c r="F86" s="78">
        <f t="shared" si="71"/>
        <v>-9.2981705906822754</v>
      </c>
      <c r="G86" s="78">
        <f t="shared" si="72"/>
        <v>7.490915887115257</v>
      </c>
      <c r="H86" s="78">
        <f t="shared" si="63"/>
        <v>-4.0000000000048885</v>
      </c>
      <c r="I86" s="77"/>
      <c r="J86" s="77"/>
      <c r="K86" s="77"/>
      <c r="L86" s="78">
        <f t="shared" si="73"/>
        <v>-15.222352360012792</v>
      </c>
      <c r="M86" s="78">
        <f t="shared" si="74"/>
        <v>-2.0554722809554562</v>
      </c>
      <c r="N86" s="77">
        <f t="shared" si="75"/>
        <v>-78.299999999984493</v>
      </c>
      <c r="O86" s="77"/>
      <c r="P86" s="77"/>
      <c r="Q86" s="77"/>
      <c r="R86" s="51">
        <f t="shared" si="84"/>
        <v>-4.0508460897399345</v>
      </c>
      <c r="S86" s="51">
        <f t="shared" si="85"/>
        <v>-20.533062774395372</v>
      </c>
      <c r="T86" s="51">
        <f t="shared" si="86"/>
        <v>1.4000000000038426</v>
      </c>
      <c r="U86" s="77"/>
      <c r="V86" s="77"/>
      <c r="W86" s="77"/>
      <c r="Y86" s="93">
        <f t="shared" si="98"/>
        <v>-156.59999999996899</v>
      </c>
      <c r="Z86" s="96">
        <f t="shared" si="99"/>
        <v>0</v>
      </c>
    </row>
    <row r="87" spans="1:26" ht="24.95" customHeight="1" x14ac:dyDescent="0.2">
      <c r="A87" s="29">
        <f t="shared" si="66"/>
        <v>908</v>
      </c>
      <c r="B87" s="30">
        <f t="shared" si="67"/>
        <v>44613</v>
      </c>
      <c r="C87" s="77">
        <f t="shared" si="68"/>
        <v>-3.4409248958411354</v>
      </c>
      <c r="D87" s="77">
        <f t="shared" si="69"/>
        <v>9.9809838074471635</v>
      </c>
      <c r="E87" s="77">
        <f t="shared" si="70"/>
        <v>5.9000000000111186</v>
      </c>
      <c r="F87" s="78">
        <f t="shared" si="71"/>
        <v>-9.6184221999067177</v>
      </c>
      <c r="G87" s="78">
        <f t="shared" si="72"/>
        <v>7.231225813079778</v>
      </c>
      <c r="H87" s="78">
        <f t="shared" si="63"/>
        <v>-4.500000000007276</v>
      </c>
      <c r="I87" s="77"/>
      <c r="J87" s="77"/>
      <c r="K87" s="77"/>
      <c r="L87" s="78">
        <f t="shared" si="73"/>
        <v>-15.041093941533745</v>
      </c>
      <c r="M87" s="78">
        <f t="shared" si="74"/>
        <v>-1.9709418749470908</v>
      </c>
      <c r="N87" s="77">
        <f t="shared" si="75"/>
        <v>-78.8999999999902</v>
      </c>
      <c r="O87" s="77"/>
      <c r="P87" s="77"/>
      <c r="Q87" s="77"/>
      <c r="R87" s="51">
        <f t="shared" si="84"/>
        <v>-4.5039920830731717</v>
      </c>
      <c r="S87" s="51">
        <f t="shared" si="85"/>
        <v>-20.744388764863508</v>
      </c>
      <c r="T87" s="51">
        <f t="shared" si="86"/>
        <v>0.50000000000238742</v>
      </c>
      <c r="U87" s="77">
        <f t="shared" si="87"/>
        <v>-4.2293760396034941</v>
      </c>
      <c r="V87" s="77">
        <f t="shared" si="88"/>
        <v>-25.474740117835903</v>
      </c>
      <c r="W87" s="77">
        <f t="shared" si="89"/>
        <v>-10.199999999997544</v>
      </c>
      <c r="Y87" s="93">
        <f t="shared" ref="Y87" si="100">2*N87</f>
        <v>-157.7999999999804</v>
      </c>
      <c r="Z87" s="96">
        <f t="shared" ref="Z87" si="101">(Y87-Y86)/(B87-B86)</f>
        <v>-6.6666666667300783E-2</v>
      </c>
    </row>
    <row r="88" spans="1:26" ht="24.95" customHeight="1" x14ac:dyDescent="0.2">
      <c r="A88" s="29">
        <f t="shared" si="66"/>
        <v>930</v>
      </c>
      <c r="B88" s="30">
        <f t="shared" si="67"/>
        <v>44635</v>
      </c>
      <c r="C88" s="77">
        <f t="shared" si="68"/>
        <v>-3.3137029202521262</v>
      </c>
      <c r="D88" s="77">
        <f t="shared" si="69"/>
        <v>11.364390714597494</v>
      </c>
      <c r="E88" s="77">
        <f t="shared" si="70"/>
        <v>6.100000000003547</v>
      </c>
      <c r="F88" s="78">
        <f t="shared" si="71"/>
        <v>-9.7147237719923396</v>
      </c>
      <c r="G88" s="78">
        <f t="shared" si="72"/>
        <v>8.6207313651733841</v>
      </c>
      <c r="H88" s="78">
        <f t="shared" si="63"/>
        <v>-4.3000000000006366</v>
      </c>
      <c r="I88" s="77"/>
      <c r="J88" s="77"/>
      <c r="K88" s="77"/>
      <c r="L88" s="78">
        <f t="shared" si="73"/>
        <v>-15.312555125319705</v>
      </c>
      <c r="M88" s="78">
        <f t="shared" si="74"/>
        <v>-0.44244297732978777</v>
      </c>
      <c r="N88" s="77">
        <f t="shared" si="75"/>
        <v>-78.299999999984493</v>
      </c>
      <c r="O88" s="77"/>
      <c r="P88" s="77"/>
      <c r="Q88" s="77"/>
      <c r="R88" s="51">
        <f t="shared" si="84"/>
        <v>-4.7937496799761448</v>
      </c>
      <c r="S88" s="51">
        <f t="shared" si="85"/>
        <v>-19.886460861742172</v>
      </c>
      <c r="T88" s="51">
        <f t="shared" si="86"/>
        <v>0.80000000001234639</v>
      </c>
      <c r="U88" s="77">
        <f t="shared" si="87"/>
        <v>-4.8755516666290077</v>
      </c>
      <c r="V88" s="77">
        <f t="shared" si="88"/>
        <v>-24.562349275244699</v>
      </c>
      <c r="W88" s="77">
        <f t="shared" si="89"/>
        <v>-9.9000000000017963</v>
      </c>
      <c r="Y88" s="93">
        <f t="shared" ref="Y88:Y90" si="102">2*N88</f>
        <v>-156.59999999996899</v>
      </c>
      <c r="Z88" s="96">
        <f t="shared" ref="Z88:Z90" si="103">(Y88-Y87)/(B88-B87)</f>
        <v>5.4545454545973371E-2</v>
      </c>
    </row>
    <row r="89" spans="1:26" ht="24.95" customHeight="1" x14ac:dyDescent="0.2">
      <c r="A89" s="29">
        <f t="shared" si="66"/>
        <v>943</v>
      </c>
      <c r="B89" s="30">
        <f t="shared" si="67"/>
        <v>44648</v>
      </c>
      <c r="C89" s="77">
        <f t="shared" si="68"/>
        <v>-4.292754048549341</v>
      </c>
      <c r="D89" s="77">
        <f t="shared" si="69"/>
        <v>9.9147498074292351</v>
      </c>
      <c r="E89" s="77">
        <f t="shared" si="70"/>
        <v>6.0000000000002274</v>
      </c>
      <c r="F89" s="78">
        <f t="shared" si="71"/>
        <v>-10.560880614605139</v>
      </c>
      <c r="G89" s="78">
        <f t="shared" si="72"/>
        <v>7.1227265854445498</v>
      </c>
      <c r="H89" s="78">
        <f t="shared" si="63"/>
        <v>-4.8000000000030241</v>
      </c>
      <c r="I89" s="77"/>
      <c r="J89" s="77"/>
      <c r="K89" s="77"/>
      <c r="L89" s="78">
        <f t="shared" si="73"/>
        <v>-15.627134326109626</v>
      </c>
      <c r="M89" s="78">
        <f t="shared" si="74"/>
        <v>-2.1339040420703395</v>
      </c>
      <c r="N89" s="77">
        <f t="shared" si="75"/>
        <v>-78.8999999999902</v>
      </c>
      <c r="O89" s="77"/>
      <c r="P89" s="77"/>
      <c r="Q89" s="77"/>
      <c r="R89" s="51">
        <f t="shared" si="84"/>
        <v>-4.9632368831566964</v>
      </c>
      <c r="S89" s="51">
        <f t="shared" si="85"/>
        <v>-21.179238506933373</v>
      </c>
      <c r="T89" s="51">
        <f t="shared" si="86"/>
        <v>0.60000000000570708</v>
      </c>
      <c r="U89" s="77">
        <f t="shared" si="87"/>
        <v>-5.4559197410526394</v>
      </c>
      <c r="V89" s="77">
        <f t="shared" si="88"/>
        <v>-26.157082222052708</v>
      </c>
      <c r="W89" s="77">
        <f t="shared" si="89"/>
        <v>-10.199999999997544</v>
      </c>
      <c r="Y89" s="93">
        <f t="shared" si="102"/>
        <v>-157.7999999999804</v>
      </c>
      <c r="Z89" s="96">
        <f t="shared" si="103"/>
        <v>-9.2307692308570319E-2</v>
      </c>
    </row>
    <row r="90" spans="1:26" ht="24.95" customHeight="1" x14ac:dyDescent="0.2">
      <c r="A90" s="29">
        <f t="shared" si="66"/>
        <v>973</v>
      </c>
      <c r="B90" s="30">
        <f t="shared" si="67"/>
        <v>44678</v>
      </c>
      <c r="C90" s="77">
        <f t="shared" si="68"/>
        <v>-3.8457069603339278</v>
      </c>
      <c r="D90" s="77">
        <f t="shared" si="69"/>
        <v>9.9025522573361613</v>
      </c>
      <c r="E90" s="77">
        <f t="shared" si="70"/>
        <v>6.3000000000101863</v>
      </c>
      <c r="F90" s="78">
        <f t="shared" si="71"/>
        <v>-9.9809390368079676</v>
      </c>
      <c r="G90" s="78">
        <f t="shared" si="72"/>
        <v>7.0621650010114223</v>
      </c>
      <c r="H90" s="78">
        <f t="shared" si="63"/>
        <v>-4.0999999999939973</v>
      </c>
      <c r="I90" s="77"/>
      <c r="J90" s="77"/>
      <c r="K90" s="77"/>
      <c r="L90" s="78">
        <f t="shared" si="73"/>
        <v>-15.494239934923826</v>
      </c>
      <c r="M90" s="78">
        <f t="shared" si="74"/>
        <v>-2.1822678654185026</v>
      </c>
      <c r="N90" s="77">
        <f t="shared" si="75"/>
        <v>-78.599999999994452</v>
      </c>
      <c r="O90" s="77"/>
      <c r="P90" s="77"/>
      <c r="Q90" s="77"/>
      <c r="R90" s="51">
        <f t="shared" si="84"/>
        <v>-5.1022301723833152</v>
      </c>
      <c r="S90" s="51">
        <f t="shared" si="85"/>
        <v>-21.354397963897043</v>
      </c>
      <c r="T90" s="51">
        <f t="shared" si="86"/>
        <v>1.1000000000080945</v>
      </c>
      <c r="U90" s="77">
        <f t="shared" si="87"/>
        <v>-5.4075557067108093</v>
      </c>
      <c r="V90" s="77">
        <f t="shared" si="88"/>
        <v>-26.024187732486492</v>
      </c>
      <c r="W90" s="77">
        <f t="shared" si="89"/>
        <v>-9.7000000000093678</v>
      </c>
      <c r="Y90" s="93">
        <f t="shared" si="102"/>
        <v>-157.1999999999889</v>
      </c>
      <c r="Z90" s="96">
        <f t="shared" si="103"/>
        <v>1.999999999971654E-2</v>
      </c>
    </row>
    <row r="91" spans="1:26" ht="24.95" customHeight="1" x14ac:dyDescent="0.2">
      <c r="A91" s="29">
        <f t="shared" si="66"/>
        <v>1006</v>
      </c>
      <c r="B91" s="30">
        <f t="shared" si="67"/>
        <v>44711</v>
      </c>
      <c r="C91" s="77">
        <f t="shared" si="68"/>
        <v>-2.4562012535511712</v>
      </c>
      <c r="D91" s="77">
        <f t="shared" si="69"/>
        <v>9.9988537731072746</v>
      </c>
      <c r="E91" s="77">
        <f t="shared" si="70"/>
        <v>6.2000000000068667</v>
      </c>
      <c r="F91" s="78">
        <f t="shared" si="71"/>
        <v>-9.1230109789535163</v>
      </c>
      <c r="G91" s="78">
        <f t="shared" si="72"/>
        <v>7.3519225415696887</v>
      </c>
      <c r="H91" s="78">
        <f t="shared" si="63"/>
        <v>-4.500000000007276</v>
      </c>
      <c r="I91" s="77"/>
      <c r="J91" s="77"/>
      <c r="K91" s="77"/>
      <c r="L91" s="78">
        <f t="shared" si="73"/>
        <v>-14.534038018041429</v>
      </c>
      <c r="M91" s="78">
        <f t="shared" si="74"/>
        <v>0.54795302427493309</v>
      </c>
      <c r="N91" s="77">
        <f t="shared" si="75"/>
        <v>-79.09999999999684</v>
      </c>
      <c r="O91" s="77"/>
      <c r="P91" s="77"/>
      <c r="Q91" s="77"/>
      <c r="R91" s="51">
        <f t="shared" si="84"/>
        <v>-3.6521629303649661</v>
      </c>
      <c r="S91" s="51">
        <f t="shared" si="85"/>
        <v>-20.678154764843359</v>
      </c>
      <c r="T91" s="51">
        <f t="shared" si="86"/>
        <v>0.60000000000570708</v>
      </c>
      <c r="U91" s="77">
        <f t="shared" si="87"/>
        <v>-4.0964816554946992</v>
      </c>
      <c r="V91" s="77">
        <f t="shared" si="88"/>
        <v>-25.523104201421454</v>
      </c>
      <c r="W91" s="77">
        <f t="shared" si="89"/>
        <v>-9.9000000000017963</v>
      </c>
      <c r="Y91" s="93">
        <f t="shared" ref="Y91:Y95" si="104">2*N91</f>
        <v>-158.19999999999368</v>
      </c>
      <c r="Z91" s="96">
        <f t="shared" ref="Z91:Z95" si="105">(Y91-Y90)/(B91-B90)</f>
        <v>-3.0303030303174994E-2</v>
      </c>
    </row>
    <row r="92" spans="1:26" ht="24.95" customHeight="1" x14ac:dyDescent="0.2">
      <c r="A92" s="29">
        <f t="shared" si="66"/>
        <v>1035</v>
      </c>
      <c r="B92" s="30">
        <f t="shared" si="67"/>
        <v>44740</v>
      </c>
      <c r="C92" s="77">
        <f t="shared" si="68"/>
        <v>-2.395639612842615</v>
      </c>
      <c r="D92" s="77">
        <f t="shared" si="69"/>
        <v>10.578795505608696</v>
      </c>
      <c r="E92" s="77">
        <f t="shared" si="70"/>
        <v>6.3000000000101863</v>
      </c>
      <c r="F92" s="78">
        <f t="shared" si="71"/>
        <v>-9.6001256883937458</v>
      </c>
      <c r="G92" s="78">
        <f t="shared" si="72"/>
        <v>7.9017965965713088</v>
      </c>
      <c r="H92" s="78">
        <f t="shared" si="63"/>
        <v>-4.4000000000039563</v>
      </c>
      <c r="I92" s="77"/>
      <c r="J92" s="77"/>
      <c r="K92" s="77"/>
      <c r="L92" s="78">
        <f t="shared" si="73"/>
        <v>-15.532573530066429</v>
      </c>
      <c r="M92" s="78">
        <f t="shared" si="74"/>
        <v>0.7540329410743174</v>
      </c>
      <c r="N92" s="77">
        <f t="shared" si="75"/>
        <v>-78.99999999999352</v>
      </c>
      <c r="O92" s="77"/>
      <c r="P92" s="77"/>
      <c r="Q92" s="77"/>
      <c r="R92" s="51">
        <f t="shared" si="84"/>
        <v>-4.0992101240817647</v>
      </c>
      <c r="S92" s="51">
        <f t="shared" si="85"/>
        <v>-20.665957263973134</v>
      </c>
      <c r="T92" s="51">
        <f t="shared" si="86"/>
        <v>0.90000000001566605</v>
      </c>
      <c r="U92" s="77">
        <f t="shared" si="87"/>
        <v>-4.3139064948434225</v>
      </c>
      <c r="V92" s="77">
        <f t="shared" si="88"/>
        <v>-25.293481593901213</v>
      </c>
      <c r="W92" s="77">
        <f t="shared" si="89"/>
        <v>-9.7000000000093678</v>
      </c>
      <c r="Y92" s="93">
        <f t="shared" si="104"/>
        <v>-157.99999999998704</v>
      </c>
      <c r="Z92" s="96">
        <f t="shared" si="105"/>
        <v>6.8965517243668728E-3</v>
      </c>
    </row>
    <row r="93" spans="1:26" ht="24.95" customHeight="1" x14ac:dyDescent="0.2">
      <c r="A93" s="29">
        <f t="shared" si="66"/>
        <v>1062</v>
      </c>
      <c r="B93" s="30">
        <f t="shared" si="67"/>
        <v>44767</v>
      </c>
      <c r="C93" s="77">
        <f t="shared" si="68"/>
        <v>-2.9455135693865486</v>
      </c>
      <c r="D93" s="77">
        <f t="shared" si="69"/>
        <v>10.101680585157258</v>
      </c>
      <c r="E93" s="77">
        <f t="shared" si="70"/>
        <v>7.1999999999974307</v>
      </c>
      <c r="F93" s="78">
        <f t="shared" si="71"/>
        <v>-10.149999848891866</v>
      </c>
      <c r="G93" s="78">
        <f t="shared" si="72"/>
        <v>7.4246818379029023</v>
      </c>
      <c r="H93" s="78">
        <f t="shared" si="63"/>
        <v>-3.5000000000025011</v>
      </c>
      <c r="I93" s="77"/>
      <c r="J93" s="77"/>
      <c r="K93" s="77"/>
      <c r="L93" s="78">
        <f t="shared" si="73"/>
        <v>-16.327346290466949</v>
      </c>
      <c r="M93" s="78">
        <f t="shared" si="74"/>
        <v>7.7363350889453342E-2</v>
      </c>
      <c r="N93" s="77">
        <f t="shared" si="75"/>
        <v>-78.499999999991132</v>
      </c>
      <c r="O93" s="77"/>
      <c r="P93" s="77"/>
      <c r="Q93" s="77"/>
      <c r="R93" s="51">
        <f t="shared" si="84"/>
        <v>-4.389394105004385</v>
      </c>
      <c r="S93" s="51">
        <f t="shared" si="85"/>
        <v>-21.46332358268177</v>
      </c>
      <c r="T93" s="51">
        <f t="shared" si="86"/>
        <v>1.6000000000104819</v>
      </c>
      <c r="U93" s="77">
        <f t="shared" si="87"/>
        <v>-4.9304408917407727</v>
      </c>
      <c r="V93" s="77">
        <f t="shared" si="88"/>
        <v>-26.574061738239063</v>
      </c>
      <c r="W93" s="77">
        <f t="shared" si="89"/>
        <v>-8.8999999999970214</v>
      </c>
      <c r="Y93" s="93">
        <f t="shared" si="104"/>
        <v>-156.99999999998226</v>
      </c>
      <c r="Z93" s="96">
        <f t="shared" si="105"/>
        <v>3.7037037037213887E-2</v>
      </c>
    </row>
    <row r="94" spans="1:26" ht="24.95" customHeight="1" x14ac:dyDescent="0.2">
      <c r="A94" s="29">
        <f t="shared" si="66"/>
        <v>1197</v>
      </c>
      <c r="B94" s="30">
        <f t="shared" si="67"/>
        <v>44902</v>
      </c>
      <c r="C94" s="77">
        <f t="shared" si="68"/>
        <v>-2.62526206563507</v>
      </c>
      <c r="D94" s="77">
        <f t="shared" si="69"/>
        <v>10.361370609973442</v>
      </c>
      <c r="E94" s="77">
        <f t="shared" si="70"/>
        <v>7.4999999999931788</v>
      </c>
      <c r="F94" s="78">
        <f t="shared" si="71"/>
        <v>-9.3404357198778598</v>
      </c>
      <c r="G94" s="78">
        <f t="shared" si="72"/>
        <v>7.5815449380751687</v>
      </c>
      <c r="H94" s="78">
        <f t="shared" si="63"/>
        <v>-3.5000000000025011</v>
      </c>
      <c r="I94" s="77"/>
      <c r="J94" s="77"/>
      <c r="K94" s="77"/>
      <c r="L94" s="78">
        <f t="shared" si="73"/>
        <v>-15.608411521867538</v>
      </c>
      <c r="M94" s="78">
        <f t="shared" si="74"/>
        <v>0.19196143446256753</v>
      </c>
      <c r="N94" s="77">
        <f t="shared" si="75"/>
        <v>-79.999999999998295</v>
      </c>
      <c r="O94" s="77"/>
      <c r="P94" s="77"/>
      <c r="Q94" s="77"/>
      <c r="R94" s="51">
        <f t="shared" si="84"/>
        <v>-4.4922209733613272</v>
      </c>
      <c r="S94" s="51">
        <f t="shared" si="85"/>
        <v>-21.952636053240493</v>
      </c>
      <c r="T94" s="51">
        <f t="shared" si="86"/>
        <v>1.5999999999962711</v>
      </c>
      <c r="U94" s="77">
        <f t="shared" si="87"/>
        <v>-4.6589797079832351</v>
      </c>
      <c r="V94" s="77">
        <f t="shared" si="88"/>
        <v>-28.102560635864471</v>
      </c>
      <c r="W94" s="77">
        <f t="shared" si="89"/>
        <v>-8.5000000000121645</v>
      </c>
      <c r="Y94" s="93">
        <f t="shared" si="104"/>
        <v>-159.99999999999659</v>
      </c>
      <c r="Z94" s="96">
        <f t="shared" si="105"/>
        <v>-2.2222222222328329E-2</v>
      </c>
    </row>
    <row r="95" spans="1:26" ht="24.95" customHeight="1" x14ac:dyDescent="0.2">
      <c r="A95" s="29">
        <f t="shared" si="66"/>
        <v>1210</v>
      </c>
      <c r="B95" s="30">
        <f t="shared" si="67"/>
        <v>44915</v>
      </c>
      <c r="C95" s="77">
        <f t="shared" si="68"/>
        <v>-2.2082823947471297</v>
      </c>
      <c r="D95" s="77">
        <f t="shared" si="69"/>
        <v>10.88684940300011</v>
      </c>
      <c r="E95" s="77">
        <f t="shared" si="70"/>
        <v>6.9000000000016826</v>
      </c>
      <c r="F95" s="78">
        <f t="shared" si="71"/>
        <v>-8.7060313080939977</v>
      </c>
      <c r="G95" s="78">
        <f t="shared" si="72"/>
        <v>7.8774013345968008</v>
      </c>
      <c r="H95" s="78">
        <f t="shared" si="63"/>
        <v>-4.199999999997317</v>
      </c>
      <c r="I95" s="77"/>
      <c r="J95" s="77"/>
      <c r="K95" s="77"/>
      <c r="L95" s="78">
        <f t="shared" si="73"/>
        <v>-15.511683460232462</v>
      </c>
      <c r="M95" s="78">
        <f t="shared" si="74"/>
        <v>0.45775015344121095</v>
      </c>
      <c r="N95" s="77">
        <f t="shared" si="75"/>
        <v>-80.79999999999643</v>
      </c>
      <c r="O95" s="77"/>
      <c r="P95" s="77"/>
      <c r="Q95" s="77"/>
      <c r="R95" s="51">
        <f t="shared" si="84"/>
        <v>-3.7249220719957066</v>
      </c>
      <c r="S95" s="51">
        <f t="shared" si="85"/>
        <v>-21.705143691067352</v>
      </c>
      <c r="T95" s="51">
        <f t="shared" si="86"/>
        <v>0.80000000001234639</v>
      </c>
      <c r="U95" s="77">
        <f t="shared" si="87"/>
        <v>-4.3870921330722012</v>
      </c>
      <c r="V95" s="77">
        <f t="shared" si="88"/>
        <v>-27.975765051415635</v>
      </c>
      <c r="W95" s="77">
        <f t="shared" si="89"/>
        <v>-9.3000000000103</v>
      </c>
      <c r="Y95" s="93">
        <f t="shared" si="104"/>
        <v>-161.59999999999286</v>
      </c>
      <c r="Z95" s="96">
        <f t="shared" si="105"/>
        <v>-0.12307692307663623</v>
      </c>
    </row>
    <row r="96" spans="1:26" ht="24.95" customHeight="1" x14ac:dyDescent="0.2">
      <c r="A96" s="29">
        <f t="shared" si="66"/>
        <v>1225</v>
      </c>
      <c r="B96" s="30">
        <f t="shared" si="67"/>
        <v>44930</v>
      </c>
      <c r="C96" s="77">
        <f t="shared" si="68"/>
        <v>-2.4801699696865853</v>
      </c>
      <c r="D96" s="77">
        <f t="shared" si="69"/>
        <v>10.760053818553938</v>
      </c>
      <c r="E96" s="77">
        <f t="shared" si="70"/>
        <v>6.6000000000059345</v>
      </c>
      <c r="F96" s="78">
        <f t="shared" si="71"/>
        <v>-8.8872897264877793</v>
      </c>
      <c r="G96" s="78">
        <f t="shared" si="72"/>
        <v>7.7928709285655096</v>
      </c>
      <c r="H96" s="78">
        <f t="shared" si="63"/>
        <v>-4.500000000007276</v>
      </c>
      <c r="I96" s="77"/>
      <c r="J96" s="77"/>
      <c r="K96" s="77"/>
      <c r="L96" s="78">
        <f t="shared" si="73"/>
        <v>-15.783571140644881</v>
      </c>
      <c r="M96" s="78">
        <f t="shared" si="74"/>
        <v>0.33095451978940038</v>
      </c>
      <c r="N96" s="77">
        <f t="shared" si="75"/>
        <v>-81.199999999995498</v>
      </c>
      <c r="O96" s="77"/>
      <c r="P96" s="77"/>
      <c r="Q96" s="77"/>
      <c r="R96" s="51">
        <f t="shared" si="84"/>
        <v>-4.7157446194034947</v>
      </c>
      <c r="S96" s="51">
        <f t="shared" si="85"/>
        <v>-21.946537197277571</v>
      </c>
      <c r="T96" s="51">
        <f t="shared" si="86"/>
        <v>0.40000000001327862</v>
      </c>
      <c r="U96" s="77">
        <f t="shared" si="87"/>
        <v>-4.6167144803632709</v>
      </c>
      <c r="V96" s="77">
        <f t="shared" si="88"/>
        <v>-28.193189897822268</v>
      </c>
      <c r="W96" s="77">
        <f t="shared" si="89"/>
        <v>-9.3999999999994088</v>
      </c>
      <c r="Y96" s="93">
        <f t="shared" ref="Y96" si="106">2*N96</f>
        <v>-162.399999999991</v>
      </c>
      <c r="Z96" s="96">
        <f t="shared" ref="Z96" si="107">(Y96-Y95)/(B96-B95)</f>
        <v>-5.3333333333209033E-2</v>
      </c>
    </row>
    <row r="97" spans="1:26" ht="24.95" customHeight="1" x14ac:dyDescent="0.2">
      <c r="A97" s="29">
        <f t="shared" si="66"/>
        <v>1240</v>
      </c>
      <c r="B97" s="30">
        <f t="shared" si="67"/>
        <v>44945</v>
      </c>
      <c r="C97" s="77">
        <f t="shared" si="68"/>
        <v>-2.5707992316483796</v>
      </c>
      <c r="D97" s="77">
        <f t="shared" si="69"/>
        <v>10.71778859093131</v>
      </c>
      <c r="E97" s="77">
        <f t="shared" si="70"/>
        <v>6.100000000003547</v>
      </c>
      <c r="F97" s="78">
        <f t="shared" si="71"/>
        <v>-8.7543953353304005</v>
      </c>
      <c r="G97" s="78">
        <f t="shared" si="72"/>
        <v>7.7445071052077985</v>
      </c>
      <c r="H97" s="78">
        <f t="shared" si="63"/>
        <v>-4.9999999999954525</v>
      </c>
      <c r="I97" s="77"/>
      <c r="J97" s="77"/>
      <c r="K97" s="77"/>
      <c r="L97" s="78">
        <f t="shared" si="73"/>
        <v>-15.964829559095506</v>
      </c>
      <c r="M97" s="78">
        <f t="shared" si="74"/>
        <v>0.24642411374745099</v>
      </c>
      <c r="N97" s="77">
        <f t="shared" si="75"/>
        <v>-81.899999999990314</v>
      </c>
      <c r="O97" s="77"/>
      <c r="P97" s="77"/>
      <c r="Q97" s="77"/>
      <c r="R97" s="51">
        <f t="shared" si="84"/>
        <v>-4.4076905180929771</v>
      </c>
      <c r="S97" s="51">
        <f t="shared" si="85"/>
        <v>-22.133894577186286</v>
      </c>
      <c r="T97" s="51">
        <f t="shared" si="86"/>
        <v>1.4210854715202004E-11</v>
      </c>
      <c r="U97" s="77">
        <f t="shared" si="87"/>
        <v>-4.4899188959277581</v>
      </c>
      <c r="V97" s="77">
        <f t="shared" si="88"/>
        <v>-28.465077472732858</v>
      </c>
      <c r="W97" s="77">
        <f t="shared" si="89"/>
        <v>-9.7000000000093678</v>
      </c>
      <c r="Y97" s="93">
        <f t="shared" ref="Y97:Y98" si="108">2*N97</f>
        <v>-163.79999999998063</v>
      </c>
      <c r="Z97" s="96">
        <f t="shared" ref="Z97:Z98" si="109">(Y97-Y96)/(B97-B96)</f>
        <v>-9.3333333332642113E-2</v>
      </c>
    </row>
    <row r="98" spans="1:26" ht="28.5" customHeight="1" x14ac:dyDescent="0.2">
      <c r="A98" s="29">
        <f t="shared" si="66"/>
        <v>1252</v>
      </c>
      <c r="B98" s="30">
        <f t="shared" si="67"/>
        <v>44957</v>
      </c>
      <c r="C98" s="77">
        <f t="shared" si="68"/>
        <v>-2.5285340039999937</v>
      </c>
      <c r="D98" s="77">
        <f t="shared" si="69"/>
        <v>10.627159328966407</v>
      </c>
      <c r="E98" s="77">
        <f t="shared" si="70"/>
        <v>6.100000000003547</v>
      </c>
      <c r="F98" s="78">
        <f t="shared" si="71"/>
        <v>-9.4249661751177882</v>
      </c>
      <c r="G98" s="78">
        <f t="shared" si="72"/>
        <v>7.7628034620143005</v>
      </c>
      <c r="H98" s="78">
        <f t="shared" si="63"/>
        <v>-4.8000000000030241</v>
      </c>
      <c r="I98" s="77"/>
      <c r="J98" s="77"/>
      <c r="K98" s="77"/>
      <c r="L98" s="78">
        <f t="shared" si="73"/>
        <v>-15.735207106303051</v>
      </c>
      <c r="M98" s="78">
        <f t="shared" si="74"/>
        <v>0.46384900938825635</v>
      </c>
      <c r="N98" s="77">
        <f t="shared" si="75"/>
        <v>-81.599999999994566</v>
      </c>
      <c r="O98" s="77"/>
      <c r="P98" s="77"/>
      <c r="Q98" s="77"/>
      <c r="R98" s="51">
        <f t="shared" si="84"/>
        <v>-5.0237986222896325</v>
      </c>
      <c r="S98" s="51">
        <f t="shared" si="85"/>
        <v>-21.759180028418701</v>
      </c>
      <c r="T98" s="51">
        <f t="shared" si="86"/>
        <v>0.10000000000331966</v>
      </c>
      <c r="U98" s="77">
        <f t="shared" si="87"/>
        <v>-4.6589797079832351</v>
      </c>
      <c r="V98" s="77">
        <f t="shared" si="88"/>
        <v>-28.102560635864471</v>
      </c>
      <c r="W98" s="77">
        <f t="shared" si="89"/>
        <v>-9.7999999999984766</v>
      </c>
      <c r="Y98" s="93">
        <f t="shared" si="108"/>
        <v>-163.19999999998913</v>
      </c>
      <c r="Z98" s="96">
        <f t="shared" si="109"/>
        <v>4.9999999999291354E-2</v>
      </c>
    </row>
    <row r="99" spans="1:26" ht="28.5" customHeight="1" x14ac:dyDescent="0.2">
      <c r="A99" s="29">
        <f t="shared" si="66"/>
        <v>1283</v>
      </c>
      <c r="B99" s="30">
        <f t="shared" si="67"/>
        <v>44988</v>
      </c>
      <c r="C99" s="77">
        <f t="shared" si="68"/>
        <v>-1.9424936194809561</v>
      </c>
      <c r="D99" s="77">
        <f t="shared" si="69"/>
        <v>10.790121496089711</v>
      </c>
      <c r="E99" s="77">
        <f t="shared" si="70"/>
        <v>6.6000000000059345</v>
      </c>
      <c r="F99" s="78">
        <f t="shared" si="71"/>
        <v>-8.9718201817561294</v>
      </c>
      <c r="G99" s="78">
        <f t="shared" si="72"/>
        <v>7.9741294525303985</v>
      </c>
      <c r="H99" s="78">
        <f t="shared" si="63"/>
        <v>-4.4000000000039563</v>
      </c>
      <c r="I99" s="77"/>
      <c r="J99" s="77"/>
      <c r="K99" s="77"/>
      <c r="L99" s="78">
        <f t="shared" si="73"/>
        <v>-15.5417510814857</v>
      </c>
      <c r="M99" s="78">
        <f t="shared" si="74"/>
        <v>0.99542665833371458</v>
      </c>
      <c r="N99" s="77">
        <f t="shared" si="75"/>
        <v>-81.099999999992178</v>
      </c>
      <c r="O99" s="77"/>
      <c r="P99" s="77"/>
      <c r="Q99" s="77"/>
      <c r="R99" s="51">
        <f t="shared" si="84"/>
        <v>-4.3288324713728343</v>
      </c>
      <c r="S99" s="51">
        <f t="shared" si="85"/>
        <v>-20.883382110392201</v>
      </c>
      <c r="T99" s="51">
        <f t="shared" si="86"/>
        <v>0.70000000000902673</v>
      </c>
      <c r="U99" s="77">
        <f t="shared" si="87"/>
        <v>-4.7374113635783033</v>
      </c>
      <c r="V99" s="77">
        <f t="shared" si="88"/>
        <v>-27.697778620566105</v>
      </c>
      <c r="W99" s="77">
        <f t="shared" si="89"/>
        <v>-9.2000000000069804</v>
      </c>
      <c r="Y99" s="93">
        <f t="shared" ref="Y99" si="110">2*N99</f>
        <v>-162.19999999998436</v>
      </c>
      <c r="Z99" s="96">
        <f t="shared" ref="Z99" si="111">(Y99-Y98)/(B99-B98)</f>
        <v>3.2258064516283061E-2</v>
      </c>
    </row>
    <row r="100" spans="1:26" ht="28.5" customHeight="1" x14ac:dyDescent="0.2">
      <c r="A100" s="29">
        <f t="shared" si="66"/>
        <v>1308</v>
      </c>
      <c r="B100" s="30">
        <f t="shared" si="67"/>
        <v>45013</v>
      </c>
      <c r="C100" s="77">
        <f t="shared" si="68"/>
        <v>-1.6767047458188244</v>
      </c>
      <c r="D100" s="77">
        <f t="shared" si="69"/>
        <v>10.693393378183202</v>
      </c>
      <c r="E100" s="77">
        <f t="shared" si="70"/>
        <v>6.5000000000026148</v>
      </c>
      <c r="F100" s="78">
        <f t="shared" si="71"/>
        <v>-8.712130107738858</v>
      </c>
      <c r="G100" s="78">
        <f t="shared" si="72"/>
        <v>7.6538778432504451</v>
      </c>
      <c r="H100" s="78">
        <f t="shared" si="63"/>
        <v>-4.8000000000030241</v>
      </c>
      <c r="I100" s="77"/>
      <c r="J100" s="77"/>
      <c r="K100" s="77"/>
      <c r="L100" s="78">
        <f t="shared" si="73"/>
        <v>-15.378789076123667</v>
      </c>
      <c r="M100" s="78">
        <f t="shared" si="74"/>
        <v>0.40938606986709591</v>
      </c>
      <c r="N100" s="77">
        <f t="shared" si="75"/>
        <v>-81.999999999993634</v>
      </c>
      <c r="O100" s="77"/>
      <c r="P100" s="77"/>
      <c r="Q100" s="77"/>
      <c r="R100" s="51">
        <f t="shared" si="84"/>
        <v>-4.4015917113995329</v>
      </c>
      <c r="S100" s="51">
        <f t="shared" si="85"/>
        <v>-21.91037082558811</v>
      </c>
      <c r="T100" s="51">
        <f t="shared" si="86"/>
        <v>0.30000000000995897</v>
      </c>
      <c r="U100" s="77">
        <f t="shared" si="87"/>
        <v>-4.8040716984303344</v>
      </c>
      <c r="V100" s="77">
        <f t="shared" si="88"/>
        <v>-28.501243795203468</v>
      </c>
      <c r="W100" s="77">
        <f t="shared" si="89"/>
        <v>-9.5000000000027285</v>
      </c>
      <c r="Y100" s="93">
        <f t="shared" ref="Y100" si="112">2*N100</f>
        <v>-163.99999999998727</v>
      </c>
      <c r="Z100" s="96">
        <f t="shared" ref="Z100" si="113">(Y100-Y99)/(B100-B99)</f>
        <v>-7.2000000000116415E-2</v>
      </c>
    </row>
    <row r="101" spans="1:26" ht="28.5" customHeight="1" x14ac:dyDescent="0.2">
      <c r="A101" s="29">
        <f t="shared" si="66"/>
        <v>1626</v>
      </c>
      <c r="B101" s="30">
        <f t="shared" si="67"/>
        <v>45331</v>
      </c>
      <c r="C101" s="77">
        <f t="shared" si="68"/>
        <v>-1.8516512182600309</v>
      </c>
      <c r="D101" s="77">
        <f t="shared" si="69"/>
        <v>11.66003381003744</v>
      </c>
      <c r="E101" s="77">
        <f t="shared" si="70"/>
        <v>7.1000000000083219</v>
      </c>
      <c r="F101" s="78">
        <f t="shared" si="71"/>
        <v>-7.9084517374781171</v>
      </c>
      <c r="G101" s="78">
        <f t="shared" si="72"/>
        <v>8.4148647494233231</v>
      </c>
      <c r="H101" s="78">
        <f t="shared" si="63"/>
        <v>-4.0000000000048885</v>
      </c>
      <c r="I101" s="77"/>
      <c r="J101" s="77"/>
      <c r="K101" s="77"/>
      <c r="L101" s="78">
        <f t="shared" si="73"/>
        <v>-14.411935448720214</v>
      </c>
      <c r="M101" s="78">
        <f t="shared" si="74"/>
        <v>1.411979783345424</v>
      </c>
      <c r="N101" s="77">
        <f t="shared" si="75"/>
        <v>-82.799999999991769</v>
      </c>
      <c r="O101" s="77"/>
      <c r="P101" s="77"/>
      <c r="Q101" s="77"/>
      <c r="R101" s="51"/>
      <c r="S101" s="51"/>
      <c r="T101" s="51"/>
      <c r="U101" s="77">
        <f t="shared" si="87"/>
        <v>-2.1392319702044915</v>
      </c>
      <c r="V101" s="77">
        <f t="shared" si="88"/>
        <v>-25.934411252777512</v>
      </c>
      <c r="W101" s="77">
        <f t="shared" si="89"/>
        <v>-9.3000000000103</v>
      </c>
      <c r="Y101" s="93">
        <f t="shared" ref="Y101" si="114">2*N101</f>
        <v>-165.59999999998354</v>
      </c>
      <c r="Z101" s="96">
        <f t="shared" ref="Z101" si="115">(Y101-Y100)/(B101-B100)</f>
        <v>-5.031446540868777E-3</v>
      </c>
    </row>
  </sheetData>
  <mergeCells count="11">
    <mergeCell ref="A5:W5"/>
    <mergeCell ref="F8:H8"/>
    <mergeCell ref="R8:T8"/>
    <mergeCell ref="S1:W1"/>
    <mergeCell ref="S2:W2"/>
    <mergeCell ref="C7:W7"/>
    <mergeCell ref="C8:E8"/>
    <mergeCell ref="L8:N8"/>
    <mergeCell ref="U8:W8"/>
    <mergeCell ref="I8:K8"/>
    <mergeCell ref="O8:Q8"/>
  </mergeCells>
  <phoneticPr fontId="0" type="noConversion"/>
  <printOptions horizontalCentered="1"/>
  <pageMargins left="0.39370078740157499" right="0.39370078740157499" top="0.196850393700787" bottom="0.196850393700787" header="0.511811023622047" footer="0.511811023622047"/>
  <pageSetup paperSize="9" scale="53" fitToHeight="0" orientation="landscape" cellComments="atEnd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>
    <pageSetUpPr fitToPage="1"/>
  </sheetPr>
  <dimension ref="A1:AG108"/>
  <sheetViews>
    <sheetView showGridLines="0" topLeftCell="A31" zoomScale="85" zoomScaleNormal="85" workbookViewId="0">
      <selection activeCell="AB83" sqref="AB83"/>
    </sheetView>
  </sheetViews>
  <sheetFormatPr baseColWidth="10" defaultColWidth="11.42578125" defaultRowHeight="12.75" customHeight="1" x14ac:dyDescent="0.2"/>
  <cols>
    <col min="1" max="1" width="10.85546875" style="98" customWidth="1"/>
    <col min="2" max="12" width="10.85546875" style="2" customWidth="1"/>
    <col min="13" max="13" width="10.85546875" style="98" customWidth="1"/>
    <col min="14" max="24" width="10.85546875" style="2" customWidth="1"/>
    <col min="25" max="25" width="10.85546875" style="98" customWidth="1"/>
    <col min="26" max="26" width="11.28515625" style="2" customWidth="1"/>
    <col min="27" max="28" width="11.42578125" style="2"/>
    <col min="29" max="29" width="14.85546875" style="2" customWidth="1"/>
    <col min="30" max="16384" width="11.42578125" style="2"/>
  </cols>
  <sheetData>
    <row r="1" spans="1:33" s="98" customFormat="1" ht="12.75" customHeight="1" x14ac:dyDescent="0.2">
      <c r="AG1" s="2"/>
    </row>
    <row r="2" spans="1:33" ht="12.75" customHeight="1" x14ac:dyDescent="0.2">
      <c r="I2" s="119" t="s">
        <v>9</v>
      </c>
      <c r="J2" s="119"/>
      <c r="K2" s="119"/>
      <c r="L2" s="119"/>
      <c r="M2" s="99"/>
      <c r="U2" s="119" t="s">
        <v>9</v>
      </c>
      <c r="V2" s="119"/>
      <c r="W2" s="119"/>
      <c r="X2" s="119"/>
      <c r="Y2" s="99"/>
    </row>
    <row r="3" spans="1:33" ht="12.75" customHeight="1" x14ac:dyDescent="0.2">
      <c r="I3" s="119" t="s">
        <v>54</v>
      </c>
      <c r="J3" s="119"/>
      <c r="K3" s="119"/>
      <c r="L3" s="119"/>
      <c r="M3" s="99"/>
      <c r="U3" s="119" t="s">
        <v>54</v>
      </c>
      <c r="V3" s="119"/>
      <c r="W3" s="119"/>
      <c r="X3" s="119"/>
      <c r="Y3" s="99"/>
    </row>
    <row r="4" spans="1:33" ht="12.75" customHeight="1" x14ac:dyDescent="0.2">
      <c r="I4" s="66"/>
      <c r="J4" s="66"/>
      <c r="K4" s="66"/>
      <c r="U4" s="66"/>
      <c r="V4" s="66"/>
      <c r="W4" s="66"/>
    </row>
    <row r="5" spans="1:33" ht="12.75" customHeight="1" x14ac:dyDescent="0.2">
      <c r="J5" s="128"/>
      <c r="K5" s="128"/>
      <c r="L5" s="128"/>
      <c r="M5" s="100"/>
      <c r="V5" s="128"/>
      <c r="W5" s="128"/>
      <c r="X5" s="128"/>
      <c r="Y5" s="100"/>
    </row>
    <row r="6" spans="1:33" ht="12.75" customHeight="1" x14ac:dyDescent="0.2">
      <c r="B6" s="127" t="str">
        <f>"GVA3 - Convergences Horizontales - (PM 196.1) - Mesures au "&amp; TEXT( MAX('Résultats observations'!A10:A116),"jj/mm/aa")</f>
        <v>GVA3 - Convergences Horizontales - (PM 196.1) - Mesures au 09/02/24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01"/>
      <c r="N6" s="127" t="str">
        <f>"GVA3 - Convergences Verticales - (PM 196.1) - Mesures au "&amp; TEXT( MAX('Résultats observations'!A10:A116),"jj/mm/aa")</f>
        <v>GVA3 - Convergences Verticales - (PM 196.1) - Mesures au 09/02/24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01"/>
    </row>
    <row r="7" spans="1:33" ht="12.75" customHeight="1" x14ac:dyDescent="0.2"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01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01"/>
    </row>
    <row r="8" spans="1:33" s="32" customFormat="1" ht="12.75" customHeight="1" x14ac:dyDescent="0.2">
      <c r="A8" s="98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01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01"/>
      <c r="AG8" s="2"/>
    </row>
    <row r="10" spans="1:33" customFormat="1" ht="12.75" customHeight="1" x14ac:dyDescent="0.2">
      <c r="A10" s="98"/>
      <c r="M10" s="102"/>
      <c r="Y10" s="102"/>
    </row>
    <row r="11" spans="1:33" customFormat="1" ht="12.75" customHeight="1" x14ac:dyDescent="0.2">
      <c r="A11" s="98"/>
      <c r="M11" s="102"/>
      <c r="Y11" s="102"/>
    </row>
    <row r="12" spans="1:33" customFormat="1" ht="12.75" customHeight="1" x14ac:dyDescent="0.2">
      <c r="A12" s="102"/>
      <c r="M12" s="102"/>
      <c r="Y12" s="102"/>
      <c r="AA12" t="s">
        <v>61</v>
      </c>
    </row>
    <row r="13" spans="1:33" customFormat="1" ht="12.75" customHeight="1" x14ac:dyDescent="0.2">
      <c r="A13" s="102"/>
      <c r="M13" s="102"/>
      <c r="Y13" s="102"/>
    </row>
    <row r="14" spans="1:33" customFormat="1" ht="12.75" customHeight="1" x14ac:dyDescent="0.2">
      <c r="A14" s="102"/>
      <c r="M14" s="102"/>
      <c r="Y14" s="102"/>
      <c r="AA14" s="2"/>
      <c r="AB14" t="s">
        <v>62</v>
      </c>
    </row>
    <row r="15" spans="1:33" customFormat="1" ht="12.75" customHeight="1" x14ac:dyDescent="0.2">
      <c r="A15" s="102"/>
      <c r="M15" s="102"/>
      <c r="Y15" s="102"/>
      <c r="AA15" s="2"/>
      <c r="AB15" s="2"/>
      <c r="AC15" t="s">
        <v>64</v>
      </c>
      <c r="AD15">
        <v>-181</v>
      </c>
      <c r="AE15" s="81">
        <v>43704</v>
      </c>
    </row>
    <row r="16" spans="1:33" customFormat="1" ht="12.75" customHeight="1" x14ac:dyDescent="0.2">
      <c r="A16" s="102"/>
      <c r="M16" s="102"/>
      <c r="Y16" s="102"/>
      <c r="AD16">
        <f>+AD15</f>
        <v>-181</v>
      </c>
      <c r="AE16" s="81">
        <v>45292</v>
      </c>
    </row>
    <row r="17" spans="1:31" customFormat="1" ht="12.75" customHeight="1" x14ac:dyDescent="0.2">
      <c r="A17" s="102"/>
      <c r="M17" s="102"/>
      <c r="Y17" s="102"/>
      <c r="AC17" t="s">
        <v>66</v>
      </c>
      <c r="AD17">
        <v>-226</v>
      </c>
      <c r="AE17" s="81">
        <f>+AE15</f>
        <v>43704</v>
      </c>
    </row>
    <row r="18" spans="1:31" customFormat="1" ht="12.75" customHeight="1" x14ac:dyDescent="0.2">
      <c r="A18" s="102"/>
      <c r="M18" s="102"/>
      <c r="Y18" s="102"/>
      <c r="AD18">
        <f>AD17</f>
        <v>-226</v>
      </c>
      <c r="AE18" s="81">
        <f>+AE16</f>
        <v>45292</v>
      </c>
    </row>
    <row r="19" spans="1:31" customFormat="1" ht="12.75" customHeight="1" x14ac:dyDescent="0.2">
      <c r="A19" s="102"/>
      <c r="M19" s="102"/>
      <c r="Y19" s="102"/>
      <c r="AC19" s="2"/>
      <c r="AD19" s="2"/>
      <c r="AE19" s="2"/>
    </row>
    <row r="20" spans="1:31" customFormat="1" ht="12.75" customHeight="1" x14ac:dyDescent="0.2">
      <c r="A20" s="102"/>
      <c r="M20" s="102"/>
      <c r="Y20" s="102"/>
      <c r="AB20" t="s">
        <v>63</v>
      </c>
    </row>
    <row r="21" spans="1:31" customFormat="1" ht="12.75" customHeight="1" x14ac:dyDescent="0.2">
      <c r="A21" s="102"/>
      <c r="M21" s="102"/>
      <c r="Y21" s="102"/>
      <c r="AC21" t="s">
        <v>65</v>
      </c>
      <c r="AD21">
        <v>-58</v>
      </c>
      <c r="AE21" s="81">
        <f>+AE17</f>
        <v>43704</v>
      </c>
    </row>
    <row r="22" spans="1:31" customFormat="1" ht="12.75" customHeight="1" x14ac:dyDescent="0.2">
      <c r="A22" s="102"/>
      <c r="M22" s="102"/>
      <c r="Y22" s="102"/>
      <c r="AD22">
        <f>AD21</f>
        <v>-58</v>
      </c>
      <c r="AE22" s="81">
        <f>+AE18</f>
        <v>45292</v>
      </c>
    </row>
    <row r="23" spans="1:31" customFormat="1" ht="12.75" customHeight="1" x14ac:dyDescent="0.2">
      <c r="A23" s="102"/>
      <c r="M23" s="102"/>
      <c r="Y23" s="102"/>
      <c r="AC23" t="s">
        <v>67</v>
      </c>
      <c r="AD23">
        <v>-72</v>
      </c>
      <c r="AE23" s="81">
        <f>+AE21</f>
        <v>43704</v>
      </c>
    </row>
    <row r="24" spans="1:31" customFormat="1" ht="12.75" customHeight="1" x14ac:dyDescent="0.2">
      <c r="A24" s="102"/>
      <c r="M24" s="102"/>
      <c r="Y24" s="102"/>
      <c r="AD24">
        <f>AD23</f>
        <v>-72</v>
      </c>
      <c r="AE24" s="81">
        <f>+AE22</f>
        <v>45292</v>
      </c>
    </row>
    <row r="25" spans="1:31" customFormat="1" ht="12.75" customHeight="1" x14ac:dyDescent="0.2">
      <c r="A25" s="102"/>
      <c r="M25" s="102"/>
      <c r="Y25" s="102"/>
      <c r="AC25" t="s">
        <v>65</v>
      </c>
      <c r="AD25">
        <f>-AD21</f>
        <v>58</v>
      </c>
      <c r="AE25" s="81">
        <f>+AE21</f>
        <v>43704</v>
      </c>
    </row>
    <row r="26" spans="1:31" customFormat="1" ht="12.75" customHeight="1" x14ac:dyDescent="0.2">
      <c r="A26" s="102"/>
      <c r="M26" s="102"/>
      <c r="Y26" s="102"/>
      <c r="AD26">
        <f>-AD21</f>
        <v>58</v>
      </c>
      <c r="AE26" s="81">
        <f>+AE22</f>
        <v>45292</v>
      </c>
    </row>
    <row r="27" spans="1:31" customFormat="1" ht="12.75" customHeight="1" x14ac:dyDescent="0.2">
      <c r="A27" s="102"/>
      <c r="M27" s="102"/>
      <c r="Y27" s="102"/>
      <c r="AC27" t="s">
        <v>67</v>
      </c>
      <c r="AD27">
        <f>-AD23</f>
        <v>72</v>
      </c>
      <c r="AE27" s="81">
        <f>+AE25</f>
        <v>43704</v>
      </c>
    </row>
    <row r="28" spans="1:31" customFormat="1" ht="12.75" customHeight="1" x14ac:dyDescent="0.2">
      <c r="A28" s="102"/>
      <c r="M28" s="102"/>
      <c r="Y28" s="102"/>
      <c r="AD28">
        <f>-AD23</f>
        <v>72</v>
      </c>
      <c r="AE28" s="81">
        <f>+AE26</f>
        <v>45292</v>
      </c>
    </row>
    <row r="29" spans="1:31" customFormat="1" ht="12.75" customHeight="1" x14ac:dyDescent="0.2">
      <c r="A29" s="102"/>
      <c r="M29" s="102"/>
      <c r="Y29" s="102"/>
      <c r="AE29" s="81"/>
    </row>
    <row r="30" spans="1:31" customFormat="1" ht="12.75" customHeight="1" x14ac:dyDescent="0.2">
      <c r="A30" s="102"/>
      <c r="M30" s="102"/>
      <c r="Y30" s="102"/>
      <c r="AE30" s="81"/>
    </row>
    <row r="31" spans="1:31" customFormat="1" ht="12.75" customHeight="1" x14ac:dyDescent="0.2">
      <c r="A31" s="102"/>
      <c r="M31" s="102"/>
      <c r="Y31" s="102"/>
      <c r="AE31" s="81"/>
    </row>
    <row r="32" spans="1:31" customFormat="1" ht="12.75" customHeight="1" x14ac:dyDescent="0.2">
      <c r="A32" s="102"/>
      <c r="M32" s="102"/>
      <c r="Y32" s="102"/>
    </row>
    <row r="33" spans="1:30" customFormat="1" ht="12.75" customHeight="1" x14ac:dyDescent="0.2">
      <c r="A33" s="102"/>
      <c r="M33" s="102"/>
      <c r="Y33" s="102"/>
    </row>
    <row r="34" spans="1:30" customFormat="1" ht="12.75" customHeight="1" x14ac:dyDescent="0.2">
      <c r="A34" s="102"/>
      <c r="M34" s="102"/>
      <c r="Y34" s="102"/>
    </row>
    <row r="35" spans="1:30" ht="12.75" customHeight="1" x14ac:dyDescent="0.2">
      <c r="A35" s="102"/>
      <c r="B35"/>
      <c r="C35"/>
      <c r="D35"/>
      <c r="E35"/>
      <c r="F35"/>
      <c r="G35"/>
      <c r="H35"/>
      <c r="I35"/>
      <c r="J35"/>
      <c r="K35"/>
      <c r="L35"/>
      <c r="M35" s="102"/>
      <c r="N35"/>
      <c r="O35"/>
      <c r="P35"/>
      <c r="Q35"/>
      <c r="R35"/>
      <c r="S35"/>
      <c r="T35"/>
      <c r="U35"/>
      <c r="V35"/>
      <c r="W35"/>
      <c r="X35"/>
      <c r="Y35" s="102"/>
    </row>
    <row r="36" spans="1:30" ht="12.75" customHeight="1" x14ac:dyDescent="0.2">
      <c r="A36" s="102"/>
      <c r="B36"/>
      <c r="C36"/>
      <c r="D36"/>
      <c r="E36"/>
      <c r="F36"/>
      <c r="G36"/>
      <c r="H36"/>
      <c r="I36"/>
      <c r="J36"/>
      <c r="K36"/>
      <c r="L36"/>
      <c r="M36" s="102"/>
      <c r="N36"/>
      <c r="O36"/>
      <c r="P36"/>
      <c r="Q36"/>
      <c r="R36"/>
      <c r="S36"/>
      <c r="T36"/>
      <c r="U36"/>
      <c r="V36"/>
      <c r="W36"/>
      <c r="X36"/>
      <c r="Y36" s="102"/>
      <c r="AC36" s="103"/>
      <c r="AD36" s="103"/>
    </row>
    <row r="37" spans="1:30" ht="12.75" customHeight="1" x14ac:dyDescent="0.2"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9"/>
      <c r="AC37" s="103"/>
      <c r="AD37" s="103"/>
    </row>
    <row r="38" spans="1:30" ht="12.75" customHeight="1" x14ac:dyDescent="0.2">
      <c r="I38" s="119" t="s">
        <v>9</v>
      </c>
      <c r="J38" s="119"/>
      <c r="K38" s="119"/>
      <c r="L38" s="119"/>
      <c r="M38" s="99"/>
      <c r="U38" s="119" t="s">
        <v>9</v>
      </c>
      <c r="V38" s="119"/>
      <c r="W38" s="119"/>
      <c r="X38" s="119"/>
      <c r="Y38" s="99"/>
      <c r="AC38" s="103"/>
      <c r="AD38" s="103"/>
    </row>
    <row r="39" spans="1:30" ht="12.75" customHeight="1" x14ac:dyDescent="0.2">
      <c r="I39" s="119" t="s">
        <v>54</v>
      </c>
      <c r="J39" s="119"/>
      <c r="K39" s="119"/>
      <c r="L39" s="119"/>
      <c r="M39" s="99"/>
      <c r="U39" s="119" t="s">
        <v>54</v>
      </c>
      <c r="V39" s="119"/>
      <c r="W39" s="119"/>
      <c r="X39" s="119"/>
      <c r="AC39" s="103"/>
      <c r="AD39" s="103"/>
    </row>
    <row r="40" spans="1:30" ht="12.75" customHeight="1" x14ac:dyDescent="0.2">
      <c r="I40" s="66"/>
      <c r="J40" s="66"/>
      <c r="K40" s="66"/>
      <c r="U40" s="66"/>
      <c r="V40" s="66"/>
      <c r="W40" s="66"/>
      <c r="AC40" s="103"/>
      <c r="AD40" s="103"/>
    </row>
    <row r="41" spans="1:30" ht="12.75" customHeight="1" x14ac:dyDescent="0.2">
      <c r="J41" s="128"/>
      <c r="K41" s="128"/>
      <c r="L41" s="128"/>
      <c r="M41" s="100"/>
      <c r="Y41" s="101"/>
      <c r="AC41" s="103"/>
      <c r="AD41" s="103"/>
    </row>
    <row r="42" spans="1:30" ht="12.75" customHeight="1" x14ac:dyDescent="0.2">
      <c r="B42" s="127" t="str">
        <f xml:space="preserve"> "GVA3 - Convergences- (PM " &amp; 'Résultats observations'!W6 &amp; ") - Mesures au "&amp; TEXT( MAX('Résultats observations'!A10:A116),"jj/mm/aa")</f>
        <v>GVA3 - Convergences- (PM 196.1) - Mesures au 09/02/24</v>
      </c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01"/>
      <c r="N42" s="127" t="str">
        <f>"GVA3 - Déplacements altimétriques des cibles - (PM "&amp;'Résultats observations'!W6&amp;") - Mesures au "&amp; TEXT( MAX('Résultats observations'!A10:A116),"jj/mm/aa")</f>
        <v>GVA3 - Déplacements altimétriques des cibles - (PM 196.1) - Mesures au 09/02/24</v>
      </c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AC42" s="103"/>
      <c r="AD42" s="103"/>
    </row>
    <row r="43" spans="1:30" ht="12.75" customHeight="1" x14ac:dyDescent="0.2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01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AC43" s="103"/>
      <c r="AD43" s="103"/>
    </row>
    <row r="44" spans="1:30" ht="12.75" customHeight="1" x14ac:dyDescent="0.2"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01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AC44" s="103"/>
      <c r="AD44" s="103"/>
    </row>
    <row r="45" spans="1:30" ht="12.75" customHeight="1" x14ac:dyDescent="0.2">
      <c r="AC45" s="103"/>
      <c r="AD45" s="103"/>
    </row>
    <row r="46" spans="1:30" ht="12.75" customHeight="1" x14ac:dyDescent="0.2">
      <c r="AC46" s="103"/>
      <c r="AD46" s="103"/>
    </row>
    <row r="47" spans="1:30" ht="12.75" customHeight="1" x14ac:dyDescent="0.2">
      <c r="AC47" s="103"/>
      <c r="AD47" s="103"/>
    </row>
    <row r="48" spans="1:30" ht="12.75" customHeight="1" x14ac:dyDescent="0.2">
      <c r="AC48" s="103"/>
      <c r="AD48" s="103"/>
    </row>
    <row r="49" spans="29:30" ht="12.75" customHeight="1" x14ac:dyDescent="0.2">
      <c r="AC49" s="103"/>
      <c r="AD49" s="103"/>
    </row>
    <row r="50" spans="29:30" ht="12.75" customHeight="1" x14ac:dyDescent="0.2">
      <c r="AC50" s="103"/>
      <c r="AD50" s="103"/>
    </row>
    <row r="51" spans="29:30" ht="12.75" customHeight="1" x14ac:dyDescent="0.2">
      <c r="AC51" s="103"/>
      <c r="AD51" s="103"/>
    </row>
    <row r="52" spans="29:30" ht="12.75" customHeight="1" x14ac:dyDescent="0.2">
      <c r="AC52" s="103"/>
      <c r="AD52" s="103"/>
    </row>
    <row r="53" spans="29:30" ht="12.75" customHeight="1" x14ac:dyDescent="0.2">
      <c r="AC53" s="103"/>
      <c r="AD53" s="103"/>
    </row>
    <row r="54" spans="29:30" ht="12.75" customHeight="1" x14ac:dyDescent="0.2">
      <c r="AC54" s="103"/>
      <c r="AD54" s="103"/>
    </row>
    <row r="55" spans="29:30" ht="12.75" customHeight="1" x14ac:dyDescent="0.2">
      <c r="AC55" s="103"/>
      <c r="AD55" s="103"/>
    </row>
    <row r="56" spans="29:30" ht="12.75" customHeight="1" x14ac:dyDescent="0.2">
      <c r="AC56" s="103"/>
      <c r="AD56" s="103"/>
    </row>
    <row r="57" spans="29:30" ht="12.75" customHeight="1" x14ac:dyDescent="0.2">
      <c r="AC57" s="103"/>
      <c r="AD57" s="103"/>
    </row>
    <row r="58" spans="29:30" ht="12.75" customHeight="1" x14ac:dyDescent="0.2">
      <c r="AC58" s="103"/>
      <c r="AD58" s="103"/>
    </row>
    <row r="59" spans="29:30" ht="12.75" customHeight="1" x14ac:dyDescent="0.2">
      <c r="AC59" s="103"/>
      <c r="AD59" s="103"/>
    </row>
    <row r="60" spans="29:30" ht="12.75" customHeight="1" x14ac:dyDescent="0.2">
      <c r="AC60" s="103"/>
      <c r="AD60" s="103"/>
    </row>
    <row r="61" spans="29:30" ht="12.75" customHeight="1" x14ac:dyDescent="0.2">
      <c r="AC61" s="103"/>
      <c r="AD61" s="103"/>
    </row>
    <row r="62" spans="29:30" ht="12.75" customHeight="1" x14ac:dyDescent="0.2">
      <c r="AC62" s="103"/>
      <c r="AD62" s="103"/>
    </row>
    <row r="63" spans="29:30" ht="12.75" customHeight="1" x14ac:dyDescent="0.2">
      <c r="AC63" s="103"/>
      <c r="AD63" s="103"/>
    </row>
    <row r="64" spans="29:30" ht="12.75" customHeight="1" x14ac:dyDescent="0.2">
      <c r="AC64" s="103"/>
      <c r="AD64" s="103"/>
    </row>
    <row r="65" spans="2:30" ht="12.75" customHeight="1" x14ac:dyDescent="0.2">
      <c r="AC65" s="103"/>
      <c r="AD65" s="103"/>
    </row>
    <row r="66" spans="2:30" ht="12.75" customHeight="1" x14ac:dyDescent="0.2">
      <c r="AC66" s="103"/>
      <c r="AD66" s="103"/>
    </row>
    <row r="67" spans="2:30" ht="12.75" customHeight="1" x14ac:dyDescent="0.2">
      <c r="AC67" s="103"/>
      <c r="AD67" s="103"/>
    </row>
    <row r="68" spans="2:30" ht="12.75" customHeight="1" x14ac:dyDescent="0.2">
      <c r="AA68" s="76" t="s">
        <v>81</v>
      </c>
      <c r="AC68" s="103"/>
      <c r="AD68" s="103"/>
    </row>
    <row r="69" spans="2:30" ht="12.75" customHeight="1" x14ac:dyDescent="0.2">
      <c r="AA69" s="76"/>
      <c r="AC69" s="103"/>
      <c r="AD69" s="103"/>
    </row>
    <row r="70" spans="2:30" ht="12.75" customHeight="1" x14ac:dyDescent="0.2">
      <c r="AC70" s="103"/>
      <c r="AD70" s="103"/>
    </row>
    <row r="71" spans="2:30" ht="12.75" customHeight="1" x14ac:dyDescent="0.2">
      <c r="AC71" s="103"/>
      <c r="AD71" s="103"/>
    </row>
    <row r="73" spans="2:30" ht="12.75" customHeight="1" x14ac:dyDescent="0.2"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9"/>
    </row>
    <row r="74" spans="2:30" ht="12.75" customHeight="1" x14ac:dyDescent="0.2">
      <c r="I74" s="119" t="s">
        <v>9</v>
      </c>
      <c r="J74" s="119"/>
      <c r="K74" s="119"/>
      <c r="L74" s="119"/>
      <c r="M74" s="99"/>
      <c r="U74" s="119" t="s">
        <v>9</v>
      </c>
      <c r="V74" s="119"/>
      <c r="W74" s="119"/>
      <c r="X74" s="119"/>
      <c r="Y74" s="99"/>
    </row>
    <row r="75" spans="2:30" ht="12.75" customHeight="1" x14ac:dyDescent="0.2">
      <c r="I75" s="119" t="s">
        <v>54</v>
      </c>
      <c r="J75" s="119"/>
      <c r="K75" s="119"/>
      <c r="L75" s="119"/>
      <c r="M75" s="99"/>
      <c r="U75" s="119" t="s">
        <v>54</v>
      </c>
      <c r="V75" s="119"/>
      <c r="W75" s="119"/>
      <c r="X75" s="119"/>
    </row>
    <row r="76" spans="2:30" ht="12.75" customHeight="1" x14ac:dyDescent="0.2">
      <c r="I76" s="66"/>
      <c r="J76" s="66"/>
      <c r="K76" s="66"/>
      <c r="U76" s="66"/>
      <c r="V76" s="66"/>
      <c r="W76" s="66"/>
    </row>
    <row r="77" spans="2:30" ht="12.75" customHeight="1" x14ac:dyDescent="0.2">
      <c r="J77" s="128"/>
      <c r="K77" s="128"/>
      <c r="L77" s="128"/>
      <c r="M77" s="100"/>
      <c r="Y77" s="101"/>
    </row>
    <row r="78" spans="2:30" ht="12.75" customHeight="1" x14ac:dyDescent="0.2">
      <c r="B78" s="127" t="str">
        <f xml:space="preserve"> "GVA3 - Déplacements en PM des cibles -  (PM "&amp;'Résultats observations'!W6&amp;") - Mesures au "&amp; TEXT( MAX('Résultats observations'!A10:A116),"jj/mm/aa")</f>
        <v>GVA3 - Déplacements en PM des cibles -  (PM 196.1) - Mesures au 09/02/24</v>
      </c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01"/>
      <c r="N78" s="127" t="str">
        <f>"GVA3 - Déplacements en déport des cibles -  (PM "&amp;'Résultats observations'!W6&amp;") - Mesures au "&amp; TEXT( MAX('Résultats observations'!A10:A116),"jj/mm/aa")</f>
        <v>GVA3 - Déplacements en déport des cibles -  (PM 196.1) - Mesures au 09/02/24</v>
      </c>
      <c r="O78" s="127"/>
      <c r="P78" s="127"/>
      <c r="Q78" s="127"/>
      <c r="R78" s="127"/>
      <c r="S78" s="127"/>
      <c r="T78" s="127"/>
      <c r="U78" s="127"/>
      <c r="V78" s="127"/>
      <c r="W78" s="127"/>
      <c r="X78" s="127"/>
    </row>
    <row r="79" spans="2:30" ht="12.75" customHeight="1" x14ac:dyDescent="0.2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01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100" spans="2:30" ht="12.75" customHeight="1" x14ac:dyDescent="0.2">
      <c r="AD100" s="104"/>
    </row>
    <row r="108" spans="2:30" ht="12.75" customHeight="1" x14ac:dyDescent="0.2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</row>
  </sheetData>
  <mergeCells count="26">
    <mergeCell ref="B78:L78"/>
    <mergeCell ref="N78:X78"/>
    <mergeCell ref="I38:L38"/>
    <mergeCell ref="I39:L39"/>
    <mergeCell ref="J41:L41"/>
    <mergeCell ref="B42:L42"/>
    <mergeCell ref="U38:X38"/>
    <mergeCell ref="U39:X39"/>
    <mergeCell ref="N42:X42"/>
    <mergeCell ref="I74:L74"/>
    <mergeCell ref="U74:X74"/>
    <mergeCell ref="I75:L75"/>
    <mergeCell ref="U75:X75"/>
    <mergeCell ref="J77:L77"/>
    <mergeCell ref="B7:L7"/>
    <mergeCell ref="N7:X7"/>
    <mergeCell ref="N44:X44"/>
    <mergeCell ref="B44:L44"/>
    <mergeCell ref="U2:X2"/>
    <mergeCell ref="U3:X3"/>
    <mergeCell ref="I2:L2"/>
    <mergeCell ref="I3:L3"/>
    <mergeCell ref="B6:L6"/>
    <mergeCell ref="J5:L5"/>
    <mergeCell ref="V5:X5"/>
    <mergeCell ref="N6:X6"/>
  </mergeCells>
  <phoneticPr fontId="29" type="noConversion"/>
  <printOptions horizontalCentered="1" verticalCentered="1"/>
  <pageMargins left="0.39370078740157483" right="0.39370078740157483" top="0.19685039370078741" bottom="0.19685039370078741" header="0.51181102362204722" footer="0.51181102362204722"/>
  <pageSetup paperSize="9" orientation="landscape" horizontalDpi="4294967293" r:id="rId1"/>
  <headerFooter alignWithMargins="0"/>
  <colBreaks count="1" manualBreakCount="1">
    <brk id="1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changerDateDerniereMesure">
                <anchor moveWithCells="1" sizeWithCells="1">
                  <from>
                    <xdr:col>26</xdr:col>
                    <xdr:colOff>133350</xdr:colOff>
                    <xdr:row>3</xdr:row>
                    <xdr:rowOff>123825</xdr:rowOff>
                  </from>
                  <to>
                    <xdr:col>27</xdr:col>
                    <xdr:colOff>190500</xdr:colOff>
                    <xdr:row>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V64"/>
  <sheetViews>
    <sheetView topLeftCell="A31" zoomScaleNormal="100" workbookViewId="0">
      <selection activeCell="J69" sqref="J69"/>
    </sheetView>
  </sheetViews>
  <sheetFormatPr baseColWidth="10" defaultColWidth="11.42578125" defaultRowHeight="12.75" x14ac:dyDescent="0.2"/>
  <cols>
    <col min="1" max="1" width="7.140625" style="2" customWidth="1"/>
    <col min="2" max="2" width="9.42578125" style="2" customWidth="1"/>
    <col min="3" max="7" width="8.42578125" style="2" customWidth="1"/>
    <col min="8" max="8" width="9.85546875" style="2" bestFit="1" customWidth="1"/>
    <col min="9" max="10" width="8.42578125" style="2" customWidth="1"/>
    <col min="11" max="12" width="7.140625" style="2" customWidth="1"/>
    <col min="13" max="13" width="9.42578125" style="2" customWidth="1"/>
    <col min="14" max="18" width="8.42578125" style="2" customWidth="1"/>
    <col min="19" max="19" width="9.85546875" style="2" bestFit="1" customWidth="1"/>
    <col min="20" max="21" width="8.42578125" style="2" customWidth="1"/>
    <col min="22" max="22" width="7.140625" style="2" customWidth="1"/>
    <col min="23" max="16384" width="11.42578125" style="2"/>
  </cols>
  <sheetData>
    <row r="1" spans="1:22" ht="15.75" x14ac:dyDescent="0.2">
      <c r="A1" s="63"/>
      <c r="B1" s="64"/>
      <c r="C1" s="64"/>
      <c r="D1" s="64"/>
      <c r="E1" s="64"/>
      <c r="F1" s="64"/>
      <c r="G1" s="64"/>
      <c r="H1" s="132" t="s">
        <v>9</v>
      </c>
      <c r="I1" s="132"/>
      <c r="J1" s="132"/>
      <c r="K1" s="133"/>
      <c r="L1" s="63"/>
      <c r="M1" s="64"/>
      <c r="N1" s="64"/>
      <c r="O1" s="64"/>
      <c r="P1" s="64"/>
      <c r="Q1" s="64"/>
      <c r="R1" s="64"/>
      <c r="S1" s="132" t="s">
        <v>9</v>
      </c>
      <c r="T1" s="132"/>
      <c r="U1" s="132"/>
      <c r="V1" s="133"/>
    </row>
    <row r="2" spans="1:22" ht="15.75" x14ac:dyDescent="0.2">
      <c r="A2" s="65"/>
      <c r="H2" s="119" t="s">
        <v>54</v>
      </c>
      <c r="I2" s="119"/>
      <c r="J2" s="119"/>
      <c r="K2" s="134"/>
      <c r="L2" s="65"/>
      <c r="S2" s="119" t="s">
        <v>54</v>
      </c>
      <c r="T2" s="119"/>
      <c r="U2" s="119"/>
      <c r="V2" s="134"/>
    </row>
    <row r="3" spans="1:22" ht="15" x14ac:dyDescent="0.2">
      <c r="A3" s="65"/>
      <c r="H3" s="66"/>
      <c r="I3" s="66"/>
      <c r="J3" s="66"/>
      <c r="K3" s="67"/>
      <c r="L3" s="65"/>
      <c r="S3" s="66"/>
      <c r="T3" s="66"/>
      <c r="U3" s="66"/>
      <c r="V3" s="67"/>
    </row>
    <row r="4" spans="1:22" x14ac:dyDescent="0.2">
      <c r="A4" s="65"/>
      <c r="I4" s="128"/>
      <c r="J4" s="128"/>
      <c r="K4" s="129"/>
      <c r="L4" s="65"/>
      <c r="T4" s="128"/>
      <c r="U4" s="128"/>
      <c r="V4" s="129"/>
    </row>
    <row r="5" spans="1:22" x14ac:dyDescent="0.2">
      <c r="A5" s="130" t="str">
        <f>Graphiques!B6</f>
        <v>GVA3 - Convergences Horizontales - (PM 196.1) - Mesures au 09/02/24</v>
      </c>
      <c r="B5" s="127"/>
      <c r="C5" s="127"/>
      <c r="D5" s="127"/>
      <c r="E5" s="127"/>
      <c r="F5" s="127"/>
      <c r="G5" s="127"/>
      <c r="H5" s="127"/>
      <c r="I5" s="127"/>
      <c r="J5" s="127"/>
      <c r="K5" s="131"/>
      <c r="L5" s="130" t="str">
        <f>Graphiques!N6</f>
        <v>GVA3 - Convergences Verticales - (PM 196.1) - Mesures au 09/02/24</v>
      </c>
      <c r="M5" s="127"/>
      <c r="N5" s="127"/>
      <c r="O5" s="127"/>
      <c r="P5" s="127"/>
      <c r="Q5" s="127"/>
      <c r="R5" s="127"/>
      <c r="S5" s="127"/>
      <c r="T5" s="127"/>
      <c r="U5" s="127"/>
      <c r="V5" s="131"/>
    </row>
    <row r="6" spans="1:22" ht="7.5" customHeight="1" x14ac:dyDescent="0.2">
      <c r="A6" s="65"/>
      <c r="K6" s="67"/>
      <c r="L6" s="65"/>
      <c r="V6" s="67"/>
    </row>
    <row r="7" spans="1:22" s="32" customFormat="1" x14ac:dyDescent="0.2">
      <c r="A7" s="68"/>
      <c r="B7"/>
      <c r="C7"/>
      <c r="D7"/>
      <c r="E7"/>
      <c r="F7"/>
      <c r="G7"/>
      <c r="H7"/>
      <c r="I7"/>
      <c r="J7"/>
      <c r="K7" s="69"/>
      <c r="L7" s="68"/>
      <c r="M7"/>
      <c r="N7"/>
      <c r="O7"/>
      <c r="P7"/>
      <c r="Q7"/>
      <c r="R7"/>
      <c r="S7"/>
      <c r="T7"/>
      <c r="U7"/>
      <c r="V7" s="69"/>
    </row>
    <row r="8" spans="1:22" x14ac:dyDescent="0.2">
      <c r="A8" s="68"/>
      <c r="B8"/>
      <c r="C8"/>
      <c r="D8"/>
      <c r="E8"/>
      <c r="F8"/>
      <c r="G8"/>
      <c r="H8"/>
      <c r="I8"/>
      <c r="J8"/>
      <c r="K8" s="69"/>
      <c r="L8" s="68"/>
      <c r="M8"/>
      <c r="N8"/>
      <c r="O8"/>
      <c r="P8"/>
      <c r="Q8"/>
      <c r="R8"/>
      <c r="S8"/>
      <c r="T8"/>
      <c r="U8"/>
      <c r="V8" s="69"/>
    </row>
    <row r="9" spans="1:22" customFormat="1" ht="35.25" customHeight="1" x14ac:dyDescent="0.2">
      <c r="A9" s="68"/>
      <c r="K9" s="69"/>
      <c r="L9" s="68"/>
      <c r="V9" s="69"/>
    </row>
    <row r="10" spans="1:22" customFormat="1" ht="13.5" customHeight="1" x14ac:dyDescent="0.2">
      <c r="A10" s="68"/>
      <c r="K10" s="69"/>
      <c r="L10" s="68"/>
      <c r="V10" s="69"/>
    </row>
    <row r="11" spans="1:22" customFormat="1" ht="13.5" customHeight="1" x14ac:dyDescent="0.2">
      <c r="A11" s="68"/>
      <c r="K11" s="69"/>
      <c r="L11" s="68"/>
      <c r="V11" s="69"/>
    </row>
    <row r="12" spans="1:22" customFormat="1" ht="13.5" customHeight="1" x14ac:dyDescent="0.2">
      <c r="A12" s="68"/>
      <c r="K12" s="69"/>
      <c r="L12" s="68"/>
      <c r="V12" s="69"/>
    </row>
    <row r="13" spans="1:22" customFormat="1" ht="13.5" customHeight="1" x14ac:dyDescent="0.2">
      <c r="A13" s="68"/>
      <c r="K13" s="69"/>
      <c r="L13" s="68"/>
      <c r="V13" s="69"/>
    </row>
    <row r="14" spans="1:22" customFormat="1" ht="13.5" customHeight="1" x14ac:dyDescent="0.2">
      <c r="A14" s="68"/>
      <c r="K14" s="69"/>
      <c r="L14" s="68"/>
      <c r="V14" s="69"/>
    </row>
    <row r="15" spans="1:22" customFormat="1" ht="13.5" customHeight="1" x14ac:dyDescent="0.2">
      <c r="A15" s="68"/>
      <c r="K15" s="69"/>
      <c r="L15" s="68"/>
      <c r="V15" s="69"/>
    </row>
    <row r="16" spans="1:22" customFormat="1" ht="13.5" customHeight="1" x14ac:dyDescent="0.2">
      <c r="A16" s="68"/>
      <c r="K16" s="69"/>
      <c r="L16" s="68"/>
      <c r="V16" s="69"/>
    </row>
    <row r="17" spans="1:22" customFormat="1" ht="13.5" customHeight="1" x14ac:dyDescent="0.2">
      <c r="A17" s="68"/>
      <c r="K17" s="69"/>
      <c r="L17" s="68"/>
      <c r="V17" s="69"/>
    </row>
    <row r="18" spans="1:22" customFormat="1" x14ac:dyDescent="0.2">
      <c r="A18" s="68"/>
      <c r="K18" s="69"/>
      <c r="L18" s="68"/>
      <c r="V18" s="69"/>
    </row>
    <row r="19" spans="1:22" customFormat="1" x14ac:dyDescent="0.2">
      <c r="A19" s="68"/>
      <c r="K19" s="69"/>
      <c r="L19" s="68"/>
      <c r="V19" s="69"/>
    </row>
    <row r="20" spans="1:22" customFormat="1" x14ac:dyDescent="0.2">
      <c r="A20" s="68"/>
      <c r="K20" s="69"/>
      <c r="L20" s="68"/>
      <c r="V20" s="69"/>
    </row>
    <row r="21" spans="1:22" customFormat="1" x14ac:dyDescent="0.2">
      <c r="A21" s="68"/>
      <c r="K21" s="69"/>
      <c r="L21" s="68"/>
      <c r="V21" s="69"/>
    </row>
    <row r="22" spans="1:22" customFormat="1" x14ac:dyDescent="0.2">
      <c r="A22" s="68"/>
      <c r="K22" s="69"/>
      <c r="L22" s="68"/>
      <c r="V22" s="69"/>
    </row>
    <row r="23" spans="1:22" customFormat="1" x14ac:dyDescent="0.2">
      <c r="A23" s="68"/>
      <c r="K23" s="69"/>
      <c r="L23" s="68"/>
      <c r="V23" s="69"/>
    </row>
    <row r="24" spans="1:22" customFormat="1" x14ac:dyDescent="0.2">
      <c r="A24" s="68"/>
      <c r="K24" s="69"/>
      <c r="L24" s="68"/>
      <c r="V24" s="69"/>
    </row>
    <row r="25" spans="1:22" customFormat="1" x14ac:dyDescent="0.2">
      <c r="A25" s="68"/>
      <c r="K25" s="69"/>
      <c r="L25" s="68"/>
      <c r="V25" s="69"/>
    </row>
    <row r="26" spans="1:22" customFormat="1" x14ac:dyDescent="0.2">
      <c r="A26" s="68"/>
      <c r="K26" s="69"/>
      <c r="L26" s="68"/>
      <c r="V26" s="69"/>
    </row>
    <row r="27" spans="1:22" customFormat="1" x14ac:dyDescent="0.2">
      <c r="A27" s="68"/>
      <c r="K27" s="69"/>
      <c r="L27" s="68"/>
      <c r="V27" s="69"/>
    </row>
    <row r="28" spans="1:22" customFormat="1" x14ac:dyDescent="0.2">
      <c r="A28" s="68"/>
      <c r="K28" s="69"/>
      <c r="L28" s="68"/>
      <c r="V28" s="69"/>
    </row>
    <row r="29" spans="1:22" customFormat="1" x14ac:dyDescent="0.2">
      <c r="A29" s="68"/>
      <c r="K29" s="69"/>
      <c r="L29" s="68"/>
      <c r="V29" s="69"/>
    </row>
    <row r="30" spans="1:22" customFormat="1" x14ac:dyDescent="0.2">
      <c r="A30" s="68"/>
      <c r="K30" s="69"/>
      <c r="L30" s="68"/>
      <c r="V30" s="69"/>
    </row>
    <row r="31" spans="1:22" customFormat="1" x14ac:dyDescent="0.2">
      <c r="A31" s="68"/>
      <c r="K31" s="69"/>
      <c r="L31" s="68"/>
      <c r="V31" s="69"/>
    </row>
    <row r="32" spans="1:22" customFormat="1" x14ac:dyDescent="0.2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2"/>
      <c r="L32" s="70"/>
      <c r="M32" s="71"/>
      <c r="N32" s="71"/>
      <c r="O32" s="71"/>
      <c r="P32" s="71"/>
      <c r="Q32" s="71"/>
      <c r="R32" s="71"/>
      <c r="S32" s="71"/>
      <c r="T32" s="71"/>
      <c r="U32" s="71"/>
      <c r="V32" s="72"/>
    </row>
    <row r="33" spans="1:22" ht="15.75" x14ac:dyDescent="0.2">
      <c r="A33" s="63"/>
      <c r="B33" s="64"/>
      <c r="C33" s="64"/>
      <c r="D33" s="64"/>
      <c r="E33" s="64"/>
      <c r="F33" s="64"/>
      <c r="G33" s="64"/>
      <c r="H33" s="132" t="s">
        <v>9</v>
      </c>
      <c r="I33" s="132"/>
      <c r="J33" s="132"/>
      <c r="K33" s="133"/>
      <c r="L33" s="63"/>
      <c r="M33" s="64"/>
      <c r="N33" s="64"/>
      <c r="O33" s="64"/>
      <c r="P33" s="64"/>
      <c r="Q33" s="64"/>
      <c r="R33" s="64"/>
      <c r="S33" s="132" t="s">
        <v>9</v>
      </c>
      <c r="T33" s="132"/>
      <c r="U33" s="132"/>
      <c r="V33" s="133"/>
    </row>
    <row r="34" spans="1:22" ht="15.75" x14ac:dyDescent="0.2">
      <c r="A34" s="65"/>
      <c r="H34" s="119" t="s">
        <v>54</v>
      </c>
      <c r="I34" s="119"/>
      <c r="J34" s="119"/>
      <c r="K34" s="134"/>
      <c r="L34" s="65"/>
      <c r="S34" s="119" t="s">
        <v>54</v>
      </c>
      <c r="T34" s="119"/>
      <c r="U34" s="119"/>
      <c r="V34" s="134"/>
    </row>
    <row r="35" spans="1:22" ht="15" x14ac:dyDescent="0.2">
      <c r="A35" s="65"/>
      <c r="H35" s="66"/>
      <c r="I35" s="66"/>
      <c r="J35" s="66"/>
      <c r="K35" s="67"/>
      <c r="L35" s="65"/>
      <c r="S35" s="66"/>
      <c r="T35" s="66"/>
      <c r="U35" s="66"/>
      <c r="V35" s="67"/>
    </row>
    <row r="36" spans="1:22" x14ac:dyDescent="0.2">
      <c r="A36" s="65"/>
      <c r="I36" s="128"/>
      <c r="J36" s="128"/>
      <c r="K36" s="129"/>
      <c r="L36" s="65"/>
      <c r="V36" s="67"/>
    </row>
    <row r="37" spans="1:22" x14ac:dyDescent="0.2">
      <c r="A37" s="130" t="str">
        <f>Graphiques!B42</f>
        <v>GVA3 - Convergences- (PM 196.1) - Mesures au 09/02/24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31"/>
      <c r="L37" s="130" t="str">
        <f>Graphiques!N42</f>
        <v>GVA3 - Déplacements altimétriques des cibles - (PM 196.1) - Mesures au 09/02/24</v>
      </c>
      <c r="M37" s="127"/>
      <c r="N37" s="127"/>
      <c r="O37" s="127"/>
      <c r="P37" s="127"/>
      <c r="Q37" s="127"/>
      <c r="R37" s="127"/>
      <c r="S37" s="127"/>
      <c r="T37" s="127"/>
      <c r="U37" s="127"/>
      <c r="V37" s="131"/>
    </row>
    <row r="38" spans="1:22" x14ac:dyDescent="0.2">
      <c r="A38" s="65"/>
      <c r="K38" s="67"/>
      <c r="L38" s="65"/>
      <c r="V38" s="67"/>
    </row>
    <row r="39" spans="1:22" x14ac:dyDescent="0.2">
      <c r="A39" s="65"/>
      <c r="K39" s="67"/>
      <c r="L39" s="65"/>
      <c r="V39" s="67"/>
    </row>
    <row r="40" spans="1:22" x14ac:dyDescent="0.2">
      <c r="A40" s="65"/>
      <c r="K40" s="67"/>
      <c r="L40" s="65"/>
      <c r="V40" s="67"/>
    </row>
    <row r="41" spans="1:22" x14ac:dyDescent="0.2">
      <c r="A41" s="65"/>
      <c r="K41" s="67"/>
      <c r="L41" s="65"/>
      <c r="V41" s="67"/>
    </row>
    <row r="42" spans="1:22" x14ac:dyDescent="0.2">
      <c r="A42" s="65"/>
      <c r="K42" s="67"/>
      <c r="L42" s="65"/>
      <c r="V42" s="67"/>
    </row>
    <row r="43" spans="1:22" x14ac:dyDescent="0.2">
      <c r="A43" s="65"/>
      <c r="K43" s="67"/>
      <c r="L43" s="65"/>
      <c r="V43" s="67"/>
    </row>
    <row r="44" spans="1:22" x14ac:dyDescent="0.2">
      <c r="A44" s="65"/>
      <c r="K44" s="67"/>
      <c r="L44" s="65"/>
      <c r="V44" s="67"/>
    </row>
    <row r="45" spans="1:22" x14ac:dyDescent="0.2">
      <c r="A45" s="65"/>
      <c r="K45" s="67"/>
      <c r="L45" s="65"/>
      <c r="V45" s="67"/>
    </row>
    <row r="46" spans="1:22" x14ac:dyDescent="0.2">
      <c r="A46" s="65"/>
      <c r="K46" s="67"/>
      <c r="L46" s="65"/>
      <c r="V46" s="67"/>
    </row>
    <row r="47" spans="1:22" x14ac:dyDescent="0.2">
      <c r="A47" s="65"/>
      <c r="K47" s="67"/>
      <c r="L47" s="65"/>
      <c r="V47" s="67"/>
    </row>
    <row r="48" spans="1:22" x14ac:dyDescent="0.2">
      <c r="A48" s="65"/>
      <c r="K48" s="67"/>
      <c r="L48" s="65"/>
      <c r="V48" s="67"/>
    </row>
    <row r="49" spans="1:22" x14ac:dyDescent="0.2">
      <c r="A49" s="65"/>
      <c r="K49" s="67"/>
      <c r="L49" s="65"/>
      <c r="V49" s="67"/>
    </row>
    <row r="50" spans="1:22" x14ac:dyDescent="0.2">
      <c r="A50" s="65"/>
      <c r="K50" s="67"/>
      <c r="L50" s="65"/>
      <c r="V50" s="67"/>
    </row>
    <row r="51" spans="1:22" x14ac:dyDescent="0.2">
      <c r="A51" s="65"/>
      <c r="K51" s="67"/>
      <c r="L51" s="65"/>
      <c r="V51" s="67"/>
    </row>
    <row r="52" spans="1:22" x14ac:dyDescent="0.2">
      <c r="A52" s="65"/>
      <c r="K52" s="67"/>
      <c r="L52" s="65"/>
      <c r="V52" s="67"/>
    </row>
    <row r="53" spans="1:22" x14ac:dyDescent="0.2">
      <c r="A53" s="65"/>
      <c r="K53" s="67"/>
      <c r="L53" s="65"/>
      <c r="V53" s="67"/>
    </row>
    <row r="54" spans="1:22" x14ac:dyDescent="0.2">
      <c r="A54" s="65"/>
      <c r="K54" s="67"/>
      <c r="L54" s="65"/>
      <c r="V54" s="67"/>
    </row>
    <row r="55" spans="1:22" x14ac:dyDescent="0.2">
      <c r="A55" s="65"/>
      <c r="K55" s="67"/>
      <c r="L55" s="65"/>
      <c r="V55" s="67"/>
    </row>
    <row r="56" spans="1:22" x14ac:dyDescent="0.2">
      <c r="A56" s="65"/>
      <c r="K56" s="67"/>
      <c r="L56" s="65"/>
      <c r="V56" s="67"/>
    </row>
    <row r="57" spans="1:22" x14ac:dyDescent="0.2">
      <c r="A57" s="65"/>
      <c r="K57" s="67"/>
      <c r="L57" s="65"/>
      <c r="V57" s="67"/>
    </row>
    <row r="58" spans="1:22" x14ac:dyDescent="0.2">
      <c r="A58" s="65"/>
      <c r="K58" s="67"/>
      <c r="L58" s="65"/>
      <c r="V58" s="67"/>
    </row>
    <row r="59" spans="1:22" x14ac:dyDescent="0.2">
      <c r="A59" s="65"/>
      <c r="K59" s="67"/>
      <c r="L59" s="65"/>
      <c r="V59" s="67"/>
    </row>
    <row r="60" spans="1:22" x14ac:dyDescent="0.2">
      <c r="A60" s="65"/>
      <c r="K60" s="67"/>
      <c r="L60" s="65"/>
      <c r="V60" s="67"/>
    </row>
    <row r="61" spans="1:22" x14ac:dyDescent="0.2">
      <c r="A61" s="65"/>
      <c r="K61" s="67"/>
      <c r="L61" s="65"/>
      <c r="V61" s="67"/>
    </row>
    <row r="62" spans="1:22" x14ac:dyDescent="0.2">
      <c r="A62" s="65"/>
      <c r="K62" s="67"/>
      <c r="L62" s="65"/>
      <c r="V62" s="67"/>
    </row>
    <row r="63" spans="1:22" x14ac:dyDescent="0.2">
      <c r="A63" s="65"/>
      <c r="K63" s="67"/>
      <c r="L63" s="65"/>
      <c r="V63" s="67"/>
    </row>
    <row r="64" spans="1:22" x14ac:dyDescent="0.2">
      <c r="A64" s="73"/>
      <c r="B64" s="74"/>
      <c r="C64" s="74"/>
      <c r="D64" s="74"/>
      <c r="E64" s="74"/>
      <c r="F64" s="74"/>
      <c r="G64" s="74"/>
      <c r="H64" s="74"/>
      <c r="I64" s="74"/>
      <c r="J64" s="74"/>
      <c r="K64" s="75"/>
      <c r="L64" s="73"/>
      <c r="M64" s="74"/>
      <c r="N64" s="74"/>
      <c r="O64" s="74"/>
      <c r="P64" s="74"/>
      <c r="Q64" s="74"/>
      <c r="R64" s="74"/>
      <c r="S64" s="74"/>
      <c r="T64" s="74"/>
      <c r="U64" s="74"/>
      <c r="V64" s="75"/>
    </row>
  </sheetData>
  <mergeCells count="15">
    <mergeCell ref="H1:K1"/>
    <mergeCell ref="S1:V1"/>
    <mergeCell ref="H2:K2"/>
    <mergeCell ref="S2:V2"/>
    <mergeCell ref="I4:K4"/>
    <mergeCell ref="T4:V4"/>
    <mergeCell ref="I36:K36"/>
    <mergeCell ref="A37:K37"/>
    <mergeCell ref="L37:V37"/>
    <mergeCell ref="A5:K5"/>
    <mergeCell ref="L5:V5"/>
    <mergeCell ref="H33:K33"/>
    <mergeCell ref="S33:V33"/>
    <mergeCell ref="H34:K34"/>
    <mergeCell ref="S34:V34"/>
  </mergeCells>
  <printOptions horizontalCentered="1"/>
  <pageMargins left="0.39370078740157483" right="0.39370078740157483" top="0.19685039370078741" bottom="0.19685039370078741" header="0.51181102362204722" footer="0.51181102362204722"/>
  <pageSetup paperSize="9" scale="130" orientation="landscape" horizontalDpi="4294967293" r:id="rId1"/>
  <headerFooter alignWithMargins="0"/>
  <colBreaks count="1" manualBreakCount="1">
    <brk id="1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2:B17"/>
  <sheetViews>
    <sheetView workbookViewId="0">
      <selection activeCell="B34" sqref="B34"/>
    </sheetView>
  </sheetViews>
  <sheetFormatPr baseColWidth="10" defaultRowHeight="12.75" x14ac:dyDescent="0.2"/>
  <cols>
    <col min="2" max="2" width="95.42578125" customWidth="1"/>
  </cols>
  <sheetData>
    <row r="2" spans="1:2" x14ac:dyDescent="0.2">
      <c r="A2" s="81">
        <v>43706</v>
      </c>
      <c r="B2" s="80" t="s">
        <v>68</v>
      </c>
    </row>
    <row r="3" spans="1:2" x14ac:dyDescent="0.2">
      <c r="B3" s="80" t="s">
        <v>69</v>
      </c>
    </row>
    <row r="4" spans="1:2" x14ac:dyDescent="0.2">
      <c r="B4" s="80" t="s">
        <v>70</v>
      </c>
    </row>
    <row r="5" spans="1:2" x14ac:dyDescent="0.2">
      <c r="B5" s="80" t="s">
        <v>71</v>
      </c>
    </row>
    <row r="8" spans="1:2" x14ac:dyDescent="0.2">
      <c r="A8" s="81">
        <v>43731</v>
      </c>
      <c r="B8" s="80" t="s">
        <v>75</v>
      </c>
    </row>
    <row r="9" spans="1:2" x14ac:dyDescent="0.2">
      <c r="B9" s="80" t="s">
        <v>76</v>
      </c>
    </row>
    <row r="12" spans="1:2" x14ac:dyDescent="0.2">
      <c r="A12" s="81">
        <v>43843</v>
      </c>
      <c r="B12" t="s">
        <v>78</v>
      </c>
    </row>
    <row r="14" spans="1:2" x14ac:dyDescent="0.2">
      <c r="A14" s="81">
        <v>43850</v>
      </c>
      <c r="B14" t="s">
        <v>78</v>
      </c>
    </row>
    <row r="16" spans="1:2" x14ac:dyDescent="0.2">
      <c r="A16" s="81">
        <v>43859</v>
      </c>
      <c r="B16" s="80" t="s">
        <v>79</v>
      </c>
    </row>
    <row r="17" spans="2:2" x14ac:dyDescent="0.2">
      <c r="B17" s="8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66</vt:i4>
      </vt:variant>
    </vt:vector>
  </HeadingPairs>
  <TitlesOfParts>
    <vt:vector size="72" baseType="lpstr">
      <vt:lpstr>Résultats observations</vt:lpstr>
      <vt:lpstr>Convergences</vt:lpstr>
      <vt:lpstr>Déplacements</vt:lpstr>
      <vt:lpstr>Graphiques</vt:lpstr>
      <vt:lpstr>Graph avancement</vt:lpstr>
      <vt:lpstr>commentaires</vt:lpstr>
      <vt:lpstr>cintre</vt:lpstr>
      <vt:lpstr>date</vt:lpstr>
      <vt:lpstr>DH_BD</vt:lpstr>
      <vt:lpstr>DH_BG</vt:lpstr>
      <vt:lpstr>DH_HD</vt:lpstr>
      <vt:lpstr>DH_HG</vt:lpstr>
      <vt:lpstr>DH_ID</vt:lpstr>
      <vt:lpstr>DH_IG</vt:lpstr>
      <vt:lpstr>DHhaut</vt:lpstr>
      <vt:lpstr>dist</vt:lpstr>
      <vt:lpstr>DPM_BD</vt:lpstr>
      <vt:lpstr>DPM_BG</vt:lpstr>
      <vt:lpstr>DPM_HD</vt:lpstr>
      <vt:lpstr>DPM_HG</vt:lpstr>
      <vt:lpstr>DPM_ID</vt:lpstr>
      <vt:lpstr>DPM_IG</vt:lpstr>
      <vt:lpstr>DPMhaut</vt:lpstr>
      <vt:lpstr>DZ_BD</vt:lpstr>
      <vt:lpstr>DZ_BG</vt:lpstr>
      <vt:lpstr>DZ_HD</vt:lpstr>
      <vt:lpstr>DZ_HG</vt:lpstr>
      <vt:lpstr>DZ_ID</vt:lpstr>
      <vt:lpstr>DZ_IG</vt:lpstr>
      <vt:lpstr>DZhaut</vt:lpstr>
      <vt:lpstr>Ecart_BD</vt:lpstr>
      <vt:lpstr>Ecart_BG</vt:lpstr>
      <vt:lpstr>Ecart_HD</vt:lpstr>
      <vt:lpstr>Ecart_HG</vt:lpstr>
      <vt:lpstr>Ecart_ID</vt:lpstr>
      <vt:lpstr>Ecart_IG</vt:lpstr>
      <vt:lpstr>Ecart_LB</vt:lpstr>
      <vt:lpstr>Ecart_LH</vt:lpstr>
      <vt:lpstr>Ecart_LI</vt:lpstr>
      <vt:lpstr>excav</vt:lpstr>
      <vt:lpstr>front</vt:lpstr>
      <vt:lpstr>galerie</vt:lpstr>
      <vt:lpstr>Convergences!Impression_des_titres</vt:lpstr>
      <vt:lpstr>Déplacements!Impression_des_titres</vt:lpstr>
      <vt:lpstr>'Résultats observations'!Impression_des_titres</vt:lpstr>
      <vt:lpstr>jours</vt:lpstr>
      <vt:lpstr>PM</vt:lpstr>
      <vt:lpstr>Xbasdroit</vt:lpstr>
      <vt:lpstr>Xbasgauche</vt:lpstr>
      <vt:lpstr>Xhaut</vt:lpstr>
      <vt:lpstr>Xhautdroit</vt:lpstr>
      <vt:lpstr>Xhautgauche</vt:lpstr>
      <vt:lpstr>Xinterdroit</vt:lpstr>
      <vt:lpstr>Xintergauche</vt:lpstr>
      <vt:lpstr>Ybasdroit</vt:lpstr>
      <vt:lpstr>Ybasgauche</vt:lpstr>
      <vt:lpstr>Yhaut</vt:lpstr>
      <vt:lpstr>Yhautdroit</vt:lpstr>
      <vt:lpstr>Yhautgauche</vt:lpstr>
      <vt:lpstr>Yinterdroit</vt:lpstr>
      <vt:lpstr>Yintergauche</vt:lpstr>
      <vt:lpstr>Zbasdroit</vt:lpstr>
      <vt:lpstr>Zbasgauche</vt:lpstr>
      <vt:lpstr>Zhaut</vt:lpstr>
      <vt:lpstr>Zhautdroit</vt:lpstr>
      <vt:lpstr>Zhautgauche</vt:lpstr>
      <vt:lpstr>Zinterdroit</vt:lpstr>
      <vt:lpstr>Zintergauche</vt:lpstr>
      <vt:lpstr>Convergences!Zone_d_impression</vt:lpstr>
      <vt:lpstr>Déplacements!Zone_d_impression</vt:lpstr>
      <vt:lpstr>Graphiques!Zone_d_impression</vt:lpstr>
      <vt:lpstr>'Résultats observations'!Zone_d_impression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olivier boissard</cp:lastModifiedBy>
  <cp:lastPrinted>2021-12-24T21:26:00Z</cp:lastPrinted>
  <dcterms:created xsi:type="dcterms:W3CDTF">2008-07-29T13:58:19Z</dcterms:created>
  <dcterms:modified xsi:type="dcterms:W3CDTF">2025-11-06T18:30:51Z</dcterms:modified>
</cp:coreProperties>
</file>